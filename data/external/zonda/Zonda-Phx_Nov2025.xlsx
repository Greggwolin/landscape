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escentbayholdings-my.sharepoint.com/personal/wolin_crescentbayholdings_com/Documents/Downloads-OneDrive/"/>
    </mc:Choice>
  </mc:AlternateContent>
  <xr:revisionPtr revIDLastSave="5" documentId="8_{87E04982-CB1E-1249-8494-FC3B1A0E068F}" xr6:coauthVersionLast="47" xr6:coauthVersionMax="47" xr10:uidLastSave="{7025D171-DDB9-3545-B7C8-FE01635EC956}"/>
  <bookViews>
    <workbookView xWindow="5600" yWindow="6820" windowWidth="27240" windowHeight="16180" xr2:uid="{D96B6945-BC37-C743-8B1B-43A05208C20E}"/>
  </bookViews>
  <sheets>
    <sheet name="Zonda-Macro" sheetId="1" r:id="rId1"/>
  </sheets>
  <definedNames>
    <definedName name="_xlcn.WorksheetConnection_T9A2C161" hidden="1">#REF!</definedName>
    <definedName name="i_Date.Start">#REF!</definedName>
    <definedName name="i_Dev.StartMo">#REF!</definedName>
    <definedName name="i_Header.ModelDescr">#REF!</definedName>
    <definedName name="i_Header.ProjectName">#REF!</definedName>
    <definedName name="i_Model.Duration">#REF!</definedName>
    <definedName name="i_Project.Acres">#REF!</definedName>
    <definedName name="i_Project.Descr">#REF!</definedName>
    <definedName name="i_Project.Location">#REF!</definedName>
    <definedName name="i_Project.Name">#REF!</definedName>
    <definedName name="list_Dates.Mo">_xlfn.ANCHORARRAY(#REF!)</definedName>
    <definedName name="list_MonthNames">#REF!</definedName>
    <definedName name="list_Periods.Mo">_xlfn.ANCHORARRAY(#REF!)</definedName>
    <definedName name="list_Periods.Yr">_xlfn._xlws.FILTER(#REF!,#REF!&lt;&gt;0)</definedName>
    <definedName name="list.Dates.Qtr">_xlfn.UNIQUE(_xlfn._xlws.FILTER(#REF!,#REF!&lt;&gt;0))</definedName>
    <definedName name="list.Dates.Yr">_xlfn.ANCHORARRAY(#REF!)</definedName>
    <definedName name="list.Periods.Qtr">_xlfn.ANCHORARRAY(#REF!)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1" i="1" l="1" a="1"/>
  <c r="C711" i="1" s="1"/>
  <c r="I510" i="1"/>
  <c r="I183" i="1"/>
  <c r="I471" i="1"/>
  <c r="I596" i="1"/>
  <c r="I606" i="1"/>
  <c r="I593" i="1"/>
  <c r="I288" i="1"/>
  <c r="I609" i="1"/>
  <c r="I225" i="1"/>
  <c r="I640" i="1"/>
  <c r="I558" i="1"/>
  <c r="I398" i="1"/>
  <c r="I323" i="1"/>
  <c r="I493" i="1"/>
  <c r="I707" i="1"/>
  <c r="I350" i="1"/>
  <c r="I641" i="1"/>
  <c r="I507" i="1"/>
  <c r="I384" i="1"/>
  <c r="I545" i="1"/>
  <c r="I660" i="1"/>
  <c r="I667" i="1"/>
  <c r="I444" i="1"/>
  <c r="I566" i="1"/>
  <c r="I495" i="1"/>
  <c r="I663" i="1"/>
  <c r="I475" i="1"/>
  <c r="I433" i="1"/>
  <c r="I413" i="1"/>
  <c r="I402" i="1"/>
  <c r="I298" i="1"/>
  <c r="I171" i="1"/>
  <c r="I111" i="1"/>
  <c r="I705" i="1"/>
  <c r="I633" i="1"/>
  <c r="I575" i="1"/>
  <c r="I466" i="1"/>
  <c r="I484" i="1"/>
  <c r="I651" i="1"/>
  <c r="I333" i="1"/>
  <c r="I456" i="1"/>
  <c r="I549" i="1"/>
  <c r="I592" i="1"/>
  <c r="I129" i="1"/>
  <c r="I518" i="1"/>
  <c r="I338" i="1"/>
  <c r="I594" i="1"/>
  <c r="I450" i="1"/>
  <c r="I237" i="1"/>
  <c r="I632" i="1"/>
  <c r="I617" i="1"/>
  <c r="I557" i="1"/>
  <c r="I701" i="1"/>
  <c r="I133" i="1"/>
  <c r="I236" i="1"/>
  <c r="I541" i="1"/>
  <c r="I481" i="1"/>
  <c r="I588" i="1"/>
  <c r="I412" i="1"/>
  <c r="I458" i="1"/>
  <c r="I208" i="1"/>
  <c r="I657" i="1"/>
  <c r="I446" i="1"/>
  <c r="I344" i="1"/>
  <c r="I340" i="1"/>
  <c r="I310" i="1"/>
  <c r="I305" i="1"/>
  <c r="I303" i="1"/>
  <c r="I280" i="1"/>
  <c r="I229" i="1"/>
  <c r="I149" i="1"/>
  <c r="I61" i="1"/>
  <c r="I24" i="1"/>
  <c r="I565" i="1"/>
  <c r="I613" i="1"/>
  <c r="I561" i="1"/>
  <c r="I399" i="1"/>
  <c r="I329" i="1"/>
  <c r="I314" i="1"/>
  <c r="I218" i="1"/>
  <c r="I141" i="1"/>
  <c r="I600" i="1"/>
  <c r="I706" i="1"/>
  <c r="I482" i="1"/>
  <c r="I435" i="1"/>
  <c r="I430" i="1"/>
  <c r="I382" i="1"/>
  <c r="I330" i="1"/>
  <c r="I272" i="1"/>
  <c r="I266" i="1"/>
  <c r="I166" i="1"/>
  <c r="I13" i="1"/>
  <c r="I2" i="1"/>
  <c r="I656" i="1"/>
  <c r="I425" i="1"/>
  <c r="I124" i="1"/>
  <c r="I616" i="1"/>
  <c r="I134" i="1"/>
  <c r="I79" i="1"/>
  <c r="I597" i="1"/>
  <c r="I403" i="1"/>
  <c r="I324" i="1"/>
  <c r="I294" i="1"/>
  <c r="I109" i="1"/>
  <c r="I505" i="1"/>
  <c r="I638" i="1"/>
  <c r="I60" i="1"/>
  <c r="I689" i="1"/>
  <c r="I578" i="1"/>
  <c r="I552" i="1"/>
  <c r="I684" i="1"/>
  <c r="I679" i="1"/>
  <c r="I301" i="1"/>
  <c r="I620" i="1"/>
  <c r="I587" i="1"/>
  <c r="I264" i="1"/>
  <c r="I114" i="1"/>
  <c r="I86" i="1"/>
  <c r="I687" i="1"/>
  <c r="I474" i="1"/>
  <c r="I465" i="1"/>
  <c r="I462" i="1"/>
  <c r="I455" i="1"/>
  <c r="I387" i="1"/>
  <c r="I337" i="1"/>
  <c r="I316" i="1"/>
  <c r="I286" i="1"/>
  <c r="I257" i="1"/>
  <c r="I170" i="1"/>
  <c r="I163" i="1"/>
  <c r="I130" i="1"/>
  <c r="I70" i="1"/>
  <c r="I366" i="1"/>
  <c r="I145" i="1"/>
  <c r="I26" i="1"/>
  <c r="I5" i="1"/>
  <c r="I277" i="1"/>
  <c r="I436" i="1"/>
  <c r="I331" i="1"/>
  <c r="I194" i="1"/>
  <c r="I374" i="1"/>
  <c r="I243" i="1"/>
  <c r="I139" i="1"/>
  <c r="I574" i="1"/>
  <c r="I468" i="1"/>
  <c r="I285" i="1"/>
  <c r="I584" i="1"/>
  <c r="I346" i="1"/>
  <c r="I626" i="1"/>
  <c r="I624" i="1"/>
  <c r="I472" i="1"/>
  <c r="I160" i="1"/>
  <c r="I591" i="1"/>
  <c r="I532" i="1"/>
  <c r="I476" i="1"/>
  <c r="I383" i="1"/>
  <c r="I253" i="1"/>
  <c r="I206" i="1"/>
  <c r="I110" i="1"/>
  <c r="I355" i="1"/>
  <c r="I659" i="1"/>
  <c r="I488" i="1"/>
  <c r="I467" i="1"/>
  <c r="I438" i="1"/>
  <c r="I315" i="1"/>
  <c r="I311" i="1"/>
  <c r="I204" i="1"/>
  <c r="I675" i="1"/>
  <c r="I630" i="1"/>
  <c r="I635" i="1"/>
  <c r="I586" i="1"/>
  <c r="I540" i="1"/>
  <c r="I531" i="1"/>
  <c r="I496" i="1"/>
  <c r="I373" i="1"/>
  <c r="I368" i="1"/>
  <c r="I293" i="1"/>
  <c r="I281" i="1"/>
  <c r="I261" i="1"/>
  <c r="I254" i="1"/>
  <c r="I255" i="1"/>
  <c r="I250" i="1"/>
  <c r="I227" i="1"/>
  <c r="I216" i="1"/>
  <c r="I167" i="1"/>
  <c r="I138" i="1"/>
  <c r="I131" i="1"/>
  <c r="I126" i="1"/>
  <c r="I94" i="1"/>
  <c r="I78" i="1"/>
  <c r="I68" i="1"/>
  <c r="I63" i="1"/>
  <c r="I58" i="1"/>
  <c r="I33" i="1"/>
  <c r="I11" i="1"/>
  <c r="I48" i="1"/>
  <c r="I17" i="1"/>
  <c r="I492" i="1"/>
  <c r="I483" i="1"/>
  <c r="I115" i="1"/>
  <c r="I75" i="1"/>
  <c r="I57" i="1"/>
  <c r="I4" i="1"/>
  <c r="I336" i="1"/>
  <c r="I702" i="1"/>
  <c r="I583" i="1"/>
  <c r="I589" i="1"/>
  <c r="I453" i="1"/>
  <c r="I217" i="1"/>
  <c r="I551" i="1"/>
  <c r="I276" i="1"/>
  <c r="I248" i="1"/>
  <c r="I32" i="1"/>
  <c r="I14" i="1"/>
  <c r="I568" i="1"/>
  <c r="I563" i="1"/>
  <c r="I478" i="1"/>
  <c r="I452" i="1"/>
  <c r="I411" i="1"/>
  <c r="I363" i="1"/>
  <c r="I240" i="1"/>
  <c r="I231" i="1"/>
  <c r="I123" i="1"/>
  <c r="I664" i="1"/>
  <c r="I562" i="1"/>
  <c r="I391" i="1"/>
  <c r="I260" i="1"/>
  <c r="I169" i="1"/>
  <c r="I448" i="1"/>
  <c r="I155" i="1"/>
  <c r="I547" i="1"/>
  <c r="I352" i="1"/>
  <c r="I473" i="1"/>
  <c r="I275" i="1"/>
  <c r="I219" i="1"/>
  <c r="I365" i="1"/>
  <c r="I516" i="1"/>
  <c r="I335" i="1"/>
  <c r="I341" i="1"/>
  <c r="I605" i="1"/>
  <c r="I432" i="1"/>
  <c r="I307" i="1"/>
  <c r="I697" i="1"/>
  <c r="I454" i="1"/>
  <c r="I233" i="1"/>
  <c r="I232" i="1"/>
  <c r="I159" i="1"/>
  <c r="I72" i="1"/>
  <c r="I463" i="1"/>
  <c r="I696" i="1"/>
  <c r="I676" i="1"/>
  <c r="I522" i="1"/>
  <c r="I464" i="1"/>
  <c r="I460" i="1"/>
  <c r="I414" i="1"/>
  <c r="I408" i="1"/>
  <c r="I362" i="1"/>
  <c r="I290" i="1"/>
  <c r="I245" i="1"/>
  <c r="I242" i="1"/>
  <c r="I222" i="1"/>
  <c r="I212" i="1"/>
  <c r="I191" i="1"/>
  <c r="I190" i="1"/>
  <c r="I173" i="1"/>
  <c r="I162" i="1"/>
  <c r="I121" i="1"/>
  <c r="I116" i="1"/>
  <c r="I102" i="1"/>
  <c r="I100" i="1"/>
  <c r="I39" i="1"/>
  <c r="I673" i="1"/>
  <c r="I553" i="1"/>
  <c r="I490" i="1"/>
  <c r="I395" i="1"/>
  <c r="I376" i="1"/>
  <c r="I356" i="1"/>
  <c r="I320" i="1"/>
  <c r="I205" i="1"/>
  <c r="I174" i="1"/>
  <c r="I54" i="1"/>
  <c r="I662" i="1"/>
  <c r="I554" i="1"/>
  <c r="I542" i="1"/>
  <c r="I443" i="1"/>
  <c r="I195" i="1"/>
  <c r="I370" i="1"/>
  <c r="I380" i="1"/>
  <c r="I313" i="1"/>
  <c r="I299" i="1"/>
  <c r="I223" i="1"/>
  <c r="I172" i="1"/>
  <c r="I71" i="1"/>
  <c r="I29" i="1"/>
  <c r="I19" i="1"/>
  <c r="I658" i="1"/>
  <c r="I404" i="1"/>
  <c r="I238" i="1"/>
  <c r="I90" i="1"/>
  <c r="I20" i="1"/>
  <c r="I674" i="1"/>
  <c r="I637" i="1"/>
  <c r="I608" i="1"/>
  <c r="I8" i="1"/>
  <c r="I487" i="1"/>
  <c r="I157" i="1"/>
  <c r="I683" i="1"/>
  <c r="I364" i="1"/>
  <c r="I140" i="1"/>
  <c r="I671" i="1"/>
  <c r="I646" i="1"/>
  <c r="I176" i="1"/>
  <c r="I494" i="1"/>
  <c r="I317" i="1"/>
  <c r="I442" i="1"/>
  <c r="I93" i="1"/>
  <c r="I37" i="1"/>
  <c r="I699" i="1"/>
  <c r="I685" i="1"/>
  <c r="I682" i="1"/>
  <c r="I681" i="1"/>
  <c r="I529" i="1"/>
  <c r="I519" i="1"/>
  <c r="I506" i="1"/>
  <c r="I386" i="1"/>
  <c r="I349" i="1"/>
  <c r="I300" i="1"/>
  <c r="I197" i="1"/>
  <c r="I165" i="1"/>
  <c r="I101" i="1"/>
  <c r="I381" i="1"/>
  <c r="I590" i="1"/>
  <c r="I695" i="1"/>
  <c r="I698" i="1"/>
  <c r="I672" i="1"/>
  <c r="I670" i="1"/>
  <c r="I655" i="1"/>
  <c r="I661" i="1"/>
  <c r="I614" i="1"/>
  <c r="I599" i="1"/>
  <c r="I573" i="1"/>
  <c r="I544" i="1"/>
  <c r="I548" i="1"/>
  <c r="I511" i="1"/>
  <c r="I428" i="1"/>
  <c r="I423" i="1"/>
  <c r="I417" i="1"/>
  <c r="I409" i="1"/>
  <c r="I392" i="1"/>
  <c r="I371" i="1"/>
  <c r="I359" i="1"/>
  <c r="I353" i="1"/>
  <c r="I345" i="1"/>
  <c r="I334" i="1"/>
  <c r="I312" i="1"/>
  <c r="I295" i="1"/>
  <c r="I284" i="1"/>
  <c r="I267" i="1"/>
  <c r="I263" i="1"/>
  <c r="I265" i="1"/>
  <c r="I256" i="1"/>
  <c r="I234" i="1"/>
  <c r="I221" i="1"/>
  <c r="I209" i="1"/>
  <c r="I202" i="1"/>
  <c r="I200" i="1"/>
  <c r="I193" i="1"/>
  <c r="I152" i="1"/>
  <c r="I148" i="1"/>
  <c r="I136" i="1"/>
  <c r="I125" i="1"/>
  <c r="I103" i="1"/>
  <c r="I85" i="1"/>
  <c r="I83" i="1"/>
  <c r="I77" i="1"/>
  <c r="I69" i="1"/>
  <c r="I67" i="1"/>
  <c r="I66" i="1"/>
  <c r="I56" i="1"/>
  <c r="I51" i="1"/>
  <c r="I42" i="1"/>
  <c r="I9" i="1"/>
  <c r="I677" i="1"/>
  <c r="I652" i="1"/>
  <c r="I639" i="1"/>
  <c r="I618" i="1"/>
  <c r="I612" i="1"/>
  <c r="I580" i="1"/>
  <c r="I512" i="1"/>
  <c r="I451" i="1"/>
  <c r="I447" i="1"/>
  <c r="I429" i="1"/>
  <c r="I416" i="1"/>
  <c r="I388" i="1"/>
  <c r="I357" i="1"/>
  <c r="I325" i="1"/>
  <c r="I291" i="1"/>
  <c r="I269" i="1"/>
  <c r="I244" i="1"/>
  <c r="I228" i="1"/>
  <c r="I215" i="1"/>
  <c r="I213" i="1"/>
  <c r="I189" i="1"/>
  <c r="I186" i="1"/>
  <c r="I147" i="1"/>
  <c r="I142" i="1"/>
  <c r="I137" i="1"/>
  <c r="I128" i="1"/>
  <c r="I118" i="1"/>
  <c r="I105" i="1"/>
  <c r="I84" i="1"/>
  <c r="I81" i="1"/>
  <c r="I62" i="1"/>
  <c r="I35" i="1"/>
  <c r="I21" i="1"/>
  <c r="I6" i="1"/>
  <c r="I564" i="1"/>
  <c r="I480" i="1"/>
  <c r="I394" i="1"/>
  <c r="I326" i="1"/>
  <c r="I92" i="1"/>
  <c r="I28" i="1"/>
  <c r="I31" i="1"/>
  <c r="I91" i="1"/>
  <c r="I582" i="1"/>
  <c r="I501" i="1"/>
  <c r="I424" i="1"/>
  <c r="I302" i="1"/>
  <c r="I246" i="1"/>
  <c r="I201" i="1"/>
  <c r="I3" i="1"/>
  <c r="I530" i="1"/>
  <c r="I694" i="1"/>
  <c r="I647" i="1"/>
  <c r="I569" i="1"/>
  <c r="I524" i="1"/>
  <c r="I262" i="1"/>
  <c r="I7" i="1"/>
  <c r="I379" i="1"/>
  <c r="I214" i="1"/>
  <c r="I107" i="1"/>
  <c r="I95" i="1"/>
  <c r="I12" i="1"/>
  <c r="I407" i="1"/>
  <c r="I434" i="1"/>
  <c r="I282" i="1"/>
  <c r="I249" i="1"/>
  <c r="I247" i="1"/>
  <c r="I44" i="1"/>
  <c r="I127" i="1"/>
  <c r="I669" i="1"/>
  <c r="I73" i="1"/>
  <c r="I175" i="1"/>
  <c r="I559" i="1"/>
  <c r="I537" i="1"/>
  <c r="I158" i="1"/>
  <c r="I46" i="1"/>
  <c r="I477" i="1"/>
  <c r="I378" i="1"/>
  <c r="I287" i="1"/>
  <c r="I184" i="1"/>
  <c r="I654" i="1"/>
  <c r="I643" i="1"/>
  <c r="I634" i="1"/>
  <c r="I571" i="1"/>
  <c r="I572" i="1"/>
  <c r="I560" i="1"/>
  <c r="I536" i="1"/>
  <c r="I479" i="1"/>
  <c r="I470" i="1"/>
  <c r="I415" i="1"/>
  <c r="I406" i="1"/>
  <c r="I396" i="1"/>
  <c r="I400" i="1"/>
  <c r="I377" i="1"/>
  <c r="I375" i="1"/>
  <c r="I360" i="1"/>
  <c r="I354" i="1"/>
  <c r="I322" i="1"/>
  <c r="I319" i="1"/>
  <c r="I309" i="1"/>
  <c r="I279" i="1"/>
  <c r="I271" i="1"/>
  <c r="I270" i="1"/>
  <c r="I259" i="1"/>
  <c r="I207" i="1"/>
  <c r="I203" i="1"/>
  <c r="I154" i="1"/>
  <c r="I122" i="1"/>
  <c r="I108" i="1"/>
  <c r="I99" i="1"/>
  <c r="I45" i="1"/>
  <c r="I41" i="1"/>
  <c r="I36" i="1"/>
  <c r="I23" i="1"/>
  <c r="I22" i="1"/>
  <c r="I230" i="1"/>
  <c r="I693" i="1"/>
  <c r="I678" i="1"/>
  <c r="I629" i="1"/>
  <c r="I636" i="1"/>
  <c r="I602" i="1"/>
  <c r="I603" i="1"/>
  <c r="I601" i="1"/>
  <c r="I570" i="1"/>
  <c r="I556" i="1"/>
  <c r="I546" i="1"/>
  <c r="I539" i="1"/>
  <c r="I521" i="1"/>
  <c r="I514" i="1"/>
  <c r="I437" i="1"/>
  <c r="I421" i="1"/>
  <c r="I419" i="1"/>
  <c r="I405" i="1"/>
  <c r="I390" i="1"/>
  <c r="I367" i="1"/>
  <c r="I361" i="1"/>
  <c r="I358" i="1"/>
  <c r="I347" i="1"/>
  <c r="I342" i="1"/>
  <c r="I321" i="1"/>
  <c r="I306" i="1"/>
  <c r="I304" i="1"/>
  <c r="I296" i="1"/>
  <c r="I297" i="1"/>
  <c r="I283" i="1"/>
  <c r="I274" i="1"/>
  <c r="I258" i="1"/>
  <c r="I252" i="1"/>
  <c r="I239" i="1"/>
  <c r="I226" i="1"/>
  <c r="I220" i="1"/>
  <c r="I210" i="1"/>
  <c r="I192" i="1"/>
  <c r="I181" i="1"/>
  <c r="I178" i="1"/>
  <c r="I164" i="1"/>
  <c r="I156" i="1"/>
  <c r="I151" i="1"/>
  <c r="I143" i="1"/>
  <c r="I144" i="1"/>
  <c r="I135" i="1"/>
  <c r="I132" i="1"/>
  <c r="I120" i="1"/>
  <c r="I119" i="1"/>
  <c r="I104" i="1"/>
  <c r="I98" i="1"/>
  <c r="I88" i="1"/>
  <c r="I87" i="1"/>
  <c r="I80" i="1"/>
  <c r="I59" i="1"/>
  <c r="I53" i="1"/>
  <c r="I50" i="1"/>
  <c r="I49" i="1"/>
  <c r="I47" i="1"/>
  <c r="I38" i="1"/>
  <c r="I30" i="1"/>
  <c r="I27" i="1"/>
  <c r="I15" i="1"/>
  <c r="I10" i="1"/>
  <c r="I34" i="1"/>
  <c r="I18" i="1"/>
  <c r="I503" i="1"/>
  <c r="I498" i="1"/>
  <c r="I485" i="1"/>
  <c r="I418" i="1"/>
  <c r="I397" i="1"/>
  <c r="I328" i="1"/>
  <c r="I241" i="1"/>
  <c r="I185" i="1"/>
  <c r="I150" i="1"/>
  <c r="I64" i="1"/>
  <c r="I43" i="1"/>
  <c r="I704" i="1"/>
  <c r="I177" i="1"/>
  <c r="I52" i="1"/>
  <c r="I598" i="1"/>
  <c r="I653" i="1"/>
  <c r="I628" i="1"/>
  <c r="I491" i="1"/>
  <c r="I393" i="1"/>
  <c r="I168" i="1"/>
  <c r="I76" i="1"/>
  <c r="I509" i="1"/>
  <c r="I146" i="1"/>
  <c r="I528" i="1"/>
  <c r="I332" i="1"/>
  <c r="I692" i="1"/>
  <c r="I610" i="1"/>
  <c r="I525" i="1"/>
  <c r="I372" i="1"/>
  <c r="I327" i="1"/>
  <c r="I273" i="1"/>
  <c r="I268" i="1"/>
  <c r="I211" i="1"/>
  <c r="I199" i="1"/>
  <c r="I179" i="1"/>
  <c r="I113" i="1"/>
  <c r="I461" i="1"/>
  <c r="I459" i="1"/>
  <c r="I318" i="1"/>
  <c r="I196" i="1"/>
  <c r="I187" i="1"/>
  <c r="I188" i="1"/>
  <c r="I161" i="1"/>
  <c r="I96" i="1"/>
  <c r="I55" i="1"/>
  <c r="I40" i="1"/>
  <c r="I527" i="1"/>
  <c r="I440" i="1"/>
  <c r="I369" i="1"/>
  <c r="I348" i="1"/>
  <c r="I251" i="1"/>
  <c r="I497" i="1"/>
  <c r="I198" i="1"/>
  <c r="I106" i="1"/>
  <c r="I292" i="1"/>
  <c r="I278" i="1"/>
  <c r="I431" i="1"/>
  <c r="I526" i="1"/>
  <c r="I112" i="1"/>
  <c r="I74" i="1"/>
  <c r="I289" i="1"/>
  <c r="I543" i="1"/>
  <c r="I308" i="1"/>
  <c r="I621" i="1"/>
  <c r="I499" i="1"/>
  <c r="I644" i="1"/>
  <c r="I550" i="1"/>
  <c r="I533" i="1"/>
  <c r="I457" i="1"/>
  <c r="I642" i="1"/>
  <c r="I631" i="1"/>
  <c r="I625" i="1"/>
  <c r="I427" i="1"/>
  <c r="I486" i="1"/>
  <c r="I665" i="1"/>
  <c r="I691" i="1"/>
  <c r="I581" i="1"/>
  <c r="I517" i="1"/>
  <c r="I623" i="1"/>
  <c r="I500" i="1"/>
  <c r="I595" i="1"/>
  <c r="I567" i="1"/>
  <c r="I535" i="1"/>
  <c r="I534" i="1"/>
  <c r="I351" i="1"/>
  <c r="I688" i="1"/>
  <c r="I622" i="1"/>
  <c r="I515" i="1"/>
  <c r="I607" i="1"/>
  <c r="I420" i="1"/>
  <c r="I577" i="1"/>
  <c r="I555" i="1"/>
  <c r="I650" i="1"/>
  <c r="I645" i="1"/>
  <c r="I604" i="1"/>
  <c r="I579" i="1"/>
  <c r="I538" i="1"/>
  <c r="I65" i="1"/>
  <c r="I117" i="1"/>
  <c r="I343" i="1"/>
  <c r="I389" i="1"/>
  <c r="I422" i="1"/>
  <c r="I627" i="1"/>
  <c r="I648" i="1"/>
  <c r="I439" i="1"/>
  <c r="I235" i="1"/>
  <c r="I339" i="1"/>
  <c r="I666" i="1"/>
  <c r="I489" i="1"/>
  <c r="I410" i="1"/>
  <c r="I401" i="1"/>
  <c r="I686" i="1"/>
  <c r="D711" i="1" l="1" a="1"/>
  <c r="D7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<sst xmlns="http://schemas.openxmlformats.org/spreadsheetml/2006/main" count="3436" uniqueCount="937">
  <si>
    <t>Project</t>
  </si>
  <si>
    <t>Builder</t>
  </si>
  <si>
    <t>MPC</t>
  </si>
  <si>
    <t>Type</t>
  </si>
  <si>
    <t>Style</t>
  </si>
  <si>
    <t>LotSize</t>
  </si>
  <si>
    <t>LotWidth</t>
  </si>
  <si>
    <t>Product</t>
  </si>
  <si>
    <t>Units Sold</t>
  </si>
  <si>
    <t>Units Remaining</t>
  </si>
  <si>
    <t>SizeMin</t>
  </si>
  <si>
    <t>SizeMax</t>
  </si>
  <si>
    <t>SizeAvg</t>
  </si>
  <si>
    <t>PriceMin</t>
  </si>
  <si>
    <t>PriceMax</t>
  </si>
  <si>
    <t>PriceAvg</t>
  </si>
  <si>
    <t>Special</t>
  </si>
  <si>
    <t>latitude</t>
  </si>
  <si>
    <t>longitude</t>
  </si>
  <si>
    <t>Paradise Reserve</t>
  </si>
  <si>
    <t>Cullum Homes</t>
  </si>
  <si>
    <t>Detached</t>
  </si>
  <si>
    <t>Single Family</t>
  </si>
  <si>
    <t>Gated</t>
  </si>
  <si>
    <t>Ritz-Carlton Residences Dove Mountain</t>
  </si>
  <si>
    <t>Dove Mountain Investors LLC</t>
  </si>
  <si>
    <t>Dove Mountain</t>
  </si>
  <si>
    <t>Gated; Golf; Resort</t>
  </si>
  <si>
    <t>StoryRock</t>
  </si>
  <si>
    <t>David Weekley Homes</t>
  </si>
  <si>
    <t>Sonoran Trails</t>
  </si>
  <si>
    <t>Toll Brothers</t>
  </si>
  <si>
    <t>Vermillion</t>
  </si>
  <si>
    <t>Fairfield Homes</t>
  </si>
  <si>
    <t>Rancho Vistoso</t>
  </si>
  <si>
    <t>Atlas at Whispering Hills</t>
  </si>
  <si>
    <t>TRI Pointe Homes</t>
  </si>
  <si>
    <t>Ellsworth Ranch/Capstone</t>
  </si>
  <si>
    <t>Taylor Morrison</t>
  </si>
  <si>
    <t>Legado/Capstone 2</t>
  </si>
  <si>
    <t>Legado</t>
  </si>
  <si>
    <t>Ironwood Golf Villas</t>
  </si>
  <si>
    <t>Vail Vista/Tradition</t>
  </si>
  <si>
    <t>D.R. Horton</t>
  </si>
  <si>
    <t>Foothills at Arroyo Norte</t>
  </si>
  <si>
    <t>William Ryan Homes</t>
  </si>
  <si>
    <t>Morningstar</t>
  </si>
  <si>
    <t>Evermore Homes</t>
  </si>
  <si>
    <t>Sterling Grove/Pasadena</t>
  </si>
  <si>
    <t>Sterling Grove</t>
  </si>
  <si>
    <t>Gated; Golf</t>
  </si>
  <si>
    <t>Adero Canyon/Adero</t>
  </si>
  <si>
    <t>Adero Canyon</t>
  </si>
  <si>
    <t>Arcadia</t>
  </si>
  <si>
    <t>Overlook at Forest Knoll</t>
  </si>
  <si>
    <t>Providence Homes</t>
  </si>
  <si>
    <t>The Collection</t>
  </si>
  <si>
    <t>Camelot Homes</t>
  </si>
  <si>
    <t>Coconino Ridge at Pine Canyon</t>
  </si>
  <si>
    <t>The True Life Companies</t>
  </si>
  <si>
    <t>Pine Canyon (AZ)</t>
  </si>
  <si>
    <t>Skye View</t>
  </si>
  <si>
    <t>Tortolita Vistas II</t>
  </si>
  <si>
    <t>Insight Homes</t>
  </si>
  <si>
    <t>Rosewood Canyon</t>
  </si>
  <si>
    <t>Rosewood Homes</t>
  </si>
  <si>
    <t>Whitewing at Whisper Ranch</t>
  </si>
  <si>
    <t>Reserves at Storyrock</t>
  </si>
  <si>
    <t>Shea Homes</t>
  </si>
  <si>
    <t>Emerald Hills</t>
  </si>
  <si>
    <t>Cachet Homes</t>
  </si>
  <si>
    <t>Temporarily Sold Out</t>
  </si>
  <si>
    <t>Andrada Ranch 2</t>
  </si>
  <si>
    <t>Cornerstone Homes</t>
  </si>
  <si>
    <t>Reserve at Black Mountain</t>
  </si>
  <si>
    <t>Estates at Old Spanish Trail</t>
  </si>
  <si>
    <t>Dell Mar Homes</t>
  </si>
  <si>
    <t>Sahuarita Acres</t>
  </si>
  <si>
    <t>Yvon Heights</t>
  </si>
  <si>
    <t>Hills at Tucson National</t>
  </si>
  <si>
    <t>Sonoran Preserve on The Bajada</t>
  </si>
  <si>
    <t>Arroyo Vista Estates</t>
  </si>
  <si>
    <t>Bela Flor Communities</t>
  </si>
  <si>
    <t>Shadow Ridge</t>
  </si>
  <si>
    <t>Estates at Picket Post</t>
  </si>
  <si>
    <t>VIP Homes</t>
  </si>
  <si>
    <t>Surprise  Estates</t>
  </si>
  <si>
    <t>Courtland Communities</t>
  </si>
  <si>
    <t>Sunset Canyon Estates</t>
  </si>
  <si>
    <t>Homes by Copper Canyon</t>
  </si>
  <si>
    <t>Lomas Verdes Estates</t>
  </si>
  <si>
    <t>J.P. Kush and Associates, LLC</t>
  </si>
  <si>
    <t>Sonoita Hills at Mountain View Ranch</t>
  </si>
  <si>
    <t>Tortolita Vistas</t>
  </si>
  <si>
    <t>Mattamy Homes</t>
  </si>
  <si>
    <t>Heritage Pointe</t>
  </si>
  <si>
    <t>CastleRock Communities</t>
  </si>
  <si>
    <t>Sonoran Crest</t>
  </si>
  <si>
    <t>A.F. Sterling Homes</t>
  </si>
  <si>
    <t>Cottonwood Vista</t>
  </si>
  <si>
    <t>Enclave at Bear Canyon</t>
  </si>
  <si>
    <t>Ranch Gate Estates</t>
  </si>
  <si>
    <t>Brown Homes</t>
  </si>
  <si>
    <t>Sereno Canyon/Estate</t>
  </si>
  <si>
    <t>WoodShire on Butler</t>
  </si>
  <si>
    <t>Brookfield Communities</t>
  </si>
  <si>
    <t>Sierra Pointe</t>
  </si>
  <si>
    <t>Sentinel Vista</t>
  </si>
  <si>
    <t>The Builders Studio</t>
  </si>
  <si>
    <t>Ironwood Villages at North Creek</t>
  </si>
  <si>
    <t>Woodside Homes</t>
  </si>
  <si>
    <t>Villas at Cypress Ridge</t>
  </si>
  <si>
    <t>Westbridge at Silverbell</t>
  </si>
  <si>
    <t>Paloma Creek/Classic</t>
  </si>
  <si>
    <t>Meritage Homes</t>
  </si>
  <si>
    <t>Founders Ridge</t>
  </si>
  <si>
    <t>KB Home</t>
  </si>
  <si>
    <t>Southern Pacific at Cooley Station (II)</t>
  </si>
  <si>
    <t>Fulton Homes</t>
  </si>
  <si>
    <t>Cooley Station</t>
  </si>
  <si>
    <t>Corbett Village</t>
  </si>
  <si>
    <t>Pepper-Viner Homes</t>
  </si>
  <si>
    <t>Solvida at Estrella</t>
  </si>
  <si>
    <t>Landsea Homes</t>
  </si>
  <si>
    <t>Estrella</t>
  </si>
  <si>
    <t>Element at Eastmark</t>
  </si>
  <si>
    <t>New Home Co.</t>
  </si>
  <si>
    <t>Eastmark</t>
  </si>
  <si>
    <t>Greenpointe at Eastmark</t>
  </si>
  <si>
    <t>Alto</t>
  </si>
  <si>
    <t>K. Hovnanian Homes</t>
  </si>
  <si>
    <t>Aderyn at Waterston North</t>
  </si>
  <si>
    <t>Copper Basin/Express</t>
  </si>
  <si>
    <t>Copper Basin</t>
  </si>
  <si>
    <t>Roosevelt Park</t>
  </si>
  <si>
    <t>Entrada La Coraza</t>
  </si>
  <si>
    <t>Richmond American Homes</t>
  </si>
  <si>
    <t>Rancho Sahuarita</t>
  </si>
  <si>
    <t>Vistas 2 at Granville</t>
  </si>
  <si>
    <t>Universal Homes</t>
  </si>
  <si>
    <t>Granville</t>
  </si>
  <si>
    <t>Entrada Del Rio</t>
  </si>
  <si>
    <t>Hanson Ridge 2/Tradition</t>
  </si>
  <si>
    <t>Red Rock Village/Adverturer</t>
  </si>
  <si>
    <t>Lennar</t>
  </si>
  <si>
    <t>Red Rock Village</t>
  </si>
  <si>
    <t>La Estancia/Homestead 2</t>
  </si>
  <si>
    <t>La Estancia</t>
  </si>
  <si>
    <t>Las Patrias 2 at Star Valley</t>
  </si>
  <si>
    <t>Star Valley Village</t>
  </si>
  <si>
    <t>Allen Ranches/Cypress</t>
  </si>
  <si>
    <t>Pulte Homes</t>
  </si>
  <si>
    <t>Allen Ranches</t>
  </si>
  <si>
    <t>Entrada del Pueblo/Sonora</t>
  </si>
  <si>
    <t>Hurley Ranch/Classic</t>
  </si>
  <si>
    <t>La Estancia Crossroads</t>
  </si>
  <si>
    <t>Bella Tierra</t>
  </si>
  <si>
    <t>Lakes at Rancho El Dorado/Villas</t>
  </si>
  <si>
    <t>Lakes at Rancho El Dorado</t>
  </si>
  <si>
    <t>Hanson Ridge</t>
  </si>
  <si>
    <t>Legends at Gladden Farms</t>
  </si>
  <si>
    <t>Gladden Farms</t>
  </si>
  <si>
    <t>Chaparral at Rancho Marana</t>
  </si>
  <si>
    <t>Fieldstone at Gladden Farms/Signature</t>
  </si>
  <si>
    <t>Vista Del Oro/Reserve</t>
  </si>
  <si>
    <t>Houghton Reserve/Alameda</t>
  </si>
  <si>
    <t>Valencia Crossing</t>
  </si>
  <si>
    <t>Reserves at Valencia Crossing</t>
  </si>
  <si>
    <t>Hanson Ridge/Tradition</t>
  </si>
  <si>
    <t>Union Pacific at Cooley Station (II)</t>
  </si>
  <si>
    <t>Western Enclave/Crest</t>
  </si>
  <si>
    <t>Western Enclave</t>
  </si>
  <si>
    <t>Canyon del Rio/Point</t>
  </si>
  <si>
    <t>Capstone Homes (AZ)</t>
  </si>
  <si>
    <t>Diamond Court</t>
  </si>
  <si>
    <t>Newmark Homes</t>
  </si>
  <si>
    <t>Mandarin at Citrus Park</t>
  </si>
  <si>
    <t>North Copper Canyon/Villas</t>
  </si>
  <si>
    <t>Century Communities</t>
  </si>
  <si>
    <t>North Copper Canyon</t>
  </si>
  <si>
    <t>Beacon Hill at Marley Park</t>
  </si>
  <si>
    <t>Homes by Towne</t>
  </si>
  <si>
    <t>Marley Park</t>
  </si>
  <si>
    <t>Union Park at Norterra/Retreat</t>
  </si>
  <si>
    <t>Union Park at Norterra</t>
  </si>
  <si>
    <t>Alley Load SFD</t>
  </si>
  <si>
    <t>Union Park at Norterra 2</t>
  </si>
  <si>
    <t>Ashton Woods Homes</t>
  </si>
  <si>
    <t>Asante Heritage/Tradition</t>
  </si>
  <si>
    <t>Asante</t>
  </si>
  <si>
    <t>Active Adult</t>
  </si>
  <si>
    <t>Silverbell Crossings 2</t>
  </si>
  <si>
    <t>Marketside Tercera at Verrado</t>
  </si>
  <si>
    <t>Verrado</t>
  </si>
  <si>
    <t>Scottsdale Heights</t>
  </si>
  <si>
    <t>Active Adult; Gated</t>
  </si>
  <si>
    <t>Parkside/Rio Vista</t>
  </si>
  <si>
    <t>Parkside</t>
  </si>
  <si>
    <t>Superstition Vista/Crest</t>
  </si>
  <si>
    <t>Highline Estates II</t>
  </si>
  <si>
    <t>SC Homes</t>
  </si>
  <si>
    <t>Cross Creek Ranch</t>
  </si>
  <si>
    <t>Oakwood Homes</t>
  </si>
  <si>
    <t>Cross Creek Ranch (AZ)</t>
  </si>
  <si>
    <t>Amarillo Creek/Alba</t>
  </si>
  <si>
    <t>Amarillo Creek</t>
  </si>
  <si>
    <t>Starlight Homes</t>
  </si>
  <si>
    <t>Star ValleyDestiny II</t>
  </si>
  <si>
    <t>Copper Ridge at Province/Classic</t>
  </si>
  <si>
    <t>Province</t>
  </si>
  <si>
    <t>San Tan Heights</t>
  </si>
  <si>
    <t>Liberty/Traditions</t>
  </si>
  <si>
    <t>Liberty</t>
  </si>
  <si>
    <t>Ascent at The Phoenician</t>
  </si>
  <si>
    <t>Star Valley/Destiny</t>
  </si>
  <si>
    <t>Destinations at Cypress Ridge</t>
  </si>
  <si>
    <t>Rancho Del Rey</t>
  </si>
  <si>
    <t>Bisbee Ranch</t>
  </si>
  <si>
    <t>LGI Homes</t>
  </si>
  <si>
    <t>Radiance at Superstition Vistas</t>
  </si>
  <si>
    <t>Superstition Vistas</t>
  </si>
  <si>
    <t>Paloma Creek/Estate</t>
  </si>
  <si>
    <t>Trouvaille/Express/Tradition</t>
  </si>
  <si>
    <t>Sorrento Phase 2/Express</t>
  </si>
  <si>
    <t>Sorrento Arizona</t>
  </si>
  <si>
    <t>Pinnacle at San Tan Heights</t>
  </si>
  <si>
    <t>Magic Ranch</t>
  </si>
  <si>
    <t>Sunrise/Canyon</t>
  </si>
  <si>
    <t>North Copper Canyon/Sonoran</t>
  </si>
  <si>
    <t>Hurley Ranch/Estate</t>
  </si>
  <si>
    <t>Camino a Lago/Tradition</t>
  </si>
  <si>
    <t>Camino a Lago South</t>
  </si>
  <si>
    <t>Enclave on Olive</t>
  </si>
  <si>
    <t>Stonehaven/Discovery</t>
  </si>
  <si>
    <t>Stonehaven</t>
  </si>
  <si>
    <t>Seasons at Red Rock</t>
  </si>
  <si>
    <t>Villages at Accomazzo</t>
  </si>
  <si>
    <t>Ambra</t>
  </si>
  <si>
    <t>Bentridge/Canyon</t>
  </si>
  <si>
    <t>Northern Farms</t>
  </si>
  <si>
    <t>Centex Homes</t>
  </si>
  <si>
    <t>Villages at North Copper Canyon/Canyon</t>
  </si>
  <si>
    <t>Allen Ranches/Discovery</t>
  </si>
  <si>
    <t>Meridian at Star Valley</t>
  </si>
  <si>
    <t>Copper Falls/Gateway</t>
  </si>
  <si>
    <t>Bella Vista Farms/Premier</t>
  </si>
  <si>
    <t>Bella Vista Farms</t>
  </si>
  <si>
    <t>Highland Sage at Alamar</t>
  </si>
  <si>
    <t>Brookfield Residential</t>
  </si>
  <si>
    <t>Alamar</t>
  </si>
  <si>
    <t>North Copper Canyon/Vistas</t>
  </si>
  <si>
    <t>Ridgeview</t>
  </si>
  <si>
    <t>Middle Vista/Premier</t>
  </si>
  <si>
    <t>Entrada del Pueblo</t>
  </si>
  <si>
    <t>Mystic/Discovery A10</t>
  </si>
  <si>
    <t>Lake Pleasant Heights</t>
  </si>
  <si>
    <t>Middle Vista/Discovery</t>
  </si>
  <si>
    <t>Rancho Sahuarita/Entrada del Pueblo</t>
  </si>
  <si>
    <t>Valencia at Citrus Park</t>
  </si>
  <si>
    <t>Desert Moon Estates</t>
  </si>
  <si>
    <t>Verde Trails/Premier</t>
  </si>
  <si>
    <t>Verde Trails</t>
  </si>
  <si>
    <t>Alamar/Premier</t>
  </si>
  <si>
    <t>Tierra La Bella</t>
  </si>
  <si>
    <t>Foothills at Northpointe/Meadow</t>
  </si>
  <si>
    <t>Vistancia</t>
  </si>
  <si>
    <t>Cantabria at Rincon Knolls/Amber</t>
  </si>
  <si>
    <t>Rincon Knolls</t>
  </si>
  <si>
    <t>Anthem Parkside 2 at Merrill Ranch</t>
  </si>
  <si>
    <t>Anthem at Merrill Ranch</t>
  </si>
  <si>
    <t>Alamar/Discovery</t>
  </si>
  <si>
    <t>Windrose/IronWing</t>
  </si>
  <si>
    <t>Brightland Homes</t>
  </si>
  <si>
    <t>Windrose</t>
  </si>
  <si>
    <t>La Estancia/Arcadia 2</t>
  </si>
  <si>
    <t>Sevilla at Ironwing</t>
  </si>
  <si>
    <t>Beazer Homes</t>
  </si>
  <si>
    <t>Anderson Farms/Arbor</t>
  </si>
  <si>
    <t>Anderson Farms</t>
  </si>
  <si>
    <t>Marbella Ranch/Traditions II</t>
  </si>
  <si>
    <t>Marbella Ranch</t>
  </si>
  <si>
    <t>Alamar/Acclaim II</t>
  </si>
  <si>
    <t>Stone Butte West/Tradition</t>
  </si>
  <si>
    <t>Tierra Montana/Discovery</t>
  </si>
  <si>
    <t>Tierra Montana</t>
  </si>
  <si>
    <t>Sunset Farms</t>
  </si>
  <si>
    <t>Santa Rosa Crossing/Gateway</t>
  </si>
  <si>
    <t>Warner Meadow/Discovery</t>
  </si>
  <si>
    <t>Warner Meadow</t>
  </si>
  <si>
    <t>Seasons at Riverside</t>
  </si>
  <si>
    <t>Bella Vista Farms/Estate</t>
  </si>
  <si>
    <t>Alamar/Acclaim</t>
  </si>
  <si>
    <t>McClellan Ranch/Estate</t>
  </si>
  <si>
    <t>McClellan Ranch</t>
  </si>
  <si>
    <t>Camino Crossing</t>
  </si>
  <si>
    <t>Seasons at Dobbins</t>
  </si>
  <si>
    <t>Stonehaven/Meadows/45</t>
  </si>
  <si>
    <t>Canyon Views/Estate</t>
  </si>
  <si>
    <t>Canyon Views</t>
  </si>
  <si>
    <t>Crestfield Manor/45</t>
  </si>
  <si>
    <t>Crestfield Manor at Arizona Farms</t>
  </si>
  <si>
    <t>Mystic/Discovery</t>
  </si>
  <si>
    <t>Bella Vista Farms/Discovery</t>
  </si>
  <si>
    <t>Saguaro Trails</t>
  </si>
  <si>
    <t>Magma Ranch Vistas</t>
  </si>
  <si>
    <t>Magma Ranch</t>
  </si>
  <si>
    <t>Wales Ranch</t>
  </si>
  <si>
    <t>Hawes Crossing/Discovery</t>
  </si>
  <si>
    <t>Hawes Crossing</t>
  </si>
  <si>
    <t>Wales Ranch/Premier</t>
  </si>
  <si>
    <t>Magma Ranch Vistas/Premier</t>
  </si>
  <si>
    <t>Mesquite at North Creek</t>
  </si>
  <si>
    <t>Sunstone at Gladden Farms/Destiny</t>
  </si>
  <si>
    <t>Ryder Ranch</t>
  </si>
  <si>
    <t>Seasons at Old Vail</t>
  </si>
  <si>
    <t>Highpointe at Northpointe</t>
  </si>
  <si>
    <t>Ventana de Estrellas/Traditions</t>
  </si>
  <si>
    <t>Wales Ranch/Arbor</t>
  </si>
  <si>
    <t>Harvest/Meadows</t>
  </si>
  <si>
    <t>Harvest at Queen Creek</t>
  </si>
  <si>
    <t>Wales Ranch/Discovery</t>
  </si>
  <si>
    <t>La Estancia/Ph II</t>
  </si>
  <si>
    <t>Trails/Classic</t>
  </si>
  <si>
    <t>Tortosa</t>
  </si>
  <si>
    <t>Fieldstone at Gladden Farms/Premier</t>
  </si>
  <si>
    <t>Verrado/Discovery</t>
  </si>
  <si>
    <t>Liberty/Premier</t>
  </si>
  <si>
    <t>Copperleaf/Discovery</t>
  </si>
  <si>
    <t>Sonoran Foothills</t>
  </si>
  <si>
    <t>Sycamore Farms</t>
  </si>
  <si>
    <t>Verde Trails/Gateway (Par 11)</t>
  </si>
  <si>
    <t>Paradisi Discovery</t>
  </si>
  <si>
    <t>Seasons at Verrado II</t>
  </si>
  <si>
    <t>Liberty/Discovery</t>
  </si>
  <si>
    <t>Sweetwater Farms/Castillo</t>
  </si>
  <si>
    <t>McClellan Ranch/Meadow</t>
  </si>
  <si>
    <t>Vistas at Rancho Del Lago/Heritage</t>
  </si>
  <si>
    <t>Rancho Del Lago</t>
  </si>
  <si>
    <t>Western Enclave/Arbor II</t>
  </si>
  <si>
    <t>Tortosa/Tesoro</t>
  </si>
  <si>
    <t>Western Enclave/Discovery II</t>
  </si>
  <si>
    <t>Icon at Thunderbird</t>
  </si>
  <si>
    <t>Talinn at Desert Ridge</t>
  </si>
  <si>
    <t>Desert Ridge</t>
  </si>
  <si>
    <t>Harvest/Premier</t>
  </si>
  <si>
    <t>Harvest/Discovery</t>
  </si>
  <si>
    <t>Sereno</t>
  </si>
  <si>
    <t>Parkside at Gladden Farms</t>
  </si>
  <si>
    <t>Rocking K Ranch/Silver Ridge</t>
  </si>
  <si>
    <t>Rocking K Ranch</t>
  </si>
  <si>
    <t>Blandford Homes</t>
  </si>
  <si>
    <t>Colina de Anza/Traditions</t>
  </si>
  <si>
    <t>Superstition Vista/Ridge</t>
  </si>
  <si>
    <t>Madison Square</t>
  </si>
  <si>
    <t>Escalante/Redwood Valley</t>
  </si>
  <si>
    <t>Escalante</t>
  </si>
  <si>
    <t>Rio Vista at Rancho Mercado</t>
  </si>
  <si>
    <t>Rancho Mercado</t>
  </si>
  <si>
    <t>Seasons at Star Valley</t>
  </si>
  <si>
    <t>Acacia Foothills II at Estrella</t>
  </si>
  <si>
    <t>Lucero Discovery</t>
  </si>
  <si>
    <t>Lucero at Estrella</t>
  </si>
  <si>
    <t>Acacia Foothills at Estrella</t>
  </si>
  <si>
    <t>Victory at Verrado/Fairways</t>
  </si>
  <si>
    <t>Rio Rancho Estates/Express</t>
  </si>
  <si>
    <t>Preserve at San Tan/Papago</t>
  </si>
  <si>
    <t>Calistoga at Promenade</t>
  </si>
  <si>
    <t>Promenade</t>
  </si>
  <si>
    <t>Mason Ranch II/Tradition/Express</t>
  </si>
  <si>
    <t>Asante/Discovery 2.1 &amp; 2.13</t>
  </si>
  <si>
    <t>Meadows at Barney Farms</t>
  </si>
  <si>
    <t>Barney Farms</t>
  </si>
  <si>
    <t>Village at Sundance/Gateway</t>
  </si>
  <si>
    <t>Village at Sundance/Grove</t>
  </si>
  <si>
    <t>Terravista</t>
  </si>
  <si>
    <t>Village at Sundance/Valley</t>
  </si>
  <si>
    <t>Century Complete</t>
  </si>
  <si>
    <t>Asante/Discovery</t>
  </si>
  <si>
    <t>Cadence/Mosaic</t>
  </si>
  <si>
    <t>Cadence at Gateway</t>
  </si>
  <si>
    <t>Sun City Anthem at Merrill Ranch</t>
  </si>
  <si>
    <t>Del Webb</t>
  </si>
  <si>
    <t>Palomino at Wales Ranch</t>
  </si>
  <si>
    <t>Miramonte at Mesquite Hills</t>
  </si>
  <si>
    <t>Miramonte Homes</t>
  </si>
  <si>
    <t>Acclaim at Jorde Farms</t>
  </si>
  <si>
    <t>Sterling Vista</t>
  </si>
  <si>
    <t>Juniper Point</t>
  </si>
  <si>
    <t>Vidrio at Estrella</t>
  </si>
  <si>
    <t>Dobbins Manor Traditions</t>
  </si>
  <si>
    <t>Encanterra</t>
  </si>
  <si>
    <t>Active Adult; Condominiums; Duplex/Duet; Paired Homes</t>
  </si>
  <si>
    <t>Sterling Grove/Arlington</t>
  </si>
  <si>
    <t>Parkside/Los Cielos</t>
  </si>
  <si>
    <t>Reserve at Red Rock/Vintage</t>
  </si>
  <si>
    <t>Jasper Phase 7</t>
  </si>
  <si>
    <t>Jasper</t>
  </si>
  <si>
    <t>Seasons at Cottonwood Ranch</t>
  </si>
  <si>
    <t>Cottonwood Ranch</t>
  </si>
  <si>
    <t>Seasons at Cross Creek Ranch</t>
  </si>
  <si>
    <t>Parkside at Anthem at Merrill Ranch/Cactus</t>
  </si>
  <si>
    <t>Sterling Grove/Alexandria</t>
  </si>
  <si>
    <t>Active Adult; Gated; Golf</t>
  </si>
  <si>
    <t>Estrella Crossing/Starlight</t>
  </si>
  <si>
    <t>Empire Pointe/Amber</t>
  </si>
  <si>
    <t>Paloma Creek/Reserve</t>
  </si>
  <si>
    <t>North Copper Canyon/Skyview</t>
  </si>
  <si>
    <t>Solterra</t>
  </si>
  <si>
    <t>Las Campanas (AZ)</t>
  </si>
  <si>
    <t>West Santa Rosa Springs</t>
  </si>
  <si>
    <t>Sunrise/Valley</t>
  </si>
  <si>
    <t>Villages at North Copper Canyon/Valley</t>
  </si>
  <si>
    <t>El Cidro</t>
  </si>
  <si>
    <t>El Cidro Ranch</t>
  </si>
  <si>
    <t>Seasons at Entrada Del Oro</t>
  </si>
  <si>
    <t>Anderson Farms/Premier</t>
  </si>
  <si>
    <t>Foothills at Northpointe/Cactus</t>
  </si>
  <si>
    <t>Castillo at Anderson Parc</t>
  </si>
  <si>
    <t>Saguaro Bloom/Mesquite/Express</t>
  </si>
  <si>
    <t>Beacon in Estrella</t>
  </si>
  <si>
    <t>Verde Trails/Horizon</t>
  </si>
  <si>
    <t>McClellan Ranch/Reserve</t>
  </si>
  <si>
    <t>Villages at Granville</t>
  </si>
  <si>
    <t>Destination at Gateway/Voyage</t>
  </si>
  <si>
    <t>Vistancia Cassia</t>
  </si>
  <si>
    <t>Destination at Gateway/Venture</t>
  </si>
  <si>
    <t>Anderson Farms/Horizon</t>
  </si>
  <si>
    <t>Camino Verde</t>
  </si>
  <si>
    <t>Estrella Crossing</t>
  </si>
  <si>
    <t>Hatfield Ranch</t>
  </si>
  <si>
    <t>Calistoga at Estrella Commons</t>
  </si>
  <si>
    <t>Estrella Commons</t>
  </si>
  <si>
    <t>Entrada Del Oro II</t>
  </si>
  <si>
    <t>Seasons at Pradera II</t>
  </si>
  <si>
    <t>Seasons at Hudson Commons</t>
  </si>
  <si>
    <t>McCartney Center/Traditions</t>
  </si>
  <si>
    <t>Shea Signature at The Phoenician</t>
  </si>
  <si>
    <t>Heartland Ranch/Unit 2/3/Express</t>
  </si>
  <si>
    <t>Heartland Ranch</t>
  </si>
  <si>
    <t>Combs Ranch/Discovery</t>
  </si>
  <si>
    <t>Combs Ranch</t>
  </si>
  <si>
    <t>Arroyo Grande</t>
  </si>
  <si>
    <t>Scott Communities</t>
  </si>
  <si>
    <t>San Tan Groves/Classic</t>
  </si>
  <si>
    <t>Ventana de Estrellas/Enclaves</t>
  </si>
  <si>
    <t>Barnett Village</t>
  </si>
  <si>
    <t>Enclaves at Sonrisa</t>
  </si>
  <si>
    <t>Hawes Crossing/Encore</t>
  </si>
  <si>
    <t>Saguaro Bloom/DR Horton</t>
  </si>
  <si>
    <t>Ridge at Sienna Hills/Aqua</t>
  </si>
  <si>
    <t>Sienna Hills</t>
  </si>
  <si>
    <t>Gila Buttes/Express</t>
  </si>
  <si>
    <t>Stonehaven/Encore</t>
  </si>
  <si>
    <t>Views at Rancho Cabrillo</t>
  </si>
  <si>
    <t>Rancho Cabrillo</t>
  </si>
  <si>
    <t>Wales Ranch/Horizon</t>
  </si>
  <si>
    <t>Vistoso Canyon Estates/Cactus</t>
  </si>
  <si>
    <t>Aloravita/Skyline 2</t>
  </si>
  <si>
    <t>Aloravita</t>
  </si>
  <si>
    <t>Madera/Concord</t>
  </si>
  <si>
    <t>Madera</t>
  </si>
  <si>
    <t>Highlands at Verrado</t>
  </si>
  <si>
    <t>Capital West Homes</t>
  </si>
  <si>
    <t>Seasons at Lakes at Rancho El Dorado III</t>
  </si>
  <si>
    <t>Houghton Reserve/Esplanade</t>
  </si>
  <si>
    <t>Copper Falls/Sunrise</t>
  </si>
  <si>
    <t>Ascent at Jorde Farms</t>
  </si>
  <si>
    <t>La Estancia II</t>
  </si>
  <si>
    <t>Granite Vista/Avanti</t>
  </si>
  <si>
    <t>Elliott Homes</t>
  </si>
  <si>
    <t>Granite Vista</t>
  </si>
  <si>
    <t>Glenmere at Gladden Farms</t>
  </si>
  <si>
    <t>Paradisi Encore</t>
  </si>
  <si>
    <t>Highland Ridge at Alamar</t>
  </si>
  <si>
    <t>Enclaves at Desert Oasis</t>
  </si>
  <si>
    <t>Desert Oasis</t>
  </si>
  <si>
    <t>Trails at Tortosa/Grove</t>
  </si>
  <si>
    <t>Bella Vista Farms/Horizon II</t>
  </si>
  <si>
    <t>Landmark at Verrado</t>
  </si>
  <si>
    <t>Eminence at Alamar</t>
  </si>
  <si>
    <t>Sweetwater Farms/Villagio</t>
  </si>
  <si>
    <t>Madera/Grove</t>
  </si>
  <si>
    <t>Ascent at Northpointe</t>
  </si>
  <si>
    <t>Verde Trails/Sunrise (Par 8)</t>
  </si>
  <si>
    <t>Vista Del Oro/Horizon</t>
  </si>
  <si>
    <t>Seasons at White Tank Foothills</t>
  </si>
  <si>
    <t>White Tank Foothills</t>
  </si>
  <si>
    <t>Villagio at Alamar</t>
  </si>
  <si>
    <t>Seasons at Desert Oasis</t>
  </si>
  <si>
    <t>Bella Vista Farms/Horizon</t>
  </si>
  <si>
    <t>Aria Ranch</t>
  </si>
  <si>
    <t>Alamar/Encore</t>
  </si>
  <si>
    <t>Sunset Farms/Horizon II</t>
  </si>
  <si>
    <t>Sunset Farms/Discovery II</t>
  </si>
  <si>
    <t>Verde Trails/Estate</t>
  </si>
  <si>
    <t>Retreats at Twin Peaks</t>
  </si>
  <si>
    <t>Western Enclave/Horizon</t>
  </si>
  <si>
    <t>Kestrel at Waterston North</t>
  </si>
  <si>
    <t>Saguaro Reserve at Dove Mountain/Cactus</t>
  </si>
  <si>
    <t>La Mira/Discovery</t>
  </si>
  <si>
    <t>Sendero Crossing</t>
  </si>
  <si>
    <t>McClellan Ranch/Cactus</t>
  </si>
  <si>
    <t>Vail Parke at Rocking K/Cactus</t>
  </si>
  <si>
    <t>Copperleaf at Sonoran Foothills</t>
  </si>
  <si>
    <t>Verrado Highlands/Legacy</t>
  </si>
  <si>
    <t>Eastmark/Enchantment</t>
  </si>
  <si>
    <t>Wavelength II at Eastmark</t>
  </si>
  <si>
    <t>Eastmark/Aurora II</t>
  </si>
  <si>
    <t>Paradigm</t>
  </si>
  <si>
    <t>Vistas at Desert Oasis</t>
  </si>
  <si>
    <t>Avila at Rancho Mercado</t>
  </si>
  <si>
    <t>Hawes Crossing/Venture</t>
  </si>
  <si>
    <t>Arabella/SF</t>
  </si>
  <si>
    <t>Arabella</t>
  </si>
  <si>
    <t>Eastmark/Inspirian IV</t>
  </si>
  <si>
    <t>Hillcrest at Forest Trails</t>
  </si>
  <si>
    <t>Northstar Builders, LLC</t>
  </si>
  <si>
    <t>Asante Heritage/Inspiration</t>
  </si>
  <si>
    <t>Adora at Timber Sky</t>
  </si>
  <si>
    <t>Timber Sky</t>
  </si>
  <si>
    <t>Mandalay Homes</t>
  </si>
  <si>
    <t>Sterling Grove/Providence</t>
  </si>
  <si>
    <t>Centerra</t>
  </si>
  <si>
    <t>Karma</t>
  </si>
  <si>
    <t>Boyer Vertical</t>
  </si>
  <si>
    <t>Seaboard at Cooley Station (II)</t>
  </si>
  <si>
    <t>Riverwalk</t>
  </si>
  <si>
    <t>Sun City Festival</t>
  </si>
  <si>
    <t>Sun City Festival at Festival Ranch</t>
  </si>
  <si>
    <t>Legacy at DC Ranch</t>
  </si>
  <si>
    <t>DC Ranch</t>
  </si>
  <si>
    <t>Saguaros Viejos</t>
  </si>
  <si>
    <t>Harvest/Cactus</t>
  </si>
  <si>
    <t>Los Cielos at Rancho Mercado</t>
  </si>
  <si>
    <t>Estrella Vista/53 &amp; 58/Express</t>
  </si>
  <si>
    <t>Seasons at Vista Del Verde II</t>
  </si>
  <si>
    <t>Altitude at Northpointe/Cactus</t>
  </si>
  <si>
    <t>Orchard at Barney Farms</t>
  </si>
  <si>
    <t>Escalante/Silverado</t>
  </si>
  <si>
    <t>Aloravita/Ascent III</t>
  </si>
  <si>
    <t>Village at Sundance/Palms</t>
  </si>
  <si>
    <t>Seasons at Arroyo Seco</t>
  </si>
  <si>
    <t>Arroyo Seco</t>
  </si>
  <si>
    <t>Village at Sundance/Sunrise</t>
  </si>
  <si>
    <t>Arroyo Seco/Horizon</t>
  </si>
  <si>
    <t>Seasons at Vista Del Verde III</t>
  </si>
  <si>
    <t>Liberty/Reserves</t>
  </si>
  <si>
    <t>Hillstone Homes</t>
  </si>
  <si>
    <t>Meadowlark at Waterston North</t>
  </si>
  <si>
    <t>Lamb Lane</t>
  </si>
  <si>
    <t>New Village Homes</t>
  </si>
  <si>
    <t>Harvest at Meridian</t>
  </si>
  <si>
    <t>Meridian</t>
  </si>
  <si>
    <t>Carlton Commons/Express</t>
  </si>
  <si>
    <t>Amarillo Creek/Claro</t>
  </si>
  <si>
    <t>Tierra Montana/Encore</t>
  </si>
  <si>
    <t>Seasons at Casa Vista</t>
  </si>
  <si>
    <t>Meadows at Antelope Park</t>
  </si>
  <si>
    <t>Sunrise/Peak</t>
  </si>
  <si>
    <t>Canyon Views/Reserve</t>
  </si>
  <si>
    <t>Santa Rosa Crossing/Sunrise</t>
  </si>
  <si>
    <t>Jasper/500 Series</t>
  </si>
  <si>
    <t>Los Nidos at Pronghorn Ranch</t>
  </si>
  <si>
    <t>Pronghorn Homes</t>
  </si>
  <si>
    <t>Pronghorn Ranch</t>
  </si>
  <si>
    <t>Empire Pointe/Sterling</t>
  </si>
  <si>
    <t>Hawes Crossing/Landmark</t>
  </si>
  <si>
    <t>Parkside/Almeria</t>
  </si>
  <si>
    <t>Allen Ranches/Estate</t>
  </si>
  <si>
    <t>Seasons at Entrada Del Oro II</t>
  </si>
  <si>
    <t>San Tan Groves/Estate</t>
  </si>
  <si>
    <t>Tapestry at Destination</t>
  </si>
  <si>
    <t>Villages at Rancho El Dorado</t>
  </si>
  <si>
    <t>Bentridge/Peak</t>
  </si>
  <si>
    <t>Foothills at Northpointe/Estate</t>
  </si>
  <si>
    <t>Black Rock at Verrado</t>
  </si>
  <si>
    <t>Seasons at Desert Oasis II</t>
  </si>
  <si>
    <t>Reserves at Desert Oasis</t>
  </si>
  <si>
    <t>Cantabria at Rincon Knolls/Sterling</t>
  </si>
  <si>
    <t>Estates at Wickenburg Ranch</t>
  </si>
  <si>
    <t>Wickenburg Ranch</t>
  </si>
  <si>
    <t>Liberty/Horizon</t>
  </si>
  <si>
    <t>Trails/Estate</t>
  </si>
  <si>
    <t>Bella Vista Farms/Signature</t>
  </si>
  <si>
    <t>Seasons at Lakes at Rancho El Dorado II</t>
  </si>
  <si>
    <t>Copperleaf/Signature</t>
  </si>
  <si>
    <t>Hacienda II at Harvest</t>
  </si>
  <si>
    <t>Ellsworth Ranch/Landmark</t>
  </si>
  <si>
    <t>Sky Village at Rocking K</t>
  </si>
  <si>
    <t>Harvest at Citrus Park</t>
  </si>
  <si>
    <t>Middle Vista/Horizon</t>
  </si>
  <si>
    <t>North Ridge</t>
  </si>
  <si>
    <t>Landings/Horizon</t>
  </si>
  <si>
    <t>Azure Canyon</t>
  </si>
  <si>
    <t>Seasons at Cottonwood Ranch II</t>
  </si>
  <si>
    <t>Starling at Waterston North</t>
  </si>
  <si>
    <t>Colina de Anza/Agave</t>
  </si>
  <si>
    <t>Rev at Eastmark</t>
  </si>
  <si>
    <t>Willis Commons</t>
  </si>
  <si>
    <t>Costa Verde Homes</t>
  </si>
  <si>
    <t>Montecito at Old Stone Ranch</t>
  </si>
  <si>
    <t>Traditions at Mountain Gate</t>
  </si>
  <si>
    <t>Mountain Gate</t>
  </si>
  <si>
    <t>Ovation at Meridian/Adventure</t>
  </si>
  <si>
    <t>Hastings Farms/Creekside</t>
  </si>
  <si>
    <t>Cresleigh Homes</t>
  </si>
  <si>
    <t>Hastings Farms</t>
  </si>
  <si>
    <t>Four Seasons at Victory at Verrado II</t>
  </si>
  <si>
    <t>The Highline</t>
  </si>
  <si>
    <t>Porchlight Homes</t>
  </si>
  <si>
    <t>Almeria at Rancho Mercado</t>
  </si>
  <si>
    <t>Asante Heritage/Encore</t>
  </si>
  <si>
    <t>Alora at IronWing</t>
  </si>
  <si>
    <t>Seasons at Cross Creek Ranch IV</t>
  </si>
  <si>
    <t>Seasons at Anderson Parc</t>
  </si>
  <si>
    <t>Villages at North Copper Canyon/Peak</t>
  </si>
  <si>
    <t>Magnolia Groves/58</t>
  </si>
  <si>
    <t>Circle Cross Ranch</t>
  </si>
  <si>
    <t>North Shore at Promenade</t>
  </si>
  <si>
    <t>Tirreno at IronWing</t>
  </si>
  <si>
    <t>Westwood</t>
  </si>
  <si>
    <t>Deep Well Ranch</t>
  </si>
  <si>
    <t>Verde Trails/Signature</t>
  </si>
  <si>
    <t>Village at Sundance/Vistas</t>
  </si>
  <si>
    <t>Aloravita/Estate 2</t>
  </si>
  <si>
    <t>Village at Sundance</t>
  </si>
  <si>
    <t>Homestead at Marley Park</t>
  </si>
  <si>
    <t>Groves at Barney Farms</t>
  </si>
  <si>
    <t>Escalante/North Shore</t>
  </si>
  <si>
    <t>Paradisi Almeria</t>
  </si>
  <si>
    <t>Cadence/Montage</t>
  </si>
  <si>
    <t>Marlowe</t>
  </si>
  <si>
    <t>Mountain View Estates</t>
  </si>
  <si>
    <t>Alamar/Encore 2</t>
  </si>
  <si>
    <t>Campana Trails</t>
  </si>
  <si>
    <t>Lantana Homes</t>
  </si>
  <si>
    <t>Seasons at Villago</t>
  </si>
  <si>
    <t>Villago</t>
  </si>
  <si>
    <t>Warner Meadow/Signature</t>
  </si>
  <si>
    <t>Robson Ranch</t>
  </si>
  <si>
    <t>Robson Resort Communities</t>
  </si>
  <si>
    <t>Sterling Grove/Concord</t>
  </si>
  <si>
    <t>Tortosa/Express</t>
  </si>
  <si>
    <t>Province/Preserve</t>
  </si>
  <si>
    <t>Copper Ridge at Province/Estate</t>
  </si>
  <si>
    <t>Preserve at Twin Peaks</t>
  </si>
  <si>
    <t>Parkside at Anthem at Merrill Ranch/Canyon</t>
  </si>
  <si>
    <t>Sterling Grove/Charlotte</t>
  </si>
  <si>
    <t>CantaMia at Estrella</t>
  </si>
  <si>
    <t>Active Adult; Gated; Golf; Duplex/Duet</t>
  </si>
  <si>
    <t>Combs Ranch/Landmark</t>
  </si>
  <si>
    <t>Arroyo Vista II</t>
  </si>
  <si>
    <t>Preserve at San Tan/Peralta</t>
  </si>
  <si>
    <t>Laveen Vistas II</t>
  </si>
  <si>
    <t>Laveen Vistas</t>
  </si>
  <si>
    <t>Santa Rita Ranch/Inspiration</t>
  </si>
  <si>
    <t>Santa Rita Ranch (AZ)</t>
  </si>
  <si>
    <t>Stonehaven/Expedition</t>
  </si>
  <si>
    <t>Madera/Marquis</t>
  </si>
  <si>
    <t>Ghost Hollow Estates 2</t>
  </si>
  <si>
    <t>Ridge at Sienna Hills/Arbor</t>
  </si>
  <si>
    <t>Cordillera</t>
  </si>
  <si>
    <t>Destination at Gateway/Expedition</t>
  </si>
  <si>
    <t>Trails at Tortosa/Palms</t>
  </si>
  <si>
    <t>Bridle Park at Alamar</t>
  </si>
  <si>
    <t>Canyon Views/Hacienda</t>
  </si>
  <si>
    <t>Mirada Crossing</t>
  </si>
  <si>
    <t>Preserve at Desert Oasis II</t>
  </si>
  <si>
    <t>Sunstone at Gladden Farms/Inspiration</t>
  </si>
  <si>
    <t>Dobbins Village/Signature</t>
  </si>
  <si>
    <t>Houghton Reserve/Promenade</t>
  </si>
  <si>
    <t>Adero Canyon/Atalon</t>
  </si>
  <si>
    <t>Madera/Orchard</t>
  </si>
  <si>
    <t>Seasons at Pradera</t>
  </si>
  <si>
    <t>Hudson Commons</t>
  </si>
  <si>
    <t>Copperleaf/Destiny</t>
  </si>
  <si>
    <t>Granite Vista/Forte</t>
  </si>
  <si>
    <t>Altitude at Northpointe/Canyon</t>
  </si>
  <si>
    <t>San Tan Groves/Reserve</t>
  </si>
  <si>
    <t>Treeland</t>
  </si>
  <si>
    <t>Vistoso Canyon Estates/Canyon</t>
  </si>
  <si>
    <t>Vail Parke at Rocking K/Canyon</t>
  </si>
  <si>
    <t>Madera Estates</t>
  </si>
  <si>
    <t>Madera Highlands</t>
  </si>
  <si>
    <t>La Mira/Expedition</t>
  </si>
  <si>
    <t>Estates at Capella</t>
  </si>
  <si>
    <t>Saguaro Reserve at Dove Mountain/Canyon</t>
  </si>
  <si>
    <t>Madera West Estates</t>
  </si>
  <si>
    <t>Horizon at The Dells</t>
  </si>
  <si>
    <t>The Dells</t>
  </si>
  <si>
    <t>Sereno Canyon/Villa</t>
  </si>
  <si>
    <t>Reserve at Red Rock/Craftsman</t>
  </si>
  <si>
    <t>Dobbins Manor Classics</t>
  </si>
  <si>
    <t>Monteluna/Craftsman</t>
  </si>
  <si>
    <t>Tanager at Waterston North</t>
  </si>
  <si>
    <t>Palo Verde at North Creek</t>
  </si>
  <si>
    <t>Tower Park At Eastmark</t>
  </si>
  <si>
    <t>Eastmark/Tranquility</t>
  </si>
  <si>
    <t>Club Village at Superstition Mountain</t>
  </si>
  <si>
    <t>Bellago Homes</t>
  </si>
  <si>
    <t>Superstition Mountain</t>
  </si>
  <si>
    <t>Gated; Cluster Detached; Motorcourts</t>
  </si>
  <si>
    <t>Legends at Thunderbird</t>
  </si>
  <si>
    <t>Warner Meadow/Inspiration</t>
  </si>
  <si>
    <t>Motorcourts</t>
  </si>
  <si>
    <t>Ravenna at Rancho Mercado</t>
  </si>
  <si>
    <t>Seasons at Cross Creek Ranch II</t>
  </si>
  <si>
    <t>Seasons at Cross Creek Ranch V</t>
  </si>
  <si>
    <t>Aloravita/Emblem III</t>
  </si>
  <si>
    <t>Asante/Preserve</t>
  </si>
  <si>
    <t>Seasons at Rio Rancho</t>
  </si>
  <si>
    <t>Paradisi Venture II</t>
  </si>
  <si>
    <t>Fire Sky at Alamar</t>
  </si>
  <si>
    <t>Bellos at the Summit</t>
  </si>
  <si>
    <t>KLMR Homes</t>
  </si>
  <si>
    <t>Arroyo Vista</t>
  </si>
  <si>
    <t>Quail Creek</t>
  </si>
  <si>
    <t>Trilogy at Verde River</t>
  </si>
  <si>
    <t>Active Adult; Golf</t>
  </si>
  <si>
    <t>Amarillo Creek/Sol</t>
  </si>
  <si>
    <t>Union Park at Norterra/Encore</t>
  </si>
  <si>
    <t>Jasper Phase 2</t>
  </si>
  <si>
    <t>Empire Pointe/Emerald</t>
  </si>
  <si>
    <t>Light Sky Ranch</t>
  </si>
  <si>
    <t>Wales Ranch/Destiny</t>
  </si>
  <si>
    <t>Tortolita Trails</t>
  </si>
  <si>
    <t>Allen Ranches/Expedition</t>
  </si>
  <si>
    <t>Legado/Landmark 2</t>
  </si>
  <si>
    <t>Cantabria at Rincon Knolls/Emerald</t>
  </si>
  <si>
    <t>Eastmark/Elegance</t>
  </si>
  <si>
    <t>Enclave at Mission Royale/Classic (Parcel 6)</t>
  </si>
  <si>
    <t>Mission Royale</t>
  </si>
  <si>
    <t>Enclave at Mission Royale/Estate (Parcel 6)</t>
  </si>
  <si>
    <t>Bella Vista Farms/Reserve</t>
  </si>
  <si>
    <t>Village at Seven Desert Mountain</t>
  </si>
  <si>
    <t>Seven Desert Mountain</t>
  </si>
  <si>
    <t>Golf</t>
  </si>
  <si>
    <t>Crestfield Manor/65</t>
  </si>
  <si>
    <t>Harvest/Enchantment</t>
  </si>
  <si>
    <t>Trilogy at Wickenburg Ranch</t>
  </si>
  <si>
    <t>Rocking K Ranch/Wildflower Estates</t>
  </si>
  <si>
    <t>Falcon Ridge</t>
  </si>
  <si>
    <t>Talinn/Emblem</t>
  </si>
  <si>
    <t>West Park Estates</t>
  </si>
  <si>
    <t>Talking Rock/Pioneer</t>
  </si>
  <si>
    <t>TDLC Development</t>
  </si>
  <si>
    <t>Talking Rock Ranch</t>
  </si>
  <si>
    <t>Peralta Canyon/Palazzo</t>
  </si>
  <si>
    <t>Peralta Canyon</t>
  </si>
  <si>
    <t>Aura</t>
  </si>
  <si>
    <t>Monteluna/Artisan</t>
  </si>
  <si>
    <t>Tivoli at Spectrum</t>
  </si>
  <si>
    <t>Desert Viking Builders</t>
  </si>
  <si>
    <t>Ovation at Meridian/Inspiration</t>
  </si>
  <si>
    <t>Arbor at Madera Highlands</t>
  </si>
  <si>
    <t>Preserve at Vista Del Verde</t>
  </si>
  <si>
    <t>Escalante/Sonoma Coast</t>
  </si>
  <si>
    <t>Arroyo Seco/Destiny 2</t>
  </si>
  <si>
    <t>Victory at Verrado/Venture II</t>
  </si>
  <si>
    <t>Arroyo Seco/Freedom</t>
  </si>
  <si>
    <t>Sonoma Coast at Promenade</t>
  </si>
  <si>
    <t>Retreat at Mountain View Ranch</t>
  </si>
  <si>
    <t>Sterling Grove/Sonoma</t>
  </si>
  <si>
    <t>Kindra Heights</t>
  </si>
  <si>
    <t>Noble Heritage Builders, Inc.</t>
  </si>
  <si>
    <t>Sterling Grove/Napa</t>
  </si>
  <si>
    <t>Bella Pasa</t>
  </si>
  <si>
    <t>McCartney Ranch/Crossing</t>
  </si>
  <si>
    <t>McCartney Ranch</t>
  </si>
  <si>
    <t>SaddleBrooke Ranch</t>
  </si>
  <si>
    <t>PebbleCreek</t>
  </si>
  <si>
    <t>Asante/Estates</t>
  </si>
  <si>
    <t>Emblem at Oro Ridge</t>
  </si>
  <si>
    <t>Dobbins Village/Destiny</t>
  </si>
  <si>
    <t>Stonehaven/Voyage</t>
  </si>
  <si>
    <t>Sentinel at Oro Ridge</t>
  </si>
  <si>
    <t>Asante/Destiny 2.1 &amp; 2.13</t>
  </si>
  <si>
    <t>Santanilla</t>
  </si>
  <si>
    <t>Granite Vista/Valencia</t>
  </si>
  <si>
    <t>Sienna Hills/Passage</t>
  </si>
  <si>
    <t>Heard Farm</t>
  </si>
  <si>
    <t>MAK Construction</t>
  </si>
  <si>
    <t>Preserve at San Tan/Sonoran</t>
  </si>
  <si>
    <t>Ridge at Whispering Hills</t>
  </si>
  <si>
    <t>Bella Vista Farms/Destiny</t>
  </si>
  <si>
    <t>Vistoso Canyon Estates/Majesty</t>
  </si>
  <si>
    <t>Ironwood Estates</t>
  </si>
  <si>
    <t>Summit at Northpointe</t>
  </si>
  <si>
    <t>Asante Heritage/Freedom</t>
  </si>
  <si>
    <t>Peak View</t>
  </si>
  <si>
    <t>Fields at Barney Farms</t>
  </si>
  <si>
    <t>Ellsworth Ranch/Voyage</t>
  </si>
  <si>
    <t>Retreat at Rancho Cabrillo</t>
  </si>
  <si>
    <t>Canyon Views/Sunrise</t>
  </si>
  <si>
    <t>Madera West Estates Destiny</t>
  </si>
  <si>
    <t>Overlook at The Dells</t>
  </si>
  <si>
    <t>Legado/Voyage 2</t>
  </si>
  <si>
    <t>Santa Rita Ranch III</t>
  </si>
  <si>
    <t>Alamar/Sierra</t>
  </si>
  <si>
    <t>Reserve at Red Rock/Artisan</t>
  </si>
  <si>
    <t>Harmony at Montecito in Estrella</t>
  </si>
  <si>
    <t>Jasper/600 &amp; 700 Series</t>
  </si>
  <si>
    <t>Paloma Creek/Signature</t>
  </si>
  <si>
    <t>Verrado Highlands/Signature</t>
  </si>
  <si>
    <t>Caleda</t>
  </si>
  <si>
    <t>Fiesta at Rancho Mercado</t>
  </si>
  <si>
    <t>Catalonia at Rancho Mercado</t>
  </si>
  <si>
    <t>Sycamore Vista 8.4</t>
  </si>
  <si>
    <t>Arroyo Seco/Estates</t>
  </si>
  <si>
    <t>Ovation at Meridian/Pinnacle</t>
  </si>
  <si>
    <t>Wildhorse Estates</t>
  </si>
  <si>
    <t>Orangewood Ranch</t>
  </si>
  <si>
    <t>Madera/Sultana</t>
  </si>
  <si>
    <t>Madera/Terrace</t>
  </si>
  <si>
    <t>Palisades at Granville II</t>
  </si>
  <si>
    <t>Allen Ranches/Fiesta</t>
  </si>
  <si>
    <t>Eastmark Voyage</t>
  </si>
  <si>
    <t>Los Saguaros III</t>
  </si>
  <si>
    <t>Whimbrel at Waterston North</t>
  </si>
  <si>
    <t>Solstice Ridge II</t>
  </si>
  <si>
    <t>Southwest Sunset Homes</t>
  </si>
  <si>
    <t>Seasons at Tuscany</t>
  </si>
  <si>
    <t>Reserve at Tuscany</t>
  </si>
  <si>
    <t>Alameda Point</t>
  </si>
  <si>
    <t>Pinnacle at Del Lago</t>
  </si>
  <si>
    <t>Canyon Trails/Preserve</t>
  </si>
  <si>
    <t>Canyon Trails</t>
  </si>
  <si>
    <t>Preserve at Lakes at Rancho El Dorado</t>
  </si>
  <si>
    <t>Orangewood Ranch II</t>
  </si>
  <si>
    <t>Azure</t>
  </si>
  <si>
    <t>The Palmeraie</t>
  </si>
  <si>
    <t>Gated; Basement; Mixed-Use; Resort</t>
  </si>
  <si>
    <t>Summit at the Dells</t>
  </si>
  <si>
    <t>Legado/Summit 2</t>
  </si>
  <si>
    <t>Tierra Montana/Fiesta</t>
  </si>
  <si>
    <t>Canyon Views/Paradise</t>
  </si>
  <si>
    <t>Summit at Whispering Hills</t>
  </si>
  <si>
    <t>Victory at Verrado</t>
  </si>
  <si>
    <t>Legado/Summit</t>
  </si>
  <si>
    <t>Rosewood Highlands</t>
  </si>
  <si>
    <t>Willow</t>
  </si>
  <si>
    <t>Acoma Estates</t>
  </si>
  <si>
    <t>Enclave at Stone Canyon V</t>
  </si>
  <si>
    <t>Stone Canyon</t>
  </si>
  <si>
    <t>Lexia Manor</t>
  </si>
  <si>
    <t>Richter Homes</t>
  </si>
  <si>
    <t>Countrywalk Estates</t>
  </si>
  <si>
    <t>Arroyo Seco/Palazzo</t>
  </si>
  <si>
    <t>Stone Crest</t>
  </si>
  <si>
    <t>Flora at Morrison Ranch</t>
  </si>
  <si>
    <t>Morrison Ranch</t>
  </si>
  <si>
    <t>Reserves at Lone Mountain</t>
  </si>
  <si>
    <t>Altura at Academy Village</t>
  </si>
  <si>
    <t>Academy Village</t>
  </si>
  <si>
    <t>Prelude at Oro Ridge</t>
  </si>
  <si>
    <t>Estates at Mountain Gate</t>
  </si>
  <si>
    <t>Lawler Construction, Inc.</t>
  </si>
  <si>
    <t>StoryRock/Capstone</t>
  </si>
  <si>
    <t>StoryRock/Summit</t>
  </si>
  <si>
    <t>Jasper Phase 3B</t>
  </si>
  <si>
    <t>Jasper Phase 3A</t>
  </si>
  <si>
    <t>Bellero Estates</t>
  </si>
  <si>
    <t>Preserve at Sedella</t>
  </si>
  <si>
    <t>Sedella</t>
  </si>
  <si>
    <t>Beaver Creek Preserve</t>
  </si>
  <si>
    <t>Bridle Ranch</t>
  </si>
  <si>
    <t>Preserve at Saddlebrooke</t>
  </si>
  <si>
    <t>Saddlebrooke</t>
  </si>
  <si>
    <t>Ritz-Carlton Residences Paradise Valley/Estates</t>
  </si>
  <si>
    <t>Five Star Development</t>
  </si>
  <si>
    <t>Luxe at Desert Ridge</t>
  </si>
  <si>
    <t>Statesman Corporation Inc.</t>
  </si>
  <si>
    <t>Attached</t>
  </si>
  <si>
    <t>Condominiums</t>
  </si>
  <si>
    <t>Condo</t>
  </si>
  <si>
    <t>Valle Norte</t>
  </si>
  <si>
    <t>Gated; Condominiums</t>
  </si>
  <si>
    <t>Ponderosa Parkway</t>
  </si>
  <si>
    <t>Portico</t>
  </si>
  <si>
    <t>Belgravia Group Ltd</t>
  </si>
  <si>
    <t>Gated; Mid-Rise (5-11 Floors); Condominiums</t>
  </si>
  <si>
    <t>Ascent Camelback Residences</t>
  </si>
  <si>
    <t>Replay Destinations</t>
  </si>
  <si>
    <t>Low Rise (1-4 Floors); Condominiums</t>
  </si>
  <si>
    <t>Edison Midtown Ph 2</t>
  </si>
  <si>
    <t>Tannin Developments</t>
  </si>
  <si>
    <t>Gated; Condominiums; Mid Rise</t>
  </si>
  <si>
    <t>SoHo Scottsdale/Lofts</t>
  </si>
  <si>
    <t>Catclar Investments LLC</t>
  </si>
  <si>
    <t>Condominiums; Loft</t>
  </si>
  <si>
    <t>Mountain Vista Condominiums</t>
  </si>
  <si>
    <t>Condominiums; Temporarily Sold Out</t>
  </si>
  <si>
    <t>Retreat at Seven Desert Mountain</t>
  </si>
  <si>
    <t>Golf; Condominiums</t>
  </si>
  <si>
    <t>Cays at Downtown Ocotillo</t>
  </si>
  <si>
    <t>Ocotillo</t>
  </si>
  <si>
    <t>ICON at Silverleaf</t>
  </si>
  <si>
    <t>Icon at Silverleaf Development Co, Inc.</t>
  </si>
  <si>
    <t>Gated; Low Rise (1-4 Floors); Condominiums</t>
  </si>
  <si>
    <t>Views at Butler</t>
  </si>
  <si>
    <t>Mid-Rise (5-11 Floors); Condominiums</t>
  </si>
  <si>
    <t>Arizona Grand Villas</t>
  </si>
  <si>
    <t>Desert Jewel Homes LLC</t>
  </si>
  <si>
    <t>Rancho North</t>
  </si>
  <si>
    <t>The Reserve</t>
  </si>
  <si>
    <t>Family Development</t>
  </si>
  <si>
    <t>Sterling Grove/Villa</t>
  </si>
  <si>
    <t>Townhomes</t>
  </si>
  <si>
    <t>TH</t>
  </si>
  <si>
    <t>Parkside/Villas</t>
  </si>
  <si>
    <t>Arabella/Duplex</t>
  </si>
  <si>
    <t>Duplex/Duet</t>
  </si>
  <si>
    <t>Towns at Annecy</t>
  </si>
  <si>
    <t>Lakes at Annecy</t>
  </si>
  <si>
    <t>Warner Meadow/Towns</t>
  </si>
  <si>
    <t>Sereno Canyon/Enclave</t>
  </si>
  <si>
    <t>Gated; Paired Homes</t>
  </si>
  <si>
    <t>Atrium at Somerset</t>
  </si>
  <si>
    <t>Somerset</t>
  </si>
  <si>
    <t>Paired Homes</t>
  </si>
  <si>
    <t>SoHo Scottsdale/TH</t>
  </si>
  <si>
    <t>Shadow Mountain Village</t>
  </si>
  <si>
    <t>Solid Homes</t>
  </si>
  <si>
    <t>Park Place Sedona</t>
  </si>
  <si>
    <t>Park7 on Windsor</t>
  </si>
  <si>
    <t>Identity Development Group</t>
  </si>
  <si>
    <t>Skye Ridge at Victory</t>
  </si>
  <si>
    <t>Active Adult; Paired Homes</t>
  </si>
  <si>
    <t>The View Carefree</t>
  </si>
  <si>
    <t>Paseo Homes</t>
  </si>
  <si>
    <t>Seneca Luxury Townhomes</t>
  </si>
  <si>
    <t>Seneca Luxury Condominiums, LLC</t>
  </si>
  <si>
    <t>Adero Canyon/Avery</t>
  </si>
  <si>
    <t>Center 8 Revival</t>
  </si>
  <si>
    <t>Sasquatch Development Group</t>
  </si>
  <si>
    <t>Gated; Townhomes</t>
  </si>
  <si>
    <t>Miramonte Barrio Viejo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</si>
</sst>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Univers"/>
      <family val="2"/>
    </font>
    <font>
      <sz val="11"/>
      <color theme="1"/>
      <name val="Univer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1" fontId="0" fillId="0" borderId="0" xfId="0" applyNumberFormat="1"/>
    <xf numFmtId="3" fontId="0" fillId="0" borderId="0" xfId="0" applyNumberFormat="1"/>
    <xf numFmtId="0" fontId="0" fillId="0" borderId="1" xfId="0" applyBorder="1"/>
    <xf numFmtId="164" fontId="0" fillId="0" borderId="0" xfId="1" applyNumberFormat="1" applyFont="1" applyAlignment="1">
      <alignment horizontal="center"/>
    </xf>
    <xf numFmtId="0" fontId="0" fillId="2" borderId="0" xfId="0" applyFill="1"/>
  </cellXfs>
  <cellStyles count="2">
    <cellStyle name="Comma" xfId="1" builtinId="3"/>
    <cellStyle name="Normal" xfId="0" builtinId="0"/>
  </cellStyles>
  <dxfs count="9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" formatCode="0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6858F7-9628-DF40-B231-3FD573C70D9A}" name="Table1" displayName="Table1" ref="B1:T707" totalsRowShown="0">
  <autoFilter ref="B1:T707" xr:uid="{91C2139F-B90A-1145-AA5C-E6087037CA11}"/>
  <sortState xmlns:xlrd2="http://schemas.microsoft.com/office/spreadsheetml/2017/richdata2" ref="B2:T707">
    <sortCondition descending="1" ref="K1:K707"/>
  </sortState>
  <tableColumns count="19">
    <tableColumn id="1" xr3:uid="{54FB1C13-2ED0-3A4D-AC54-AC51BA0D56D0}" name="Project"/>
    <tableColumn id="2" xr3:uid="{4D6A0651-AB37-4C47-96F1-CDEF7A38F9E9}" name="Builder"/>
    <tableColumn id="7" xr3:uid="{35B6B0A0-70B3-E544-B031-0CBB5088F556}" name="MPC"/>
    <tableColumn id="8" xr3:uid="{83BD5D36-8F28-614A-A9AE-6B95F617ECE1}" name="Type"/>
    <tableColumn id="9" xr3:uid="{3EEC5CAE-FD18-4542-9137-E6DD5E419A00}" name="Style"/>
    <tableColumn id="10" xr3:uid="{7897F56C-3A47-1342-8B2C-F56D18B6A946}" name="LotSize" dataDxfId="8" dataCellStyle="Comma"/>
    <tableColumn id="11" xr3:uid="{FAC6A189-ADD4-D143-9B31-48330855711A}" name="LotWidth" dataDxfId="7"/>
    <tableColumn id="13" xr3:uid="{526B1DCB-BD15-AC41-B313-CE24A93C954C}" name="Product" dataDxfId="6" dataCellStyle="Comma">
      <calculatedColumnFormula>CONCATENATE(H2,"x",INT(G2/H2))</calculatedColumnFormula>
    </tableColumn>
    <tableColumn id="17" xr3:uid="{334E0ECC-94DC-034F-9AE3-447C68952998}" name="Units Sold"/>
    <tableColumn id="18" xr3:uid="{C583FF1B-95C5-4C47-9ADB-CE9B713DC989}" name="Units Remaining"/>
    <tableColumn id="25" xr3:uid="{FBBF4AE8-7AEC-FF40-A5C1-58180DF088AE}" name="SizeMin" dataDxfId="5"/>
    <tableColumn id="26" xr3:uid="{044D297A-9B00-134B-99D6-2C290F302C67}" name="SizeMax" dataDxfId="4"/>
    <tableColumn id="27" xr3:uid="{FD9B6B77-72FB-AB46-9477-6E8FECDAEBD9}" name="SizeAvg" dataDxfId="3"/>
    <tableColumn id="28" xr3:uid="{EBCA0DA8-4F38-9047-88EB-86295FD5F485}" name="PriceMin" dataDxfId="2"/>
    <tableColumn id="29" xr3:uid="{AD675C10-CBFB-9E4C-9569-F93D21D92FA4}" name="PriceMax" dataDxfId="1"/>
    <tableColumn id="30" xr3:uid="{37C903F4-5F89-C04D-A1FB-C834FDE90ED9}" name="PriceAvg" dataDxfId="0"/>
    <tableColumn id="46" xr3:uid="{C11F0EB1-BF03-714E-A319-8FBD2C830592}" name="Special"/>
    <tableColumn id="52" xr3:uid="{73231F6C-1840-7F4A-817B-C5B887F02839}" name="latitude"/>
    <tableColumn id="53" xr3:uid="{D3D0FFA5-A686-8840-9373-7DEC0CB77539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A9FF-1615-E84D-9E95-18573F087068}">
  <dimension ref="A1:BZ806"/>
  <sheetViews>
    <sheetView tabSelected="1" topLeftCell="B1" workbookViewId="0">
      <selection activeCell="F711" sqref="F711"/>
    </sheetView>
  </sheetViews>
  <sheetFormatPr baseColWidth="10" defaultColWidth="0" defaultRowHeight="14" x14ac:dyDescent="0.2"/>
  <cols>
    <col min="1" max="1" width="0" hidden="1" customWidth="1"/>
    <col min="2" max="2" width="43.5" bestFit="1" customWidth="1"/>
    <col min="3" max="3" width="35.5" bestFit="1" customWidth="1"/>
    <col min="4" max="4" width="31.5" bestFit="1" customWidth="1"/>
    <col min="5" max="6" width="14.83203125" bestFit="1" customWidth="1"/>
    <col min="7" max="7" width="10.5" style="1" bestFit="1" customWidth="1"/>
    <col min="8" max="8" width="11.1640625" bestFit="1" customWidth="1"/>
    <col min="9" max="9" width="10.5" bestFit="1" customWidth="1"/>
    <col min="10" max="10" width="16.33203125" bestFit="1" customWidth="1"/>
    <col min="11" max="11" width="21.83203125" bestFit="1" customWidth="1"/>
    <col min="12" max="12" width="14" bestFit="1" customWidth="1"/>
    <col min="13" max="13" width="14.33203125" bestFit="1" customWidth="1"/>
    <col min="14" max="14" width="14.5" bestFit="1" customWidth="1"/>
    <col min="15" max="15" width="13.83203125" bestFit="1" customWidth="1"/>
    <col min="16" max="16" width="14.1640625" bestFit="1" customWidth="1"/>
    <col min="17" max="17" width="14.5" bestFit="1" customWidth="1"/>
    <col min="18" max="18" width="23.6640625" customWidth="1"/>
    <col min="19" max="19" width="10.1640625" bestFit="1" customWidth="1"/>
    <col min="20" max="20" width="12" bestFit="1" customWidth="1"/>
    <col min="21" max="74" width="9" hidden="1" customWidth="1"/>
    <col min="75" max="78" width="0" hidden="1" customWidth="1"/>
    <col min="79" max="16384" width="9" hidden="1"/>
  </cols>
  <sheetData>
    <row r="1" spans="2:74" ht="16" thickTop="1" thickBot="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s="2" t="s">
        <v>6</v>
      </c>
      <c r="I1" s="2" t="s">
        <v>7</v>
      </c>
      <c r="J1" t="s">
        <v>8</v>
      </c>
      <c r="K1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t="s">
        <v>16</v>
      </c>
      <c r="S1" t="s">
        <v>17</v>
      </c>
      <c r="T1" t="s">
        <v>18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</row>
    <row r="2" spans="2:74" ht="16" thickTop="1" thickBot="1" x14ac:dyDescent="0.25">
      <c r="B2" t="s">
        <v>769</v>
      </c>
      <c r="C2" t="s">
        <v>640</v>
      </c>
      <c r="D2" t="s">
        <v>769</v>
      </c>
      <c r="E2" t="s">
        <v>21</v>
      </c>
      <c r="F2" t="s">
        <v>22</v>
      </c>
      <c r="G2" s="1">
        <v>8400</v>
      </c>
      <c r="H2" s="2">
        <v>70</v>
      </c>
      <c r="I2" s="5" t="str">
        <f>CONCATENATE(H2,"x",INT(G2/H2))</f>
        <v>70x120</v>
      </c>
      <c r="J2">
        <v>1608</v>
      </c>
      <c r="K2">
        <v>5255</v>
      </c>
      <c r="L2" s="3">
        <v>1513</v>
      </c>
      <c r="M2" s="3">
        <v>3077</v>
      </c>
      <c r="N2" s="3">
        <v>2160</v>
      </c>
      <c r="O2" s="3">
        <v>411900</v>
      </c>
      <c r="P2" s="3">
        <v>703900</v>
      </c>
      <c r="Q2" s="3">
        <v>538207.6923</v>
      </c>
      <c r="R2" t="s">
        <v>402</v>
      </c>
      <c r="S2">
        <v>32.591312000000002</v>
      </c>
      <c r="T2">
        <v>-110.91824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</row>
    <row r="3" spans="2:74" ht="16" thickTop="1" thickBot="1" x14ac:dyDescent="0.25">
      <c r="B3" t="s">
        <v>380</v>
      </c>
      <c r="C3" t="s">
        <v>381</v>
      </c>
      <c r="D3" t="s">
        <v>269</v>
      </c>
      <c r="E3" t="s">
        <v>21</v>
      </c>
      <c r="F3" t="s">
        <v>22</v>
      </c>
      <c r="G3" s="1">
        <v>5000</v>
      </c>
      <c r="H3" s="2">
        <v>50</v>
      </c>
      <c r="I3" s="5" t="str">
        <f>CONCATENATE(H3,"x",INT(G3/H3))</f>
        <v>50x100</v>
      </c>
      <c r="J3">
        <v>1928</v>
      </c>
      <c r="K3">
        <v>2062</v>
      </c>
      <c r="L3" s="3">
        <v>1573</v>
      </c>
      <c r="M3" s="3">
        <v>2736</v>
      </c>
      <c r="N3" s="3">
        <v>2143</v>
      </c>
      <c r="O3" s="3">
        <v>333990</v>
      </c>
      <c r="P3" s="3">
        <v>436990</v>
      </c>
      <c r="Q3" s="3">
        <v>376890</v>
      </c>
      <c r="R3" t="s">
        <v>190</v>
      </c>
      <c r="S3">
        <v>33.067413000000002</v>
      </c>
      <c r="T3">
        <v>-111.46727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</row>
    <row r="4" spans="2:74" ht="16" thickTop="1" thickBot="1" x14ac:dyDescent="0.25">
      <c r="B4" t="s">
        <v>639</v>
      </c>
      <c r="C4" t="s">
        <v>640</v>
      </c>
      <c r="D4" t="s">
        <v>639</v>
      </c>
      <c r="E4" t="s">
        <v>21</v>
      </c>
      <c r="F4" t="s">
        <v>22</v>
      </c>
      <c r="G4" s="1">
        <v>6600</v>
      </c>
      <c r="H4" s="2">
        <v>60</v>
      </c>
      <c r="I4" s="5" t="str">
        <f>CONCATENATE(H4,"x",INT(G4/H4))</f>
        <v>60x110</v>
      </c>
      <c r="J4">
        <v>1712</v>
      </c>
      <c r="K4">
        <v>1189</v>
      </c>
      <c r="L4" s="3">
        <v>1236</v>
      </c>
      <c r="M4" s="3">
        <v>2665</v>
      </c>
      <c r="N4" s="3">
        <v>1852</v>
      </c>
      <c r="O4" s="3">
        <v>324900</v>
      </c>
      <c r="P4" s="3">
        <v>570900</v>
      </c>
      <c r="Q4" s="3">
        <v>416700</v>
      </c>
      <c r="R4" t="s">
        <v>190</v>
      </c>
      <c r="S4">
        <v>32.815776999999997</v>
      </c>
      <c r="T4">
        <v>-111.63746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</row>
    <row r="5" spans="2:74" ht="16" thickTop="1" thickBot="1" x14ac:dyDescent="0.25">
      <c r="B5" t="s">
        <v>716</v>
      </c>
      <c r="C5" t="s">
        <v>640</v>
      </c>
      <c r="D5" t="s">
        <v>716</v>
      </c>
      <c r="E5" t="s">
        <v>21</v>
      </c>
      <c r="F5" t="s">
        <v>22</v>
      </c>
      <c r="G5" s="1">
        <v>7800</v>
      </c>
      <c r="H5" s="2">
        <v>65</v>
      </c>
      <c r="I5" s="5" t="str">
        <f>CONCATENATE(H5,"x",INT(G5/H5))</f>
        <v>65x120</v>
      </c>
      <c r="J5">
        <v>3083</v>
      </c>
      <c r="K5">
        <v>1162</v>
      </c>
      <c r="L5" s="3">
        <v>1399</v>
      </c>
      <c r="M5" s="3">
        <v>2715</v>
      </c>
      <c r="N5" s="3">
        <v>2019</v>
      </c>
      <c r="O5" s="3">
        <v>388900</v>
      </c>
      <c r="P5" s="3">
        <v>607900</v>
      </c>
      <c r="Q5" s="3">
        <v>480270.0833</v>
      </c>
      <c r="R5" t="s">
        <v>402</v>
      </c>
      <c r="S5">
        <v>31.886306999999999</v>
      </c>
      <c r="T5">
        <v>-110.94329999999999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</row>
    <row r="6" spans="2:74" ht="16" thickTop="1" thickBot="1" x14ac:dyDescent="0.25">
      <c r="B6" t="s">
        <v>400</v>
      </c>
      <c r="C6" t="s">
        <v>151</v>
      </c>
      <c r="D6" t="s">
        <v>269</v>
      </c>
      <c r="E6" t="s">
        <v>21</v>
      </c>
      <c r="F6" t="s">
        <v>22</v>
      </c>
      <c r="G6" s="1">
        <v>5750</v>
      </c>
      <c r="H6" s="2">
        <v>50</v>
      </c>
      <c r="I6" s="5" t="str">
        <f>CONCATENATE(H6,"x",INT(G6/H6))</f>
        <v>50x115</v>
      </c>
      <c r="J6">
        <v>764</v>
      </c>
      <c r="K6">
        <v>1067</v>
      </c>
      <c r="L6" s="3">
        <v>1480</v>
      </c>
      <c r="M6" s="3">
        <v>2701</v>
      </c>
      <c r="N6" s="3">
        <v>2055</v>
      </c>
      <c r="O6" s="3">
        <v>314990</v>
      </c>
      <c r="P6" s="3">
        <v>395990</v>
      </c>
      <c r="Q6" s="3">
        <v>346490</v>
      </c>
      <c r="S6">
        <v>33.058169999999997</v>
      </c>
      <c r="T6">
        <v>-111.46353000000001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</row>
    <row r="7" spans="2:74" ht="16" thickTop="1" thickBot="1" x14ac:dyDescent="0.25">
      <c r="B7" t="s">
        <v>370</v>
      </c>
      <c r="C7" t="s">
        <v>118</v>
      </c>
      <c r="D7" t="s">
        <v>371</v>
      </c>
      <c r="E7" t="s">
        <v>21</v>
      </c>
      <c r="F7" t="s">
        <v>22</v>
      </c>
      <c r="G7" s="1">
        <v>5760</v>
      </c>
      <c r="H7" s="2">
        <v>48</v>
      </c>
      <c r="I7" s="5" t="str">
        <f>CONCATENATE(H7,"x",INT(G7/H7))</f>
        <v>48x120</v>
      </c>
      <c r="J7">
        <v>128</v>
      </c>
      <c r="K7">
        <v>635</v>
      </c>
      <c r="L7" s="3">
        <v>1691</v>
      </c>
      <c r="M7" s="3">
        <v>2659</v>
      </c>
      <c r="N7" s="3">
        <v>2209</v>
      </c>
      <c r="O7" s="3">
        <v>494900</v>
      </c>
      <c r="P7" s="3">
        <v>623900</v>
      </c>
      <c r="Q7" s="3">
        <v>560025</v>
      </c>
      <c r="S7">
        <v>33.264651999999998</v>
      </c>
      <c r="T7">
        <v>-111.5851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</row>
    <row r="8" spans="2:74" ht="16" thickTop="1" thickBot="1" x14ac:dyDescent="0.25">
      <c r="B8" t="s">
        <v>527</v>
      </c>
      <c r="C8" t="s">
        <v>381</v>
      </c>
      <c r="D8" t="s">
        <v>528</v>
      </c>
      <c r="E8" t="s">
        <v>21</v>
      </c>
      <c r="F8" t="s">
        <v>22</v>
      </c>
      <c r="G8" s="1">
        <v>6240</v>
      </c>
      <c r="H8" s="2">
        <v>52</v>
      </c>
      <c r="I8" s="5" t="str">
        <f>CONCATENATE(H8,"x",INT(G8/H8))</f>
        <v>52x120</v>
      </c>
      <c r="J8">
        <v>4178</v>
      </c>
      <c r="K8">
        <v>535</v>
      </c>
      <c r="L8" s="3">
        <v>1280</v>
      </c>
      <c r="M8" s="3">
        <v>3343</v>
      </c>
      <c r="N8" s="3">
        <v>2191</v>
      </c>
      <c r="O8" s="3">
        <v>321990</v>
      </c>
      <c r="P8" s="3">
        <v>669990</v>
      </c>
      <c r="Q8" s="3">
        <v>464115</v>
      </c>
      <c r="R8" t="s">
        <v>190</v>
      </c>
      <c r="S8">
        <v>33.655518000000001</v>
      </c>
      <c r="T8">
        <v>-112.61906999999999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</row>
    <row r="9" spans="2:74" ht="16" thickTop="1" thickBot="1" x14ac:dyDescent="0.25">
      <c r="B9" t="s">
        <v>437</v>
      </c>
      <c r="C9" t="s">
        <v>43</v>
      </c>
      <c r="D9" t="s">
        <v>438</v>
      </c>
      <c r="E9" t="s">
        <v>21</v>
      </c>
      <c r="F9" t="s">
        <v>22</v>
      </c>
      <c r="G9" s="1">
        <v>6025</v>
      </c>
      <c r="H9" s="2">
        <v>50</v>
      </c>
      <c r="I9" s="5" t="str">
        <f>CONCATENATE(H9,"x",INT(G9/H9))</f>
        <v>50x120</v>
      </c>
      <c r="J9">
        <v>316</v>
      </c>
      <c r="K9">
        <v>444</v>
      </c>
      <c r="L9" s="3">
        <v>1442</v>
      </c>
      <c r="M9" s="3">
        <v>2309</v>
      </c>
      <c r="N9" s="3">
        <v>1785</v>
      </c>
      <c r="O9" s="3">
        <v>322990</v>
      </c>
      <c r="P9" s="3">
        <v>376990</v>
      </c>
      <c r="Q9" s="3">
        <v>343291.53840000002</v>
      </c>
      <c r="S9">
        <v>32.980980000000002</v>
      </c>
      <c r="T9">
        <v>-111.5501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</row>
    <row r="10" spans="2:74" ht="16" thickTop="1" thickBot="1" x14ac:dyDescent="0.25">
      <c r="B10" t="s">
        <v>221</v>
      </c>
      <c r="C10" t="s">
        <v>114</v>
      </c>
      <c r="E10" t="s">
        <v>21</v>
      </c>
      <c r="F10" t="s">
        <v>22</v>
      </c>
      <c r="G10" s="1">
        <v>5175</v>
      </c>
      <c r="H10" s="2">
        <v>45</v>
      </c>
      <c r="I10" s="5" t="str">
        <f>CONCATENATE(H10,"x",INT(G10/H10))</f>
        <v>45x115</v>
      </c>
      <c r="J10">
        <v>23</v>
      </c>
      <c r="K10">
        <v>374</v>
      </c>
      <c r="L10" s="3">
        <v>1273</v>
      </c>
      <c r="M10" s="3">
        <v>2049</v>
      </c>
      <c r="N10" s="3">
        <v>1642</v>
      </c>
      <c r="O10" s="3">
        <v>394990</v>
      </c>
      <c r="P10" s="3">
        <v>444990</v>
      </c>
      <c r="Q10" s="3">
        <v>419990</v>
      </c>
      <c r="S10">
        <v>33.715538000000002</v>
      </c>
      <c r="T10">
        <v>-112.40582999999999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</row>
    <row r="11" spans="2:74" ht="16" thickTop="1" thickBot="1" x14ac:dyDescent="0.25">
      <c r="B11" t="s">
        <v>648</v>
      </c>
      <c r="C11" t="s">
        <v>38</v>
      </c>
      <c r="D11" t="s">
        <v>124</v>
      </c>
      <c r="E11" t="s">
        <v>21</v>
      </c>
      <c r="F11" t="s">
        <v>22</v>
      </c>
      <c r="G11" s="1">
        <v>7200</v>
      </c>
      <c r="H11" s="2">
        <v>60</v>
      </c>
      <c r="I11" s="5" t="str">
        <f>CONCATENATE(H11,"x",INT(G11/H11))</f>
        <v>60x120</v>
      </c>
      <c r="J11">
        <v>560</v>
      </c>
      <c r="K11">
        <v>366</v>
      </c>
      <c r="L11" s="3">
        <v>1361</v>
      </c>
      <c r="M11" s="3">
        <v>2326</v>
      </c>
      <c r="N11" s="3">
        <v>1825</v>
      </c>
      <c r="O11" s="3">
        <v>332990</v>
      </c>
      <c r="P11" s="3">
        <v>445990</v>
      </c>
      <c r="Q11" s="3">
        <v>389808.18180000002</v>
      </c>
      <c r="R11" t="s">
        <v>649</v>
      </c>
      <c r="S11">
        <v>33.295147</v>
      </c>
      <c r="T11">
        <v>-112.43120999999999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</row>
    <row r="12" spans="2:74" ht="16" thickTop="1" thickBot="1" x14ac:dyDescent="0.25">
      <c r="B12" t="s">
        <v>364</v>
      </c>
      <c r="C12" t="s">
        <v>43</v>
      </c>
      <c r="E12" t="s">
        <v>21</v>
      </c>
      <c r="F12" t="s">
        <v>22</v>
      </c>
      <c r="G12" s="1">
        <v>5280</v>
      </c>
      <c r="H12" s="2">
        <v>48</v>
      </c>
      <c r="I12" s="5" t="str">
        <f>CONCATENATE(H12,"x",INT(G12/H12))</f>
        <v>48x110</v>
      </c>
      <c r="J12">
        <v>130</v>
      </c>
      <c r="K12">
        <v>353</v>
      </c>
      <c r="L12" s="3">
        <v>1507</v>
      </c>
      <c r="M12" s="3">
        <v>2242</v>
      </c>
      <c r="N12" s="3">
        <v>1844</v>
      </c>
      <c r="O12" s="3">
        <v>410990</v>
      </c>
      <c r="P12" s="3">
        <v>489990</v>
      </c>
      <c r="Q12" s="3">
        <v>445865</v>
      </c>
      <c r="S12">
        <v>33.715229000000001</v>
      </c>
      <c r="T12">
        <v>-112.45619000000001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</row>
    <row r="13" spans="2:74" ht="16" thickTop="1" thickBot="1" x14ac:dyDescent="0.25">
      <c r="B13" t="s">
        <v>770</v>
      </c>
      <c r="C13" t="s">
        <v>640</v>
      </c>
      <c r="D13" t="s">
        <v>770</v>
      </c>
      <c r="E13" t="s">
        <v>21</v>
      </c>
      <c r="F13" t="s">
        <v>22</v>
      </c>
      <c r="G13" s="1">
        <v>8400</v>
      </c>
      <c r="H13" s="2">
        <v>70</v>
      </c>
      <c r="I13" s="5" t="str">
        <f>CONCATENATE(H13,"x",INT(G13/H13))</f>
        <v>70x120</v>
      </c>
      <c r="J13">
        <v>5782</v>
      </c>
      <c r="K13">
        <v>340</v>
      </c>
      <c r="L13" s="3">
        <v>1619</v>
      </c>
      <c r="M13" s="3">
        <v>3460</v>
      </c>
      <c r="N13" s="3">
        <v>2268</v>
      </c>
      <c r="O13" s="3">
        <v>496900</v>
      </c>
      <c r="P13" s="3">
        <v>962900</v>
      </c>
      <c r="Q13" s="3">
        <v>670723.5294</v>
      </c>
      <c r="R13" t="s">
        <v>402</v>
      </c>
      <c r="S13">
        <v>33.479824000000001</v>
      </c>
      <c r="T13">
        <v>-112.4104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</row>
    <row r="14" spans="2:74" ht="16" thickTop="1" thickBot="1" x14ac:dyDescent="0.25">
      <c r="B14" t="s">
        <v>627</v>
      </c>
      <c r="C14" t="s">
        <v>118</v>
      </c>
      <c r="D14" t="s">
        <v>371</v>
      </c>
      <c r="E14" t="s">
        <v>21</v>
      </c>
      <c r="F14" t="s">
        <v>22</v>
      </c>
      <c r="G14" s="1">
        <v>7250</v>
      </c>
      <c r="H14" s="2">
        <v>58</v>
      </c>
      <c r="I14" s="5" t="str">
        <f>CONCATENATE(H14,"x",INT(G14/H14))</f>
        <v>58x125</v>
      </c>
      <c r="J14">
        <v>64</v>
      </c>
      <c r="K14">
        <v>321</v>
      </c>
      <c r="L14" s="3">
        <v>2407</v>
      </c>
      <c r="M14" s="3">
        <v>3595</v>
      </c>
      <c r="N14" s="3">
        <v>2989</v>
      </c>
      <c r="O14" s="3">
        <v>638900</v>
      </c>
      <c r="P14" s="3">
        <v>776900</v>
      </c>
      <c r="Q14" s="3">
        <v>710025</v>
      </c>
      <c r="S14">
        <v>33.264995999999996</v>
      </c>
      <c r="T14">
        <v>-111.58931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</row>
    <row r="15" spans="2:74" ht="16" thickTop="1" thickBot="1" x14ac:dyDescent="0.25">
      <c r="B15" t="s">
        <v>222</v>
      </c>
      <c r="C15" t="s">
        <v>43</v>
      </c>
      <c r="E15" t="s">
        <v>21</v>
      </c>
      <c r="F15" t="s">
        <v>22</v>
      </c>
      <c r="G15" s="1">
        <v>5175</v>
      </c>
      <c r="H15" s="2">
        <v>45</v>
      </c>
      <c r="I15" s="5" t="str">
        <f>CONCATENATE(H15,"x",INT(G15/H15))</f>
        <v>45x115</v>
      </c>
      <c r="J15">
        <v>113</v>
      </c>
      <c r="K15">
        <v>318</v>
      </c>
      <c r="L15" s="3">
        <v>1551</v>
      </c>
      <c r="M15" s="3">
        <v>2241</v>
      </c>
      <c r="N15" s="3">
        <v>1797</v>
      </c>
      <c r="O15" s="3">
        <v>375990</v>
      </c>
      <c r="P15" s="3">
        <v>439990</v>
      </c>
      <c r="Q15" s="3">
        <v>401767.77769999998</v>
      </c>
      <c r="S15">
        <v>33.402988000000001</v>
      </c>
      <c r="T15">
        <v>-112.28375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</row>
    <row r="16" spans="2:74" ht="16" thickTop="1" thickBot="1" x14ac:dyDescent="0.25">
      <c r="B16" t="s">
        <v>906</v>
      </c>
      <c r="C16" t="s">
        <v>31</v>
      </c>
      <c r="D16" t="s">
        <v>49</v>
      </c>
      <c r="E16" t="s">
        <v>872</v>
      </c>
      <c r="F16" t="s">
        <v>907</v>
      </c>
      <c r="G16" s="1">
        <v>0</v>
      </c>
      <c r="H16" s="1">
        <v>0</v>
      </c>
      <c r="I16" s="5" t="s">
        <v>908</v>
      </c>
      <c r="J16">
        <v>30</v>
      </c>
      <c r="K16">
        <v>294</v>
      </c>
      <c r="L16" s="3">
        <v>1285</v>
      </c>
      <c r="M16" s="3">
        <v>2142</v>
      </c>
      <c r="N16" s="3">
        <v>1704</v>
      </c>
      <c r="O16" s="3">
        <v>399995</v>
      </c>
      <c r="P16" s="3">
        <v>545995</v>
      </c>
      <c r="Q16" s="3">
        <v>477328.3333</v>
      </c>
      <c r="R16" t="s">
        <v>907</v>
      </c>
      <c r="S16">
        <v>33.587318000000003</v>
      </c>
      <c r="T16">
        <v>-112.43586000000001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</row>
    <row r="17" spans="2:74" ht="16" thickTop="1" thickBot="1" x14ac:dyDescent="0.25">
      <c r="B17" t="s">
        <v>646</v>
      </c>
      <c r="C17" t="s">
        <v>151</v>
      </c>
      <c r="D17" t="s">
        <v>269</v>
      </c>
      <c r="E17" t="s">
        <v>21</v>
      </c>
      <c r="F17" t="s">
        <v>22</v>
      </c>
      <c r="G17" s="1">
        <v>6900</v>
      </c>
      <c r="H17" s="2">
        <v>60</v>
      </c>
      <c r="I17" s="5" t="str">
        <f>CONCATENATE(H17,"x",INT(G17/H17))</f>
        <v>60x115</v>
      </c>
      <c r="J17">
        <v>1979</v>
      </c>
      <c r="K17">
        <v>293</v>
      </c>
      <c r="L17" s="3">
        <v>1933</v>
      </c>
      <c r="M17" s="3">
        <v>2569</v>
      </c>
      <c r="N17" s="3">
        <v>2250</v>
      </c>
      <c r="O17" s="3">
        <v>335990</v>
      </c>
      <c r="P17" s="3">
        <v>382990</v>
      </c>
      <c r="Q17" s="3">
        <v>360240</v>
      </c>
      <c r="S17">
        <v>33.059401999999999</v>
      </c>
      <c r="T17">
        <v>-111.4624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</row>
    <row r="18" spans="2:74" ht="16" thickTop="1" thickBot="1" x14ac:dyDescent="0.25">
      <c r="B18" t="s">
        <v>217</v>
      </c>
      <c r="C18" t="s">
        <v>218</v>
      </c>
      <c r="E18" t="s">
        <v>21</v>
      </c>
      <c r="F18" t="s">
        <v>22</v>
      </c>
      <c r="G18" s="1">
        <v>5170</v>
      </c>
      <c r="H18" s="2">
        <v>45</v>
      </c>
      <c r="I18" s="5" t="str">
        <f>CONCATENATE(H18,"x",INT(G18/H18))</f>
        <v>45x114</v>
      </c>
      <c r="J18">
        <v>59</v>
      </c>
      <c r="K18">
        <v>274</v>
      </c>
      <c r="L18" s="3">
        <v>1115</v>
      </c>
      <c r="M18" s="3">
        <v>2254</v>
      </c>
      <c r="N18" s="3">
        <v>1589</v>
      </c>
      <c r="O18" s="3">
        <v>294900</v>
      </c>
      <c r="P18" s="3">
        <v>379900</v>
      </c>
      <c r="Q18" s="3">
        <v>333900</v>
      </c>
      <c r="S18">
        <v>33.025993</v>
      </c>
      <c r="T18">
        <v>-111.40255999999999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</row>
    <row r="19" spans="2:74" ht="16" thickTop="1" thickBot="1" x14ac:dyDescent="0.25">
      <c r="B19" t="s">
        <v>537</v>
      </c>
      <c r="C19" t="s">
        <v>118</v>
      </c>
      <c r="D19" t="s">
        <v>371</v>
      </c>
      <c r="E19" t="s">
        <v>21</v>
      </c>
      <c r="F19" t="s">
        <v>22</v>
      </c>
      <c r="G19" s="1">
        <v>6360</v>
      </c>
      <c r="H19" s="2">
        <v>53</v>
      </c>
      <c r="I19" s="5" t="str">
        <f>CONCATENATE(H19,"x",INT(G19/H19))</f>
        <v>53x120</v>
      </c>
      <c r="J19">
        <v>33</v>
      </c>
      <c r="K19">
        <v>273</v>
      </c>
      <c r="L19" s="3">
        <v>2045</v>
      </c>
      <c r="M19" s="3">
        <v>3168</v>
      </c>
      <c r="N19" s="3">
        <v>2599</v>
      </c>
      <c r="O19" s="3">
        <v>559900</v>
      </c>
      <c r="P19" s="3">
        <v>705900</v>
      </c>
      <c r="Q19" s="3">
        <v>635400</v>
      </c>
      <c r="S19">
        <v>33.268791</v>
      </c>
      <c r="T19">
        <v>-111.58493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</row>
    <row r="20" spans="2:74" ht="16" thickTop="1" thickBot="1" x14ac:dyDescent="0.25">
      <c r="B20" t="s">
        <v>533</v>
      </c>
      <c r="C20" t="s">
        <v>38</v>
      </c>
      <c r="D20" t="s">
        <v>357</v>
      </c>
      <c r="E20" t="s">
        <v>21</v>
      </c>
      <c r="F20" t="s">
        <v>22</v>
      </c>
      <c r="G20" s="1">
        <v>5565</v>
      </c>
      <c r="H20" s="2">
        <v>53</v>
      </c>
      <c r="I20" s="5" t="str">
        <f>CONCATENATE(H20,"x",INT(G20/H20))</f>
        <v>53x105</v>
      </c>
      <c r="J20">
        <v>139</v>
      </c>
      <c r="K20">
        <v>261</v>
      </c>
      <c r="L20" s="3">
        <v>1949</v>
      </c>
      <c r="M20" s="3">
        <v>2975</v>
      </c>
      <c r="N20" s="3">
        <v>2479</v>
      </c>
      <c r="O20" s="3">
        <v>411990</v>
      </c>
      <c r="P20" s="3">
        <v>480990</v>
      </c>
      <c r="Q20" s="3">
        <v>449990</v>
      </c>
      <c r="S20">
        <v>33.710667000000001</v>
      </c>
      <c r="T20">
        <v>-112.3716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</row>
    <row r="21" spans="2:74" ht="16" thickTop="1" thickBot="1" x14ac:dyDescent="0.25">
      <c r="B21" t="s">
        <v>401</v>
      </c>
      <c r="C21" t="s">
        <v>31</v>
      </c>
      <c r="D21" t="s">
        <v>49</v>
      </c>
      <c r="E21" t="s">
        <v>21</v>
      </c>
      <c r="F21" t="s">
        <v>22</v>
      </c>
      <c r="G21" s="1">
        <v>5750</v>
      </c>
      <c r="H21" s="2">
        <v>50</v>
      </c>
      <c r="I21" s="5" t="str">
        <f>CONCATENATE(H21,"x",INT(G21/H21))</f>
        <v>50x115</v>
      </c>
      <c r="J21">
        <v>93</v>
      </c>
      <c r="K21">
        <v>257</v>
      </c>
      <c r="L21" s="3">
        <v>1520</v>
      </c>
      <c r="M21" s="3">
        <v>2215</v>
      </c>
      <c r="N21" s="3">
        <v>1900</v>
      </c>
      <c r="O21" s="3">
        <v>585995</v>
      </c>
      <c r="P21" s="3">
        <v>695995</v>
      </c>
      <c r="Q21" s="3">
        <v>638245</v>
      </c>
      <c r="R21" t="s">
        <v>402</v>
      </c>
      <c r="S21">
        <v>33.582478000000002</v>
      </c>
      <c r="T21">
        <v>-112.43385000000001</v>
      </c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</row>
    <row r="22" spans="2:74" ht="16" thickTop="1" thickBot="1" x14ac:dyDescent="0.25">
      <c r="B22" t="s">
        <v>304</v>
      </c>
      <c r="C22" t="s">
        <v>206</v>
      </c>
      <c r="D22" t="s">
        <v>305</v>
      </c>
      <c r="E22" t="s">
        <v>21</v>
      </c>
      <c r="F22" t="s">
        <v>22</v>
      </c>
      <c r="G22" s="1">
        <v>5400</v>
      </c>
      <c r="H22" s="2">
        <v>45</v>
      </c>
      <c r="I22" s="5" t="str">
        <f>CONCATENATE(H22,"x",INT(G22/H22))</f>
        <v>45x120</v>
      </c>
      <c r="J22">
        <v>39</v>
      </c>
      <c r="K22">
        <v>242</v>
      </c>
      <c r="L22" s="3">
        <v>1402</v>
      </c>
      <c r="M22" s="3">
        <v>3131</v>
      </c>
      <c r="N22" s="3">
        <v>2159</v>
      </c>
      <c r="O22" s="3">
        <v>319990</v>
      </c>
      <c r="P22" s="3">
        <v>414990</v>
      </c>
      <c r="Q22" s="3">
        <v>362790</v>
      </c>
      <c r="S22">
        <v>33.150073999999996</v>
      </c>
      <c r="T22">
        <v>-111.4259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</row>
    <row r="23" spans="2:74" ht="16" thickTop="1" thickBot="1" x14ac:dyDescent="0.25">
      <c r="B23" t="s">
        <v>306</v>
      </c>
      <c r="C23" t="s">
        <v>206</v>
      </c>
      <c r="D23" t="s">
        <v>306</v>
      </c>
      <c r="E23" t="s">
        <v>21</v>
      </c>
      <c r="F23" t="s">
        <v>22</v>
      </c>
      <c r="G23" s="1">
        <v>5400</v>
      </c>
      <c r="H23" s="2">
        <v>45</v>
      </c>
      <c r="I23" s="5" t="str">
        <f>CONCATENATE(H23,"x",INT(G23/H23))</f>
        <v>45x120</v>
      </c>
      <c r="J23">
        <v>12</v>
      </c>
      <c r="K23">
        <v>242</v>
      </c>
      <c r="L23" s="3">
        <v>1402</v>
      </c>
      <c r="M23" s="3">
        <v>3131</v>
      </c>
      <c r="N23" s="3">
        <v>2188</v>
      </c>
      <c r="O23" s="3">
        <v>359990</v>
      </c>
      <c r="P23" s="3">
        <v>469990</v>
      </c>
      <c r="Q23" s="3">
        <v>409156.6666</v>
      </c>
      <c r="S23">
        <v>33.222881000000001</v>
      </c>
      <c r="T23">
        <v>-111.54382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</row>
    <row r="24" spans="2:74" ht="16" thickTop="1" thickBot="1" x14ac:dyDescent="0.25">
      <c r="B24" t="s">
        <v>790</v>
      </c>
      <c r="C24" t="s">
        <v>118</v>
      </c>
      <c r="D24" t="s">
        <v>371</v>
      </c>
      <c r="E24" t="s">
        <v>21</v>
      </c>
      <c r="F24" t="s">
        <v>22</v>
      </c>
      <c r="G24" s="1">
        <v>9100</v>
      </c>
      <c r="H24" s="2">
        <v>70</v>
      </c>
      <c r="I24" s="5" t="str">
        <f>CONCATENATE(H24,"x",INT(G24/H24))</f>
        <v>70x130</v>
      </c>
      <c r="J24">
        <v>7</v>
      </c>
      <c r="K24">
        <v>241</v>
      </c>
      <c r="L24" s="3">
        <v>2740</v>
      </c>
      <c r="M24" s="3">
        <v>4595</v>
      </c>
      <c r="N24" s="3">
        <v>3635</v>
      </c>
      <c r="O24" s="3">
        <v>810900</v>
      </c>
      <c r="P24" s="3">
        <v>995900</v>
      </c>
      <c r="Q24" s="3">
        <v>906150</v>
      </c>
      <c r="S24">
        <v>33.269516000000003</v>
      </c>
      <c r="T24">
        <v>-111.58802</v>
      </c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</row>
    <row r="25" spans="2:74" ht="16" thickTop="1" thickBot="1" x14ac:dyDescent="0.25">
      <c r="B25" t="s">
        <v>909</v>
      </c>
      <c r="C25" t="s">
        <v>38</v>
      </c>
      <c r="D25" t="s">
        <v>197</v>
      </c>
      <c r="E25" t="s">
        <v>872</v>
      </c>
      <c r="F25" t="s">
        <v>907</v>
      </c>
      <c r="G25" s="1">
        <v>0</v>
      </c>
      <c r="H25" s="1">
        <v>0</v>
      </c>
      <c r="I25" s="5" t="s">
        <v>908</v>
      </c>
      <c r="J25">
        <v>8</v>
      </c>
      <c r="K25">
        <v>239</v>
      </c>
      <c r="L25" s="3">
        <v>1272</v>
      </c>
      <c r="M25" s="3">
        <v>1961</v>
      </c>
      <c r="N25" s="3">
        <v>1666</v>
      </c>
      <c r="O25" s="3">
        <v>342990</v>
      </c>
      <c r="P25" s="3">
        <v>395990</v>
      </c>
      <c r="Q25" s="3">
        <v>374990</v>
      </c>
      <c r="R25" t="s">
        <v>907</v>
      </c>
      <c r="S25">
        <v>33.491118999999998</v>
      </c>
      <c r="T25">
        <v>-112.27457</v>
      </c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</row>
    <row r="26" spans="2:74" ht="16" thickTop="1" thickBot="1" x14ac:dyDescent="0.25">
      <c r="B26" t="s">
        <v>717</v>
      </c>
      <c r="C26" t="s">
        <v>68</v>
      </c>
      <c r="D26" t="s">
        <v>717</v>
      </c>
      <c r="E26" t="s">
        <v>21</v>
      </c>
      <c r="F26" t="s">
        <v>22</v>
      </c>
      <c r="G26" s="1">
        <v>7800</v>
      </c>
      <c r="H26" s="2">
        <v>65</v>
      </c>
      <c r="I26" s="5" t="str">
        <f>CONCATENATE(H26,"x",INT(G26/H26))</f>
        <v>65x120</v>
      </c>
      <c r="J26">
        <v>981</v>
      </c>
      <c r="K26">
        <v>234</v>
      </c>
      <c r="L26" s="3">
        <v>1342</v>
      </c>
      <c r="M26" s="3">
        <v>3249</v>
      </c>
      <c r="N26" s="3">
        <v>2175</v>
      </c>
      <c r="O26" s="3">
        <v>462000</v>
      </c>
      <c r="P26" s="3">
        <v>949000</v>
      </c>
      <c r="Q26" s="3">
        <v>678615.38459999999</v>
      </c>
      <c r="R26" t="s">
        <v>718</v>
      </c>
      <c r="S26">
        <v>33.742527000000003</v>
      </c>
      <c r="T26">
        <v>-111.70412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</row>
    <row r="27" spans="2:74" ht="16" thickTop="1" thickBot="1" x14ac:dyDescent="0.25">
      <c r="B27" t="s">
        <v>223</v>
      </c>
      <c r="C27" t="s">
        <v>43</v>
      </c>
      <c r="D27" t="s">
        <v>224</v>
      </c>
      <c r="E27" t="s">
        <v>21</v>
      </c>
      <c r="F27" t="s">
        <v>22</v>
      </c>
      <c r="G27" s="1">
        <v>5175</v>
      </c>
      <c r="H27" s="2">
        <v>45</v>
      </c>
      <c r="I27" s="5" t="str">
        <f>CONCATENATE(H27,"x",INT(G27/H27))</f>
        <v>45x115</v>
      </c>
      <c r="J27">
        <v>17</v>
      </c>
      <c r="K27">
        <v>231</v>
      </c>
      <c r="L27" s="3">
        <v>1317</v>
      </c>
      <c r="M27" s="3">
        <v>2051</v>
      </c>
      <c r="N27" s="3">
        <v>1762</v>
      </c>
      <c r="O27" s="3">
        <v>323990</v>
      </c>
      <c r="P27" s="3">
        <v>380000</v>
      </c>
      <c r="Q27" s="3">
        <v>357627.27269999997</v>
      </c>
      <c r="S27">
        <v>33.039462999999998</v>
      </c>
      <c r="T27">
        <v>-111.97580000000001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</row>
    <row r="28" spans="2:74" ht="16" thickTop="1" thickBot="1" x14ac:dyDescent="0.25">
      <c r="B28" t="s">
        <v>392</v>
      </c>
      <c r="C28" t="s">
        <v>31</v>
      </c>
      <c r="D28" t="s">
        <v>49</v>
      </c>
      <c r="E28" t="s">
        <v>21</v>
      </c>
      <c r="F28" t="s">
        <v>22</v>
      </c>
      <c r="G28" s="1">
        <v>5500</v>
      </c>
      <c r="H28" s="2">
        <v>50</v>
      </c>
      <c r="I28" s="5" t="str">
        <f>CONCATENATE(H28,"x",INT(G28/H28))</f>
        <v>50x110</v>
      </c>
      <c r="J28">
        <v>149</v>
      </c>
      <c r="K28">
        <v>231</v>
      </c>
      <c r="L28" s="3">
        <v>1520</v>
      </c>
      <c r="M28" s="3">
        <v>3182</v>
      </c>
      <c r="N28" s="3">
        <v>2224</v>
      </c>
      <c r="O28" s="3">
        <v>555995</v>
      </c>
      <c r="P28" s="3">
        <v>700995</v>
      </c>
      <c r="Q28" s="3">
        <v>617661.6666</v>
      </c>
      <c r="R28" t="s">
        <v>50</v>
      </c>
      <c r="S28">
        <v>33.585673999999997</v>
      </c>
      <c r="T28">
        <v>-112.43105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</row>
    <row r="29" spans="2:74" ht="16" thickTop="1" thickBot="1" x14ac:dyDescent="0.25">
      <c r="B29" t="s">
        <v>538</v>
      </c>
      <c r="C29" t="s">
        <v>118</v>
      </c>
      <c r="D29" t="s">
        <v>355</v>
      </c>
      <c r="E29" t="s">
        <v>21</v>
      </c>
      <c r="F29" t="s">
        <v>22</v>
      </c>
      <c r="G29" s="1">
        <v>6360</v>
      </c>
      <c r="H29" s="2">
        <v>53</v>
      </c>
      <c r="I29" s="5" t="str">
        <f>CONCATENATE(H29,"x",INT(G29/H29))</f>
        <v>53x120</v>
      </c>
      <c r="J29">
        <v>175</v>
      </c>
      <c r="K29">
        <v>229</v>
      </c>
      <c r="L29" s="3">
        <v>1782</v>
      </c>
      <c r="M29" s="3">
        <v>3444</v>
      </c>
      <c r="N29" s="3">
        <v>2438</v>
      </c>
      <c r="O29" s="3">
        <v>421900</v>
      </c>
      <c r="P29" s="3">
        <v>581900</v>
      </c>
      <c r="Q29" s="3">
        <v>491185.71419999999</v>
      </c>
      <c r="S29">
        <v>33.700481000000003</v>
      </c>
      <c r="T29">
        <v>-112.40466000000001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</row>
    <row r="30" spans="2:74" ht="16" thickTop="1" thickBot="1" x14ac:dyDescent="0.25">
      <c r="B30" t="s">
        <v>225</v>
      </c>
      <c r="C30" t="s">
        <v>94</v>
      </c>
      <c r="D30" t="s">
        <v>210</v>
      </c>
      <c r="E30" t="s">
        <v>21</v>
      </c>
      <c r="F30" t="s">
        <v>22</v>
      </c>
      <c r="G30" s="1">
        <v>5175</v>
      </c>
      <c r="H30" s="2">
        <v>45</v>
      </c>
      <c r="I30" s="5" t="str">
        <f>CONCATENATE(H30,"x",INT(G30/H30))</f>
        <v>45x115</v>
      </c>
      <c r="J30">
        <v>99</v>
      </c>
      <c r="K30">
        <v>225</v>
      </c>
      <c r="L30" s="3">
        <v>1735</v>
      </c>
      <c r="M30" s="3">
        <v>3291</v>
      </c>
      <c r="N30" s="3">
        <v>2372</v>
      </c>
      <c r="O30" s="3">
        <v>405990</v>
      </c>
      <c r="P30" s="3">
        <v>579990</v>
      </c>
      <c r="Q30" s="3">
        <v>469931.1764</v>
      </c>
      <c r="S30">
        <v>33.192684</v>
      </c>
      <c r="T30">
        <v>-111.61295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</row>
    <row r="31" spans="2:74" ht="16" thickTop="1" thickBot="1" x14ac:dyDescent="0.25">
      <c r="B31" t="s">
        <v>390</v>
      </c>
      <c r="C31" t="s">
        <v>68</v>
      </c>
      <c r="D31" t="s">
        <v>390</v>
      </c>
      <c r="E31" t="s">
        <v>21</v>
      </c>
      <c r="F31" t="s">
        <v>22</v>
      </c>
      <c r="G31" s="1">
        <v>5250</v>
      </c>
      <c r="H31" s="2">
        <v>50</v>
      </c>
      <c r="I31" s="5" t="str">
        <f>CONCATENATE(H31,"x",INT(G31/H31))</f>
        <v>50x105</v>
      </c>
      <c r="J31">
        <v>2124</v>
      </c>
      <c r="K31">
        <v>218</v>
      </c>
      <c r="L31" s="3">
        <v>1342</v>
      </c>
      <c r="M31" s="3">
        <v>3764</v>
      </c>
      <c r="N31" s="3">
        <v>2162</v>
      </c>
      <c r="O31" s="3">
        <v>400000</v>
      </c>
      <c r="P31" s="3">
        <v>1349900</v>
      </c>
      <c r="Q31" s="3">
        <v>551038.09519999998</v>
      </c>
      <c r="R31" t="s">
        <v>391</v>
      </c>
      <c r="S31">
        <v>33.211562999999998</v>
      </c>
      <c r="T31">
        <v>-111.55569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</row>
    <row r="32" spans="2:74" ht="16" thickTop="1" thickBot="1" x14ac:dyDescent="0.25">
      <c r="B32" t="s">
        <v>628</v>
      </c>
      <c r="C32" t="s">
        <v>118</v>
      </c>
      <c r="D32" t="s">
        <v>355</v>
      </c>
      <c r="E32" t="s">
        <v>21</v>
      </c>
      <c r="F32" t="s">
        <v>22</v>
      </c>
      <c r="G32" s="1">
        <v>7250</v>
      </c>
      <c r="H32" s="2">
        <v>58</v>
      </c>
      <c r="I32" s="5" t="str">
        <f>CONCATENATE(H32,"x",INT(G32/H32))</f>
        <v>58x125</v>
      </c>
      <c r="J32">
        <v>65</v>
      </c>
      <c r="K32">
        <v>215</v>
      </c>
      <c r="L32" s="3">
        <v>2165</v>
      </c>
      <c r="M32" s="3">
        <v>3857</v>
      </c>
      <c r="N32" s="3">
        <v>2904</v>
      </c>
      <c r="O32" s="3">
        <v>490900</v>
      </c>
      <c r="P32" s="3">
        <v>620900</v>
      </c>
      <c r="Q32" s="3">
        <v>564025</v>
      </c>
      <c r="S32">
        <v>33.698078000000002</v>
      </c>
      <c r="T32">
        <v>-112.40433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</row>
    <row r="33" spans="2:74" ht="16" thickTop="1" thickBot="1" x14ac:dyDescent="0.25">
      <c r="B33" t="s">
        <v>650</v>
      </c>
      <c r="C33" t="s">
        <v>38</v>
      </c>
      <c r="D33" t="s">
        <v>440</v>
      </c>
      <c r="E33" t="s">
        <v>21</v>
      </c>
      <c r="F33" t="s">
        <v>22</v>
      </c>
      <c r="G33" s="1">
        <v>7200</v>
      </c>
      <c r="H33" s="2">
        <v>60</v>
      </c>
      <c r="I33" s="5" t="str">
        <f>CONCATENATE(H33,"x",INT(G33/H33))</f>
        <v>60x120</v>
      </c>
      <c r="J33">
        <v>41</v>
      </c>
      <c r="K33">
        <v>214</v>
      </c>
      <c r="L33" s="3">
        <v>2153</v>
      </c>
      <c r="M33" s="3">
        <v>3693</v>
      </c>
      <c r="N33" s="3">
        <v>2713</v>
      </c>
      <c r="O33" s="3">
        <v>433990</v>
      </c>
      <c r="P33" s="3">
        <v>533990</v>
      </c>
      <c r="Q33" s="3">
        <v>473823.3333</v>
      </c>
      <c r="S33">
        <v>33.223891999999999</v>
      </c>
      <c r="T33">
        <v>-111.52513</v>
      </c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</row>
    <row r="34" spans="2:74" ht="16" thickTop="1" thickBot="1" x14ac:dyDescent="0.25">
      <c r="B34" t="s">
        <v>219</v>
      </c>
      <c r="C34" t="s">
        <v>43</v>
      </c>
      <c r="D34" t="s">
        <v>220</v>
      </c>
      <c r="E34" t="s">
        <v>21</v>
      </c>
      <c r="F34" t="s">
        <v>22</v>
      </c>
      <c r="G34" s="1">
        <v>5160</v>
      </c>
      <c r="H34" s="2">
        <v>45</v>
      </c>
      <c r="I34" s="5" t="str">
        <f>CONCATENATE(H34,"x",INT(G34/H34))</f>
        <v>45x114</v>
      </c>
      <c r="J34">
        <v>226</v>
      </c>
      <c r="K34">
        <v>213</v>
      </c>
      <c r="L34" s="3">
        <v>1333</v>
      </c>
      <c r="M34" s="3">
        <v>2487</v>
      </c>
      <c r="N34" s="3">
        <v>1780</v>
      </c>
      <c r="O34" s="3">
        <v>390990</v>
      </c>
      <c r="P34" s="3">
        <v>497990</v>
      </c>
      <c r="Q34" s="3">
        <v>444090</v>
      </c>
      <c r="S34">
        <v>33.324061999999998</v>
      </c>
      <c r="T34">
        <v>-111.5789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</row>
    <row r="35" spans="2:74" ht="16" thickTop="1" thickBot="1" x14ac:dyDescent="0.25">
      <c r="B35" t="s">
        <v>403</v>
      </c>
      <c r="C35" t="s">
        <v>206</v>
      </c>
      <c r="E35" t="s">
        <v>21</v>
      </c>
      <c r="F35" t="s">
        <v>22</v>
      </c>
      <c r="G35" s="1">
        <v>5750</v>
      </c>
      <c r="H35" s="2">
        <v>50</v>
      </c>
      <c r="I35" s="5" t="str">
        <f>CONCATENATE(H35,"x",INT(G35/H35))</f>
        <v>50x115</v>
      </c>
      <c r="J35">
        <v>50</v>
      </c>
      <c r="K35">
        <v>212</v>
      </c>
      <c r="L35" s="3">
        <v>1402</v>
      </c>
      <c r="M35" s="3">
        <v>3131</v>
      </c>
      <c r="N35" s="3">
        <v>2188</v>
      </c>
      <c r="O35" s="3">
        <v>384990</v>
      </c>
      <c r="P35" s="3">
        <v>503990</v>
      </c>
      <c r="Q35" s="3">
        <v>446156.6666</v>
      </c>
      <c r="S35">
        <v>33.353794000000001</v>
      </c>
      <c r="T35">
        <v>-112.18405</v>
      </c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</row>
    <row r="36" spans="2:74" ht="16" thickTop="1" thickBot="1" x14ac:dyDescent="0.25">
      <c r="B36" t="s">
        <v>307</v>
      </c>
      <c r="C36" t="s">
        <v>38</v>
      </c>
      <c r="D36" t="s">
        <v>308</v>
      </c>
      <c r="E36" t="s">
        <v>21</v>
      </c>
      <c r="F36" t="s">
        <v>22</v>
      </c>
      <c r="G36" s="1">
        <v>5400</v>
      </c>
      <c r="H36" s="2">
        <v>45</v>
      </c>
      <c r="I36" s="5" t="str">
        <f>CONCATENATE(H36,"x",INT(G36/H36))</f>
        <v>45x120</v>
      </c>
      <c r="J36">
        <v>4</v>
      </c>
      <c r="K36">
        <v>212</v>
      </c>
      <c r="L36" s="3">
        <v>1715</v>
      </c>
      <c r="M36" s="3">
        <v>2961</v>
      </c>
      <c r="N36" s="3">
        <v>2263</v>
      </c>
      <c r="O36" s="3">
        <v>506990</v>
      </c>
      <c r="P36" s="3">
        <v>607990</v>
      </c>
      <c r="Q36" s="3">
        <v>551990</v>
      </c>
      <c r="S36">
        <v>33.346729000000003</v>
      </c>
      <c r="T36">
        <v>-111.66278</v>
      </c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</row>
    <row r="37" spans="2:74" ht="16" thickTop="1" thickBot="1" x14ac:dyDescent="0.25">
      <c r="B37" t="s">
        <v>510</v>
      </c>
      <c r="C37" t="s">
        <v>38</v>
      </c>
      <c r="D37" t="s">
        <v>357</v>
      </c>
      <c r="E37" t="s">
        <v>21</v>
      </c>
      <c r="F37" t="s">
        <v>22</v>
      </c>
      <c r="G37" s="1">
        <v>3000</v>
      </c>
      <c r="H37" s="2">
        <v>50</v>
      </c>
      <c r="I37" s="5" t="str">
        <f>CONCATENATE(H37,"x",INT(G37/H37))</f>
        <v>50x60</v>
      </c>
      <c r="J37">
        <v>189</v>
      </c>
      <c r="K37">
        <v>210</v>
      </c>
      <c r="L37" s="3">
        <v>1272</v>
      </c>
      <c r="M37" s="3">
        <v>1961</v>
      </c>
      <c r="N37" s="3">
        <v>1666</v>
      </c>
      <c r="O37" s="3">
        <v>315990</v>
      </c>
      <c r="P37" s="3">
        <v>368990</v>
      </c>
      <c r="Q37" s="3">
        <v>347990</v>
      </c>
      <c r="S37">
        <v>33.713023999999997</v>
      </c>
      <c r="T37">
        <v>-112.36649</v>
      </c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</row>
    <row r="38" spans="2:74" ht="16" thickTop="1" thickBot="1" x14ac:dyDescent="0.25">
      <c r="B38" t="s">
        <v>226</v>
      </c>
      <c r="C38" t="s">
        <v>206</v>
      </c>
      <c r="D38" t="s">
        <v>226</v>
      </c>
      <c r="E38" t="s">
        <v>21</v>
      </c>
      <c r="F38" t="s">
        <v>22</v>
      </c>
      <c r="G38" s="1">
        <v>5175</v>
      </c>
      <c r="H38" s="2">
        <v>45</v>
      </c>
      <c r="I38" s="5" t="str">
        <f>CONCATENATE(H38,"x",INT(G38/H38))</f>
        <v>45x115</v>
      </c>
      <c r="J38">
        <v>194</v>
      </c>
      <c r="K38">
        <v>205</v>
      </c>
      <c r="L38" s="3">
        <v>1402</v>
      </c>
      <c r="M38" s="3">
        <v>3131</v>
      </c>
      <c r="N38" s="3">
        <v>2159</v>
      </c>
      <c r="O38" s="3">
        <v>299990</v>
      </c>
      <c r="P38" s="3">
        <v>414990</v>
      </c>
      <c r="Q38" s="3">
        <v>353590</v>
      </c>
      <c r="S38">
        <v>33.115276000000001</v>
      </c>
      <c r="T38">
        <v>-111.50594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</row>
    <row r="39" spans="2:74" ht="16" thickTop="1" thickBot="1" x14ac:dyDescent="0.25">
      <c r="B39" t="s">
        <v>565</v>
      </c>
      <c r="C39" t="s">
        <v>94</v>
      </c>
      <c r="E39" t="s">
        <v>21</v>
      </c>
      <c r="F39" t="s">
        <v>22</v>
      </c>
      <c r="G39" s="1">
        <v>6600</v>
      </c>
      <c r="H39" s="2">
        <v>55</v>
      </c>
      <c r="I39" s="5" t="str">
        <f>CONCATENATE(H39,"x",INT(G39/H39))</f>
        <v>55x120</v>
      </c>
      <c r="J39">
        <v>29</v>
      </c>
      <c r="K39">
        <v>203</v>
      </c>
      <c r="L39" s="3">
        <v>2023</v>
      </c>
      <c r="M39" s="3">
        <v>3291</v>
      </c>
      <c r="N39" s="3">
        <v>2568</v>
      </c>
      <c r="O39" s="3">
        <v>491990</v>
      </c>
      <c r="P39" s="3">
        <v>614990</v>
      </c>
      <c r="Q39" s="3">
        <v>544406.6666</v>
      </c>
      <c r="S39">
        <v>33.208663999999999</v>
      </c>
      <c r="T39">
        <v>-111.58559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</row>
    <row r="40" spans="2:74" ht="16" thickTop="1" thickBot="1" x14ac:dyDescent="0.25">
      <c r="B40" t="s">
        <v>142</v>
      </c>
      <c r="C40" t="s">
        <v>43</v>
      </c>
      <c r="E40" t="s">
        <v>21</v>
      </c>
      <c r="F40" t="s">
        <v>22</v>
      </c>
      <c r="G40" s="1">
        <v>4600</v>
      </c>
      <c r="H40" s="2">
        <v>40</v>
      </c>
      <c r="I40" s="5" t="str">
        <f>CONCATENATE(H40,"x",INT(G40/H40))</f>
        <v>40x115</v>
      </c>
      <c r="J40">
        <v>5</v>
      </c>
      <c r="K40">
        <v>196</v>
      </c>
      <c r="L40" s="3">
        <v>1331</v>
      </c>
      <c r="M40" s="3">
        <v>2522</v>
      </c>
      <c r="N40" s="3">
        <v>1924</v>
      </c>
      <c r="O40" s="3">
        <v>324900</v>
      </c>
      <c r="P40" s="3">
        <v>393900</v>
      </c>
      <c r="Q40" s="3">
        <v>358900</v>
      </c>
      <c r="S40">
        <v>32.057358000000001</v>
      </c>
      <c r="T40">
        <v>-110.73351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</row>
    <row r="41" spans="2:74" ht="16" thickTop="1" thickBot="1" x14ac:dyDescent="0.25">
      <c r="B41" t="s">
        <v>309</v>
      </c>
      <c r="C41" t="s">
        <v>144</v>
      </c>
      <c r="D41" t="s">
        <v>306</v>
      </c>
      <c r="E41" t="s">
        <v>21</v>
      </c>
      <c r="F41" t="s">
        <v>22</v>
      </c>
      <c r="G41" s="1">
        <v>5400</v>
      </c>
      <c r="H41" s="2">
        <v>45</v>
      </c>
      <c r="I41" s="5" t="str">
        <f>CONCATENATE(H41,"x",INT(G41/H41))</f>
        <v>45x120</v>
      </c>
      <c r="J41">
        <v>20</v>
      </c>
      <c r="K41">
        <v>196</v>
      </c>
      <c r="L41" s="3">
        <v>1232</v>
      </c>
      <c r="M41" s="3">
        <v>1411</v>
      </c>
      <c r="N41" s="3">
        <v>1347</v>
      </c>
      <c r="O41" s="3">
        <v>346490</v>
      </c>
      <c r="P41" s="3">
        <v>356490</v>
      </c>
      <c r="Q41" s="3">
        <v>352656.6666</v>
      </c>
      <c r="S41">
        <v>33.221480999999997</v>
      </c>
      <c r="T41">
        <v>-111.53313</v>
      </c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</row>
    <row r="42" spans="2:74" ht="16" thickTop="1" thickBot="1" x14ac:dyDescent="0.25">
      <c r="B42" t="s">
        <v>439</v>
      </c>
      <c r="C42" t="s">
        <v>38</v>
      </c>
      <c r="D42" t="s">
        <v>440</v>
      </c>
      <c r="E42" t="s">
        <v>21</v>
      </c>
      <c r="F42" t="s">
        <v>22</v>
      </c>
      <c r="G42" s="1">
        <v>6000</v>
      </c>
      <c r="H42" s="2">
        <v>50</v>
      </c>
      <c r="I42" s="5" t="str">
        <f>CONCATENATE(H42,"x",INT(G42/H42))</f>
        <v>50x120</v>
      </c>
      <c r="J42">
        <v>68</v>
      </c>
      <c r="K42">
        <v>196</v>
      </c>
      <c r="L42" s="3">
        <v>1715</v>
      </c>
      <c r="M42" s="3">
        <v>2961</v>
      </c>
      <c r="N42" s="3">
        <v>2263</v>
      </c>
      <c r="O42" s="3">
        <v>390990</v>
      </c>
      <c r="P42" s="3">
        <v>482990</v>
      </c>
      <c r="Q42" s="3">
        <v>428490</v>
      </c>
      <c r="S42">
        <v>33.221541999999999</v>
      </c>
      <c r="T42">
        <v>-111.52642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</row>
    <row r="43" spans="2:74" ht="16" thickTop="1" thickBot="1" x14ac:dyDescent="0.25">
      <c r="B43" t="s">
        <v>201</v>
      </c>
      <c r="C43" t="s">
        <v>202</v>
      </c>
      <c r="D43" t="s">
        <v>203</v>
      </c>
      <c r="E43" t="s">
        <v>21</v>
      </c>
      <c r="F43" t="s">
        <v>22</v>
      </c>
      <c r="G43" s="1">
        <v>4950</v>
      </c>
      <c r="H43" s="2">
        <v>45</v>
      </c>
      <c r="I43" s="5" t="str">
        <f>CONCATENATE(H43,"x",INT(G43/H43))</f>
        <v>45x110</v>
      </c>
      <c r="J43">
        <v>73</v>
      </c>
      <c r="K43">
        <v>193</v>
      </c>
      <c r="L43" s="3">
        <v>1168</v>
      </c>
      <c r="M43" s="3">
        <v>2340</v>
      </c>
      <c r="N43" s="3">
        <v>1698</v>
      </c>
      <c r="O43" s="3">
        <v>273990</v>
      </c>
      <c r="P43" s="3">
        <v>345990</v>
      </c>
      <c r="Q43" s="3">
        <v>309418.57140000002</v>
      </c>
      <c r="S43">
        <v>32.990561999999997</v>
      </c>
      <c r="T43">
        <v>-111.54764</v>
      </c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</row>
    <row r="44" spans="2:74" ht="16" thickTop="1" thickBot="1" x14ac:dyDescent="0.25">
      <c r="B44" t="s">
        <v>356</v>
      </c>
      <c r="C44" t="s">
        <v>38</v>
      </c>
      <c r="D44" t="s">
        <v>357</v>
      </c>
      <c r="E44" t="s">
        <v>21</v>
      </c>
      <c r="F44" t="s">
        <v>22</v>
      </c>
      <c r="G44" s="1">
        <v>4275</v>
      </c>
      <c r="H44" s="2">
        <v>45</v>
      </c>
      <c r="I44" s="5" t="str">
        <f>CONCATENATE(H44,"x",INT(G44/H44))</f>
        <v>45x95</v>
      </c>
      <c r="J44">
        <v>253</v>
      </c>
      <c r="K44">
        <v>192</v>
      </c>
      <c r="L44" s="3">
        <v>1504</v>
      </c>
      <c r="M44" s="3">
        <v>2299</v>
      </c>
      <c r="N44" s="3">
        <v>1906</v>
      </c>
      <c r="O44" s="3">
        <v>361990</v>
      </c>
      <c r="P44" s="3">
        <v>418990</v>
      </c>
      <c r="Q44" s="3">
        <v>391740</v>
      </c>
      <c r="S44">
        <v>33.704250000000002</v>
      </c>
      <c r="T44">
        <v>-112.3716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</row>
    <row r="45" spans="2:74" ht="16" thickTop="1" thickBot="1" x14ac:dyDescent="0.25">
      <c r="B45" t="s">
        <v>310</v>
      </c>
      <c r="C45" t="s">
        <v>144</v>
      </c>
      <c r="D45" t="s">
        <v>305</v>
      </c>
      <c r="E45" t="s">
        <v>21</v>
      </c>
      <c r="F45" t="s">
        <v>22</v>
      </c>
      <c r="G45" s="1">
        <v>5400</v>
      </c>
      <c r="H45" s="2">
        <v>45</v>
      </c>
      <c r="I45" s="5" t="str">
        <f>CONCATENATE(H45,"x",INT(G45/H45))</f>
        <v>45x120</v>
      </c>
      <c r="J45">
        <v>22</v>
      </c>
      <c r="K45">
        <v>189</v>
      </c>
      <c r="L45" s="3">
        <v>1232</v>
      </c>
      <c r="M45" s="3">
        <v>1609</v>
      </c>
      <c r="N45" s="3">
        <v>1440</v>
      </c>
      <c r="O45" s="3">
        <v>306990</v>
      </c>
      <c r="P45" s="3">
        <v>345990</v>
      </c>
      <c r="Q45" s="3">
        <v>327656.6666</v>
      </c>
      <c r="S45">
        <v>33.149707999999997</v>
      </c>
      <c r="T45">
        <v>-111.43541999999999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</row>
    <row r="46" spans="2:74" ht="16" thickTop="1" thickBot="1" x14ac:dyDescent="0.25">
      <c r="B46" t="s">
        <v>346</v>
      </c>
      <c r="C46" t="s">
        <v>94</v>
      </c>
      <c r="E46" t="s">
        <v>21</v>
      </c>
      <c r="F46" t="s">
        <v>22</v>
      </c>
      <c r="G46" s="1">
        <v>5850</v>
      </c>
      <c r="H46" s="2">
        <v>45</v>
      </c>
      <c r="I46" s="5" t="str">
        <f>CONCATENATE(H46,"x",INT(G46/H46))</f>
        <v>45x130</v>
      </c>
      <c r="J46">
        <v>76</v>
      </c>
      <c r="K46">
        <v>189</v>
      </c>
      <c r="L46" s="3">
        <v>1627</v>
      </c>
      <c r="M46" s="3">
        <v>3548</v>
      </c>
      <c r="N46" s="3">
        <v>2476</v>
      </c>
      <c r="O46" s="3">
        <v>434490</v>
      </c>
      <c r="P46" s="3">
        <v>713990</v>
      </c>
      <c r="Q46" s="3">
        <v>563085.23800000001</v>
      </c>
      <c r="S46">
        <v>33.743693999999998</v>
      </c>
      <c r="T46">
        <v>-112.34896000000001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</row>
    <row r="47" spans="2:74" ht="16" thickTop="1" thickBot="1" x14ac:dyDescent="0.25">
      <c r="B47" t="s">
        <v>227</v>
      </c>
      <c r="C47" t="s">
        <v>123</v>
      </c>
      <c r="E47" t="s">
        <v>21</v>
      </c>
      <c r="F47" t="s">
        <v>22</v>
      </c>
      <c r="G47" s="1">
        <v>5175</v>
      </c>
      <c r="H47" s="2">
        <v>45</v>
      </c>
      <c r="I47" s="5" t="str">
        <f>CONCATENATE(H47,"x",INT(G47/H47))</f>
        <v>45x115</v>
      </c>
      <c r="J47">
        <v>61</v>
      </c>
      <c r="K47">
        <v>187</v>
      </c>
      <c r="L47" s="3">
        <v>1315</v>
      </c>
      <c r="M47" s="3">
        <v>3018</v>
      </c>
      <c r="N47" s="3">
        <v>2197</v>
      </c>
      <c r="O47" s="3">
        <v>342990</v>
      </c>
      <c r="P47" s="3">
        <v>432990</v>
      </c>
      <c r="Q47" s="3">
        <v>390275.71419999999</v>
      </c>
      <c r="S47">
        <v>33.727383000000003</v>
      </c>
      <c r="T47">
        <v>-112.42726999999999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</row>
    <row r="48" spans="2:74" ht="16" thickTop="1" thickBot="1" x14ac:dyDescent="0.25">
      <c r="B48" t="s">
        <v>647</v>
      </c>
      <c r="C48" t="s">
        <v>31</v>
      </c>
      <c r="D48" t="s">
        <v>49</v>
      </c>
      <c r="E48" t="s">
        <v>21</v>
      </c>
      <c r="F48" t="s">
        <v>22</v>
      </c>
      <c r="G48" s="1">
        <v>6900</v>
      </c>
      <c r="H48" s="2">
        <v>60</v>
      </c>
      <c r="I48" s="5" t="str">
        <f>CONCATENATE(H48,"x",INT(G48/H48))</f>
        <v>60x115</v>
      </c>
      <c r="J48">
        <v>64</v>
      </c>
      <c r="K48">
        <v>182</v>
      </c>
      <c r="L48" s="3">
        <v>2354</v>
      </c>
      <c r="M48" s="3">
        <v>2749</v>
      </c>
      <c r="N48" s="3">
        <v>2530</v>
      </c>
      <c r="O48" s="3">
        <v>700995</v>
      </c>
      <c r="P48" s="3">
        <v>749995</v>
      </c>
      <c r="Q48" s="3">
        <v>727328.33330000006</v>
      </c>
      <c r="R48" t="s">
        <v>402</v>
      </c>
      <c r="S48">
        <v>33.585673999999997</v>
      </c>
      <c r="T48">
        <v>-112.43105</v>
      </c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</row>
    <row r="49" spans="2:74" ht="16" thickTop="1" thickBot="1" x14ac:dyDescent="0.25">
      <c r="B49" t="s">
        <v>158</v>
      </c>
      <c r="C49" t="s">
        <v>43</v>
      </c>
      <c r="D49" t="s">
        <v>158</v>
      </c>
      <c r="E49" t="s">
        <v>21</v>
      </c>
      <c r="F49" t="s">
        <v>22</v>
      </c>
      <c r="G49" s="1">
        <v>5175</v>
      </c>
      <c r="H49" s="2">
        <v>45</v>
      </c>
      <c r="I49" s="5" t="str">
        <f>CONCATENATE(H49,"x",INT(G49/H49))</f>
        <v>45x115</v>
      </c>
      <c r="J49">
        <v>171</v>
      </c>
      <c r="K49">
        <v>181</v>
      </c>
      <c r="L49" s="3">
        <v>1317</v>
      </c>
      <c r="M49" s="3">
        <v>2190</v>
      </c>
      <c r="N49" s="3">
        <v>1714</v>
      </c>
      <c r="O49" s="3">
        <v>324990</v>
      </c>
      <c r="P49" s="3">
        <v>407990</v>
      </c>
      <c r="Q49" s="3">
        <v>360156.6666</v>
      </c>
      <c r="S49">
        <v>33.087437000000001</v>
      </c>
      <c r="T49">
        <v>-112.00775</v>
      </c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</row>
    <row r="50" spans="2:74" ht="16" thickTop="1" thickBot="1" x14ac:dyDescent="0.25">
      <c r="B50" t="s">
        <v>228</v>
      </c>
      <c r="C50" t="s">
        <v>202</v>
      </c>
      <c r="D50" t="s">
        <v>179</v>
      </c>
      <c r="E50" t="s">
        <v>21</v>
      </c>
      <c r="F50" t="s">
        <v>22</v>
      </c>
      <c r="G50" s="1">
        <v>5175</v>
      </c>
      <c r="H50" s="2">
        <v>45</v>
      </c>
      <c r="I50" s="5" t="str">
        <f>CONCATENATE(H50,"x",INT(G50/H50))</f>
        <v>45x115</v>
      </c>
      <c r="J50">
        <v>40</v>
      </c>
      <c r="K50">
        <v>178</v>
      </c>
      <c r="L50" s="3">
        <v>1252</v>
      </c>
      <c r="M50" s="3">
        <v>2340</v>
      </c>
      <c r="N50" s="3">
        <v>1770</v>
      </c>
      <c r="O50" s="3">
        <v>354990</v>
      </c>
      <c r="P50" s="3">
        <v>424990</v>
      </c>
      <c r="Q50" s="3">
        <v>385990</v>
      </c>
      <c r="S50">
        <v>33.702449999999999</v>
      </c>
      <c r="T50">
        <v>-112.44651</v>
      </c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</row>
    <row r="51" spans="2:74" ht="16" thickTop="1" thickBot="1" x14ac:dyDescent="0.25">
      <c r="B51" t="s">
        <v>441</v>
      </c>
      <c r="C51" t="s">
        <v>442</v>
      </c>
      <c r="D51" t="s">
        <v>441</v>
      </c>
      <c r="E51" t="s">
        <v>21</v>
      </c>
      <c r="F51" t="s">
        <v>22</v>
      </c>
      <c r="G51" s="1">
        <v>6025</v>
      </c>
      <c r="H51" s="2">
        <v>50</v>
      </c>
      <c r="I51" s="5" t="str">
        <f>CONCATENATE(H51,"x",INT(G51/H51))</f>
        <v>50x120</v>
      </c>
      <c r="J51">
        <v>56</v>
      </c>
      <c r="K51">
        <v>175</v>
      </c>
      <c r="L51" s="3">
        <v>1303</v>
      </c>
      <c r="M51" s="3">
        <v>3498</v>
      </c>
      <c r="N51" s="3">
        <v>2131</v>
      </c>
      <c r="O51" s="3">
        <v>324990</v>
      </c>
      <c r="P51" s="3">
        <v>506990</v>
      </c>
      <c r="Q51" s="3">
        <v>402990</v>
      </c>
      <c r="S51">
        <v>32.940219999999997</v>
      </c>
      <c r="T51">
        <v>-111.73547000000001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</row>
    <row r="52" spans="2:74" ht="16" thickTop="1" thickBot="1" x14ac:dyDescent="0.25">
      <c r="B52" t="s">
        <v>196</v>
      </c>
      <c r="C52" t="s">
        <v>38</v>
      </c>
      <c r="D52" t="s">
        <v>197</v>
      </c>
      <c r="E52" t="s">
        <v>21</v>
      </c>
      <c r="F52" t="s">
        <v>22</v>
      </c>
      <c r="G52" s="1">
        <v>4500</v>
      </c>
      <c r="H52" s="2">
        <v>45</v>
      </c>
      <c r="I52" s="5" t="str">
        <f>CONCATENATE(H52,"x",INT(G52/H52))</f>
        <v>45x100</v>
      </c>
      <c r="J52">
        <v>24</v>
      </c>
      <c r="K52">
        <v>175</v>
      </c>
      <c r="L52" s="3">
        <v>1504</v>
      </c>
      <c r="M52" s="3">
        <v>2299</v>
      </c>
      <c r="N52" s="3">
        <v>1906</v>
      </c>
      <c r="O52" s="3">
        <v>402990</v>
      </c>
      <c r="P52" s="3">
        <v>449990</v>
      </c>
      <c r="Q52" s="3">
        <v>426990</v>
      </c>
      <c r="S52">
        <v>33.492775000000002</v>
      </c>
      <c r="T52">
        <v>-112.27951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</row>
    <row r="53" spans="2:74" ht="16" thickTop="1" thickBot="1" x14ac:dyDescent="0.25">
      <c r="B53" t="s">
        <v>229</v>
      </c>
      <c r="C53" t="s">
        <v>114</v>
      </c>
      <c r="E53" t="s">
        <v>21</v>
      </c>
      <c r="F53" t="s">
        <v>22</v>
      </c>
      <c r="G53" s="1">
        <v>5175</v>
      </c>
      <c r="H53" s="2">
        <v>45</v>
      </c>
      <c r="I53" s="5" t="str">
        <f>CONCATENATE(H53,"x",INT(G53/H53))</f>
        <v>45x115</v>
      </c>
      <c r="J53">
        <v>31</v>
      </c>
      <c r="K53">
        <v>174</v>
      </c>
      <c r="L53" s="3">
        <v>1503</v>
      </c>
      <c r="M53" s="3">
        <v>2093</v>
      </c>
      <c r="N53" s="3">
        <v>1809</v>
      </c>
      <c r="O53" s="3">
        <v>390990</v>
      </c>
      <c r="P53" s="3">
        <v>435990</v>
      </c>
      <c r="Q53" s="3">
        <v>409990</v>
      </c>
      <c r="S53">
        <v>33.411003000000001</v>
      </c>
      <c r="T53">
        <v>-112.25324999999999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</row>
    <row r="54" spans="2:74" ht="16" thickTop="1" thickBot="1" x14ac:dyDescent="0.25">
      <c r="B54" t="s">
        <v>553</v>
      </c>
      <c r="C54" t="s">
        <v>43</v>
      </c>
      <c r="E54" t="s">
        <v>21</v>
      </c>
      <c r="F54" t="s">
        <v>22</v>
      </c>
      <c r="G54" s="1">
        <v>6325</v>
      </c>
      <c r="H54" s="2">
        <v>55</v>
      </c>
      <c r="I54" s="5" t="str">
        <f>CONCATENATE(H54,"x",INT(G54/H54))</f>
        <v>55x115</v>
      </c>
      <c r="J54">
        <v>25</v>
      </c>
      <c r="K54">
        <v>173</v>
      </c>
      <c r="L54" s="3">
        <v>1093</v>
      </c>
      <c r="M54" s="3">
        <v>2626</v>
      </c>
      <c r="N54" s="3">
        <v>1823</v>
      </c>
      <c r="O54" s="3">
        <v>289990</v>
      </c>
      <c r="P54" s="3">
        <v>435990</v>
      </c>
      <c r="Q54" s="3">
        <v>363080.90899999999</v>
      </c>
      <c r="S54">
        <v>32.868523000000003</v>
      </c>
      <c r="T54">
        <v>-111.71854</v>
      </c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</row>
    <row r="55" spans="2:74" ht="16" thickTop="1" thickBot="1" x14ac:dyDescent="0.25">
      <c r="B55" t="s">
        <v>143</v>
      </c>
      <c r="C55" t="s">
        <v>144</v>
      </c>
      <c r="D55" t="s">
        <v>145</v>
      </c>
      <c r="E55" t="s">
        <v>21</v>
      </c>
      <c r="F55" t="s">
        <v>22</v>
      </c>
      <c r="G55" s="1">
        <v>4600</v>
      </c>
      <c r="H55" s="2">
        <v>40</v>
      </c>
      <c r="I55" s="5" t="str">
        <f>CONCATENATE(H55,"x",INT(G55/H55))</f>
        <v>40x115</v>
      </c>
      <c r="J55">
        <v>48</v>
      </c>
      <c r="K55">
        <v>172</v>
      </c>
      <c r="L55" s="3">
        <v>1366</v>
      </c>
      <c r="M55" s="3">
        <v>2570</v>
      </c>
      <c r="N55" s="3">
        <v>1999</v>
      </c>
      <c r="O55" s="3">
        <v>270990</v>
      </c>
      <c r="P55" s="3">
        <v>337990</v>
      </c>
      <c r="Q55" s="3">
        <v>308790</v>
      </c>
      <c r="S55">
        <v>32.564072000000003</v>
      </c>
      <c r="T55">
        <v>-111.33283</v>
      </c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</row>
    <row r="56" spans="2:74" ht="16" thickTop="1" thickBot="1" x14ac:dyDescent="0.25">
      <c r="B56" t="s">
        <v>443</v>
      </c>
      <c r="C56" t="s">
        <v>114</v>
      </c>
      <c r="E56" t="s">
        <v>21</v>
      </c>
      <c r="F56" t="s">
        <v>22</v>
      </c>
      <c r="G56" s="1">
        <v>6000</v>
      </c>
      <c r="H56" s="2">
        <v>50</v>
      </c>
      <c r="I56" s="5" t="str">
        <f>CONCATENATE(H56,"x",INT(G56/H56))</f>
        <v>50x120</v>
      </c>
      <c r="J56">
        <v>51</v>
      </c>
      <c r="K56">
        <v>168</v>
      </c>
      <c r="L56" s="3">
        <v>1424</v>
      </c>
      <c r="M56" s="3">
        <v>2049</v>
      </c>
      <c r="N56" s="3">
        <v>1718</v>
      </c>
      <c r="O56" s="3">
        <v>387990</v>
      </c>
      <c r="P56" s="3">
        <v>432990</v>
      </c>
      <c r="Q56" s="3">
        <v>409240</v>
      </c>
      <c r="S56">
        <v>33.201220999999997</v>
      </c>
      <c r="T56">
        <v>-111.61105999999999</v>
      </c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</row>
    <row r="57" spans="2:74" ht="16" thickTop="1" thickBot="1" x14ac:dyDescent="0.25">
      <c r="B57" t="s">
        <v>641</v>
      </c>
      <c r="C57" t="s">
        <v>31</v>
      </c>
      <c r="D57" t="s">
        <v>49</v>
      </c>
      <c r="E57" t="s">
        <v>21</v>
      </c>
      <c r="F57" t="s">
        <v>22</v>
      </c>
      <c r="G57" s="1">
        <v>6600</v>
      </c>
      <c r="H57" s="2">
        <v>60</v>
      </c>
      <c r="I57" s="5" t="str">
        <f>CONCATENATE(H57,"x",INT(G57/H57))</f>
        <v>60x110</v>
      </c>
      <c r="J57">
        <v>115</v>
      </c>
      <c r="K57">
        <v>165</v>
      </c>
      <c r="L57" s="3">
        <v>2354</v>
      </c>
      <c r="M57" s="3">
        <v>3741</v>
      </c>
      <c r="N57" s="3">
        <v>2916</v>
      </c>
      <c r="O57" s="3">
        <v>685995</v>
      </c>
      <c r="P57" s="3">
        <v>835995</v>
      </c>
      <c r="Q57" s="3">
        <v>745995</v>
      </c>
      <c r="R57" t="s">
        <v>50</v>
      </c>
      <c r="S57">
        <v>33.585014000000001</v>
      </c>
      <c r="T57">
        <v>-112.43073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</row>
    <row r="58" spans="2:74" ht="16" thickTop="1" thickBot="1" x14ac:dyDescent="0.25">
      <c r="B58" t="s">
        <v>651</v>
      </c>
      <c r="C58" t="s">
        <v>116</v>
      </c>
      <c r="E58" t="s">
        <v>21</v>
      </c>
      <c r="F58" t="s">
        <v>22</v>
      </c>
      <c r="G58" s="1">
        <v>7200</v>
      </c>
      <c r="H58" s="2">
        <v>60</v>
      </c>
      <c r="I58" s="5" t="str">
        <f>CONCATENATE(H58,"x",INT(G58/H58))</f>
        <v>60x120</v>
      </c>
      <c r="J58">
        <v>60</v>
      </c>
      <c r="K58">
        <v>162</v>
      </c>
      <c r="L58" s="3">
        <v>1330</v>
      </c>
      <c r="M58" s="3">
        <v>2628</v>
      </c>
      <c r="N58" s="3">
        <v>1961</v>
      </c>
      <c r="O58" s="3">
        <v>277990</v>
      </c>
      <c r="P58" s="3">
        <v>378990</v>
      </c>
      <c r="Q58" s="3">
        <v>333865</v>
      </c>
      <c r="S58">
        <v>32.936855000000001</v>
      </c>
      <c r="T58">
        <v>-111.72375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</row>
    <row r="59" spans="2:74" ht="16" thickTop="1" thickBot="1" x14ac:dyDescent="0.25">
      <c r="B59" t="s">
        <v>230</v>
      </c>
      <c r="C59" t="s">
        <v>43</v>
      </c>
      <c r="D59" t="s">
        <v>231</v>
      </c>
      <c r="E59" t="s">
        <v>21</v>
      </c>
      <c r="F59" t="s">
        <v>22</v>
      </c>
      <c r="G59" s="1">
        <v>5175</v>
      </c>
      <c r="H59" s="2">
        <v>45</v>
      </c>
      <c r="I59" s="5" t="str">
        <f>CONCATENATE(H59,"x",INT(G59/H59))</f>
        <v>45x115</v>
      </c>
      <c r="J59">
        <v>311</v>
      </c>
      <c r="K59">
        <v>161</v>
      </c>
      <c r="L59" s="3">
        <v>1611</v>
      </c>
      <c r="M59" s="3">
        <v>3221</v>
      </c>
      <c r="N59" s="3">
        <v>2205</v>
      </c>
      <c r="O59" s="3">
        <v>484990</v>
      </c>
      <c r="P59" s="3">
        <v>670990</v>
      </c>
      <c r="Q59" s="3">
        <v>577171.81810000003</v>
      </c>
      <c r="S59">
        <v>33.678089</v>
      </c>
      <c r="T59">
        <v>-112.28352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</row>
    <row r="60" spans="2:74" ht="16" thickTop="1" thickBot="1" x14ac:dyDescent="0.25">
      <c r="B60" t="s">
        <v>753</v>
      </c>
      <c r="C60" t="s">
        <v>38</v>
      </c>
      <c r="D60" t="s">
        <v>552</v>
      </c>
      <c r="E60" t="s">
        <v>21</v>
      </c>
      <c r="F60" t="s">
        <v>22</v>
      </c>
      <c r="G60" s="1">
        <v>6175</v>
      </c>
      <c r="H60" s="2">
        <v>65</v>
      </c>
      <c r="I60" s="5" t="str">
        <f>CONCATENATE(H60,"x",INT(G60/H60))</f>
        <v>65x95</v>
      </c>
      <c r="J60">
        <v>205</v>
      </c>
      <c r="K60">
        <v>160</v>
      </c>
      <c r="L60" s="3">
        <v>1811</v>
      </c>
      <c r="M60" s="3">
        <v>2149</v>
      </c>
      <c r="N60" s="3">
        <v>1997</v>
      </c>
      <c r="O60" s="3">
        <v>456990</v>
      </c>
      <c r="P60" s="3">
        <v>479990</v>
      </c>
      <c r="Q60" s="3">
        <v>470740</v>
      </c>
      <c r="R60" t="s">
        <v>190</v>
      </c>
      <c r="S60">
        <v>33.242171999999997</v>
      </c>
      <c r="T60">
        <v>-111.57813</v>
      </c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</row>
    <row r="61" spans="2:74" ht="16" thickTop="1" thickBot="1" x14ac:dyDescent="0.25">
      <c r="B61" t="s">
        <v>791</v>
      </c>
      <c r="C61" t="s">
        <v>38</v>
      </c>
      <c r="E61" t="s">
        <v>21</v>
      </c>
      <c r="F61" t="s">
        <v>22</v>
      </c>
      <c r="G61" s="1">
        <v>9100</v>
      </c>
      <c r="H61" s="2">
        <v>70</v>
      </c>
      <c r="I61" s="5" t="str">
        <f>CONCATENATE(H61,"x",INT(G61/H61))</f>
        <v>70x130</v>
      </c>
      <c r="J61">
        <v>27</v>
      </c>
      <c r="K61">
        <v>156</v>
      </c>
      <c r="L61" s="3">
        <v>2661</v>
      </c>
      <c r="M61" s="3">
        <v>4517</v>
      </c>
      <c r="N61" s="3">
        <v>3624</v>
      </c>
      <c r="O61" s="3">
        <v>639990</v>
      </c>
      <c r="P61" s="3">
        <v>797990</v>
      </c>
      <c r="Q61" s="3">
        <v>727590</v>
      </c>
      <c r="S61">
        <v>33.241656999999996</v>
      </c>
      <c r="T61">
        <v>-111.64118999999999</v>
      </c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</row>
    <row r="62" spans="2:74" ht="16" thickTop="1" thickBot="1" x14ac:dyDescent="0.25">
      <c r="B62" t="s">
        <v>404</v>
      </c>
      <c r="C62" t="s">
        <v>94</v>
      </c>
      <c r="E62" t="s">
        <v>21</v>
      </c>
      <c r="F62" t="s">
        <v>22</v>
      </c>
      <c r="G62" s="1">
        <v>5750</v>
      </c>
      <c r="H62" s="2">
        <v>50</v>
      </c>
      <c r="I62" s="5" t="str">
        <f>CONCATENATE(H62,"x",INT(G62/H62))</f>
        <v>50x115</v>
      </c>
      <c r="J62">
        <v>28</v>
      </c>
      <c r="K62">
        <v>153</v>
      </c>
      <c r="L62" s="3">
        <v>1775</v>
      </c>
      <c r="M62" s="3">
        <v>2624</v>
      </c>
      <c r="N62" s="3">
        <v>2147</v>
      </c>
      <c r="O62" s="3">
        <v>444490</v>
      </c>
      <c r="P62" s="3">
        <v>520990</v>
      </c>
      <c r="Q62" s="3">
        <v>476323.3333</v>
      </c>
      <c r="S62">
        <v>33.208710000000004</v>
      </c>
      <c r="T62">
        <v>-111.58927</v>
      </c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</row>
    <row r="63" spans="2:74" ht="16" thickTop="1" thickBot="1" x14ac:dyDescent="0.25">
      <c r="B63" t="s">
        <v>652</v>
      </c>
      <c r="C63" t="s">
        <v>31</v>
      </c>
      <c r="E63" t="s">
        <v>21</v>
      </c>
      <c r="F63" t="s">
        <v>22</v>
      </c>
      <c r="G63" s="1">
        <v>7200</v>
      </c>
      <c r="H63" s="2">
        <v>60</v>
      </c>
      <c r="I63" s="5" t="str">
        <f>CONCATENATE(H63,"x",INT(G63/H63))</f>
        <v>60x120</v>
      </c>
      <c r="J63">
        <v>78</v>
      </c>
      <c r="K63">
        <v>152</v>
      </c>
      <c r="L63" s="3">
        <v>1902</v>
      </c>
      <c r="M63" s="3">
        <v>3164</v>
      </c>
      <c r="N63" s="3">
        <v>2586</v>
      </c>
      <c r="O63" s="3">
        <v>510995</v>
      </c>
      <c r="P63" s="3">
        <v>603995</v>
      </c>
      <c r="Q63" s="3">
        <v>556995</v>
      </c>
      <c r="S63">
        <v>33.203544999999998</v>
      </c>
      <c r="T63">
        <v>-111.60498</v>
      </c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</row>
    <row r="64" spans="2:74" ht="16" thickTop="1" thickBot="1" x14ac:dyDescent="0.25">
      <c r="B64" t="s">
        <v>204</v>
      </c>
      <c r="C64" t="s">
        <v>187</v>
      </c>
      <c r="D64" t="s">
        <v>205</v>
      </c>
      <c r="E64" t="s">
        <v>21</v>
      </c>
      <c r="F64" t="s">
        <v>22</v>
      </c>
      <c r="G64" s="1">
        <v>4950</v>
      </c>
      <c r="H64" s="2">
        <v>45</v>
      </c>
      <c r="I64" s="5" t="str">
        <f>CONCATENATE(H64,"x",INT(G64/H64))</f>
        <v>45x110</v>
      </c>
      <c r="J64">
        <v>10</v>
      </c>
      <c r="K64">
        <v>150</v>
      </c>
      <c r="L64" s="3">
        <v>1494</v>
      </c>
      <c r="M64" s="3">
        <v>2941</v>
      </c>
      <c r="N64" s="3">
        <v>2126</v>
      </c>
      <c r="O64" s="3">
        <v>299990</v>
      </c>
      <c r="P64" s="3">
        <v>389990</v>
      </c>
      <c r="Q64" s="3">
        <v>339990</v>
      </c>
      <c r="S64">
        <v>32.988979</v>
      </c>
      <c r="T64">
        <v>-112.08054</v>
      </c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</row>
    <row r="65" spans="2:74" ht="16" thickTop="1" thickBot="1" x14ac:dyDescent="0.25">
      <c r="B65" t="s">
        <v>53</v>
      </c>
      <c r="C65" t="s">
        <v>33</v>
      </c>
      <c r="E65" t="s">
        <v>21</v>
      </c>
      <c r="F65" t="s">
        <v>22</v>
      </c>
      <c r="G65" s="1">
        <v>30800</v>
      </c>
      <c r="H65" s="2">
        <v>110</v>
      </c>
      <c r="I65" s="5" t="str">
        <f>CONCATENATE(H65,"x",INT(G65/H65))</f>
        <v>110x280</v>
      </c>
      <c r="J65">
        <v>0</v>
      </c>
      <c r="K65">
        <v>150</v>
      </c>
      <c r="L65" s="3">
        <v>1863</v>
      </c>
      <c r="M65" s="3">
        <v>3770</v>
      </c>
      <c r="N65" s="3">
        <v>2723</v>
      </c>
      <c r="O65" s="3">
        <v>590000</v>
      </c>
      <c r="P65" s="3">
        <v>900000</v>
      </c>
      <c r="Q65" s="3">
        <v>745000</v>
      </c>
      <c r="S65">
        <v>32.492775000000002</v>
      </c>
      <c r="T65">
        <v>-110.90597</v>
      </c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</row>
    <row r="66" spans="2:74" ht="16" thickTop="1" thickBot="1" x14ac:dyDescent="0.25">
      <c r="B66" t="s">
        <v>444</v>
      </c>
      <c r="C66" t="s">
        <v>116</v>
      </c>
      <c r="E66" t="s">
        <v>21</v>
      </c>
      <c r="F66" t="s">
        <v>22</v>
      </c>
      <c r="G66" s="1">
        <v>6000</v>
      </c>
      <c r="H66" s="2">
        <v>50</v>
      </c>
      <c r="I66" s="5" t="str">
        <f>CONCATENATE(H66,"x",INT(G66/H66))</f>
        <v>50x120</v>
      </c>
      <c r="J66">
        <v>17</v>
      </c>
      <c r="K66">
        <v>148</v>
      </c>
      <c r="L66" s="3">
        <v>1455</v>
      </c>
      <c r="M66" s="3">
        <v>2893</v>
      </c>
      <c r="N66" s="3">
        <v>2207</v>
      </c>
      <c r="O66" s="3">
        <v>361990</v>
      </c>
      <c r="P66" s="3">
        <v>439990</v>
      </c>
      <c r="Q66" s="3">
        <v>407190</v>
      </c>
      <c r="S66">
        <v>33.432980000000001</v>
      </c>
      <c r="T66">
        <v>-112.45144999999999</v>
      </c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</row>
    <row r="67" spans="2:74" ht="16" thickTop="1" thickBot="1" x14ac:dyDescent="0.25">
      <c r="B67" t="s">
        <v>445</v>
      </c>
      <c r="C67" t="s">
        <v>43</v>
      </c>
      <c r="E67" t="s">
        <v>21</v>
      </c>
      <c r="F67" t="s">
        <v>22</v>
      </c>
      <c r="G67" s="1">
        <v>6000</v>
      </c>
      <c r="H67" s="2">
        <v>50</v>
      </c>
      <c r="I67" s="5" t="str">
        <f>CONCATENATE(H67,"x",INT(G67/H67))</f>
        <v>50x120</v>
      </c>
      <c r="J67">
        <v>104</v>
      </c>
      <c r="K67">
        <v>147</v>
      </c>
      <c r="L67" s="3">
        <v>1423</v>
      </c>
      <c r="M67" s="3">
        <v>2697</v>
      </c>
      <c r="N67" s="3">
        <v>2086</v>
      </c>
      <c r="O67" s="3">
        <v>321900</v>
      </c>
      <c r="P67" s="3">
        <v>499990</v>
      </c>
      <c r="Q67" s="3">
        <v>409664.1176</v>
      </c>
      <c r="S67">
        <v>32.449120000000001</v>
      </c>
      <c r="T67">
        <v>-111.23192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</row>
    <row r="68" spans="2:74" ht="16" thickTop="1" thickBot="1" x14ac:dyDescent="0.25">
      <c r="B68" t="s">
        <v>653</v>
      </c>
      <c r="C68" t="s">
        <v>181</v>
      </c>
      <c r="D68" t="s">
        <v>654</v>
      </c>
      <c r="E68" t="s">
        <v>21</v>
      </c>
      <c r="F68" t="s">
        <v>22</v>
      </c>
      <c r="G68" s="1">
        <v>7200</v>
      </c>
      <c r="H68" s="2">
        <v>60</v>
      </c>
      <c r="I68" s="5" t="str">
        <f>CONCATENATE(H68,"x",INT(G68/H68))</f>
        <v>60x120</v>
      </c>
      <c r="J68">
        <v>11</v>
      </c>
      <c r="K68">
        <v>144</v>
      </c>
      <c r="L68" s="3">
        <v>1753</v>
      </c>
      <c r="M68" s="3">
        <v>3474</v>
      </c>
      <c r="N68" s="3">
        <v>2494</v>
      </c>
      <c r="O68" s="3">
        <v>548262</v>
      </c>
      <c r="P68" s="3">
        <v>650000</v>
      </c>
      <c r="Q68" s="3">
        <v>603165.5</v>
      </c>
      <c r="S68">
        <v>33.350310999999998</v>
      </c>
      <c r="T68">
        <v>-112.1649</v>
      </c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</row>
    <row r="69" spans="2:74" ht="16" thickTop="1" thickBot="1" x14ac:dyDescent="0.25">
      <c r="B69" t="s">
        <v>158</v>
      </c>
      <c r="C69" t="s">
        <v>272</v>
      </c>
      <c r="D69" t="s">
        <v>158</v>
      </c>
      <c r="E69" t="s">
        <v>21</v>
      </c>
      <c r="F69" t="s">
        <v>22</v>
      </c>
      <c r="G69" s="1">
        <v>6000</v>
      </c>
      <c r="H69" s="2">
        <v>50</v>
      </c>
      <c r="I69" s="5" t="str">
        <f>CONCATENATE(H69,"x",INT(G69/H69))</f>
        <v>50x120</v>
      </c>
      <c r="J69">
        <v>97</v>
      </c>
      <c r="K69">
        <v>143</v>
      </c>
      <c r="L69" s="3">
        <v>1896</v>
      </c>
      <c r="M69" s="3">
        <v>3199</v>
      </c>
      <c r="N69" s="3">
        <v>2382</v>
      </c>
      <c r="O69" s="3">
        <v>397990</v>
      </c>
      <c r="P69" s="3">
        <v>507990</v>
      </c>
      <c r="Q69" s="3">
        <v>440390</v>
      </c>
      <c r="S69">
        <v>33.084533999999998</v>
      </c>
      <c r="T69">
        <v>-112.00682999999999</v>
      </c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</row>
    <row r="70" spans="2:74" ht="16" thickTop="1" thickBot="1" x14ac:dyDescent="0.25">
      <c r="B70" t="s">
        <v>721</v>
      </c>
      <c r="C70" t="s">
        <v>520</v>
      </c>
      <c r="D70" t="s">
        <v>396</v>
      </c>
      <c r="E70" t="s">
        <v>21</v>
      </c>
      <c r="F70" t="s">
        <v>22</v>
      </c>
      <c r="G70" s="1">
        <v>8150</v>
      </c>
      <c r="H70" s="2">
        <v>65</v>
      </c>
      <c r="I70" s="5" t="str">
        <f>CONCATENATE(H70,"x",INT(G70/H70))</f>
        <v>65x125</v>
      </c>
      <c r="J70">
        <v>12</v>
      </c>
      <c r="K70">
        <v>143</v>
      </c>
      <c r="L70" s="3">
        <v>1664</v>
      </c>
      <c r="M70" s="3">
        <v>2531</v>
      </c>
      <c r="N70" s="3">
        <v>2069</v>
      </c>
      <c r="O70" s="3">
        <v>539890</v>
      </c>
      <c r="P70" s="3">
        <v>684890</v>
      </c>
      <c r="Q70" s="3">
        <v>607390</v>
      </c>
      <c r="S70">
        <v>34.616734000000001</v>
      </c>
      <c r="T70">
        <v>-112.36465</v>
      </c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</row>
    <row r="71" spans="2:74" ht="16" thickTop="1" thickBot="1" x14ac:dyDescent="0.25">
      <c r="B71" t="s">
        <v>539</v>
      </c>
      <c r="C71" t="s">
        <v>68</v>
      </c>
      <c r="D71" t="s">
        <v>458</v>
      </c>
      <c r="E71" t="s">
        <v>21</v>
      </c>
      <c r="F71" t="s">
        <v>22</v>
      </c>
      <c r="G71" s="1">
        <v>6360</v>
      </c>
      <c r="H71" s="2">
        <v>53</v>
      </c>
      <c r="I71" s="5" t="str">
        <f>CONCATENATE(H71,"x",INT(G71/H71))</f>
        <v>53x120</v>
      </c>
      <c r="J71">
        <v>1</v>
      </c>
      <c r="K71">
        <v>143</v>
      </c>
      <c r="L71" s="3">
        <v>1974</v>
      </c>
      <c r="M71" s="3">
        <v>3167</v>
      </c>
      <c r="N71" s="3">
        <v>2416</v>
      </c>
      <c r="O71" s="3">
        <v>569990</v>
      </c>
      <c r="P71" s="3">
        <v>654990</v>
      </c>
      <c r="Q71" s="3">
        <v>597790</v>
      </c>
      <c r="S71">
        <v>33.735492999999998</v>
      </c>
      <c r="T71">
        <v>-112.21798</v>
      </c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</row>
    <row r="72" spans="2:74" ht="16" thickTop="1" thickBot="1" x14ac:dyDescent="0.25">
      <c r="B72" t="s">
        <v>587</v>
      </c>
      <c r="C72" t="s">
        <v>38</v>
      </c>
      <c r="E72" t="s">
        <v>21</v>
      </c>
      <c r="F72" t="s">
        <v>22</v>
      </c>
      <c r="G72" s="1">
        <v>6875</v>
      </c>
      <c r="H72" s="2">
        <v>55</v>
      </c>
      <c r="I72" s="5" t="str">
        <f>CONCATENATE(H72,"x",INT(G72/H72))</f>
        <v>55x125</v>
      </c>
      <c r="J72">
        <v>33</v>
      </c>
      <c r="K72">
        <v>143</v>
      </c>
      <c r="L72" s="3">
        <v>1955</v>
      </c>
      <c r="M72" s="3">
        <v>3491</v>
      </c>
      <c r="N72" s="3">
        <v>2772</v>
      </c>
      <c r="O72" s="3">
        <v>517990</v>
      </c>
      <c r="P72" s="3">
        <v>648990</v>
      </c>
      <c r="Q72" s="3">
        <v>589323.33330000006</v>
      </c>
      <c r="S72">
        <v>33.24091</v>
      </c>
      <c r="T72">
        <v>-111.63799</v>
      </c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</row>
    <row r="73" spans="2:74" ht="16" thickTop="1" thickBot="1" x14ac:dyDescent="0.25">
      <c r="B73" t="s">
        <v>352</v>
      </c>
      <c r="C73" t="s">
        <v>178</v>
      </c>
      <c r="E73" t="s">
        <v>21</v>
      </c>
      <c r="F73" t="s">
        <v>22</v>
      </c>
      <c r="G73" s="1">
        <v>3600</v>
      </c>
      <c r="H73" s="2">
        <v>45</v>
      </c>
      <c r="I73" s="5" t="str">
        <f>CONCATENATE(H73,"x",INT(G73/H73))</f>
        <v>45x80</v>
      </c>
      <c r="J73">
        <v>8</v>
      </c>
      <c r="K73">
        <v>142</v>
      </c>
      <c r="L73" s="3">
        <v>1712</v>
      </c>
      <c r="M73" s="3">
        <v>2181</v>
      </c>
      <c r="N73" s="3">
        <v>1903</v>
      </c>
      <c r="O73" s="3">
        <v>379990</v>
      </c>
      <c r="P73" s="3">
        <v>409990</v>
      </c>
      <c r="Q73" s="3">
        <v>393240</v>
      </c>
      <c r="R73" t="s">
        <v>23</v>
      </c>
      <c r="S73">
        <v>33.374656999999999</v>
      </c>
      <c r="T73">
        <v>-111.51730000000001</v>
      </c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</row>
    <row r="74" spans="2:74" ht="16" thickTop="1" thickBot="1" x14ac:dyDescent="0.25">
      <c r="B74" t="s">
        <v>113</v>
      </c>
      <c r="C74" t="s">
        <v>114</v>
      </c>
      <c r="E74" t="s">
        <v>21</v>
      </c>
      <c r="F74" t="s">
        <v>22</v>
      </c>
      <c r="G74" s="1">
        <v>4050</v>
      </c>
      <c r="H74" s="2">
        <v>35</v>
      </c>
      <c r="I74" s="5" t="str">
        <f>CONCATENATE(H74,"x",INT(G74/H74))</f>
        <v>35x115</v>
      </c>
      <c r="J74">
        <v>22</v>
      </c>
      <c r="K74">
        <v>142</v>
      </c>
      <c r="L74" s="3">
        <v>1210</v>
      </c>
      <c r="M74" s="3">
        <v>1629</v>
      </c>
      <c r="N74" s="3">
        <v>1461</v>
      </c>
      <c r="O74" s="3">
        <v>379990</v>
      </c>
      <c r="P74" s="3">
        <v>409990</v>
      </c>
      <c r="Q74" s="3">
        <v>396656.6666</v>
      </c>
      <c r="S74">
        <v>33.713234</v>
      </c>
      <c r="T74">
        <v>-112.40513</v>
      </c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</row>
    <row r="75" spans="2:74" ht="16" thickTop="1" thickBot="1" x14ac:dyDescent="0.25">
      <c r="B75" t="s">
        <v>642</v>
      </c>
      <c r="C75" t="s">
        <v>43</v>
      </c>
      <c r="D75" t="s">
        <v>323</v>
      </c>
      <c r="E75" t="s">
        <v>21</v>
      </c>
      <c r="F75" t="s">
        <v>22</v>
      </c>
      <c r="G75" s="1">
        <v>6600</v>
      </c>
      <c r="H75" s="2">
        <v>60</v>
      </c>
      <c r="I75" s="5" t="str">
        <f>CONCATENATE(H75,"x",INT(G75/H75))</f>
        <v>60x110</v>
      </c>
      <c r="J75">
        <v>79</v>
      </c>
      <c r="K75">
        <v>141</v>
      </c>
      <c r="L75" s="3">
        <v>1368</v>
      </c>
      <c r="M75" s="3">
        <v>2434</v>
      </c>
      <c r="N75" s="3">
        <v>1922</v>
      </c>
      <c r="O75" s="3">
        <v>318990</v>
      </c>
      <c r="P75" s="3">
        <v>433990</v>
      </c>
      <c r="Q75" s="3">
        <v>373490</v>
      </c>
      <c r="S75">
        <v>33.045372</v>
      </c>
      <c r="T75">
        <v>-111.95312</v>
      </c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</row>
    <row r="76" spans="2:74" ht="16" thickTop="1" thickBot="1" x14ac:dyDescent="0.25">
      <c r="B76" t="s">
        <v>180</v>
      </c>
      <c r="C76" t="s">
        <v>181</v>
      </c>
      <c r="D76" t="s">
        <v>182</v>
      </c>
      <c r="E76" t="s">
        <v>21</v>
      </c>
      <c r="F76" t="s">
        <v>22</v>
      </c>
      <c r="G76" s="1">
        <v>3600</v>
      </c>
      <c r="H76" s="2">
        <v>40</v>
      </c>
      <c r="I76" s="5" t="str">
        <f>CONCATENATE(H76,"x",INT(G76/H76))</f>
        <v>40x90</v>
      </c>
      <c r="J76">
        <v>31</v>
      </c>
      <c r="K76">
        <v>140</v>
      </c>
      <c r="L76" s="3">
        <v>1370</v>
      </c>
      <c r="M76" s="3">
        <v>2150</v>
      </c>
      <c r="N76" s="3">
        <v>1613</v>
      </c>
      <c r="O76" s="3">
        <v>385990</v>
      </c>
      <c r="P76" s="3">
        <v>445990</v>
      </c>
      <c r="Q76" s="3">
        <v>405990</v>
      </c>
      <c r="S76">
        <v>33.604145000000003</v>
      </c>
      <c r="T76">
        <v>-112.3746</v>
      </c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</row>
    <row r="77" spans="2:74" ht="16" thickTop="1" thickBot="1" x14ac:dyDescent="0.25">
      <c r="B77" t="s">
        <v>446</v>
      </c>
      <c r="C77" t="s">
        <v>116</v>
      </c>
      <c r="E77" t="s">
        <v>21</v>
      </c>
      <c r="F77" t="s">
        <v>22</v>
      </c>
      <c r="G77" s="1">
        <v>6000</v>
      </c>
      <c r="H77" s="2">
        <v>50</v>
      </c>
      <c r="I77" s="5" t="str">
        <f>CONCATENATE(H77,"x",INT(G77/H77))</f>
        <v>50x120</v>
      </c>
      <c r="J77">
        <v>23</v>
      </c>
      <c r="K77">
        <v>139</v>
      </c>
      <c r="L77" s="3">
        <v>1621</v>
      </c>
      <c r="M77" s="3">
        <v>2849</v>
      </c>
      <c r="N77" s="3">
        <v>2299</v>
      </c>
      <c r="O77" s="3">
        <v>447990</v>
      </c>
      <c r="P77" s="3">
        <v>533990</v>
      </c>
      <c r="Q77" s="3">
        <v>493156.6666</v>
      </c>
      <c r="S77">
        <v>33.268593000000003</v>
      </c>
      <c r="T77">
        <v>-111.62833000000001</v>
      </c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</row>
    <row r="78" spans="2:74" ht="16" thickTop="1" thickBot="1" x14ac:dyDescent="0.25">
      <c r="B78" t="s">
        <v>655</v>
      </c>
      <c r="C78" t="s">
        <v>144</v>
      </c>
      <c r="D78" t="s">
        <v>656</v>
      </c>
      <c r="E78" t="s">
        <v>21</v>
      </c>
      <c r="F78" t="s">
        <v>22</v>
      </c>
      <c r="G78" s="1">
        <v>7200</v>
      </c>
      <c r="H78" s="2">
        <v>60</v>
      </c>
      <c r="I78" s="5" t="str">
        <f>CONCATENATE(H78,"x",INT(G78/H78))</f>
        <v>60x120</v>
      </c>
      <c r="J78">
        <v>0</v>
      </c>
      <c r="K78">
        <v>139</v>
      </c>
      <c r="L78" s="3">
        <v>1852</v>
      </c>
      <c r="M78" s="3">
        <v>2749</v>
      </c>
      <c r="N78" s="3">
        <v>2290</v>
      </c>
      <c r="O78" s="3">
        <v>374990</v>
      </c>
      <c r="P78" s="3">
        <v>443990</v>
      </c>
      <c r="Q78" s="3">
        <v>408240</v>
      </c>
      <c r="S78">
        <v>31.935964999999999</v>
      </c>
      <c r="T78">
        <v>-110.75740999999999</v>
      </c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</row>
    <row r="79" spans="2:74" ht="16" thickTop="1" thickBot="1" x14ac:dyDescent="0.25">
      <c r="B79" t="s">
        <v>761</v>
      </c>
      <c r="C79" t="s">
        <v>599</v>
      </c>
      <c r="E79" t="s">
        <v>21</v>
      </c>
      <c r="F79" t="s">
        <v>22</v>
      </c>
      <c r="G79" s="1">
        <v>7700</v>
      </c>
      <c r="H79" s="2">
        <v>70</v>
      </c>
      <c r="I79" s="5" t="str">
        <f>CONCATENATE(H79,"x",INT(G79/H79))</f>
        <v>70x110</v>
      </c>
      <c r="J79">
        <v>31</v>
      </c>
      <c r="K79">
        <v>138</v>
      </c>
      <c r="L79" s="3">
        <v>1855</v>
      </c>
      <c r="M79" s="3">
        <v>2989</v>
      </c>
      <c r="N79" s="3">
        <v>2290</v>
      </c>
      <c r="O79" s="3">
        <v>366990</v>
      </c>
      <c r="P79" s="3">
        <v>444990</v>
      </c>
      <c r="Q79" s="3">
        <v>396590</v>
      </c>
      <c r="S79">
        <v>32.929927999999997</v>
      </c>
      <c r="T79">
        <v>-111.72718</v>
      </c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</row>
    <row r="80" spans="2:74" ht="16" thickTop="1" thickBot="1" x14ac:dyDescent="0.25">
      <c r="B80" t="s">
        <v>232</v>
      </c>
      <c r="C80" t="s">
        <v>114</v>
      </c>
      <c r="E80" t="s">
        <v>21</v>
      </c>
      <c r="F80" t="s">
        <v>22</v>
      </c>
      <c r="G80" s="1">
        <v>5175</v>
      </c>
      <c r="H80" s="2">
        <v>45</v>
      </c>
      <c r="I80" s="5" t="str">
        <f>CONCATENATE(H80,"x",INT(G80/H80))</f>
        <v>45x115</v>
      </c>
      <c r="J80">
        <v>40</v>
      </c>
      <c r="K80">
        <v>138</v>
      </c>
      <c r="L80" s="3">
        <v>1282</v>
      </c>
      <c r="M80" s="3">
        <v>2093</v>
      </c>
      <c r="N80" s="3">
        <v>1708</v>
      </c>
      <c r="O80" s="3">
        <v>372990</v>
      </c>
      <c r="P80" s="3">
        <v>442990</v>
      </c>
      <c r="Q80" s="3">
        <v>406323.3333</v>
      </c>
      <c r="R80" t="s">
        <v>23</v>
      </c>
      <c r="S80">
        <v>33.568103999999998</v>
      </c>
      <c r="T80">
        <v>-112.43344999999999</v>
      </c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</row>
    <row r="81" spans="2:74" ht="16" thickTop="1" thickBot="1" x14ac:dyDescent="0.25">
      <c r="B81" t="s">
        <v>405</v>
      </c>
      <c r="C81" t="s">
        <v>114</v>
      </c>
      <c r="E81" t="s">
        <v>21</v>
      </c>
      <c r="F81" t="s">
        <v>22</v>
      </c>
      <c r="G81" s="1">
        <v>5750</v>
      </c>
      <c r="H81" s="2">
        <v>50</v>
      </c>
      <c r="I81" s="5" t="str">
        <f>CONCATENATE(H81,"x",INT(G81/H81))</f>
        <v>50x115</v>
      </c>
      <c r="J81">
        <v>14</v>
      </c>
      <c r="K81">
        <v>138</v>
      </c>
      <c r="L81" s="3">
        <v>1844</v>
      </c>
      <c r="M81" s="3">
        <v>2406</v>
      </c>
      <c r="N81" s="3">
        <v>2149</v>
      </c>
      <c r="O81" s="3">
        <v>440990</v>
      </c>
      <c r="P81" s="3">
        <v>480990</v>
      </c>
      <c r="Q81" s="3">
        <v>461990</v>
      </c>
      <c r="S81">
        <v>33.717823000000003</v>
      </c>
      <c r="T81">
        <v>-112.40746</v>
      </c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</row>
    <row r="82" spans="2:74" ht="16" thickTop="1" thickBot="1" x14ac:dyDescent="0.25">
      <c r="B82" t="s">
        <v>870</v>
      </c>
      <c r="C82" t="s">
        <v>871</v>
      </c>
      <c r="D82" t="s">
        <v>343</v>
      </c>
      <c r="E82" t="s">
        <v>872</v>
      </c>
      <c r="F82" t="s">
        <v>873</v>
      </c>
      <c r="G82" s="1">
        <v>0</v>
      </c>
      <c r="H82" s="1">
        <v>0</v>
      </c>
      <c r="I82" s="5" t="s">
        <v>874</v>
      </c>
      <c r="J82">
        <v>88</v>
      </c>
      <c r="K82">
        <v>135</v>
      </c>
      <c r="L82" s="3">
        <v>1632</v>
      </c>
      <c r="M82" s="3">
        <v>2281</v>
      </c>
      <c r="N82" s="3">
        <v>1930</v>
      </c>
      <c r="O82" s="3">
        <v>915000</v>
      </c>
      <c r="P82" s="3">
        <v>1398000</v>
      </c>
      <c r="Q82" s="3">
        <v>1021777.7777</v>
      </c>
      <c r="R82" t="s">
        <v>873</v>
      </c>
      <c r="S82">
        <v>33.678379</v>
      </c>
      <c r="T82">
        <v>-111.96715</v>
      </c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</row>
    <row r="83" spans="2:74" ht="16" thickTop="1" thickBot="1" x14ac:dyDescent="0.25">
      <c r="B83" t="s">
        <v>447</v>
      </c>
      <c r="C83" t="s">
        <v>38</v>
      </c>
      <c r="D83" t="s">
        <v>308</v>
      </c>
      <c r="E83" t="s">
        <v>21</v>
      </c>
      <c r="F83" t="s">
        <v>22</v>
      </c>
      <c r="G83" s="1">
        <v>6000</v>
      </c>
      <c r="H83" s="2">
        <v>50</v>
      </c>
      <c r="I83" s="5" t="str">
        <f>CONCATENATE(H83,"x",INT(G83/H83))</f>
        <v>50x120</v>
      </c>
      <c r="J83">
        <v>2</v>
      </c>
      <c r="K83">
        <v>135</v>
      </c>
      <c r="L83" s="3">
        <v>1938</v>
      </c>
      <c r="M83" s="3">
        <v>3568</v>
      </c>
      <c r="N83" s="3">
        <v>2592</v>
      </c>
      <c r="O83" s="3">
        <v>544990</v>
      </c>
      <c r="P83" s="3">
        <v>675990</v>
      </c>
      <c r="Q83" s="3">
        <v>595156.6666</v>
      </c>
      <c r="S83">
        <v>33.346684000000003</v>
      </c>
      <c r="T83">
        <v>-111.66549999999999</v>
      </c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</row>
    <row r="84" spans="2:74" ht="16" thickTop="1" thickBot="1" x14ac:dyDescent="0.25">
      <c r="B84" t="s">
        <v>406</v>
      </c>
      <c r="C84" t="s">
        <v>178</v>
      </c>
      <c r="D84" t="s">
        <v>179</v>
      </c>
      <c r="E84" t="s">
        <v>21</v>
      </c>
      <c r="F84" t="s">
        <v>22</v>
      </c>
      <c r="G84" s="1">
        <v>5750</v>
      </c>
      <c r="H84" s="2">
        <v>50</v>
      </c>
      <c r="I84" s="5" t="str">
        <f>CONCATENATE(H84,"x",INT(G84/H84))</f>
        <v>50x115</v>
      </c>
      <c r="J84">
        <v>1</v>
      </c>
      <c r="K84">
        <v>133</v>
      </c>
      <c r="L84" s="3">
        <v>1971</v>
      </c>
      <c r="M84" s="3">
        <v>2840</v>
      </c>
      <c r="N84" s="3">
        <v>2395</v>
      </c>
      <c r="O84" s="3">
        <v>392990</v>
      </c>
      <c r="P84" s="3">
        <v>444990</v>
      </c>
      <c r="Q84" s="3">
        <v>418590</v>
      </c>
      <c r="S84">
        <v>33.699753000000001</v>
      </c>
      <c r="T84">
        <v>-112.4464</v>
      </c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</row>
    <row r="85" spans="2:74" ht="16" thickTop="1" thickBot="1" x14ac:dyDescent="0.25">
      <c r="B85" t="s">
        <v>448</v>
      </c>
      <c r="C85" t="s">
        <v>43</v>
      </c>
      <c r="E85" t="s">
        <v>21</v>
      </c>
      <c r="F85" t="s">
        <v>22</v>
      </c>
      <c r="G85" s="1">
        <v>6025</v>
      </c>
      <c r="H85" s="2">
        <v>50</v>
      </c>
      <c r="I85" s="5" t="str">
        <f>CONCATENATE(H85,"x",INT(G85/H85))</f>
        <v>50x120</v>
      </c>
      <c r="J85">
        <v>1167</v>
      </c>
      <c r="K85">
        <v>133</v>
      </c>
      <c r="L85" s="3">
        <v>1593</v>
      </c>
      <c r="M85" s="3">
        <v>3207</v>
      </c>
      <c r="N85" s="3">
        <v>2181</v>
      </c>
      <c r="O85" s="3">
        <v>390900</v>
      </c>
      <c r="P85" s="3">
        <v>553900</v>
      </c>
      <c r="Q85" s="3">
        <v>456627.27269999997</v>
      </c>
      <c r="S85">
        <v>32.382033999999997</v>
      </c>
      <c r="T85">
        <v>-111.15416999999999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</row>
    <row r="86" spans="2:74" ht="16" thickTop="1" thickBot="1" x14ac:dyDescent="0.25">
      <c r="B86" t="s">
        <v>738</v>
      </c>
      <c r="C86" t="s">
        <v>151</v>
      </c>
      <c r="D86" t="s">
        <v>319</v>
      </c>
      <c r="E86" t="s">
        <v>21</v>
      </c>
      <c r="F86" t="s">
        <v>22</v>
      </c>
      <c r="G86" s="1">
        <v>8450</v>
      </c>
      <c r="H86" s="2">
        <v>65</v>
      </c>
      <c r="I86" s="5" t="str">
        <f>CONCATENATE(H86,"x",INT(G86/H86))</f>
        <v>65x130</v>
      </c>
      <c r="J86">
        <v>37</v>
      </c>
      <c r="K86">
        <v>133</v>
      </c>
      <c r="L86" s="3">
        <v>2443</v>
      </c>
      <c r="M86" s="3">
        <v>4141</v>
      </c>
      <c r="N86" s="3">
        <v>3403</v>
      </c>
      <c r="O86" s="3">
        <v>579990</v>
      </c>
      <c r="P86" s="3">
        <v>757990</v>
      </c>
      <c r="Q86" s="3">
        <v>684790</v>
      </c>
      <c r="S86">
        <v>33.212051000000002</v>
      </c>
      <c r="T86">
        <v>-111.59681</v>
      </c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</row>
    <row r="87" spans="2:74" ht="16" thickTop="1" thickBot="1" x14ac:dyDescent="0.25">
      <c r="B87" t="s">
        <v>233</v>
      </c>
      <c r="C87" t="s">
        <v>38</v>
      </c>
      <c r="D87" t="s">
        <v>234</v>
      </c>
      <c r="E87" t="s">
        <v>21</v>
      </c>
      <c r="F87" t="s">
        <v>22</v>
      </c>
      <c r="G87" s="1">
        <v>5175</v>
      </c>
      <c r="H87" s="2">
        <v>45</v>
      </c>
      <c r="I87" s="5" t="str">
        <f>CONCATENATE(H87,"x",INT(G87/H87))</f>
        <v>45x115</v>
      </c>
      <c r="J87">
        <v>85</v>
      </c>
      <c r="K87">
        <v>132</v>
      </c>
      <c r="L87" s="3">
        <v>1715</v>
      </c>
      <c r="M87" s="3">
        <v>2961</v>
      </c>
      <c r="N87" s="3">
        <v>2264</v>
      </c>
      <c r="O87" s="3">
        <v>439990</v>
      </c>
      <c r="P87" s="3">
        <v>523990</v>
      </c>
      <c r="Q87" s="3">
        <v>475323.3333</v>
      </c>
      <c r="S87">
        <v>33.513882000000002</v>
      </c>
      <c r="T87">
        <v>-112.25323</v>
      </c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</row>
    <row r="88" spans="2:74" ht="16" thickTop="1" thickBot="1" x14ac:dyDescent="0.25">
      <c r="B88" t="s">
        <v>235</v>
      </c>
      <c r="C88" t="s">
        <v>136</v>
      </c>
      <c r="D88" t="s">
        <v>145</v>
      </c>
      <c r="E88" t="s">
        <v>21</v>
      </c>
      <c r="F88" t="s">
        <v>22</v>
      </c>
      <c r="G88" s="1">
        <v>5175</v>
      </c>
      <c r="H88" s="2">
        <v>45</v>
      </c>
      <c r="I88" s="5" t="str">
        <f>CONCATENATE(H88,"x",INT(G88/H88))</f>
        <v>45x115</v>
      </c>
      <c r="J88">
        <v>100</v>
      </c>
      <c r="K88">
        <v>130</v>
      </c>
      <c r="L88" s="3">
        <v>1240</v>
      </c>
      <c r="M88" s="3">
        <v>2630</v>
      </c>
      <c r="N88" s="3">
        <v>1933</v>
      </c>
      <c r="O88" s="3">
        <v>289990</v>
      </c>
      <c r="P88" s="3">
        <v>401990</v>
      </c>
      <c r="Q88" s="3">
        <v>346270.85710000002</v>
      </c>
      <c r="S88">
        <v>32.563957000000002</v>
      </c>
      <c r="T88">
        <v>-111.33629999999999</v>
      </c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</row>
    <row r="89" spans="2:74" ht="16" thickTop="1" thickBot="1" x14ac:dyDescent="0.25">
      <c r="B89" t="s">
        <v>875</v>
      </c>
      <c r="C89" t="s">
        <v>31</v>
      </c>
      <c r="E89" t="s">
        <v>872</v>
      </c>
      <c r="F89" t="s">
        <v>873</v>
      </c>
      <c r="G89" s="1">
        <v>0</v>
      </c>
      <c r="H89" s="1">
        <v>0</v>
      </c>
      <c r="I89" s="5" t="s">
        <v>874</v>
      </c>
      <c r="J89">
        <v>38</v>
      </c>
      <c r="K89">
        <v>130</v>
      </c>
      <c r="L89" s="3">
        <v>1285</v>
      </c>
      <c r="M89" s="3">
        <v>2142</v>
      </c>
      <c r="N89" s="3">
        <v>1704</v>
      </c>
      <c r="O89" s="3">
        <v>442995</v>
      </c>
      <c r="P89" s="3">
        <v>602995</v>
      </c>
      <c r="Q89" s="3">
        <v>518772.77769999998</v>
      </c>
      <c r="R89" t="s">
        <v>876</v>
      </c>
      <c r="S89">
        <v>33.767361000000001</v>
      </c>
      <c r="T89">
        <v>-112.1053</v>
      </c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</row>
    <row r="90" spans="2:74" ht="16" thickTop="1" thickBot="1" x14ac:dyDescent="0.25">
      <c r="B90" t="s">
        <v>534</v>
      </c>
      <c r="C90" t="s">
        <v>43</v>
      </c>
      <c r="E90" t="s">
        <v>21</v>
      </c>
      <c r="F90" t="s">
        <v>22</v>
      </c>
      <c r="G90" s="1">
        <v>6095</v>
      </c>
      <c r="H90" s="2">
        <v>53</v>
      </c>
      <c r="I90" s="5" t="str">
        <f>CONCATENATE(H90,"x",INT(G90/H90))</f>
        <v>53x115</v>
      </c>
      <c r="J90">
        <v>223</v>
      </c>
      <c r="K90">
        <v>129</v>
      </c>
      <c r="L90" s="3">
        <v>1317</v>
      </c>
      <c r="M90" s="3">
        <v>2241</v>
      </c>
      <c r="N90" s="3">
        <v>1802</v>
      </c>
      <c r="O90" s="3">
        <v>344990</v>
      </c>
      <c r="P90" s="3">
        <v>470990</v>
      </c>
      <c r="Q90" s="3">
        <v>399990</v>
      </c>
      <c r="S90">
        <v>33.409610999999998</v>
      </c>
      <c r="T90">
        <v>-112.57606</v>
      </c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</row>
    <row r="91" spans="2:74" ht="16" thickTop="1" thickBot="1" x14ac:dyDescent="0.25">
      <c r="B91" t="s">
        <v>389</v>
      </c>
      <c r="C91" t="s">
        <v>116</v>
      </c>
      <c r="E91" t="s">
        <v>21</v>
      </c>
      <c r="F91" t="s">
        <v>22</v>
      </c>
      <c r="G91" s="1">
        <v>5175</v>
      </c>
      <c r="H91" s="2">
        <v>50</v>
      </c>
      <c r="I91" s="5" t="str">
        <f>CONCATENATE(H91,"x",INT(G91/H91))</f>
        <v>50x103</v>
      </c>
      <c r="J91">
        <v>67</v>
      </c>
      <c r="K91">
        <v>129</v>
      </c>
      <c r="L91" s="3">
        <v>1439</v>
      </c>
      <c r="M91" s="3">
        <v>2373</v>
      </c>
      <c r="N91" s="3">
        <v>1853</v>
      </c>
      <c r="O91" s="3">
        <v>382990</v>
      </c>
      <c r="P91" s="3">
        <v>432990</v>
      </c>
      <c r="Q91" s="3">
        <v>407132.85710000002</v>
      </c>
      <c r="R91" t="s">
        <v>23</v>
      </c>
      <c r="S91">
        <v>33.361457999999999</v>
      </c>
      <c r="T91">
        <v>-112.12103</v>
      </c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</row>
    <row r="92" spans="2:74" ht="16" thickTop="1" thickBot="1" x14ac:dyDescent="0.25">
      <c r="B92" t="s">
        <v>393</v>
      </c>
      <c r="C92" t="s">
        <v>38</v>
      </c>
      <c r="D92" t="s">
        <v>197</v>
      </c>
      <c r="E92" t="s">
        <v>21</v>
      </c>
      <c r="F92" t="s">
        <v>22</v>
      </c>
      <c r="G92" s="1">
        <v>5500</v>
      </c>
      <c r="H92" s="2">
        <v>50</v>
      </c>
      <c r="I92" s="5" t="str">
        <f>CONCATENATE(H92,"x",INT(G92/H92))</f>
        <v>50x110</v>
      </c>
      <c r="J92">
        <v>14</v>
      </c>
      <c r="K92">
        <v>129</v>
      </c>
      <c r="L92" s="3">
        <v>1949</v>
      </c>
      <c r="M92" s="3">
        <v>2975</v>
      </c>
      <c r="N92" s="3">
        <v>2479</v>
      </c>
      <c r="O92" s="3">
        <v>454990</v>
      </c>
      <c r="P92" s="3">
        <v>533990</v>
      </c>
      <c r="Q92" s="3">
        <v>494990</v>
      </c>
      <c r="S92">
        <v>33.491196000000002</v>
      </c>
      <c r="T92">
        <v>-112.2799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</row>
    <row r="93" spans="2:74" ht="16" thickTop="1" thickBot="1" x14ac:dyDescent="0.25">
      <c r="B93" t="s">
        <v>511</v>
      </c>
      <c r="C93" t="s">
        <v>38</v>
      </c>
      <c r="D93" t="s">
        <v>308</v>
      </c>
      <c r="E93" t="s">
        <v>21</v>
      </c>
      <c r="F93" t="s">
        <v>22</v>
      </c>
      <c r="G93" s="1">
        <v>3750</v>
      </c>
      <c r="H93" s="2">
        <v>50</v>
      </c>
      <c r="I93" s="5" t="str">
        <f>CONCATENATE(H93,"x",INT(G93/H93))</f>
        <v>50x75</v>
      </c>
      <c r="J93">
        <v>0</v>
      </c>
      <c r="K93">
        <v>128</v>
      </c>
      <c r="L93" s="3">
        <v>1630</v>
      </c>
      <c r="M93" s="3">
        <v>2409</v>
      </c>
      <c r="N93" s="3">
        <v>2054</v>
      </c>
      <c r="O93" s="3">
        <v>474990</v>
      </c>
      <c r="P93" s="3">
        <v>529990</v>
      </c>
      <c r="Q93" s="3">
        <v>505490</v>
      </c>
      <c r="S93">
        <v>33.345267999999997</v>
      </c>
      <c r="T93">
        <v>-111.66463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</row>
    <row r="94" spans="2:74" ht="16" thickTop="1" thickBot="1" x14ac:dyDescent="0.25">
      <c r="B94" t="s">
        <v>412</v>
      </c>
      <c r="C94" t="s">
        <v>178</v>
      </c>
      <c r="D94" t="s">
        <v>413</v>
      </c>
      <c r="E94" t="s">
        <v>21</v>
      </c>
      <c r="F94" t="s">
        <v>22</v>
      </c>
      <c r="G94" s="1">
        <v>7200</v>
      </c>
      <c r="H94" s="2">
        <v>60</v>
      </c>
      <c r="I94" s="5" t="str">
        <f>CONCATENATE(H94,"x",INT(G94/H94))</f>
        <v>60x120</v>
      </c>
      <c r="J94">
        <v>31</v>
      </c>
      <c r="K94">
        <v>127</v>
      </c>
      <c r="L94" s="3">
        <v>1789</v>
      </c>
      <c r="M94" s="3">
        <v>2621</v>
      </c>
      <c r="N94" s="3">
        <v>2115</v>
      </c>
      <c r="O94" s="3">
        <v>394990</v>
      </c>
      <c r="P94" s="3">
        <v>459990</v>
      </c>
      <c r="Q94" s="3">
        <v>418740</v>
      </c>
      <c r="S94">
        <v>33.414543000000002</v>
      </c>
      <c r="T94">
        <v>-112.44004</v>
      </c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</row>
    <row r="95" spans="2:74" ht="16" thickTop="1" thickBot="1" x14ac:dyDescent="0.25">
      <c r="B95" t="s">
        <v>365</v>
      </c>
      <c r="C95" t="s">
        <v>31</v>
      </c>
      <c r="E95" t="s">
        <v>21</v>
      </c>
      <c r="F95" t="s">
        <v>22</v>
      </c>
      <c r="G95" s="1">
        <v>5520</v>
      </c>
      <c r="H95" s="2">
        <v>48</v>
      </c>
      <c r="I95" s="5" t="str">
        <f>CONCATENATE(H95,"x",INT(G95/H95))</f>
        <v>48x115</v>
      </c>
      <c r="J95">
        <v>105</v>
      </c>
      <c r="K95">
        <v>127</v>
      </c>
      <c r="L95" s="3">
        <v>1672</v>
      </c>
      <c r="M95" s="3">
        <v>2612</v>
      </c>
      <c r="N95" s="3">
        <v>2163</v>
      </c>
      <c r="O95" s="3">
        <v>482995</v>
      </c>
      <c r="P95" s="3">
        <v>539995</v>
      </c>
      <c r="Q95" s="3">
        <v>510595</v>
      </c>
      <c r="S95">
        <v>33.203738999999999</v>
      </c>
      <c r="T95">
        <v>-111.60129999999999</v>
      </c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</row>
    <row r="96" spans="2:74" ht="16" thickTop="1" thickBot="1" x14ac:dyDescent="0.25">
      <c r="B96" t="s">
        <v>146</v>
      </c>
      <c r="C96" t="s">
        <v>114</v>
      </c>
      <c r="D96" t="s">
        <v>147</v>
      </c>
      <c r="E96" t="s">
        <v>21</v>
      </c>
      <c r="F96" t="s">
        <v>22</v>
      </c>
      <c r="G96" s="1">
        <v>4600</v>
      </c>
      <c r="H96" s="2">
        <v>40</v>
      </c>
      <c r="I96" s="5" t="str">
        <f>CONCATENATE(H96,"x",INT(G96/H96))</f>
        <v>40x115</v>
      </c>
      <c r="J96">
        <v>69</v>
      </c>
      <c r="K96">
        <v>126</v>
      </c>
      <c r="L96" s="3">
        <v>1467</v>
      </c>
      <c r="M96" s="3">
        <v>2694</v>
      </c>
      <c r="N96" s="3">
        <v>2043</v>
      </c>
      <c r="O96" s="3">
        <v>339990</v>
      </c>
      <c r="P96" s="3">
        <v>398990</v>
      </c>
      <c r="Q96" s="3">
        <v>368390</v>
      </c>
      <c r="S96">
        <v>32.111671000000001</v>
      </c>
      <c r="T96">
        <v>-110.84869</v>
      </c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</row>
    <row r="97" spans="2:74" ht="16" thickTop="1" thickBot="1" x14ac:dyDescent="0.25">
      <c r="B97" t="s">
        <v>910</v>
      </c>
      <c r="C97" t="s">
        <v>43</v>
      </c>
      <c r="D97" t="s">
        <v>513</v>
      </c>
      <c r="E97" t="s">
        <v>872</v>
      </c>
      <c r="F97" t="s">
        <v>907</v>
      </c>
      <c r="G97" s="1">
        <v>0</v>
      </c>
      <c r="H97" s="1">
        <v>0</v>
      </c>
      <c r="I97" s="5" t="s">
        <v>908</v>
      </c>
      <c r="J97">
        <v>161</v>
      </c>
      <c r="K97">
        <v>125</v>
      </c>
      <c r="L97" s="3">
        <v>1958</v>
      </c>
      <c r="M97" s="3">
        <v>2311</v>
      </c>
      <c r="N97" s="3">
        <v>2137</v>
      </c>
      <c r="O97" s="3">
        <v>649990</v>
      </c>
      <c r="P97" s="3">
        <v>685990</v>
      </c>
      <c r="Q97" s="3">
        <v>667323.33330000006</v>
      </c>
      <c r="R97" t="s">
        <v>911</v>
      </c>
      <c r="S97">
        <v>33.643112000000002</v>
      </c>
      <c r="T97">
        <v>-111.97252</v>
      </c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</row>
    <row r="98" spans="2:74" ht="16" thickTop="1" thickBot="1" x14ac:dyDescent="0.25">
      <c r="B98" t="s">
        <v>236</v>
      </c>
      <c r="C98" t="s">
        <v>206</v>
      </c>
      <c r="E98" t="s">
        <v>21</v>
      </c>
      <c r="F98" t="s">
        <v>22</v>
      </c>
      <c r="G98" s="1">
        <v>5175</v>
      </c>
      <c r="H98" s="2">
        <v>45</v>
      </c>
      <c r="I98" s="5" t="str">
        <f>CONCATENATE(H98,"x",INT(G98/H98))</f>
        <v>45x115</v>
      </c>
      <c r="J98">
        <v>84</v>
      </c>
      <c r="K98">
        <v>125</v>
      </c>
      <c r="L98" s="3">
        <v>1402</v>
      </c>
      <c r="M98" s="3">
        <v>3131</v>
      </c>
      <c r="N98" s="3">
        <v>2188</v>
      </c>
      <c r="O98" s="3">
        <v>375990</v>
      </c>
      <c r="P98" s="3">
        <v>499990</v>
      </c>
      <c r="Q98" s="3">
        <v>434906.6666</v>
      </c>
      <c r="S98">
        <v>33.413238999999997</v>
      </c>
      <c r="T98">
        <v>-112.27149</v>
      </c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</row>
    <row r="99" spans="2:74" ht="16" thickTop="1" thickBot="1" x14ac:dyDescent="0.25">
      <c r="B99" t="s">
        <v>311</v>
      </c>
      <c r="C99" t="s">
        <v>110</v>
      </c>
      <c r="E99" t="s">
        <v>21</v>
      </c>
      <c r="F99" t="s">
        <v>22</v>
      </c>
      <c r="G99" s="1">
        <v>5400</v>
      </c>
      <c r="H99" s="2">
        <v>45</v>
      </c>
      <c r="I99" s="5" t="str">
        <f>CONCATENATE(H99,"x",INT(G99/H99))</f>
        <v>45x120</v>
      </c>
      <c r="J99">
        <v>30</v>
      </c>
      <c r="K99">
        <v>125</v>
      </c>
      <c r="L99" s="3">
        <v>1519</v>
      </c>
      <c r="M99" s="3">
        <v>3131</v>
      </c>
      <c r="N99" s="3">
        <v>2153</v>
      </c>
      <c r="O99" s="3">
        <v>442990</v>
      </c>
      <c r="P99" s="3">
        <v>568990</v>
      </c>
      <c r="Q99" s="3">
        <v>502212.22220000002</v>
      </c>
      <c r="S99">
        <v>33.273074999999999</v>
      </c>
      <c r="T99">
        <v>-111.58102</v>
      </c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</row>
    <row r="100" spans="2:74" ht="16" thickTop="1" thickBot="1" x14ac:dyDescent="0.25">
      <c r="B100" t="s">
        <v>566</v>
      </c>
      <c r="C100" t="s">
        <v>38</v>
      </c>
      <c r="D100" t="s">
        <v>308</v>
      </c>
      <c r="E100" t="s">
        <v>21</v>
      </c>
      <c r="F100" t="s">
        <v>22</v>
      </c>
      <c r="G100" s="1">
        <v>6600</v>
      </c>
      <c r="H100" s="2">
        <v>55</v>
      </c>
      <c r="I100" s="5" t="str">
        <f>CONCATENATE(H100,"x",INT(G100/H100))</f>
        <v>55x120</v>
      </c>
      <c r="J100">
        <v>3</v>
      </c>
      <c r="K100">
        <v>123</v>
      </c>
      <c r="L100" s="3">
        <v>1977</v>
      </c>
      <c r="M100" s="3">
        <v>3495</v>
      </c>
      <c r="N100" s="3">
        <v>2779</v>
      </c>
      <c r="O100" s="3">
        <v>554990</v>
      </c>
      <c r="P100" s="3">
        <v>678990</v>
      </c>
      <c r="Q100" s="3">
        <v>621323.33330000006</v>
      </c>
      <c r="S100">
        <v>33.346359</v>
      </c>
      <c r="T100">
        <v>-111.66068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</row>
    <row r="101" spans="2:74" ht="16" thickTop="1" thickBot="1" x14ac:dyDescent="0.25">
      <c r="B101" t="s">
        <v>499</v>
      </c>
      <c r="C101" t="s">
        <v>38</v>
      </c>
      <c r="E101" t="s">
        <v>21</v>
      </c>
      <c r="F101" t="s">
        <v>22</v>
      </c>
      <c r="G101" s="1">
        <v>6250</v>
      </c>
      <c r="H101" s="2">
        <v>50</v>
      </c>
      <c r="I101" s="5" t="str">
        <f>CONCATENATE(H101,"x",INT(G101/H101))</f>
        <v>50x125</v>
      </c>
      <c r="J101">
        <v>116</v>
      </c>
      <c r="K101">
        <v>121</v>
      </c>
      <c r="L101" s="3">
        <v>1715</v>
      </c>
      <c r="M101" s="3">
        <v>2961</v>
      </c>
      <c r="N101" s="3">
        <v>2263</v>
      </c>
      <c r="O101" s="3">
        <v>489990</v>
      </c>
      <c r="P101" s="3">
        <v>598990</v>
      </c>
      <c r="Q101" s="3">
        <v>538656.6666</v>
      </c>
      <c r="S101">
        <v>33.308304</v>
      </c>
      <c r="T101">
        <v>-111.59904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</row>
    <row r="102" spans="2:74" ht="16" thickTop="1" thickBot="1" x14ac:dyDescent="0.25">
      <c r="B102" t="s">
        <v>567</v>
      </c>
      <c r="C102" t="s">
        <v>38</v>
      </c>
      <c r="D102" t="s">
        <v>197</v>
      </c>
      <c r="E102" t="s">
        <v>21</v>
      </c>
      <c r="F102" t="s">
        <v>22</v>
      </c>
      <c r="G102" s="1">
        <v>6600</v>
      </c>
      <c r="H102" s="2">
        <v>55</v>
      </c>
      <c r="I102" s="5" t="str">
        <f>CONCATENATE(H102,"x",INT(G102/H102))</f>
        <v>55x120</v>
      </c>
      <c r="J102">
        <v>6</v>
      </c>
      <c r="K102">
        <v>121</v>
      </c>
      <c r="L102" s="3">
        <v>2379</v>
      </c>
      <c r="M102" s="3">
        <v>3532</v>
      </c>
      <c r="N102" s="3">
        <v>3008</v>
      </c>
      <c r="O102" s="3">
        <v>511990</v>
      </c>
      <c r="P102" s="3">
        <v>604990</v>
      </c>
      <c r="Q102" s="3">
        <v>561990</v>
      </c>
      <c r="S102">
        <v>33.489006000000003</v>
      </c>
      <c r="T102">
        <v>-112.27937</v>
      </c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</row>
    <row r="103" spans="2:74" ht="16" thickTop="1" thickBot="1" x14ac:dyDescent="0.25">
      <c r="B103" t="s">
        <v>449</v>
      </c>
      <c r="C103" t="s">
        <v>45</v>
      </c>
      <c r="D103" t="s">
        <v>450</v>
      </c>
      <c r="E103" t="s">
        <v>21</v>
      </c>
      <c r="F103" t="s">
        <v>22</v>
      </c>
      <c r="G103" s="1">
        <v>6000</v>
      </c>
      <c r="H103" s="2">
        <v>50</v>
      </c>
      <c r="I103" s="5" t="str">
        <f>CONCATENATE(H103,"x",INT(G103/H103))</f>
        <v>50x120</v>
      </c>
      <c r="J103">
        <v>6</v>
      </c>
      <c r="K103">
        <v>121</v>
      </c>
      <c r="L103" s="3">
        <v>1456</v>
      </c>
      <c r="M103" s="3">
        <v>2815</v>
      </c>
      <c r="N103" s="3">
        <v>2096</v>
      </c>
      <c r="O103" s="3">
        <v>430900</v>
      </c>
      <c r="P103" s="3">
        <v>515900</v>
      </c>
      <c r="Q103" s="3">
        <v>476733.3333</v>
      </c>
      <c r="S103">
        <v>33.477913000000001</v>
      </c>
      <c r="T103">
        <v>-112.52161</v>
      </c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</row>
    <row r="104" spans="2:74" ht="16" thickTop="1" thickBot="1" x14ac:dyDescent="0.25">
      <c r="B104" t="s">
        <v>237</v>
      </c>
      <c r="C104" t="s">
        <v>130</v>
      </c>
      <c r="E104" t="s">
        <v>21</v>
      </c>
      <c r="F104" t="s">
        <v>22</v>
      </c>
      <c r="G104" s="1">
        <v>5184</v>
      </c>
      <c r="H104" s="2">
        <v>45</v>
      </c>
      <c r="I104" s="5" t="str">
        <f>CONCATENATE(H104,"x",INT(G104/H104))</f>
        <v>45x115</v>
      </c>
      <c r="J104">
        <v>2</v>
      </c>
      <c r="K104">
        <v>120</v>
      </c>
      <c r="L104" s="3">
        <v>1416</v>
      </c>
      <c r="M104" s="3">
        <v>2432</v>
      </c>
      <c r="N104" s="3">
        <v>1843</v>
      </c>
      <c r="O104" s="3">
        <v>419990</v>
      </c>
      <c r="P104" s="3">
        <v>485990</v>
      </c>
      <c r="Q104" s="3">
        <v>448390</v>
      </c>
      <c r="R104" t="s">
        <v>23</v>
      </c>
      <c r="S104">
        <v>33.550429999999999</v>
      </c>
      <c r="T104">
        <v>-112.23039</v>
      </c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</row>
    <row r="105" spans="2:74" ht="16" thickTop="1" thickBot="1" x14ac:dyDescent="0.25">
      <c r="B105" t="s">
        <v>407</v>
      </c>
      <c r="C105" t="s">
        <v>33</v>
      </c>
      <c r="D105" t="s">
        <v>408</v>
      </c>
      <c r="E105" t="s">
        <v>21</v>
      </c>
      <c r="F105" t="s">
        <v>22</v>
      </c>
      <c r="G105" s="1">
        <v>5750</v>
      </c>
      <c r="H105" s="2">
        <v>50</v>
      </c>
      <c r="I105" s="5" t="str">
        <f>CONCATENATE(H105,"x",INT(G105/H105))</f>
        <v>50x115</v>
      </c>
      <c r="J105">
        <v>164</v>
      </c>
      <c r="K105">
        <v>119</v>
      </c>
      <c r="L105" s="3">
        <v>1428</v>
      </c>
      <c r="M105" s="3">
        <v>2357</v>
      </c>
      <c r="N105" s="3">
        <v>1899</v>
      </c>
      <c r="O105" s="3">
        <v>398900</v>
      </c>
      <c r="P105" s="3">
        <v>519900</v>
      </c>
      <c r="Q105" s="3">
        <v>458066.6666</v>
      </c>
      <c r="R105" t="s">
        <v>190</v>
      </c>
      <c r="S105">
        <v>31.882254</v>
      </c>
      <c r="T105">
        <v>-111.00281</v>
      </c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</row>
    <row r="106" spans="2:74" ht="16" thickTop="1" thickBot="1" x14ac:dyDescent="0.25">
      <c r="B106" t="s">
        <v>128</v>
      </c>
      <c r="C106" t="s">
        <v>123</v>
      </c>
      <c r="D106" t="s">
        <v>127</v>
      </c>
      <c r="E106" t="s">
        <v>21</v>
      </c>
      <c r="F106" t="s">
        <v>22</v>
      </c>
      <c r="G106" s="1">
        <v>2975</v>
      </c>
      <c r="H106">
        <v>37</v>
      </c>
      <c r="I106" s="5" t="str">
        <f>CONCATENATE(H106,"x",INT(G106/H106))</f>
        <v>37x80</v>
      </c>
      <c r="J106">
        <v>90</v>
      </c>
      <c r="K106">
        <v>119</v>
      </c>
      <c r="L106" s="3">
        <v>1509</v>
      </c>
      <c r="M106" s="3">
        <v>1853</v>
      </c>
      <c r="N106" s="3">
        <v>1709</v>
      </c>
      <c r="O106" s="3">
        <v>431990</v>
      </c>
      <c r="P106" s="3">
        <v>464990</v>
      </c>
      <c r="Q106" s="3">
        <v>450240</v>
      </c>
      <c r="S106">
        <v>33.328583000000002</v>
      </c>
      <c r="T106">
        <v>-111.63145</v>
      </c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</row>
    <row r="107" spans="2:74" ht="16" thickTop="1" thickBot="1" x14ac:dyDescent="0.25">
      <c r="B107" t="s">
        <v>366</v>
      </c>
      <c r="C107" t="s">
        <v>118</v>
      </c>
      <c r="D107" t="s">
        <v>367</v>
      </c>
      <c r="E107" t="s">
        <v>21</v>
      </c>
      <c r="F107" t="s">
        <v>22</v>
      </c>
      <c r="G107" s="1">
        <v>5520</v>
      </c>
      <c r="H107" s="2">
        <v>48</v>
      </c>
      <c r="I107" s="5" t="str">
        <f>CONCATENATE(H107,"x",INT(G107/H107))</f>
        <v>48x115</v>
      </c>
      <c r="J107">
        <v>330</v>
      </c>
      <c r="K107">
        <v>118</v>
      </c>
      <c r="L107" s="3">
        <v>1595</v>
      </c>
      <c r="M107" s="3">
        <v>3052</v>
      </c>
      <c r="N107" s="3">
        <v>2090</v>
      </c>
      <c r="O107" s="3">
        <v>398900</v>
      </c>
      <c r="P107" s="3">
        <v>531900</v>
      </c>
      <c r="Q107" s="3">
        <v>455122.22220000002</v>
      </c>
      <c r="S107">
        <v>33.200252999999996</v>
      </c>
      <c r="T107">
        <v>-111.59715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</row>
    <row r="108" spans="2:74" ht="16" thickTop="1" thickBot="1" x14ac:dyDescent="0.25">
      <c r="B108" t="s">
        <v>312</v>
      </c>
      <c r="C108" t="s">
        <v>144</v>
      </c>
      <c r="D108" t="s">
        <v>161</v>
      </c>
      <c r="E108" t="s">
        <v>21</v>
      </c>
      <c r="F108" t="s">
        <v>22</v>
      </c>
      <c r="G108" s="1">
        <v>5400</v>
      </c>
      <c r="H108" s="2">
        <v>45</v>
      </c>
      <c r="I108" s="5" t="str">
        <f>CONCATENATE(H108,"x",INT(G108/H108))</f>
        <v>45x120</v>
      </c>
      <c r="J108">
        <v>19</v>
      </c>
      <c r="K108">
        <v>118</v>
      </c>
      <c r="L108" s="3">
        <v>1232</v>
      </c>
      <c r="M108" s="3">
        <v>2685</v>
      </c>
      <c r="N108" s="3">
        <v>1820</v>
      </c>
      <c r="O108" s="3">
        <v>305990</v>
      </c>
      <c r="P108" s="3">
        <v>418990</v>
      </c>
      <c r="Q108" s="3">
        <v>348490</v>
      </c>
      <c r="S108">
        <v>32.430145000000003</v>
      </c>
      <c r="T108">
        <v>-111.18817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</row>
    <row r="109" spans="2:74" ht="16" thickTop="1" thickBot="1" x14ac:dyDescent="0.25">
      <c r="B109" t="s">
        <v>756</v>
      </c>
      <c r="C109" t="s">
        <v>118</v>
      </c>
      <c r="D109" t="s">
        <v>355</v>
      </c>
      <c r="E109" t="s">
        <v>21</v>
      </c>
      <c r="F109" t="s">
        <v>22</v>
      </c>
      <c r="G109" s="1">
        <v>8160</v>
      </c>
      <c r="H109" s="2">
        <v>68</v>
      </c>
      <c r="I109" s="5" t="str">
        <f>CONCATENATE(H109,"x",INT(G109/H109))</f>
        <v>68x120</v>
      </c>
      <c r="J109">
        <v>58</v>
      </c>
      <c r="K109">
        <v>117</v>
      </c>
      <c r="L109" s="3">
        <v>2229</v>
      </c>
      <c r="M109" s="3">
        <v>4732</v>
      </c>
      <c r="N109" s="3">
        <v>3008</v>
      </c>
      <c r="O109" s="3">
        <v>656900</v>
      </c>
      <c r="P109" s="3">
        <v>854900</v>
      </c>
      <c r="Q109" s="3">
        <v>721122.22219999996</v>
      </c>
      <c r="S109">
        <v>33.706242000000003</v>
      </c>
      <c r="T109">
        <v>-112.40640999999999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</row>
    <row r="110" spans="2:74" ht="16" thickTop="1" thickBot="1" x14ac:dyDescent="0.25">
      <c r="B110" t="s">
        <v>687</v>
      </c>
      <c r="C110" t="s">
        <v>136</v>
      </c>
      <c r="E110" t="s">
        <v>21</v>
      </c>
      <c r="F110" t="s">
        <v>22</v>
      </c>
      <c r="G110" s="1">
        <v>7800</v>
      </c>
      <c r="H110" s="2">
        <v>60</v>
      </c>
      <c r="I110" s="5" t="str">
        <f>CONCATENATE(H110,"x",INT(G110/H110))</f>
        <v>60x130</v>
      </c>
      <c r="J110">
        <v>3</v>
      </c>
      <c r="K110">
        <v>117</v>
      </c>
      <c r="L110" s="3">
        <v>2220</v>
      </c>
      <c r="M110" s="3">
        <v>2910</v>
      </c>
      <c r="N110" s="3">
        <v>2458</v>
      </c>
      <c r="O110" s="3">
        <v>535990</v>
      </c>
      <c r="P110" s="3">
        <v>571990</v>
      </c>
      <c r="Q110" s="3">
        <v>551190</v>
      </c>
      <c r="S110">
        <v>33.261153999999998</v>
      </c>
      <c r="T110">
        <v>-111.61105000000001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</row>
    <row r="111" spans="2:74" ht="16" thickTop="1" thickBot="1" x14ac:dyDescent="0.25">
      <c r="B111" t="s">
        <v>832</v>
      </c>
      <c r="C111" t="s">
        <v>110</v>
      </c>
      <c r="D111" t="s">
        <v>689</v>
      </c>
      <c r="E111" t="s">
        <v>21</v>
      </c>
      <c r="F111" t="s">
        <v>22</v>
      </c>
      <c r="G111" s="1">
        <v>10400</v>
      </c>
      <c r="H111" s="2">
        <v>80</v>
      </c>
      <c r="I111" s="5" t="str">
        <f>CONCATENATE(H111,"x",INT(G111/H111))</f>
        <v>80x130</v>
      </c>
      <c r="J111">
        <v>18</v>
      </c>
      <c r="K111">
        <v>117</v>
      </c>
      <c r="L111" s="3">
        <v>2889</v>
      </c>
      <c r="M111" s="3">
        <v>3598</v>
      </c>
      <c r="N111" s="3">
        <v>3206</v>
      </c>
      <c r="O111" s="3">
        <v>859990</v>
      </c>
      <c r="P111" s="3">
        <v>919990</v>
      </c>
      <c r="Q111" s="3">
        <v>884132.85710000002</v>
      </c>
      <c r="S111">
        <v>34.618279000000001</v>
      </c>
      <c r="T111">
        <v>-112.39475</v>
      </c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</row>
    <row r="112" spans="2:74" ht="16" thickTop="1" thickBot="1" x14ac:dyDescent="0.25">
      <c r="B112" t="s">
        <v>115</v>
      </c>
      <c r="C112" t="s">
        <v>116</v>
      </c>
      <c r="E112" t="s">
        <v>21</v>
      </c>
      <c r="F112" t="s">
        <v>22</v>
      </c>
      <c r="G112" s="1">
        <v>4025</v>
      </c>
      <c r="H112" s="2">
        <v>35</v>
      </c>
      <c r="I112" s="5" t="str">
        <f>CONCATENATE(H112,"x",INT(G112/H112))</f>
        <v>35x115</v>
      </c>
      <c r="J112">
        <v>13</v>
      </c>
      <c r="K112">
        <v>116</v>
      </c>
      <c r="L112" s="3">
        <v>1216</v>
      </c>
      <c r="M112" s="3">
        <v>2467</v>
      </c>
      <c r="N112" s="3">
        <v>1781</v>
      </c>
      <c r="O112" s="3">
        <v>297990</v>
      </c>
      <c r="P112" s="3">
        <v>388990</v>
      </c>
      <c r="Q112" s="3">
        <v>341240</v>
      </c>
      <c r="S112">
        <v>32.060443999999997</v>
      </c>
      <c r="T112">
        <v>-110.73849</v>
      </c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</row>
    <row r="113" spans="2:74" ht="16" thickTop="1" thickBot="1" x14ac:dyDescent="0.25">
      <c r="B113" t="s">
        <v>159</v>
      </c>
      <c r="C113" t="s">
        <v>114</v>
      </c>
      <c r="E113" t="s">
        <v>21</v>
      </c>
      <c r="F113" t="s">
        <v>22</v>
      </c>
      <c r="G113" s="1">
        <v>4800</v>
      </c>
      <c r="H113" s="2">
        <v>40</v>
      </c>
      <c r="I113" s="5" t="str">
        <f>CONCATENATE(H113,"x",INT(G113/H113))</f>
        <v>40x120</v>
      </c>
      <c r="J113">
        <v>73</v>
      </c>
      <c r="K113">
        <v>116</v>
      </c>
      <c r="L113" s="3">
        <v>1467</v>
      </c>
      <c r="M113" s="3">
        <v>2694</v>
      </c>
      <c r="N113" s="3">
        <v>2043</v>
      </c>
      <c r="O113" s="3">
        <v>334990</v>
      </c>
      <c r="P113" s="3">
        <v>394990</v>
      </c>
      <c r="Q113" s="3">
        <v>363590</v>
      </c>
      <c r="S113">
        <v>32.052933000000003</v>
      </c>
      <c r="T113">
        <v>-110.72559</v>
      </c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</row>
    <row r="114" spans="2:74" ht="16" thickTop="1" thickBot="1" x14ac:dyDescent="0.25">
      <c r="B114" t="s">
        <v>739</v>
      </c>
      <c r="C114" t="s">
        <v>68</v>
      </c>
      <c r="D114" t="s">
        <v>580</v>
      </c>
      <c r="E114" t="s">
        <v>21</v>
      </c>
      <c r="F114" t="s">
        <v>22</v>
      </c>
      <c r="G114" s="1">
        <v>8450</v>
      </c>
      <c r="H114" s="2">
        <v>65</v>
      </c>
      <c r="I114" s="5" t="str">
        <f>CONCATENATE(H114,"x",INT(G114/H114))</f>
        <v>65x130</v>
      </c>
      <c r="J114">
        <v>1029</v>
      </c>
      <c r="K114">
        <v>116</v>
      </c>
      <c r="L114" s="3">
        <v>1342</v>
      </c>
      <c r="M114" s="3">
        <v>3249</v>
      </c>
      <c r="N114" s="3">
        <v>2113</v>
      </c>
      <c r="O114" s="3">
        <v>402900</v>
      </c>
      <c r="P114" s="3">
        <v>711900</v>
      </c>
      <c r="Q114" s="3">
        <v>506033.3333</v>
      </c>
      <c r="S114">
        <v>34.027755999999997</v>
      </c>
      <c r="T114">
        <v>-112.80328</v>
      </c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</row>
    <row r="115" spans="2:74" ht="16" thickTop="1" thickBot="1" x14ac:dyDescent="0.25">
      <c r="B115" t="s">
        <v>643</v>
      </c>
      <c r="C115" t="s">
        <v>114</v>
      </c>
      <c r="D115" t="s">
        <v>209</v>
      </c>
      <c r="E115" t="s">
        <v>21</v>
      </c>
      <c r="F115" t="s">
        <v>22</v>
      </c>
      <c r="G115" s="1">
        <v>6600</v>
      </c>
      <c r="H115" s="2">
        <v>60</v>
      </c>
      <c r="I115" s="5" t="str">
        <f>CONCATENATE(H115,"x",INT(G115/H115))</f>
        <v>60x110</v>
      </c>
      <c r="J115">
        <v>162</v>
      </c>
      <c r="K115">
        <v>115</v>
      </c>
      <c r="L115" s="3">
        <v>1333</v>
      </c>
      <c r="M115" s="3">
        <v>1905</v>
      </c>
      <c r="N115" s="3">
        <v>1609</v>
      </c>
      <c r="O115" s="3">
        <v>321990</v>
      </c>
      <c r="P115" s="3">
        <v>353990</v>
      </c>
      <c r="Q115" s="3">
        <v>338190</v>
      </c>
      <c r="R115" t="s">
        <v>402</v>
      </c>
      <c r="S115">
        <v>33.071423000000003</v>
      </c>
      <c r="T115">
        <v>-112.02806</v>
      </c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</row>
    <row r="116" spans="2:74" ht="16" thickTop="1" thickBot="1" x14ac:dyDescent="0.25">
      <c r="B116" t="s">
        <v>568</v>
      </c>
      <c r="C116" t="s">
        <v>151</v>
      </c>
      <c r="D116" t="s">
        <v>152</v>
      </c>
      <c r="E116" t="s">
        <v>21</v>
      </c>
      <c r="F116" t="s">
        <v>22</v>
      </c>
      <c r="G116" s="1">
        <v>6600</v>
      </c>
      <c r="H116" s="2">
        <v>55</v>
      </c>
      <c r="I116" s="5" t="str">
        <f>CONCATENATE(H116,"x",INT(G116/H116))</f>
        <v>55x120</v>
      </c>
      <c r="J116">
        <v>34</v>
      </c>
      <c r="K116">
        <v>115</v>
      </c>
      <c r="L116" s="3">
        <v>1993</v>
      </c>
      <c r="M116" s="3">
        <v>3554</v>
      </c>
      <c r="N116" s="3">
        <v>2754</v>
      </c>
      <c r="O116" s="3">
        <v>451990</v>
      </c>
      <c r="P116" s="3">
        <v>563990</v>
      </c>
      <c r="Q116" s="3">
        <v>507990</v>
      </c>
      <c r="S116">
        <v>33.509590000000003</v>
      </c>
      <c r="T116">
        <v>-112.43895000000001</v>
      </c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</row>
    <row r="117" spans="2:74" ht="16" thickTop="1" thickBot="1" x14ac:dyDescent="0.25">
      <c r="B117" t="s">
        <v>51</v>
      </c>
      <c r="C117" t="s">
        <v>31</v>
      </c>
      <c r="D117" t="s">
        <v>52</v>
      </c>
      <c r="E117" t="s">
        <v>21</v>
      </c>
      <c r="F117" t="s">
        <v>22</v>
      </c>
      <c r="G117" s="1">
        <v>24750</v>
      </c>
      <c r="H117" s="2">
        <v>110</v>
      </c>
      <c r="I117" s="5" t="str">
        <f>CONCATENATE(H117,"x",INT(G117/H117))</f>
        <v>110x225</v>
      </c>
      <c r="J117">
        <v>91</v>
      </c>
      <c r="K117">
        <v>114</v>
      </c>
      <c r="L117" s="3">
        <v>2812</v>
      </c>
      <c r="M117" s="3">
        <v>5510</v>
      </c>
      <c r="N117" s="3">
        <v>3955</v>
      </c>
      <c r="O117" s="3">
        <v>1712995</v>
      </c>
      <c r="P117" s="3">
        <v>2776995</v>
      </c>
      <c r="Q117" s="3">
        <v>2216176.8180999998</v>
      </c>
      <c r="R117" t="s">
        <v>23</v>
      </c>
      <c r="S117">
        <v>33.607005999999998</v>
      </c>
      <c r="T117">
        <v>-111.76689</v>
      </c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</row>
    <row r="118" spans="2:74" ht="16" thickTop="1" thickBot="1" x14ac:dyDescent="0.25">
      <c r="B118" t="s">
        <v>409</v>
      </c>
      <c r="C118" t="s">
        <v>130</v>
      </c>
      <c r="E118" t="s">
        <v>21</v>
      </c>
      <c r="F118" t="s">
        <v>22</v>
      </c>
      <c r="G118" s="1">
        <v>5750</v>
      </c>
      <c r="H118" s="2">
        <v>50</v>
      </c>
      <c r="I118" s="5" t="str">
        <f>CONCATENATE(H118,"x",INT(G118/H118))</f>
        <v>50x115</v>
      </c>
      <c r="J118">
        <v>28</v>
      </c>
      <c r="K118">
        <v>113</v>
      </c>
      <c r="L118" s="3">
        <v>1593</v>
      </c>
      <c r="M118" s="3">
        <v>2548</v>
      </c>
      <c r="N118" s="3">
        <v>1957</v>
      </c>
      <c r="O118" s="3">
        <v>354990</v>
      </c>
      <c r="P118" s="3">
        <v>406990</v>
      </c>
      <c r="Q118" s="3">
        <v>378990</v>
      </c>
      <c r="S118">
        <v>33.030670000000001</v>
      </c>
      <c r="T118">
        <v>-112.02386</v>
      </c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</row>
    <row r="119" spans="2:74" ht="16" thickTop="1" thickBot="1" x14ac:dyDescent="0.25">
      <c r="B119" t="s">
        <v>238</v>
      </c>
      <c r="C119" t="s">
        <v>123</v>
      </c>
      <c r="E119" t="s">
        <v>21</v>
      </c>
      <c r="F119" t="s">
        <v>22</v>
      </c>
      <c r="G119" s="1">
        <v>5175</v>
      </c>
      <c r="H119" s="2">
        <v>45</v>
      </c>
      <c r="I119" s="5" t="str">
        <f>CONCATENATE(H119,"x",INT(G119/H119))</f>
        <v>45x115</v>
      </c>
      <c r="J119">
        <v>37</v>
      </c>
      <c r="K119">
        <v>113</v>
      </c>
      <c r="L119" s="3">
        <v>1580</v>
      </c>
      <c r="M119" s="3">
        <v>3018</v>
      </c>
      <c r="N119" s="3">
        <v>2256</v>
      </c>
      <c r="O119" s="3">
        <v>345990</v>
      </c>
      <c r="P119" s="3">
        <v>445990</v>
      </c>
      <c r="Q119" s="3">
        <v>390990</v>
      </c>
      <c r="S119">
        <v>33.419460000000001</v>
      </c>
      <c r="T119">
        <v>-112.55423999999999</v>
      </c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</row>
    <row r="120" spans="2:74" ht="16" thickTop="1" thickBot="1" x14ac:dyDescent="0.25">
      <c r="B120" t="s">
        <v>239</v>
      </c>
      <c r="C120" t="s">
        <v>123</v>
      </c>
      <c r="E120" t="s">
        <v>21</v>
      </c>
      <c r="F120" t="s">
        <v>22</v>
      </c>
      <c r="G120" s="1">
        <v>5175</v>
      </c>
      <c r="H120" s="2">
        <v>45</v>
      </c>
      <c r="I120" s="5" t="str">
        <f>CONCATENATE(H120,"x",INT(G120/H120))</f>
        <v>45x115</v>
      </c>
      <c r="J120">
        <v>142</v>
      </c>
      <c r="K120">
        <v>113</v>
      </c>
      <c r="L120" s="3">
        <v>1315</v>
      </c>
      <c r="M120" s="3">
        <v>3018</v>
      </c>
      <c r="N120" s="3">
        <v>2197</v>
      </c>
      <c r="O120" s="3">
        <v>356990</v>
      </c>
      <c r="P120" s="3">
        <v>484990</v>
      </c>
      <c r="Q120" s="3">
        <v>424132.85710000002</v>
      </c>
      <c r="S120">
        <v>33.560791000000002</v>
      </c>
      <c r="T120">
        <v>-112.42274999999999</v>
      </c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</row>
    <row r="121" spans="2:74" ht="16" thickTop="1" thickBot="1" x14ac:dyDescent="0.25">
      <c r="B121" t="s">
        <v>569</v>
      </c>
      <c r="C121" t="s">
        <v>136</v>
      </c>
      <c r="E121" t="s">
        <v>21</v>
      </c>
      <c r="F121" t="s">
        <v>22</v>
      </c>
      <c r="G121" s="1">
        <v>6600</v>
      </c>
      <c r="H121" s="2">
        <v>55</v>
      </c>
      <c r="I121" s="5" t="str">
        <f>CONCATENATE(H121,"x",INT(G121/H121))</f>
        <v>55x120</v>
      </c>
      <c r="J121">
        <v>6</v>
      </c>
      <c r="K121">
        <v>113</v>
      </c>
      <c r="L121" s="3">
        <v>1730</v>
      </c>
      <c r="M121" s="3">
        <v>3040</v>
      </c>
      <c r="N121" s="3">
        <v>2216</v>
      </c>
      <c r="O121" s="3">
        <v>397990</v>
      </c>
      <c r="P121" s="3">
        <v>441990</v>
      </c>
      <c r="Q121" s="3">
        <v>361227.71419999999</v>
      </c>
      <c r="S121">
        <v>33.321423000000003</v>
      </c>
      <c r="T121">
        <v>-111.36481999999999</v>
      </c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</row>
    <row r="122" spans="2:74" ht="16" thickTop="1" thickBot="1" x14ac:dyDescent="0.25">
      <c r="B122" t="s">
        <v>313</v>
      </c>
      <c r="C122" t="s">
        <v>181</v>
      </c>
      <c r="E122" t="s">
        <v>21</v>
      </c>
      <c r="F122" t="s">
        <v>22</v>
      </c>
      <c r="G122" s="1">
        <v>5400</v>
      </c>
      <c r="H122" s="2">
        <v>45</v>
      </c>
      <c r="I122" s="5" t="str">
        <f>CONCATENATE(H122,"x",INT(G122/H122))</f>
        <v>45x120</v>
      </c>
      <c r="J122">
        <v>33</v>
      </c>
      <c r="K122">
        <v>112</v>
      </c>
      <c r="L122" s="3">
        <v>1520</v>
      </c>
      <c r="M122" s="3">
        <v>3159</v>
      </c>
      <c r="N122" s="3">
        <v>2195</v>
      </c>
      <c r="O122" s="3">
        <v>385990</v>
      </c>
      <c r="P122" s="3">
        <v>525990</v>
      </c>
      <c r="Q122" s="3">
        <v>443132.85710000002</v>
      </c>
      <c r="S122">
        <v>33.600861000000002</v>
      </c>
      <c r="T122">
        <v>-112.4286</v>
      </c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</row>
    <row r="123" spans="2:74" ht="16" thickTop="1" thickBot="1" x14ac:dyDescent="0.25">
      <c r="B123" t="s">
        <v>618</v>
      </c>
      <c r="C123" t="s">
        <v>118</v>
      </c>
      <c r="D123" t="s">
        <v>367</v>
      </c>
      <c r="E123" t="s">
        <v>21</v>
      </c>
      <c r="F123" t="s">
        <v>22</v>
      </c>
      <c r="G123" s="1">
        <v>6960</v>
      </c>
      <c r="H123" s="2">
        <v>58</v>
      </c>
      <c r="I123" s="5" t="str">
        <f>CONCATENATE(H123,"x",INT(G123/H123))</f>
        <v>58x120</v>
      </c>
      <c r="J123">
        <v>167</v>
      </c>
      <c r="K123">
        <v>110</v>
      </c>
      <c r="L123" s="3">
        <v>2086</v>
      </c>
      <c r="M123" s="3">
        <v>3857</v>
      </c>
      <c r="N123" s="3">
        <v>2824</v>
      </c>
      <c r="O123" s="3">
        <v>469900</v>
      </c>
      <c r="P123" s="3">
        <v>634900</v>
      </c>
      <c r="Q123" s="3">
        <v>555100</v>
      </c>
      <c r="S123">
        <v>33.200252999999996</v>
      </c>
      <c r="T123">
        <v>-111.59715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</row>
    <row r="124" spans="2:74" ht="16" thickTop="1" thickBot="1" x14ac:dyDescent="0.25">
      <c r="B124" t="s">
        <v>765</v>
      </c>
      <c r="C124" t="s">
        <v>31</v>
      </c>
      <c r="D124" t="s">
        <v>49</v>
      </c>
      <c r="E124" t="s">
        <v>21</v>
      </c>
      <c r="F124" t="s">
        <v>22</v>
      </c>
      <c r="G124" s="1">
        <v>8050</v>
      </c>
      <c r="H124" s="2">
        <v>70</v>
      </c>
      <c r="I124" s="5" t="str">
        <f>CONCATENATE(H124,"x",INT(G124/H124))</f>
        <v>70x115</v>
      </c>
      <c r="J124">
        <v>49</v>
      </c>
      <c r="K124">
        <v>110</v>
      </c>
      <c r="L124" s="3">
        <v>2200</v>
      </c>
      <c r="M124" s="3">
        <v>2922</v>
      </c>
      <c r="N124" s="3">
        <v>2509</v>
      </c>
      <c r="O124" s="3">
        <v>745995</v>
      </c>
      <c r="P124" s="3">
        <v>946995</v>
      </c>
      <c r="Q124" s="3">
        <v>803280.71420000005</v>
      </c>
      <c r="R124" t="s">
        <v>402</v>
      </c>
      <c r="S124">
        <v>33.583083999999999</v>
      </c>
      <c r="T124">
        <v>-112.43374</v>
      </c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</row>
    <row r="125" spans="2:74" ht="16" thickTop="1" thickBot="1" x14ac:dyDescent="0.25">
      <c r="B125" t="s">
        <v>451</v>
      </c>
      <c r="C125" t="s">
        <v>43</v>
      </c>
      <c r="E125" t="s">
        <v>21</v>
      </c>
      <c r="F125" t="s">
        <v>22</v>
      </c>
      <c r="G125" s="1">
        <v>6000</v>
      </c>
      <c r="H125" s="2">
        <v>50</v>
      </c>
      <c r="I125" s="5" t="str">
        <f>CONCATENATE(H125,"x",INT(G125/H125))</f>
        <v>50x120</v>
      </c>
      <c r="J125">
        <v>417</v>
      </c>
      <c r="K125">
        <v>108</v>
      </c>
      <c r="L125" s="3">
        <v>1432</v>
      </c>
      <c r="M125" s="3">
        <v>2692</v>
      </c>
      <c r="N125" s="3">
        <v>2094</v>
      </c>
      <c r="O125" s="3">
        <v>309990</v>
      </c>
      <c r="P125" s="3">
        <v>420990</v>
      </c>
      <c r="Q125" s="3">
        <v>370836.15379999997</v>
      </c>
      <c r="S125">
        <v>32.963959000000003</v>
      </c>
      <c r="T125">
        <v>-111.78069000000001</v>
      </c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</row>
    <row r="126" spans="2:74" ht="16" thickTop="1" thickBot="1" x14ac:dyDescent="0.25">
      <c r="B126" t="s">
        <v>657</v>
      </c>
      <c r="C126" t="s">
        <v>38</v>
      </c>
      <c r="D126" t="s">
        <v>234</v>
      </c>
      <c r="E126" t="s">
        <v>21</v>
      </c>
      <c r="F126" t="s">
        <v>22</v>
      </c>
      <c r="G126" s="1">
        <v>7200</v>
      </c>
      <c r="H126" s="2">
        <v>60</v>
      </c>
      <c r="I126" s="5" t="str">
        <f>CONCATENATE(H126,"x",INT(G126/H126))</f>
        <v>60x120</v>
      </c>
      <c r="J126">
        <v>104</v>
      </c>
      <c r="K126">
        <v>108</v>
      </c>
      <c r="L126" s="3">
        <v>2202</v>
      </c>
      <c r="M126" s="3">
        <v>3967</v>
      </c>
      <c r="N126" s="3">
        <v>3087</v>
      </c>
      <c r="O126" s="3">
        <v>554990</v>
      </c>
      <c r="P126" s="3">
        <v>674990</v>
      </c>
      <c r="Q126" s="3">
        <v>620132.85710000002</v>
      </c>
      <c r="S126">
        <v>33.515540999999999</v>
      </c>
      <c r="T126">
        <v>-112.25285</v>
      </c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</row>
    <row r="127" spans="2:74" ht="16" thickTop="1" thickBot="1" x14ac:dyDescent="0.25">
      <c r="B127" t="s">
        <v>354</v>
      </c>
      <c r="C127" t="s">
        <v>118</v>
      </c>
      <c r="D127" t="s">
        <v>355</v>
      </c>
      <c r="E127" t="s">
        <v>21</v>
      </c>
      <c r="F127" t="s">
        <v>22</v>
      </c>
      <c r="G127" s="1">
        <v>3825</v>
      </c>
      <c r="H127" s="2">
        <v>45</v>
      </c>
      <c r="I127" s="5" t="str">
        <f>CONCATENATE(H127,"x",INT(G127/H127))</f>
        <v>45x85</v>
      </c>
      <c r="J127">
        <v>39</v>
      </c>
      <c r="K127">
        <v>107</v>
      </c>
      <c r="L127" s="3">
        <v>1971</v>
      </c>
      <c r="M127" s="3">
        <v>2501</v>
      </c>
      <c r="N127" s="3">
        <v>2253</v>
      </c>
      <c r="O127" s="3">
        <v>375900</v>
      </c>
      <c r="P127" s="3">
        <v>430900</v>
      </c>
      <c r="Q127" s="3">
        <v>404650</v>
      </c>
      <c r="S127">
        <v>33.701630000000002</v>
      </c>
      <c r="T127">
        <v>-112.40761000000001</v>
      </c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</row>
    <row r="128" spans="2:74" ht="16" thickTop="1" thickBot="1" x14ac:dyDescent="0.25">
      <c r="B128" t="s">
        <v>410</v>
      </c>
      <c r="C128" t="s">
        <v>123</v>
      </c>
      <c r="E128" t="s">
        <v>21</v>
      </c>
      <c r="F128" t="s">
        <v>22</v>
      </c>
      <c r="G128" s="1">
        <v>5750</v>
      </c>
      <c r="H128" s="2">
        <v>50</v>
      </c>
      <c r="I128" s="5" t="str">
        <f>CONCATENATE(H128,"x",INT(G128/H128))</f>
        <v>50x115</v>
      </c>
      <c r="J128">
        <v>43</v>
      </c>
      <c r="K128">
        <v>107</v>
      </c>
      <c r="L128" s="3">
        <v>1776</v>
      </c>
      <c r="M128" s="3">
        <v>2868</v>
      </c>
      <c r="N128" s="3">
        <v>2298</v>
      </c>
      <c r="O128" s="3">
        <v>396990</v>
      </c>
      <c r="P128" s="3">
        <v>466990</v>
      </c>
      <c r="Q128" s="3">
        <v>430990</v>
      </c>
      <c r="S128">
        <v>33.725796000000003</v>
      </c>
      <c r="T128">
        <v>-112.42294</v>
      </c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</row>
    <row r="129" spans="2:74" ht="16" thickTop="1" thickBot="1" x14ac:dyDescent="0.25">
      <c r="B129" t="s">
        <v>817</v>
      </c>
      <c r="C129" t="s">
        <v>144</v>
      </c>
      <c r="D129" t="s">
        <v>26</v>
      </c>
      <c r="E129" t="s">
        <v>21</v>
      </c>
      <c r="F129" t="s">
        <v>22</v>
      </c>
      <c r="G129" s="1">
        <v>10500</v>
      </c>
      <c r="H129" s="2">
        <v>75</v>
      </c>
      <c r="I129" s="5" t="str">
        <f>CONCATENATE(H129,"x",INT(G129/H129))</f>
        <v>75x140</v>
      </c>
      <c r="J129">
        <v>0</v>
      </c>
      <c r="K129">
        <v>106</v>
      </c>
      <c r="L129" s="3">
        <v>2183</v>
      </c>
      <c r="M129" s="3">
        <v>3172</v>
      </c>
      <c r="N129" s="3">
        <v>2695</v>
      </c>
      <c r="O129" s="3">
        <v>631990</v>
      </c>
      <c r="P129" s="3">
        <v>674990</v>
      </c>
      <c r="Q129" s="3">
        <v>652323.33330000006</v>
      </c>
      <c r="S129">
        <v>32.460341999999997</v>
      </c>
      <c r="T129">
        <v>-111.10565</v>
      </c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</row>
    <row r="130" spans="2:74" ht="16" thickTop="1" thickBot="1" x14ac:dyDescent="0.25">
      <c r="B130" t="s">
        <v>722</v>
      </c>
      <c r="C130" t="s">
        <v>94</v>
      </c>
      <c r="E130" t="s">
        <v>21</v>
      </c>
      <c r="F130" t="s">
        <v>22</v>
      </c>
      <c r="G130" s="1">
        <v>8125</v>
      </c>
      <c r="H130" s="2">
        <v>65</v>
      </c>
      <c r="I130" s="5" t="str">
        <f>CONCATENATE(H130,"x",INT(G130/H130))</f>
        <v>65x125</v>
      </c>
      <c r="J130">
        <v>14</v>
      </c>
      <c r="K130">
        <v>106</v>
      </c>
      <c r="L130" s="3">
        <v>2546</v>
      </c>
      <c r="M130" s="3">
        <v>3983</v>
      </c>
      <c r="N130" s="3">
        <v>3179</v>
      </c>
      <c r="O130" s="3">
        <v>566990</v>
      </c>
      <c r="P130" s="3">
        <v>703490</v>
      </c>
      <c r="Q130" s="3">
        <v>628073.33330000006</v>
      </c>
      <c r="S130">
        <v>33.208644999999997</v>
      </c>
      <c r="T130">
        <v>-111.59316</v>
      </c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</row>
    <row r="131" spans="2:74" ht="16" thickTop="1" thickBot="1" x14ac:dyDescent="0.25">
      <c r="B131" t="s">
        <v>658</v>
      </c>
      <c r="C131" t="s">
        <v>187</v>
      </c>
      <c r="D131" t="s">
        <v>460</v>
      </c>
      <c r="E131" t="s">
        <v>21</v>
      </c>
      <c r="F131" t="s">
        <v>22</v>
      </c>
      <c r="G131" s="1">
        <v>7200</v>
      </c>
      <c r="H131" s="2">
        <v>60</v>
      </c>
      <c r="I131" s="5" t="str">
        <f>CONCATENATE(H131,"x",INT(G131/H131))</f>
        <v>60x120</v>
      </c>
      <c r="J131">
        <v>25</v>
      </c>
      <c r="K131">
        <v>105</v>
      </c>
      <c r="L131" s="3">
        <v>2123</v>
      </c>
      <c r="M131" s="3">
        <v>4127</v>
      </c>
      <c r="N131" s="3">
        <v>2710</v>
      </c>
      <c r="O131" s="3">
        <v>554990</v>
      </c>
      <c r="P131" s="3">
        <v>662990</v>
      </c>
      <c r="Q131" s="3">
        <v>584390</v>
      </c>
      <c r="S131">
        <v>33.260810999999997</v>
      </c>
      <c r="T131">
        <v>-111.59594</v>
      </c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</row>
    <row r="132" spans="2:74" ht="16" thickTop="1" thickBot="1" x14ac:dyDescent="0.25">
      <c r="B132" t="s">
        <v>135</v>
      </c>
      <c r="C132" t="s">
        <v>240</v>
      </c>
      <c r="D132" t="s">
        <v>137</v>
      </c>
      <c r="E132" t="s">
        <v>21</v>
      </c>
      <c r="F132" t="s">
        <v>22</v>
      </c>
      <c r="G132" s="1">
        <v>5175</v>
      </c>
      <c r="H132" s="2">
        <v>45</v>
      </c>
      <c r="I132" s="5" t="str">
        <f>CONCATENATE(H132,"x",INT(G132/H132))</f>
        <v>45x115</v>
      </c>
      <c r="J132">
        <v>64</v>
      </c>
      <c r="K132">
        <v>105</v>
      </c>
      <c r="L132" s="3">
        <v>1353</v>
      </c>
      <c r="M132" s="3">
        <v>2197</v>
      </c>
      <c r="N132" s="3">
        <v>1757</v>
      </c>
      <c r="O132" s="3">
        <v>314990</v>
      </c>
      <c r="P132" s="3">
        <v>374990</v>
      </c>
      <c r="Q132" s="3">
        <v>353740</v>
      </c>
      <c r="S132">
        <v>31.951661999999999</v>
      </c>
      <c r="T132">
        <v>-110.98439999999999</v>
      </c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</row>
    <row r="133" spans="2:74" ht="16" thickTop="1" thickBot="1" x14ac:dyDescent="0.25">
      <c r="B133" t="s">
        <v>808</v>
      </c>
      <c r="C133" t="s">
        <v>136</v>
      </c>
      <c r="D133" t="s">
        <v>542</v>
      </c>
      <c r="E133" t="s">
        <v>21</v>
      </c>
      <c r="F133" t="s">
        <v>22</v>
      </c>
      <c r="G133" s="1">
        <v>8760</v>
      </c>
      <c r="H133" s="2">
        <v>73</v>
      </c>
      <c r="I133" s="5" t="str">
        <f>CONCATENATE(H133,"x",INT(G133/H133))</f>
        <v>73x120</v>
      </c>
      <c r="J133">
        <v>0</v>
      </c>
      <c r="K133">
        <v>104</v>
      </c>
      <c r="L133" s="3">
        <v>2390</v>
      </c>
      <c r="M133" s="3">
        <v>2840</v>
      </c>
      <c r="N133" s="3">
        <v>2596</v>
      </c>
      <c r="O133" s="3">
        <v>531990</v>
      </c>
      <c r="P133" s="3">
        <v>596990</v>
      </c>
      <c r="Q133" s="3">
        <v>566590</v>
      </c>
      <c r="S133">
        <v>33.484473999999999</v>
      </c>
      <c r="T133">
        <v>-112.49427</v>
      </c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</row>
    <row r="134" spans="2:74" ht="16" thickTop="1" thickBot="1" x14ac:dyDescent="0.25">
      <c r="B134" t="s">
        <v>762</v>
      </c>
      <c r="C134" t="s">
        <v>31</v>
      </c>
      <c r="D134" t="s">
        <v>49</v>
      </c>
      <c r="E134" t="s">
        <v>21</v>
      </c>
      <c r="F134" t="s">
        <v>22</v>
      </c>
      <c r="G134" s="1">
        <v>7700</v>
      </c>
      <c r="H134" s="2">
        <v>70</v>
      </c>
      <c r="I134" s="5" t="str">
        <f>CONCATENATE(H134,"x",INT(G134/H134))</f>
        <v>70x110</v>
      </c>
      <c r="J134">
        <v>92</v>
      </c>
      <c r="K134">
        <v>104</v>
      </c>
      <c r="L134" s="3">
        <v>2200</v>
      </c>
      <c r="M134" s="3">
        <v>4197</v>
      </c>
      <c r="N134" s="3">
        <v>2790</v>
      </c>
      <c r="O134" s="3">
        <v>745995</v>
      </c>
      <c r="P134" s="3">
        <v>930995</v>
      </c>
      <c r="Q134" s="3">
        <v>814423.57140000002</v>
      </c>
      <c r="R134" t="s">
        <v>50</v>
      </c>
      <c r="S134">
        <v>33.584460999999997</v>
      </c>
      <c r="T134">
        <v>-112.4323</v>
      </c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</row>
    <row r="135" spans="2:74" ht="16" thickTop="1" thickBot="1" x14ac:dyDescent="0.25">
      <c r="B135" t="s">
        <v>241</v>
      </c>
      <c r="C135" t="s">
        <v>123</v>
      </c>
      <c r="D135" t="s">
        <v>179</v>
      </c>
      <c r="E135" t="s">
        <v>21</v>
      </c>
      <c r="F135" t="s">
        <v>22</v>
      </c>
      <c r="G135" s="1">
        <v>5175</v>
      </c>
      <c r="H135" s="2">
        <v>45</v>
      </c>
      <c r="I135" s="5" t="str">
        <f>CONCATENATE(H135,"x",INT(G135/H135))</f>
        <v>45x115</v>
      </c>
      <c r="J135">
        <v>48</v>
      </c>
      <c r="K135">
        <v>103</v>
      </c>
      <c r="L135" s="3">
        <v>1315</v>
      </c>
      <c r="M135" s="3">
        <v>3018</v>
      </c>
      <c r="N135" s="3">
        <v>2099</v>
      </c>
      <c r="O135" s="3">
        <v>336990</v>
      </c>
      <c r="P135" s="3">
        <v>428990</v>
      </c>
      <c r="Q135" s="3">
        <v>379990</v>
      </c>
      <c r="S135">
        <v>33.692779999999999</v>
      </c>
      <c r="T135">
        <v>-112.45488</v>
      </c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</row>
    <row r="136" spans="2:74" ht="16" thickTop="1" thickBot="1" x14ac:dyDescent="0.25">
      <c r="B136" t="s">
        <v>452</v>
      </c>
      <c r="C136" t="s">
        <v>38</v>
      </c>
      <c r="D136" t="s">
        <v>234</v>
      </c>
      <c r="E136" t="s">
        <v>21</v>
      </c>
      <c r="F136" t="s">
        <v>22</v>
      </c>
      <c r="G136" s="1">
        <v>6000</v>
      </c>
      <c r="H136" s="2">
        <v>50</v>
      </c>
      <c r="I136" s="5" t="str">
        <f>CONCATENATE(H136,"x",INT(G136/H136))</f>
        <v>50x120</v>
      </c>
      <c r="J136">
        <v>74</v>
      </c>
      <c r="K136">
        <v>103</v>
      </c>
      <c r="L136" s="3">
        <v>1925</v>
      </c>
      <c r="M136" s="3">
        <v>3540</v>
      </c>
      <c r="N136" s="3">
        <v>2590</v>
      </c>
      <c r="O136" s="3">
        <v>487990</v>
      </c>
      <c r="P136" s="3">
        <v>605990</v>
      </c>
      <c r="Q136" s="3">
        <v>533823.33330000006</v>
      </c>
      <c r="S136">
        <v>33.511806</v>
      </c>
      <c r="T136">
        <v>-112.24918</v>
      </c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</row>
    <row r="137" spans="2:74" ht="16" thickTop="1" thickBot="1" x14ac:dyDescent="0.25">
      <c r="B137" t="s">
        <v>411</v>
      </c>
      <c r="C137" t="s">
        <v>123</v>
      </c>
      <c r="D137" t="s">
        <v>179</v>
      </c>
      <c r="E137" t="s">
        <v>21</v>
      </c>
      <c r="F137" t="s">
        <v>22</v>
      </c>
      <c r="G137" s="1">
        <v>5750</v>
      </c>
      <c r="H137" s="2">
        <v>50</v>
      </c>
      <c r="I137" s="5" t="str">
        <f>CONCATENATE(H137,"x",INT(G137/H137))</f>
        <v>50x115</v>
      </c>
      <c r="J137">
        <v>20</v>
      </c>
      <c r="K137">
        <v>102</v>
      </c>
      <c r="L137" s="3">
        <v>1776</v>
      </c>
      <c r="M137" s="3">
        <v>2868</v>
      </c>
      <c r="N137" s="3">
        <v>2298</v>
      </c>
      <c r="O137" s="3">
        <v>379990</v>
      </c>
      <c r="P137" s="3">
        <v>454990</v>
      </c>
      <c r="Q137" s="3">
        <v>414990</v>
      </c>
      <c r="S137">
        <v>33.695545000000003</v>
      </c>
      <c r="T137">
        <v>-112.45501</v>
      </c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</row>
    <row r="138" spans="2:74" ht="16" thickTop="1" thickBot="1" x14ac:dyDescent="0.25">
      <c r="B138" t="s">
        <v>659</v>
      </c>
      <c r="C138" t="s">
        <v>218</v>
      </c>
      <c r="E138" t="s">
        <v>21</v>
      </c>
      <c r="F138" t="s">
        <v>22</v>
      </c>
      <c r="G138" s="1">
        <v>7200</v>
      </c>
      <c r="H138" s="2">
        <v>60</v>
      </c>
      <c r="I138" s="5" t="str">
        <f>CONCATENATE(H138,"x",INT(G138/H138))</f>
        <v>60x120</v>
      </c>
      <c r="J138">
        <v>28</v>
      </c>
      <c r="K138">
        <v>102</v>
      </c>
      <c r="L138" s="3">
        <v>1115</v>
      </c>
      <c r="M138" s="3">
        <v>2143</v>
      </c>
      <c r="N138" s="3">
        <v>1589</v>
      </c>
      <c r="O138" s="3">
        <v>314900</v>
      </c>
      <c r="P138" s="3">
        <v>414900</v>
      </c>
      <c r="Q138" s="3">
        <v>363100</v>
      </c>
      <c r="S138">
        <v>32.983749000000003</v>
      </c>
      <c r="T138">
        <v>-111.76364</v>
      </c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</row>
    <row r="139" spans="2:74" ht="16" thickTop="1" thickBot="1" x14ac:dyDescent="0.25">
      <c r="B139" t="s">
        <v>708</v>
      </c>
      <c r="C139" t="s">
        <v>68</v>
      </c>
      <c r="D139" t="s">
        <v>458</v>
      </c>
      <c r="E139" t="s">
        <v>21</v>
      </c>
      <c r="F139" t="s">
        <v>22</v>
      </c>
      <c r="G139" s="1">
        <v>7560</v>
      </c>
      <c r="H139" s="2">
        <v>63</v>
      </c>
      <c r="I139" s="5" t="str">
        <f>CONCATENATE(H139,"x",INT(G139/H139))</f>
        <v>63x120</v>
      </c>
      <c r="J139">
        <v>1</v>
      </c>
      <c r="K139">
        <v>102</v>
      </c>
      <c r="L139" s="3">
        <v>2553</v>
      </c>
      <c r="M139" s="3">
        <v>3505</v>
      </c>
      <c r="N139" s="3">
        <v>2870</v>
      </c>
      <c r="O139" s="3">
        <v>668990</v>
      </c>
      <c r="P139" s="3">
        <v>774990</v>
      </c>
      <c r="Q139" s="3">
        <v>715990</v>
      </c>
      <c r="S139">
        <v>33.733730000000001</v>
      </c>
      <c r="T139">
        <v>-112.21848</v>
      </c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</row>
    <row r="140" spans="2:74" ht="16" thickTop="1" thickBot="1" x14ac:dyDescent="0.25">
      <c r="B140" t="s">
        <v>521</v>
      </c>
      <c r="C140" t="s">
        <v>31</v>
      </c>
      <c r="D140" t="s">
        <v>49</v>
      </c>
      <c r="E140" t="s">
        <v>21</v>
      </c>
      <c r="F140" t="s">
        <v>22</v>
      </c>
      <c r="G140" s="1">
        <v>4750</v>
      </c>
      <c r="H140" s="2">
        <v>50</v>
      </c>
      <c r="I140" s="5" t="str">
        <f>CONCATENATE(H140,"x",INT(G140/H140))</f>
        <v>50x95</v>
      </c>
      <c r="J140">
        <v>104</v>
      </c>
      <c r="K140">
        <v>101</v>
      </c>
      <c r="L140" s="3">
        <v>1529</v>
      </c>
      <c r="M140" s="3">
        <v>2505</v>
      </c>
      <c r="N140" s="3">
        <v>2045</v>
      </c>
      <c r="O140" s="3">
        <v>525995</v>
      </c>
      <c r="P140" s="3">
        <v>610995</v>
      </c>
      <c r="Q140" s="3">
        <v>566395</v>
      </c>
      <c r="R140" t="s">
        <v>50</v>
      </c>
      <c r="S140">
        <v>33.594296</v>
      </c>
      <c r="T140">
        <v>-112.43002</v>
      </c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</row>
    <row r="141" spans="2:74" ht="16" thickTop="1" thickBot="1" x14ac:dyDescent="0.25">
      <c r="B141" t="s">
        <v>782</v>
      </c>
      <c r="C141" t="s">
        <v>31</v>
      </c>
      <c r="E141" t="s">
        <v>21</v>
      </c>
      <c r="F141" t="s">
        <v>22</v>
      </c>
      <c r="G141" s="1">
        <v>8750</v>
      </c>
      <c r="H141" s="2">
        <v>70</v>
      </c>
      <c r="I141" s="5" t="str">
        <f>CONCATENATE(H141,"x",INT(G141/H141))</f>
        <v>70x125</v>
      </c>
      <c r="J141">
        <v>55</v>
      </c>
      <c r="K141">
        <v>101</v>
      </c>
      <c r="L141" s="3">
        <v>2575</v>
      </c>
      <c r="M141" s="3">
        <v>4121</v>
      </c>
      <c r="N141" s="3">
        <v>3149</v>
      </c>
      <c r="O141" s="3">
        <v>613995</v>
      </c>
      <c r="P141" s="3">
        <v>693995</v>
      </c>
      <c r="Q141" s="3">
        <v>652995</v>
      </c>
      <c r="S141">
        <v>33.200023999999999</v>
      </c>
      <c r="T141">
        <v>-111.60262</v>
      </c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</row>
    <row r="142" spans="2:74" ht="16" thickTop="1" thickBot="1" x14ac:dyDescent="0.25">
      <c r="B142" t="s">
        <v>412</v>
      </c>
      <c r="C142" t="s">
        <v>123</v>
      </c>
      <c r="D142" t="s">
        <v>413</v>
      </c>
      <c r="E142" t="s">
        <v>21</v>
      </c>
      <c r="F142" t="s">
        <v>22</v>
      </c>
      <c r="G142" s="1">
        <v>5750</v>
      </c>
      <c r="H142" s="2">
        <v>50</v>
      </c>
      <c r="I142" s="5" t="str">
        <f>CONCATENATE(H142,"x",INT(G142/H142))</f>
        <v>50x115</v>
      </c>
      <c r="J142">
        <v>0</v>
      </c>
      <c r="K142">
        <v>100</v>
      </c>
      <c r="L142" s="3">
        <v>1776</v>
      </c>
      <c r="M142" s="3">
        <v>2868</v>
      </c>
      <c r="N142" s="3">
        <v>2278</v>
      </c>
      <c r="O142" s="3">
        <v>404990</v>
      </c>
      <c r="P142" s="3">
        <v>469990</v>
      </c>
      <c r="Q142" s="3">
        <v>432990</v>
      </c>
      <c r="S142">
        <v>33.414738</v>
      </c>
      <c r="T142">
        <v>-112.43456</v>
      </c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</row>
    <row r="143" spans="2:74" ht="16" thickTop="1" thickBot="1" x14ac:dyDescent="0.25">
      <c r="B143" t="s">
        <v>243</v>
      </c>
      <c r="C143" t="s">
        <v>136</v>
      </c>
      <c r="D143" t="s">
        <v>149</v>
      </c>
      <c r="E143" t="s">
        <v>21</v>
      </c>
      <c r="F143" t="s">
        <v>22</v>
      </c>
      <c r="G143" s="1">
        <v>5175</v>
      </c>
      <c r="H143" s="2">
        <v>45</v>
      </c>
      <c r="I143" s="5" t="str">
        <f>CONCATENATE(H143,"x",INT(G143/H143))</f>
        <v>45x115</v>
      </c>
      <c r="J143">
        <v>18</v>
      </c>
      <c r="K143">
        <v>100</v>
      </c>
      <c r="L143" s="3">
        <v>1120</v>
      </c>
      <c r="M143" s="3">
        <v>1913</v>
      </c>
      <c r="N143" s="3">
        <v>1524</v>
      </c>
      <c r="O143" s="3">
        <v>289990</v>
      </c>
      <c r="P143" s="3">
        <v>374990</v>
      </c>
      <c r="Q143" s="3">
        <v>329323.3333</v>
      </c>
      <c r="S143">
        <v>32.108074000000002</v>
      </c>
      <c r="T143">
        <v>-111.10787999999999</v>
      </c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</row>
    <row r="144" spans="2:74" ht="16" thickTop="1" thickBot="1" x14ac:dyDescent="0.25">
      <c r="B144" t="s">
        <v>242</v>
      </c>
      <c r="C144" t="s">
        <v>38</v>
      </c>
      <c r="D144" t="s">
        <v>152</v>
      </c>
      <c r="E144" t="s">
        <v>21</v>
      </c>
      <c r="F144" t="s">
        <v>22</v>
      </c>
      <c r="G144" s="1">
        <v>5175</v>
      </c>
      <c r="H144" s="2">
        <v>45</v>
      </c>
      <c r="I144" s="5" t="str">
        <f>CONCATENATE(H144,"x",INT(G144/H144))</f>
        <v>45x115</v>
      </c>
      <c r="J144">
        <v>10</v>
      </c>
      <c r="K144">
        <v>100</v>
      </c>
      <c r="L144" s="3">
        <v>1579</v>
      </c>
      <c r="M144" s="3">
        <v>2961</v>
      </c>
      <c r="N144" s="3">
        <v>2241</v>
      </c>
      <c r="O144" s="3">
        <v>383990</v>
      </c>
      <c r="P144" s="3">
        <v>496990</v>
      </c>
      <c r="Q144" s="3">
        <v>439156.6666</v>
      </c>
      <c r="S144">
        <v>33.512745000000002</v>
      </c>
      <c r="T144">
        <v>-112.43892</v>
      </c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</row>
    <row r="145" spans="2:74" ht="16" thickTop="1" thickBot="1" x14ac:dyDescent="0.25">
      <c r="B145" t="s">
        <v>719</v>
      </c>
      <c r="C145" t="s">
        <v>187</v>
      </c>
      <c r="D145" t="s">
        <v>205</v>
      </c>
      <c r="E145" t="s">
        <v>21</v>
      </c>
      <c r="F145" t="s">
        <v>22</v>
      </c>
      <c r="G145" s="1">
        <v>7800</v>
      </c>
      <c r="H145" s="2">
        <v>65</v>
      </c>
      <c r="I145" s="5" t="str">
        <f>CONCATENATE(H145,"x",INT(G145/H145))</f>
        <v>65x120</v>
      </c>
      <c r="J145">
        <v>5</v>
      </c>
      <c r="K145">
        <v>99</v>
      </c>
      <c r="L145" s="3">
        <v>2123</v>
      </c>
      <c r="M145" s="3">
        <v>4033</v>
      </c>
      <c r="N145" s="3">
        <v>2533</v>
      </c>
      <c r="O145" s="3">
        <v>372990</v>
      </c>
      <c r="P145" s="3">
        <v>453990</v>
      </c>
      <c r="Q145" s="3">
        <v>398132.85710000002</v>
      </c>
      <c r="S145">
        <v>32.987999000000002</v>
      </c>
      <c r="T145">
        <v>-112.07631000000001</v>
      </c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</row>
    <row r="146" spans="2:74" ht="16" thickTop="1" thickBot="1" x14ac:dyDescent="0.25">
      <c r="B146" t="s">
        <v>176</v>
      </c>
      <c r="C146" t="s">
        <v>123</v>
      </c>
      <c r="E146" t="s">
        <v>21</v>
      </c>
      <c r="F146" t="s">
        <v>22</v>
      </c>
      <c r="G146" s="1">
        <v>3400</v>
      </c>
      <c r="H146" s="2">
        <v>40</v>
      </c>
      <c r="I146" s="5" t="str">
        <f>CONCATENATE(H146,"x",INT(G146/H146))</f>
        <v>40x85</v>
      </c>
      <c r="J146">
        <v>3</v>
      </c>
      <c r="K146">
        <v>99</v>
      </c>
      <c r="L146" s="3">
        <v>1706</v>
      </c>
      <c r="M146" s="3">
        <v>2284</v>
      </c>
      <c r="N146" s="3">
        <v>1990</v>
      </c>
      <c r="O146" s="3">
        <v>359990</v>
      </c>
      <c r="P146" s="3">
        <v>389990</v>
      </c>
      <c r="Q146" s="3">
        <v>373990</v>
      </c>
      <c r="S146">
        <v>33.416587999999997</v>
      </c>
      <c r="T146">
        <v>-112.44654</v>
      </c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</row>
    <row r="147" spans="2:74" ht="16" thickTop="1" thickBot="1" x14ac:dyDescent="0.25">
      <c r="B147" t="s">
        <v>414</v>
      </c>
      <c r="C147" t="s">
        <v>136</v>
      </c>
      <c r="E147" t="s">
        <v>21</v>
      </c>
      <c r="F147" t="s">
        <v>22</v>
      </c>
      <c r="G147" s="1">
        <v>5750</v>
      </c>
      <c r="H147" s="2">
        <v>50</v>
      </c>
      <c r="I147" s="5" t="str">
        <f>CONCATENATE(H147,"x",INT(G147/H147))</f>
        <v>50x115</v>
      </c>
      <c r="J147">
        <v>6</v>
      </c>
      <c r="K147">
        <v>99</v>
      </c>
      <c r="L147" s="3">
        <v>1560</v>
      </c>
      <c r="M147" s="3">
        <v>2630</v>
      </c>
      <c r="N147" s="3">
        <v>1890</v>
      </c>
      <c r="O147" s="3">
        <v>360990</v>
      </c>
      <c r="P147" s="3">
        <v>416990</v>
      </c>
      <c r="Q147" s="3">
        <v>378990</v>
      </c>
      <c r="S147">
        <v>33.318573000000001</v>
      </c>
      <c r="T147">
        <v>-111.366</v>
      </c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</row>
    <row r="148" spans="2:74" ht="16" thickTop="1" thickBot="1" x14ac:dyDescent="0.25">
      <c r="B148" t="s">
        <v>453</v>
      </c>
      <c r="C148" t="s">
        <v>442</v>
      </c>
      <c r="D148" t="s">
        <v>454</v>
      </c>
      <c r="E148" t="s">
        <v>21</v>
      </c>
      <c r="F148" t="s">
        <v>22</v>
      </c>
      <c r="G148" s="1">
        <v>6000</v>
      </c>
      <c r="H148" s="2">
        <v>50</v>
      </c>
      <c r="I148" s="5" t="str">
        <f>CONCATENATE(H148,"x",INT(G148/H148))</f>
        <v>50x120</v>
      </c>
      <c r="J148">
        <v>60</v>
      </c>
      <c r="K148">
        <v>99</v>
      </c>
      <c r="L148" s="3">
        <v>1303</v>
      </c>
      <c r="M148" s="3">
        <v>3498</v>
      </c>
      <c r="N148" s="3">
        <v>2116</v>
      </c>
      <c r="O148" s="3">
        <v>411990</v>
      </c>
      <c r="P148" s="3">
        <v>662990</v>
      </c>
      <c r="Q148" s="3">
        <v>494545.55550000002</v>
      </c>
      <c r="S148">
        <v>33.712933</v>
      </c>
      <c r="T148">
        <v>-112.34475999999999</v>
      </c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</row>
    <row r="149" spans="2:74" ht="16" thickTop="1" thickBot="1" x14ac:dyDescent="0.25">
      <c r="B149" t="s">
        <v>792</v>
      </c>
      <c r="C149" t="s">
        <v>442</v>
      </c>
      <c r="D149" t="s">
        <v>454</v>
      </c>
      <c r="E149" t="s">
        <v>21</v>
      </c>
      <c r="F149" t="s">
        <v>22</v>
      </c>
      <c r="G149" s="1">
        <v>9100</v>
      </c>
      <c r="H149" s="2">
        <v>70</v>
      </c>
      <c r="I149" s="5" t="str">
        <f>CONCATENATE(H149,"x",INT(G149/H149))</f>
        <v>70x130</v>
      </c>
      <c r="J149">
        <v>11</v>
      </c>
      <c r="K149">
        <v>99</v>
      </c>
      <c r="L149" s="3">
        <v>2271</v>
      </c>
      <c r="M149" s="3">
        <v>3095</v>
      </c>
      <c r="N149" s="3">
        <v>2732</v>
      </c>
      <c r="O149" s="3">
        <v>691990</v>
      </c>
      <c r="P149" s="3">
        <v>788990</v>
      </c>
      <c r="Q149" s="3">
        <v>744990</v>
      </c>
      <c r="S149">
        <v>33.711081999999998</v>
      </c>
      <c r="T149">
        <v>-112.35516</v>
      </c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</row>
    <row r="150" spans="2:74" ht="16" thickTop="1" thickBot="1" x14ac:dyDescent="0.25">
      <c r="B150" t="s">
        <v>205</v>
      </c>
      <c r="C150" t="s">
        <v>206</v>
      </c>
      <c r="D150" t="s">
        <v>205</v>
      </c>
      <c r="E150" t="s">
        <v>21</v>
      </c>
      <c r="F150" t="s">
        <v>22</v>
      </c>
      <c r="G150" s="1">
        <v>4950</v>
      </c>
      <c r="H150" s="2">
        <v>45</v>
      </c>
      <c r="I150" s="5" t="str">
        <f>CONCATENATE(H150,"x",INT(G150/H150))</f>
        <v>45x110</v>
      </c>
      <c r="J150">
        <v>37</v>
      </c>
      <c r="K150">
        <v>99</v>
      </c>
      <c r="L150" s="3">
        <v>1402</v>
      </c>
      <c r="M150" s="3">
        <v>3131</v>
      </c>
      <c r="N150" s="3">
        <v>2188</v>
      </c>
      <c r="O150" s="3">
        <v>304990</v>
      </c>
      <c r="P150" s="3">
        <v>409990</v>
      </c>
      <c r="Q150" s="3">
        <v>354156.6666</v>
      </c>
      <c r="S150">
        <v>32.986114999999998</v>
      </c>
      <c r="T150">
        <v>-112.08063</v>
      </c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</row>
    <row r="151" spans="2:74" ht="16" thickTop="1" thickBot="1" x14ac:dyDescent="0.25">
      <c r="B151" t="s">
        <v>244</v>
      </c>
      <c r="C151" t="s">
        <v>240</v>
      </c>
      <c r="E151" t="s">
        <v>21</v>
      </c>
      <c r="F151" t="s">
        <v>22</v>
      </c>
      <c r="G151" s="1">
        <v>5175</v>
      </c>
      <c r="H151" s="2">
        <v>45</v>
      </c>
      <c r="I151" s="5" t="str">
        <f>CONCATENATE(H151,"x",INT(G151/H151))</f>
        <v>45x115</v>
      </c>
      <c r="J151">
        <v>0</v>
      </c>
      <c r="K151">
        <v>98</v>
      </c>
      <c r="L151" s="3">
        <v>1353</v>
      </c>
      <c r="M151" s="3">
        <v>2197</v>
      </c>
      <c r="N151" s="3">
        <v>1757</v>
      </c>
      <c r="O151" s="3">
        <v>349990</v>
      </c>
      <c r="P151" s="3">
        <v>395990</v>
      </c>
      <c r="Q151" s="3">
        <v>372990</v>
      </c>
      <c r="S151">
        <v>33.400837000000003</v>
      </c>
      <c r="T151">
        <v>-112.59433</v>
      </c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</row>
    <row r="152" spans="2:74" ht="16" thickTop="1" thickBot="1" x14ac:dyDescent="0.25">
      <c r="B152" t="s">
        <v>455</v>
      </c>
      <c r="C152" t="s">
        <v>144</v>
      </c>
      <c r="D152" t="s">
        <v>306</v>
      </c>
      <c r="E152" t="s">
        <v>21</v>
      </c>
      <c r="F152" t="s">
        <v>22</v>
      </c>
      <c r="G152" s="1">
        <v>6000</v>
      </c>
      <c r="H152" s="2">
        <v>50</v>
      </c>
      <c r="I152" s="5" t="str">
        <f>CONCATENATE(H152,"x",INT(G152/H152))</f>
        <v>50x120</v>
      </c>
      <c r="J152">
        <v>2</v>
      </c>
      <c r="K152">
        <v>98</v>
      </c>
      <c r="L152" s="3">
        <v>2274</v>
      </c>
      <c r="M152" s="3">
        <v>2524</v>
      </c>
      <c r="N152" s="3">
        <v>2399</v>
      </c>
      <c r="O152" s="3">
        <v>444990</v>
      </c>
      <c r="P152" s="3">
        <v>474990</v>
      </c>
      <c r="Q152" s="3">
        <v>459990</v>
      </c>
      <c r="S152">
        <v>33.224159</v>
      </c>
      <c r="T152">
        <v>-111.53066</v>
      </c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</row>
    <row r="153" spans="2:74" ht="16" thickTop="1" thickBot="1" x14ac:dyDescent="0.25">
      <c r="B153" t="s">
        <v>877</v>
      </c>
      <c r="C153" t="s">
        <v>384</v>
      </c>
      <c r="E153" t="s">
        <v>872</v>
      </c>
      <c r="F153" t="s">
        <v>873</v>
      </c>
      <c r="G153" s="1">
        <v>0</v>
      </c>
      <c r="H153" s="1">
        <v>0</v>
      </c>
      <c r="I153" s="5" t="s">
        <v>874</v>
      </c>
      <c r="J153">
        <v>71</v>
      </c>
      <c r="K153">
        <v>98</v>
      </c>
      <c r="L153" s="3">
        <v>508</v>
      </c>
      <c r="M153" s="3">
        <v>1370</v>
      </c>
      <c r="N153" s="3">
        <v>1045</v>
      </c>
      <c r="O153" s="3">
        <v>312585</v>
      </c>
      <c r="P153" s="3">
        <v>499900</v>
      </c>
      <c r="Q153" s="3">
        <v>420531.11109999998</v>
      </c>
      <c r="R153" t="s">
        <v>873</v>
      </c>
      <c r="S153">
        <v>35.198028999999998</v>
      </c>
      <c r="T153">
        <v>-111.62703</v>
      </c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</row>
    <row r="154" spans="2:74" ht="16" thickTop="1" thickBot="1" x14ac:dyDescent="0.25">
      <c r="B154" t="s">
        <v>314</v>
      </c>
      <c r="C154" t="s">
        <v>136</v>
      </c>
      <c r="E154" t="s">
        <v>21</v>
      </c>
      <c r="F154" t="s">
        <v>22</v>
      </c>
      <c r="G154" s="1">
        <v>5400</v>
      </c>
      <c r="H154" s="2">
        <v>45</v>
      </c>
      <c r="I154" s="5" t="str">
        <f>CONCATENATE(H154,"x",INT(G154/H154))</f>
        <v>45x120</v>
      </c>
      <c r="J154">
        <v>141</v>
      </c>
      <c r="K154">
        <v>98</v>
      </c>
      <c r="L154" s="3">
        <v>1590</v>
      </c>
      <c r="M154" s="3">
        <v>2630</v>
      </c>
      <c r="N154" s="3">
        <v>2048</v>
      </c>
      <c r="O154" s="3">
        <v>359990</v>
      </c>
      <c r="P154" s="3">
        <v>479132</v>
      </c>
      <c r="Q154" s="3">
        <v>408184</v>
      </c>
      <c r="S154">
        <v>32.069138000000002</v>
      </c>
      <c r="T154">
        <v>-110.73956</v>
      </c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</row>
    <row r="155" spans="2:74" ht="16" thickTop="1" thickBot="1" x14ac:dyDescent="0.25">
      <c r="B155" t="s">
        <v>610</v>
      </c>
      <c r="C155" t="s">
        <v>38</v>
      </c>
      <c r="D155" t="s">
        <v>357</v>
      </c>
      <c r="E155" t="s">
        <v>21</v>
      </c>
      <c r="F155" t="s">
        <v>22</v>
      </c>
      <c r="G155" s="1">
        <v>6380</v>
      </c>
      <c r="H155" s="2">
        <v>58</v>
      </c>
      <c r="I155" s="5" t="str">
        <f>CONCATENATE(H155,"x",INT(G155/H155))</f>
        <v>58x110</v>
      </c>
      <c r="J155">
        <v>142</v>
      </c>
      <c r="K155">
        <v>98</v>
      </c>
      <c r="L155" s="3">
        <v>2175</v>
      </c>
      <c r="M155" s="3">
        <v>3493</v>
      </c>
      <c r="N155" s="3">
        <v>2862</v>
      </c>
      <c r="O155" s="3">
        <v>452990</v>
      </c>
      <c r="P155" s="3">
        <v>540990</v>
      </c>
      <c r="Q155" s="3">
        <v>496323.3333</v>
      </c>
      <c r="S155">
        <v>33.710545000000003</v>
      </c>
      <c r="T155">
        <v>-112.36888</v>
      </c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</row>
    <row r="156" spans="2:74" ht="16" thickTop="1" thickBot="1" x14ac:dyDescent="0.25">
      <c r="B156" t="s">
        <v>245</v>
      </c>
      <c r="C156" t="s">
        <v>144</v>
      </c>
      <c r="D156" t="s">
        <v>246</v>
      </c>
      <c r="E156" t="s">
        <v>21</v>
      </c>
      <c r="F156" t="s">
        <v>22</v>
      </c>
      <c r="G156" s="1">
        <v>5175</v>
      </c>
      <c r="H156" s="2">
        <v>45</v>
      </c>
      <c r="I156" s="5" t="str">
        <f>CONCATENATE(H156,"x",INT(G156/H156))</f>
        <v>45x115</v>
      </c>
      <c r="J156">
        <v>27</v>
      </c>
      <c r="K156">
        <v>97</v>
      </c>
      <c r="L156" s="3">
        <v>1232</v>
      </c>
      <c r="M156" s="3">
        <v>1411</v>
      </c>
      <c r="N156" s="3">
        <v>1347</v>
      </c>
      <c r="O156" s="3">
        <v>334990</v>
      </c>
      <c r="P156" s="3">
        <v>348990</v>
      </c>
      <c r="Q156" s="3">
        <v>342990</v>
      </c>
      <c r="S156">
        <v>33.170670000000001</v>
      </c>
      <c r="T156">
        <v>-111.52907</v>
      </c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</row>
    <row r="157" spans="2:74" ht="16" thickTop="1" thickBot="1" x14ac:dyDescent="0.25">
      <c r="B157" t="s">
        <v>525</v>
      </c>
      <c r="C157" t="s">
        <v>118</v>
      </c>
      <c r="D157" t="s">
        <v>119</v>
      </c>
      <c r="E157" t="s">
        <v>21</v>
      </c>
      <c r="F157" t="s">
        <v>22</v>
      </c>
      <c r="G157" s="1">
        <v>5460</v>
      </c>
      <c r="H157" s="2">
        <v>52</v>
      </c>
      <c r="I157" s="5" t="str">
        <f>CONCATENATE(H157,"x",INT(G157/H157))</f>
        <v>52x105</v>
      </c>
      <c r="J157">
        <v>223</v>
      </c>
      <c r="K157">
        <v>96</v>
      </c>
      <c r="L157" s="3">
        <v>1693</v>
      </c>
      <c r="M157" s="3">
        <v>2926</v>
      </c>
      <c r="N157" s="3">
        <v>2285</v>
      </c>
      <c r="O157" s="3">
        <v>587900</v>
      </c>
      <c r="P157" s="3">
        <v>730900</v>
      </c>
      <c r="Q157" s="3">
        <v>659455.55550000002</v>
      </c>
      <c r="S157">
        <v>33.302070999999998</v>
      </c>
      <c r="T157">
        <v>-111.70113000000001</v>
      </c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</row>
    <row r="158" spans="2:74" ht="16" thickTop="1" thickBot="1" x14ac:dyDescent="0.25">
      <c r="B158" t="s">
        <v>347</v>
      </c>
      <c r="C158" t="s">
        <v>136</v>
      </c>
      <c r="D158" t="s">
        <v>161</v>
      </c>
      <c r="E158" t="s">
        <v>21</v>
      </c>
      <c r="F158" t="s">
        <v>22</v>
      </c>
      <c r="G158" s="1">
        <v>5850</v>
      </c>
      <c r="H158" s="2">
        <v>45</v>
      </c>
      <c r="I158" s="5" t="str">
        <f>CONCATENATE(H158,"x",INT(G158/H158))</f>
        <v>45x130</v>
      </c>
      <c r="J158">
        <v>23</v>
      </c>
      <c r="K158">
        <v>96</v>
      </c>
      <c r="L158" s="3">
        <v>1597</v>
      </c>
      <c r="M158" s="3">
        <v>2633</v>
      </c>
      <c r="N158" s="3">
        <v>2044</v>
      </c>
      <c r="O158" s="3">
        <v>369990</v>
      </c>
      <c r="P158" s="3">
        <v>464990</v>
      </c>
      <c r="Q158" s="3">
        <v>422337.75</v>
      </c>
      <c r="S158">
        <v>32.432921999999998</v>
      </c>
      <c r="T158">
        <v>-111.19150999999999</v>
      </c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</row>
    <row r="159" spans="2:74" ht="16" thickTop="1" thickBot="1" x14ac:dyDescent="0.25">
      <c r="B159" t="s">
        <v>588</v>
      </c>
      <c r="C159" t="s">
        <v>136</v>
      </c>
      <c r="D159" t="s">
        <v>349</v>
      </c>
      <c r="E159" t="s">
        <v>21</v>
      </c>
      <c r="F159" t="s">
        <v>22</v>
      </c>
      <c r="G159" s="1">
        <v>6875</v>
      </c>
      <c r="H159" s="2">
        <v>55</v>
      </c>
      <c r="I159" s="5" t="str">
        <f>CONCATENATE(H159,"x",INT(G159/H159))</f>
        <v>55x125</v>
      </c>
      <c r="J159">
        <v>44</v>
      </c>
      <c r="K159">
        <v>96</v>
      </c>
      <c r="L159" s="3">
        <v>2220</v>
      </c>
      <c r="M159" s="3">
        <v>2910</v>
      </c>
      <c r="N159" s="3">
        <v>2468</v>
      </c>
      <c r="O159" s="3">
        <v>418990</v>
      </c>
      <c r="P159" s="3">
        <v>483990</v>
      </c>
      <c r="Q159" s="3">
        <v>443990</v>
      </c>
      <c r="S159">
        <v>32.106552000000001</v>
      </c>
      <c r="T159">
        <v>-110.71648</v>
      </c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</row>
    <row r="160" spans="2:74" ht="16" thickTop="1" thickBot="1" x14ac:dyDescent="0.25">
      <c r="B160" t="s">
        <v>695</v>
      </c>
      <c r="C160" t="s">
        <v>110</v>
      </c>
      <c r="E160" t="s">
        <v>21</v>
      </c>
      <c r="F160" t="s">
        <v>22</v>
      </c>
      <c r="G160" s="1">
        <v>8100</v>
      </c>
      <c r="H160" s="2">
        <v>60</v>
      </c>
      <c r="I160" s="5" t="str">
        <f>CONCATENATE(H160,"x",INT(G160/H160))</f>
        <v>60x135</v>
      </c>
      <c r="J160">
        <v>3</v>
      </c>
      <c r="K160">
        <v>96</v>
      </c>
      <c r="L160" s="3">
        <v>2217</v>
      </c>
      <c r="M160" s="3">
        <v>4011</v>
      </c>
      <c r="N160" s="3">
        <v>3097</v>
      </c>
      <c r="O160" s="3">
        <v>579990</v>
      </c>
      <c r="P160" s="3">
        <v>749990</v>
      </c>
      <c r="Q160" s="3">
        <v>665240</v>
      </c>
      <c r="S160">
        <v>33.275280000000002</v>
      </c>
      <c r="T160">
        <v>-111.57317</v>
      </c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</row>
    <row r="161" spans="2:74" ht="16" thickTop="1" thickBot="1" x14ac:dyDescent="0.25">
      <c r="B161" t="s">
        <v>148</v>
      </c>
      <c r="C161" t="s">
        <v>114</v>
      </c>
      <c r="D161" t="s">
        <v>149</v>
      </c>
      <c r="E161" t="s">
        <v>21</v>
      </c>
      <c r="F161" t="s">
        <v>22</v>
      </c>
      <c r="G161" s="1">
        <v>4600</v>
      </c>
      <c r="H161" s="2">
        <v>40</v>
      </c>
      <c r="I161" s="5" t="str">
        <f>CONCATENATE(H161,"x",INT(G161/H161))</f>
        <v>40x115</v>
      </c>
      <c r="J161">
        <v>29</v>
      </c>
      <c r="K161">
        <v>95</v>
      </c>
      <c r="L161" s="3">
        <v>1467</v>
      </c>
      <c r="M161" s="3">
        <v>2694</v>
      </c>
      <c r="N161" s="3">
        <v>2014</v>
      </c>
      <c r="O161" s="3">
        <v>299990</v>
      </c>
      <c r="P161" s="3">
        <v>388990</v>
      </c>
      <c r="Q161" s="3">
        <v>341615</v>
      </c>
      <c r="S161">
        <v>32.108429000000001</v>
      </c>
      <c r="T161">
        <v>-111.11335</v>
      </c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</row>
    <row r="162" spans="2:74" ht="16" thickTop="1" thickBot="1" x14ac:dyDescent="0.25">
      <c r="B162" t="s">
        <v>570</v>
      </c>
      <c r="C162" t="s">
        <v>114</v>
      </c>
      <c r="E162" t="s">
        <v>21</v>
      </c>
      <c r="F162" t="s">
        <v>22</v>
      </c>
      <c r="G162" s="1">
        <v>6600</v>
      </c>
      <c r="H162" s="2">
        <v>55</v>
      </c>
      <c r="I162" s="5" t="str">
        <f>CONCATENATE(H162,"x",INT(G162/H162))</f>
        <v>55x120</v>
      </c>
      <c r="J162">
        <v>30</v>
      </c>
      <c r="K162">
        <v>95</v>
      </c>
      <c r="L162" s="3">
        <v>1844</v>
      </c>
      <c r="M162" s="3">
        <v>2406</v>
      </c>
      <c r="N162" s="3">
        <v>2183</v>
      </c>
      <c r="O162" s="3">
        <v>425990</v>
      </c>
      <c r="P162" s="3">
        <v>475990</v>
      </c>
      <c r="Q162" s="3">
        <v>454740</v>
      </c>
      <c r="S162">
        <v>33.203856999999999</v>
      </c>
      <c r="T162">
        <v>-111.61359</v>
      </c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</row>
    <row r="163" spans="2:74" ht="16" thickTop="1" thickBot="1" x14ac:dyDescent="0.25">
      <c r="B163" t="s">
        <v>723</v>
      </c>
      <c r="C163" t="s">
        <v>136</v>
      </c>
      <c r="E163" t="s">
        <v>21</v>
      </c>
      <c r="F163" t="s">
        <v>22</v>
      </c>
      <c r="G163" s="1">
        <v>8125</v>
      </c>
      <c r="H163" s="2">
        <v>65</v>
      </c>
      <c r="I163" s="5" t="str">
        <f>CONCATENATE(H163,"x",INT(G163/H163))</f>
        <v>65x125</v>
      </c>
      <c r="J163">
        <v>16</v>
      </c>
      <c r="K163">
        <v>95</v>
      </c>
      <c r="L163" s="3">
        <v>2390</v>
      </c>
      <c r="M163" s="3">
        <v>2980</v>
      </c>
      <c r="N163" s="3">
        <v>2650</v>
      </c>
      <c r="O163" s="3">
        <v>583990</v>
      </c>
      <c r="P163" s="3">
        <v>703990</v>
      </c>
      <c r="Q163" s="3">
        <v>635190</v>
      </c>
      <c r="S163">
        <v>33.261294999999997</v>
      </c>
      <c r="T163">
        <v>-111.61536</v>
      </c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</row>
    <row r="164" spans="2:74" ht="16" thickTop="1" thickBot="1" x14ac:dyDescent="0.25">
      <c r="B164" t="s">
        <v>247</v>
      </c>
      <c r="C164" t="s">
        <v>248</v>
      </c>
      <c r="D164" t="s">
        <v>249</v>
      </c>
      <c r="E164" t="s">
        <v>21</v>
      </c>
      <c r="F164" t="s">
        <v>22</v>
      </c>
      <c r="G164" s="1">
        <v>5175</v>
      </c>
      <c r="H164" s="2">
        <v>45</v>
      </c>
      <c r="I164" s="5" t="str">
        <f>CONCATENATE(H164,"x",INT(G164/H164))</f>
        <v>45x115</v>
      </c>
      <c r="J164">
        <v>17</v>
      </c>
      <c r="K164">
        <v>94</v>
      </c>
      <c r="L164" s="3">
        <v>1799</v>
      </c>
      <c r="M164" s="3">
        <v>2723</v>
      </c>
      <c r="N164" s="3">
        <v>2205</v>
      </c>
      <c r="O164" s="3">
        <v>405263</v>
      </c>
      <c r="P164" s="3">
        <v>461394</v>
      </c>
      <c r="Q164" s="3">
        <v>435310.75</v>
      </c>
      <c r="S164">
        <v>33.405579000000003</v>
      </c>
      <c r="T164">
        <v>-112.32973</v>
      </c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</row>
    <row r="165" spans="2:74" ht="16" thickTop="1" thickBot="1" x14ac:dyDescent="0.25">
      <c r="B165" t="s">
        <v>500</v>
      </c>
      <c r="C165" t="s">
        <v>94</v>
      </c>
      <c r="E165" t="s">
        <v>21</v>
      </c>
      <c r="F165" t="s">
        <v>22</v>
      </c>
      <c r="G165" s="1">
        <v>6250</v>
      </c>
      <c r="H165" s="2">
        <v>50</v>
      </c>
      <c r="I165" s="5" t="str">
        <f>CONCATENATE(H165,"x",INT(G165/H165))</f>
        <v>50x125</v>
      </c>
      <c r="J165">
        <v>76</v>
      </c>
      <c r="K165">
        <v>94</v>
      </c>
      <c r="L165" s="3">
        <v>1695</v>
      </c>
      <c r="M165" s="3">
        <v>4070</v>
      </c>
      <c r="N165" s="3">
        <v>2566</v>
      </c>
      <c r="O165" s="3">
        <v>469990</v>
      </c>
      <c r="P165" s="3">
        <v>701490</v>
      </c>
      <c r="Q165" s="3">
        <v>576934.44440000004</v>
      </c>
      <c r="S165">
        <v>33.888741000000003</v>
      </c>
      <c r="T165">
        <v>-112.15389</v>
      </c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</row>
    <row r="166" spans="2:74" ht="16" thickTop="1" thickBot="1" x14ac:dyDescent="0.25">
      <c r="B166" t="s">
        <v>771</v>
      </c>
      <c r="C166" t="s">
        <v>136</v>
      </c>
      <c r="D166" t="s">
        <v>189</v>
      </c>
      <c r="E166" t="s">
        <v>21</v>
      </c>
      <c r="F166" t="s">
        <v>22</v>
      </c>
      <c r="G166" s="1">
        <v>8400</v>
      </c>
      <c r="H166" s="2">
        <v>70</v>
      </c>
      <c r="I166" s="5" t="str">
        <f>CONCATENATE(H166,"x",INT(G166/H166))</f>
        <v>70x120</v>
      </c>
      <c r="J166">
        <v>6</v>
      </c>
      <c r="K166">
        <v>94</v>
      </c>
      <c r="L166" s="3">
        <v>2392</v>
      </c>
      <c r="M166" s="3">
        <v>2844</v>
      </c>
      <c r="N166" s="3">
        <v>2623</v>
      </c>
      <c r="O166" s="3">
        <v>531990</v>
      </c>
      <c r="P166" s="3">
        <v>562990</v>
      </c>
      <c r="Q166" s="3">
        <v>544990</v>
      </c>
      <c r="S166">
        <v>33.703544999999998</v>
      </c>
      <c r="T166">
        <v>-112.42856999999999</v>
      </c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</row>
    <row r="167" spans="2:74" ht="16" thickTop="1" thickBot="1" x14ac:dyDescent="0.25">
      <c r="B167" t="s">
        <v>660</v>
      </c>
      <c r="C167" t="s">
        <v>45</v>
      </c>
      <c r="D167" t="s">
        <v>450</v>
      </c>
      <c r="E167" t="s">
        <v>21</v>
      </c>
      <c r="F167" t="s">
        <v>22</v>
      </c>
      <c r="G167" s="1">
        <v>7200</v>
      </c>
      <c r="H167" s="2">
        <v>60</v>
      </c>
      <c r="I167" s="5" t="str">
        <f>CONCATENATE(H167,"x",INT(G167/H167))</f>
        <v>60x120</v>
      </c>
      <c r="J167">
        <v>5</v>
      </c>
      <c r="K167">
        <v>94</v>
      </c>
      <c r="L167" s="3">
        <v>1997</v>
      </c>
      <c r="M167" s="3">
        <v>3549</v>
      </c>
      <c r="N167" s="3">
        <v>2823</v>
      </c>
      <c r="O167" s="3">
        <v>535900</v>
      </c>
      <c r="P167" s="3">
        <v>620900</v>
      </c>
      <c r="Q167" s="3">
        <v>579233.33330000006</v>
      </c>
      <c r="S167">
        <v>33.474949000000002</v>
      </c>
      <c r="T167">
        <v>-112.52325</v>
      </c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</row>
    <row r="168" spans="2:74" ht="16" thickTop="1" thickBot="1" x14ac:dyDescent="0.25">
      <c r="B168" t="s">
        <v>183</v>
      </c>
      <c r="C168" t="s">
        <v>70</v>
      </c>
      <c r="D168" t="s">
        <v>184</v>
      </c>
      <c r="E168" t="s">
        <v>21</v>
      </c>
      <c r="F168" t="s">
        <v>22</v>
      </c>
      <c r="G168" s="1">
        <v>3600</v>
      </c>
      <c r="H168" s="2">
        <v>40</v>
      </c>
      <c r="I168" s="5" t="str">
        <f>CONCATENATE(H168,"x",INT(G168/H168))</f>
        <v>40x90</v>
      </c>
      <c r="J168">
        <v>9</v>
      </c>
      <c r="K168">
        <v>93</v>
      </c>
      <c r="L168" s="3">
        <v>2272</v>
      </c>
      <c r="M168" s="3">
        <v>2931</v>
      </c>
      <c r="N168" s="3">
        <v>2609</v>
      </c>
      <c r="O168" s="3">
        <v>644900</v>
      </c>
      <c r="P168" s="3">
        <v>739900</v>
      </c>
      <c r="Q168" s="3">
        <v>692150</v>
      </c>
      <c r="R168" t="s">
        <v>185</v>
      </c>
      <c r="S168">
        <v>33.724029999999999</v>
      </c>
      <c r="T168">
        <v>-112.10682</v>
      </c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</row>
    <row r="169" spans="2:74" ht="16" thickTop="1" thickBot="1" x14ac:dyDescent="0.25">
      <c r="B169" t="s">
        <v>612</v>
      </c>
      <c r="C169" t="s">
        <v>181</v>
      </c>
      <c r="D169" t="s">
        <v>273</v>
      </c>
      <c r="E169" t="s">
        <v>21</v>
      </c>
      <c r="F169" t="s">
        <v>22</v>
      </c>
      <c r="G169" s="1">
        <v>6670</v>
      </c>
      <c r="H169" s="2">
        <v>58</v>
      </c>
      <c r="I169" s="5" t="str">
        <f>CONCATENATE(H169,"x",INT(G169/H169))</f>
        <v>58x115</v>
      </c>
      <c r="J169">
        <v>12</v>
      </c>
      <c r="K169">
        <v>93</v>
      </c>
      <c r="L169" s="3">
        <v>1909</v>
      </c>
      <c r="M169" s="3">
        <v>3474</v>
      </c>
      <c r="N169" s="3">
        <v>2617</v>
      </c>
      <c r="O169" s="3">
        <v>433990</v>
      </c>
      <c r="P169" s="3">
        <v>550990</v>
      </c>
      <c r="Q169" s="3">
        <v>489990</v>
      </c>
      <c r="S169">
        <v>33.516280999999999</v>
      </c>
      <c r="T169">
        <v>-112.47226000000001</v>
      </c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</row>
    <row r="170" spans="2:74" ht="16" thickTop="1" thickBot="1" x14ac:dyDescent="0.25">
      <c r="B170" t="s">
        <v>724</v>
      </c>
      <c r="C170" t="s">
        <v>144</v>
      </c>
      <c r="D170" t="s">
        <v>306</v>
      </c>
      <c r="E170" t="s">
        <v>21</v>
      </c>
      <c r="F170" t="s">
        <v>22</v>
      </c>
      <c r="G170" s="1">
        <v>8125</v>
      </c>
      <c r="H170" s="2">
        <v>65</v>
      </c>
      <c r="I170" s="5" t="str">
        <f>CONCATENATE(H170,"x",INT(G170/H170))</f>
        <v>65x125</v>
      </c>
      <c r="J170">
        <v>2</v>
      </c>
      <c r="K170">
        <v>93</v>
      </c>
      <c r="L170" s="3">
        <v>2163</v>
      </c>
      <c r="M170" s="3">
        <v>3024</v>
      </c>
      <c r="N170" s="3">
        <v>2655</v>
      </c>
      <c r="O170" s="3">
        <v>549990</v>
      </c>
      <c r="P170" s="3">
        <v>595990</v>
      </c>
      <c r="Q170" s="3">
        <v>573190</v>
      </c>
      <c r="S170">
        <v>33.226627000000001</v>
      </c>
      <c r="T170">
        <v>-111.5329</v>
      </c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</row>
    <row r="171" spans="2:74" ht="16" thickTop="1" thickBot="1" x14ac:dyDescent="0.25">
      <c r="B171" t="s">
        <v>833</v>
      </c>
      <c r="C171" t="s">
        <v>38</v>
      </c>
      <c r="D171" t="s">
        <v>40</v>
      </c>
      <c r="E171" t="s">
        <v>21</v>
      </c>
      <c r="F171" t="s">
        <v>22</v>
      </c>
      <c r="G171" s="1">
        <v>10400</v>
      </c>
      <c r="H171" s="2">
        <v>80</v>
      </c>
      <c r="I171" s="5" t="str">
        <f>CONCATENATE(H171,"x",INT(G171/H171))</f>
        <v>80x130</v>
      </c>
      <c r="J171">
        <v>5</v>
      </c>
      <c r="K171">
        <v>93</v>
      </c>
      <c r="L171" s="3">
        <v>3130</v>
      </c>
      <c r="M171" s="3">
        <v>3721</v>
      </c>
      <c r="N171" s="3">
        <v>3379</v>
      </c>
      <c r="O171" s="3">
        <v>779990</v>
      </c>
      <c r="P171" s="3">
        <v>832990</v>
      </c>
      <c r="Q171" s="3">
        <v>804990</v>
      </c>
      <c r="S171">
        <v>33.251269999999998</v>
      </c>
      <c r="T171">
        <v>-111.67506</v>
      </c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</row>
    <row r="172" spans="2:74" ht="16" thickTop="1" thickBot="1" x14ac:dyDescent="0.25">
      <c r="B172" t="s">
        <v>540</v>
      </c>
      <c r="C172" t="s">
        <v>178</v>
      </c>
      <c r="E172" t="s">
        <v>21</v>
      </c>
      <c r="F172" t="s">
        <v>22</v>
      </c>
      <c r="G172" s="1">
        <v>6360</v>
      </c>
      <c r="H172" s="2">
        <v>53</v>
      </c>
      <c r="I172" s="5" t="str">
        <f>CONCATENATE(H172,"x",INT(G172/H172))</f>
        <v>53x120</v>
      </c>
      <c r="J172">
        <v>12</v>
      </c>
      <c r="K172">
        <v>92</v>
      </c>
      <c r="L172" s="3">
        <v>1585</v>
      </c>
      <c r="M172" s="3">
        <v>2476</v>
      </c>
      <c r="N172" s="3">
        <v>2046</v>
      </c>
      <c r="O172" s="3">
        <v>357990</v>
      </c>
      <c r="P172" s="3">
        <v>404990</v>
      </c>
      <c r="Q172" s="3">
        <v>381289.1666</v>
      </c>
      <c r="S172">
        <v>33.429355999999999</v>
      </c>
      <c r="T172">
        <v>-112.58031</v>
      </c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</row>
    <row r="173" spans="2:74" ht="16" thickTop="1" thickBot="1" x14ac:dyDescent="0.25">
      <c r="B173" t="s">
        <v>571</v>
      </c>
      <c r="C173" t="s">
        <v>31</v>
      </c>
      <c r="E173" t="s">
        <v>21</v>
      </c>
      <c r="F173" t="s">
        <v>22</v>
      </c>
      <c r="G173" s="1">
        <v>6600</v>
      </c>
      <c r="H173" s="2">
        <v>55</v>
      </c>
      <c r="I173" s="5" t="str">
        <f>CONCATENATE(H173,"x",INT(G173/H173))</f>
        <v>55x120</v>
      </c>
      <c r="J173">
        <v>53</v>
      </c>
      <c r="K173">
        <v>92</v>
      </c>
      <c r="L173" s="3">
        <v>1907</v>
      </c>
      <c r="M173" s="3">
        <v>3132</v>
      </c>
      <c r="N173" s="3">
        <v>2582</v>
      </c>
      <c r="O173" s="3">
        <v>499995</v>
      </c>
      <c r="P173" s="3">
        <v>665995</v>
      </c>
      <c r="Q173" s="3">
        <v>594161.6666</v>
      </c>
      <c r="S173">
        <v>33.305210000000002</v>
      </c>
      <c r="T173">
        <v>-111.59417000000001</v>
      </c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</row>
    <row r="174" spans="2:74" ht="16" thickTop="1" thickBot="1" x14ac:dyDescent="0.25">
      <c r="B174" t="s">
        <v>554</v>
      </c>
      <c r="C174" t="s">
        <v>187</v>
      </c>
      <c r="D174" t="s">
        <v>205</v>
      </c>
      <c r="E174" t="s">
        <v>21</v>
      </c>
      <c r="F174" t="s">
        <v>22</v>
      </c>
      <c r="G174" s="1">
        <v>6325</v>
      </c>
      <c r="H174" s="2">
        <v>55</v>
      </c>
      <c r="I174" s="5" t="str">
        <f>CONCATENATE(H174,"x",INT(G174/H174))</f>
        <v>55x115</v>
      </c>
      <c r="J174">
        <v>11</v>
      </c>
      <c r="K174">
        <v>91</v>
      </c>
      <c r="L174" s="3">
        <v>1777</v>
      </c>
      <c r="M174" s="3">
        <v>3020</v>
      </c>
      <c r="N174" s="3">
        <v>2186</v>
      </c>
      <c r="O174" s="3">
        <v>329990</v>
      </c>
      <c r="P174" s="3">
        <v>394990</v>
      </c>
      <c r="Q174" s="3">
        <v>354323.3333</v>
      </c>
      <c r="S174">
        <v>32.987087000000002</v>
      </c>
      <c r="T174">
        <v>-112.07127</v>
      </c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</row>
    <row r="175" spans="2:74" ht="16" thickTop="1" thickBot="1" x14ac:dyDescent="0.25">
      <c r="B175" t="s">
        <v>351</v>
      </c>
      <c r="C175" t="s">
        <v>116</v>
      </c>
      <c r="E175" t="s">
        <v>21</v>
      </c>
      <c r="F175" t="s">
        <v>22</v>
      </c>
      <c r="G175" s="1">
        <v>6660</v>
      </c>
      <c r="H175" s="2">
        <v>45</v>
      </c>
      <c r="I175" s="5" t="str">
        <f>CONCATENATE(H175,"x",INT(G175/H175))</f>
        <v>45x148</v>
      </c>
      <c r="J175">
        <v>76</v>
      </c>
      <c r="K175">
        <v>91</v>
      </c>
      <c r="L175" s="3">
        <v>1380</v>
      </c>
      <c r="M175" s="3">
        <v>1909</v>
      </c>
      <c r="N175" s="3">
        <v>1678</v>
      </c>
      <c r="O175" s="3">
        <v>376990</v>
      </c>
      <c r="P175" s="3">
        <v>407990</v>
      </c>
      <c r="Q175" s="3">
        <v>391990</v>
      </c>
      <c r="S175">
        <v>32.364407</v>
      </c>
      <c r="T175">
        <v>-111.08038999999999</v>
      </c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</row>
    <row r="176" spans="2:74" ht="16" thickTop="1" thickBot="1" x14ac:dyDescent="0.25">
      <c r="B176" t="s">
        <v>517</v>
      </c>
      <c r="C176" t="s">
        <v>144</v>
      </c>
      <c r="D176" t="s">
        <v>189</v>
      </c>
      <c r="E176" t="s">
        <v>21</v>
      </c>
      <c r="F176" t="s">
        <v>22</v>
      </c>
      <c r="G176" s="1">
        <v>4500</v>
      </c>
      <c r="H176" s="2">
        <v>50</v>
      </c>
      <c r="I176" s="5" t="str">
        <f>CONCATENATE(H176,"x",INT(G176/H176))</f>
        <v>50x90</v>
      </c>
      <c r="J176">
        <v>115</v>
      </c>
      <c r="K176">
        <v>91</v>
      </c>
      <c r="L176" s="3">
        <v>1248</v>
      </c>
      <c r="M176" s="3">
        <v>1667</v>
      </c>
      <c r="N176" s="3">
        <v>1468</v>
      </c>
      <c r="O176" s="3">
        <v>379990</v>
      </c>
      <c r="P176" s="3">
        <v>414990</v>
      </c>
      <c r="Q176" s="3">
        <v>396656.6666</v>
      </c>
      <c r="R176" t="s">
        <v>190</v>
      </c>
      <c r="S176">
        <v>33.711829999999999</v>
      </c>
      <c r="T176">
        <v>-112.43165999999999</v>
      </c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</row>
    <row r="177" spans="2:74" ht="16" thickTop="1" thickBot="1" x14ac:dyDescent="0.25">
      <c r="B177" t="s">
        <v>198</v>
      </c>
      <c r="C177" t="s">
        <v>178</v>
      </c>
      <c r="E177" t="s">
        <v>21</v>
      </c>
      <c r="F177" t="s">
        <v>22</v>
      </c>
      <c r="G177" s="1">
        <v>4500</v>
      </c>
      <c r="H177" s="2">
        <v>45</v>
      </c>
      <c r="I177" s="5" t="str">
        <f>CONCATENATE(H177,"x",INT(G177/H177))</f>
        <v>45x100</v>
      </c>
      <c r="J177">
        <v>15</v>
      </c>
      <c r="K177">
        <v>90</v>
      </c>
      <c r="L177" s="3">
        <v>1299</v>
      </c>
      <c r="M177" s="3">
        <v>2377</v>
      </c>
      <c r="N177" s="3">
        <v>1781</v>
      </c>
      <c r="O177" s="3">
        <v>378990</v>
      </c>
      <c r="P177" s="3">
        <v>437990</v>
      </c>
      <c r="Q177" s="3">
        <v>405790</v>
      </c>
      <c r="R177" t="s">
        <v>23</v>
      </c>
      <c r="S177">
        <v>33.374271</v>
      </c>
      <c r="T177">
        <v>-111.51934</v>
      </c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</row>
    <row r="178" spans="2:74" ht="16" thickTop="1" thickBot="1" x14ac:dyDescent="0.25">
      <c r="B178" t="s">
        <v>250</v>
      </c>
      <c r="C178" t="s">
        <v>178</v>
      </c>
      <c r="D178" t="s">
        <v>179</v>
      </c>
      <c r="E178" t="s">
        <v>21</v>
      </c>
      <c r="F178" t="s">
        <v>22</v>
      </c>
      <c r="G178" s="1">
        <v>5175</v>
      </c>
      <c r="H178" s="2">
        <v>45</v>
      </c>
      <c r="I178" s="5" t="str">
        <f>CONCATENATE(H178,"x",INT(G178/H178))</f>
        <v>45x115</v>
      </c>
      <c r="J178">
        <v>30</v>
      </c>
      <c r="K178">
        <v>90</v>
      </c>
      <c r="L178" s="3">
        <v>1585</v>
      </c>
      <c r="M178" s="3">
        <v>2377</v>
      </c>
      <c r="N178" s="3">
        <v>1965</v>
      </c>
      <c r="O178" s="3">
        <v>363990</v>
      </c>
      <c r="P178" s="3">
        <v>408990</v>
      </c>
      <c r="Q178" s="3">
        <v>384590</v>
      </c>
      <c r="S178">
        <v>33.691685</v>
      </c>
      <c r="T178">
        <v>-112.45036</v>
      </c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</row>
    <row r="179" spans="2:74" ht="16" thickTop="1" thickBot="1" x14ac:dyDescent="0.25">
      <c r="B179" t="s">
        <v>160</v>
      </c>
      <c r="C179" t="s">
        <v>116</v>
      </c>
      <c r="D179" t="s">
        <v>161</v>
      </c>
      <c r="E179" t="s">
        <v>21</v>
      </c>
      <c r="F179" t="s">
        <v>22</v>
      </c>
      <c r="G179" s="1">
        <v>4800</v>
      </c>
      <c r="H179" s="2">
        <v>40</v>
      </c>
      <c r="I179" s="5" t="str">
        <f>CONCATENATE(H179,"x",INT(G179/H179))</f>
        <v>40x120</v>
      </c>
      <c r="J179">
        <v>51</v>
      </c>
      <c r="K179">
        <v>90</v>
      </c>
      <c r="L179" s="3">
        <v>1262</v>
      </c>
      <c r="M179" s="3">
        <v>2191</v>
      </c>
      <c r="N179" s="3">
        <v>1667</v>
      </c>
      <c r="O179" s="3">
        <v>301990</v>
      </c>
      <c r="P179" s="3">
        <v>376990</v>
      </c>
      <c r="Q179" s="3">
        <v>332990</v>
      </c>
      <c r="S179">
        <v>32.435668999999997</v>
      </c>
      <c r="T179">
        <v>-111.18976000000001</v>
      </c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</row>
    <row r="180" spans="2:74" ht="16" thickTop="1" thickBot="1" x14ac:dyDescent="0.25">
      <c r="B180" t="s">
        <v>914</v>
      </c>
      <c r="C180" t="s">
        <v>144</v>
      </c>
      <c r="D180" t="s">
        <v>288</v>
      </c>
      <c r="E180" t="s">
        <v>872</v>
      </c>
      <c r="F180" t="s">
        <v>907</v>
      </c>
      <c r="G180" s="1">
        <v>0</v>
      </c>
      <c r="H180" s="1">
        <v>0</v>
      </c>
      <c r="I180" s="5" t="s">
        <v>908</v>
      </c>
      <c r="J180">
        <v>73</v>
      </c>
      <c r="K180">
        <v>90</v>
      </c>
      <c r="L180" s="3">
        <v>1312</v>
      </c>
      <c r="M180" s="3">
        <v>1312</v>
      </c>
      <c r="N180" s="3">
        <v>1312</v>
      </c>
      <c r="O180" s="3">
        <v>406490</v>
      </c>
      <c r="P180" s="3">
        <v>420490</v>
      </c>
      <c r="Q180" s="3">
        <v>414365</v>
      </c>
      <c r="R180" t="s">
        <v>907</v>
      </c>
      <c r="S180">
        <v>33.337330000000001</v>
      </c>
      <c r="T180">
        <v>-111.7029</v>
      </c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</row>
    <row r="181" spans="2:74" ht="16" thickTop="1" thickBot="1" x14ac:dyDescent="0.25">
      <c r="B181" t="s">
        <v>145</v>
      </c>
      <c r="C181" t="s">
        <v>218</v>
      </c>
      <c r="D181" t="s">
        <v>145</v>
      </c>
      <c r="E181" t="s">
        <v>21</v>
      </c>
      <c r="F181" t="s">
        <v>22</v>
      </c>
      <c r="G181" s="1">
        <v>5175</v>
      </c>
      <c r="H181" s="2">
        <v>45</v>
      </c>
      <c r="I181" s="5" t="str">
        <f>CONCATENATE(H181,"x",INT(G181/H181))</f>
        <v>45x115</v>
      </c>
      <c r="J181">
        <v>77</v>
      </c>
      <c r="K181">
        <v>90</v>
      </c>
      <c r="L181" s="3">
        <v>1115</v>
      </c>
      <c r="M181" s="3">
        <v>2254</v>
      </c>
      <c r="N181" s="3">
        <v>1559</v>
      </c>
      <c r="O181" s="3">
        <v>289900</v>
      </c>
      <c r="P181" s="3">
        <v>362900</v>
      </c>
      <c r="Q181" s="3">
        <v>277342.85710000002</v>
      </c>
      <c r="S181">
        <v>32.561832000000003</v>
      </c>
      <c r="T181">
        <v>-111.33296</v>
      </c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</row>
    <row r="182" spans="2:74" ht="16" thickTop="1" thickBot="1" x14ac:dyDescent="0.25">
      <c r="B182" t="s">
        <v>912</v>
      </c>
      <c r="C182" t="s">
        <v>36</v>
      </c>
      <c r="D182" t="s">
        <v>913</v>
      </c>
      <c r="E182" t="s">
        <v>872</v>
      </c>
      <c r="F182" t="s">
        <v>907</v>
      </c>
      <c r="G182" s="1">
        <v>0</v>
      </c>
      <c r="H182" s="1">
        <v>0</v>
      </c>
      <c r="I182" s="5" t="s">
        <v>908</v>
      </c>
      <c r="J182">
        <v>161</v>
      </c>
      <c r="K182">
        <v>90</v>
      </c>
      <c r="L182" s="3">
        <v>1194</v>
      </c>
      <c r="M182" s="3">
        <v>1921</v>
      </c>
      <c r="N182" s="3">
        <v>1641</v>
      </c>
      <c r="O182" s="3">
        <v>379300</v>
      </c>
      <c r="P182" s="3">
        <v>459900</v>
      </c>
      <c r="Q182" s="3">
        <v>421300</v>
      </c>
      <c r="R182" t="s">
        <v>907</v>
      </c>
      <c r="S182">
        <v>33.302016999999999</v>
      </c>
      <c r="T182">
        <v>-111.74988999999999</v>
      </c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</row>
    <row r="183" spans="2:74" ht="16" thickTop="1" thickBot="1" x14ac:dyDescent="0.25">
      <c r="B183" t="s">
        <v>866</v>
      </c>
      <c r="C183" t="s">
        <v>640</v>
      </c>
      <c r="D183" t="s">
        <v>867</v>
      </c>
      <c r="E183" t="s">
        <v>21</v>
      </c>
      <c r="F183" t="s">
        <v>22</v>
      </c>
      <c r="G183" s="1">
        <v>12825</v>
      </c>
      <c r="H183" s="2">
        <v>95</v>
      </c>
      <c r="I183" s="5" t="str">
        <f>CONCATENATE(H183,"x",INT(G183/H183))</f>
        <v>95x135</v>
      </c>
      <c r="J183">
        <v>438</v>
      </c>
      <c r="K183">
        <v>89</v>
      </c>
      <c r="L183" s="3">
        <v>2308</v>
      </c>
      <c r="M183" s="3">
        <v>3118</v>
      </c>
      <c r="N183" s="3">
        <v>2718</v>
      </c>
      <c r="O183" s="3">
        <v>705900</v>
      </c>
      <c r="P183" s="3">
        <v>890900</v>
      </c>
      <c r="Q183" s="3">
        <v>785700</v>
      </c>
      <c r="R183" t="s">
        <v>190</v>
      </c>
      <c r="S183">
        <v>32.550499000000002</v>
      </c>
      <c r="T183">
        <v>-110.85681</v>
      </c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</row>
    <row r="184" spans="2:74" ht="16" thickTop="1" thickBot="1" x14ac:dyDescent="0.25">
      <c r="B184" t="s">
        <v>341</v>
      </c>
      <c r="C184" t="s">
        <v>110</v>
      </c>
      <c r="E184" t="s">
        <v>21</v>
      </c>
      <c r="F184" t="s">
        <v>22</v>
      </c>
      <c r="G184" s="1">
        <v>5625</v>
      </c>
      <c r="H184" s="2">
        <v>45</v>
      </c>
      <c r="I184" s="5" t="str">
        <f>CONCATENATE(H184,"x",INT(G184/H184))</f>
        <v>45x125</v>
      </c>
      <c r="J184">
        <v>45</v>
      </c>
      <c r="K184">
        <v>89</v>
      </c>
      <c r="L184" s="3">
        <v>1369</v>
      </c>
      <c r="M184" s="3">
        <v>3053</v>
      </c>
      <c r="N184" s="3">
        <v>2019</v>
      </c>
      <c r="O184" s="3">
        <v>484990</v>
      </c>
      <c r="P184" s="3">
        <v>649990</v>
      </c>
      <c r="Q184" s="3">
        <v>550212.22219999996</v>
      </c>
      <c r="S184">
        <v>33.620918000000003</v>
      </c>
      <c r="T184">
        <v>-112.17842</v>
      </c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</row>
    <row r="185" spans="2:74" ht="16" thickTop="1" thickBot="1" x14ac:dyDescent="0.25">
      <c r="B185" t="s">
        <v>207</v>
      </c>
      <c r="C185" t="s">
        <v>144</v>
      </c>
      <c r="D185" t="s">
        <v>149</v>
      </c>
      <c r="E185" t="s">
        <v>21</v>
      </c>
      <c r="F185" t="s">
        <v>22</v>
      </c>
      <c r="G185" s="1">
        <v>4950</v>
      </c>
      <c r="H185" s="2">
        <v>45</v>
      </c>
      <c r="I185" s="5" t="str">
        <f>CONCATENATE(H185,"x",INT(G185/H185))</f>
        <v>45x110</v>
      </c>
      <c r="J185">
        <v>13</v>
      </c>
      <c r="K185">
        <v>88</v>
      </c>
      <c r="L185" s="3">
        <v>1232</v>
      </c>
      <c r="M185" s="3">
        <v>2685</v>
      </c>
      <c r="N185" s="3">
        <v>1826</v>
      </c>
      <c r="O185" s="3">
        <v>293990</v>
      </c>
      <c r="P185" s="3">
        <v>410990</v>
      </c>
      <c r="Q185" s="3">
        <v>335490</v>
      </c>
      <c r="S185">
        <v>32.107311000000003</v>
      </c>
      <c r="T185">
        <v>-111.11685</v>
      </c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</row>
    <row r="186" spans="2:74" ht="16" thickTop="1" thickBot="1" x14ac:dyDescent="0.25">
      <c r="B186" t="s">
        <v>415</v>
      </c>
      <c r="C186" t="s">
        <v>144</v>
      </c>
      <c r="D186" t="s">
        <v>278</v>
      </c>
      <c r="E186" t="s">
        <v>21</v>
      </c>
      <c r="F186" t="s">
        <v>22</v>
      </c>
      <c r="G186" s="1">
        <v>5750</v>
      </c>
      <c r="H186" s="2">
        <v>50</v>
      </c>
      <c r="I186" s="5" t="str">
        <f>CONCATENATE(H186,"x",INT(G186/H186))</f>
        <v>50x115</v>
      </c>
      <c r="J186">
        <v>15</v>
      </c>
      <c r="K186">
        <v>88</v>
      </c>
      <c r="L186" s="3">
        <v>1232</v>
      </c>
      <c r="M186" s="3">
        <v>1411</v>
      </c>
      <c r="N186" s="3">
        <v>1347</v>
      </c>
      <c r="O186" s="3">
        <v>315490</v>
      </c>
      <c r="P186" s="3">
        <v>328490</v>
      </c>
      <c r="Q186" s="3">
        <v>323490</v>
      </c>
      <c r="S186">
        <v>33.037669999999999</v>
      </c>
      <c r="T186">
        <v>-111.95891</v>
      </c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</row>
    <row r="187" spans="2:74" ht="16" thickTop="1" thickBot="1" x14ac:dyDescent="0.25">
      <c r="B187" t="s">
        <v>153</v>
      </c>
      <c r="C187" t="s">
        <v>114</v>
      </c>
      <c r="D187" t="s">
        <v>137</v>
      </c>
      <c r="E187" t="s">
        <v>21</v>
      </c>
      <c r="F187" t="s">
        <v>22</v>
      </c>
      <c r="G187" s="1">
        <v>4600</v>
      </c>
      <c r="H187" s="2">
        <v>40</v>
      </c>
      <c r="I187" s="5" t="str">
        <f>CONCATENATE(H187,"x",INT(G187/H187))</f>
        <v>40x115</v>
      </c>
      <c r="J187">
        <v>27</v>
      </c>
      <c r="K187">
        <v>88</v>
      </c>
      <c r="L187" s="3">
        <v>1467</v>
      </c>
      <c r="M187" s="3">
        <v>2694</v>
      </c>
      <c r="N187" s="3">
        <v>2043</v>
      </c>
      <c r="O187" s="3">
        <v>321990</v>
      </c>
      <c r="P187" s="3">
        <v>389990</v>
      </c>
      <c r="Q187" s="3">
        <v>356790</v>
      </c>
      <c r="S187">
        <v>31.947603000000001</v>
      </c>
      <c r="T187">
        <v>-110.98448</v>
      </c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</row>
    <row r="188" spans="2:74" ht="16" thickTop="1" thickBot="1" x14ac:dyDescent="0.25">
      <c r="B188" t="s">
        <v>150</v>
      </c>
      <c r="C188" t="s">
        <v>151</v>
      </c>
      <c r="D188" t="s">
        <v>152</v>
      </c>
      <c r="E188" t="s">
        <v>21</v>
      </c>
      <c r="F188" t="s">
        <v>22</v>
      </c>
      <c r="G188" s="1">
        <v>4600</v>
      </c>
      <c r="H188" s="2">
        <v>40</v>
      </c>
      <c r="I188" s="5" t="str">
        <f>CONCATENATE(H188,"x",INT(G188/H188))</f>
        <v>40x115</v>
      </c>
      <c r="J188">
        <v>47</v>
      </c>
      <c r="K188">
        <v>88</v>
      </c>
      <c r="L188" s="3">
        <v>1390</v>
      </c>
      <c r="M188" s="3">
        <v>2496</v>
      </c>
      <c r="N188" s="3">
        <v>2035</v>
      </c>
      <c r="O188" s="3">
        <v>351990</v>
      </c>
      <c r="P188" s="3">
        <v>439990</v>
      </c>
      <c r="Q188" s="3">
        <v>404990</v>
      </c>
      <c r="S188">
        <v>33.516075000000001</v>
      </c>
      <c r="T188">
        <v>-112.43849</v>
      </c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</row>
    <row r="189" spans="2:74" ht="16" thickTop="1" thickBot="1" x14ac:dyDescent="0.25">
      <c r="B189" t="s">
        <v>416</v>
      </c>
      <c r="C189" t="s">
        <v>151</v>
      </c>
      <c r="D189" t="s">
        <v>265</v>
      </c>
      <c r="E189" t="s">
        <v>21</v>
      </c>
      <c r="F189" t="s">
        <v>22</v>
      </c>
      <c r="G189" s="1">
        <v>5750</v>
      </c>
      <c r="H189" s="2">
        <v>50</v>
      </c>
      <c r="I189" s="5" t="str">
        <f>CONCATENATE(H189,"x",INT(G189/H189))</f>
        <v>50x115</v>
      </c>
      <c r="J189">
        <v>8</v>
      </c>
      <c r="K189">
        <v>88</v>
      </c>
      <c r="L189" s="3">
        <v>1841</v>
      </c>
      <c r="M189" s="3">
        <v>2249</v>
      </c>
      <c r="N189" s="3">
        <v>2022</v>
      </c>
      <c r="O189" s="3">
        <v>491990</v>
      </c>
      <c r="P189" s="3">
        <v>526990</v>
      </c>
      <c r="Q189" s="3">
        <v>506990</v>
      </c>
      <c r="S189">
        <v>33.770595999999998</v>
      </c>
      <c r="T189">
        <v>-112.35131</v>
      </c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</row>
    <row r="190" spans="2:74" ht="16" thickTop="1" thickBot="1" x14ac:dyDescent="0.25">
      <c r="B190" t="s">
        <v>572</v>
      </c>
      <c r="C190" t="s">
        <v>136</v>
      </c>
      <c r="D190" t="s">
        <v>158</v>
      </c>
      <c r="E190" t="s">
        <v>21</v>
      </c>
      <c r="F190" t="s">
        <v>22</v>
      </c>
      <c r="G190" s="1">
        <v>6600</v>
      </c>
      <c r="H190" s="2">
        <v>55</v>
      </c>
      <c r="I190" s="5" t="str">
        <f>CONCATENATE(H190,"x",INT(G190/H190))</f>
        <v>55x120</v>
      </c>
      <c r="J190">
        <v>8</v>
      </c>
      <c r="K190">
        <v>88</v>
      </c>
      <c r="L190" s="3">
        <v>2050</v>
      </c>
      <c r="M190" s="3">
        <v>2910</v>
      </c>
      <c r="N190" s="3">
        <v>2416</v>
      </c>
      <c r="O190" s="3">
        <v>387990</v>
      </c>
      <c r="P190" s="3">
        <v>456990</v>
      </c>
      <c r="Q190" s="3">
        <v>417390</v>
      </c>
      <c r="S190">
        <v>33.074223000000003</v>
      </c>
      <c r="T190">
        <v>-112.00183</v>
      </c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</row>
    <row r="191" spans="2:74" ht="16" thickTop="1" thickBot="1" x14ac:dyDescent="0.25">
      <c r="B191" t="s">
        <v>573</v>
      </c>
      <c r="C191" t="s">
        <v>123</v>
      </c>
      <c r="E191" t="s">
        <v>21</v>
      </c>
      <c r="F191" t="s">
        <v>22</v>
      </c>
      <c r="G191" s="1">
        <v>6600</v>
      </c>
      <c r="H191" s="2">
        <v>55</v>
      </c>
      <c r="I191" s="5" t="str">
        <f>CONCATENATE(H191,"x",INT(G191/H191))</f>
        <v>55x120</v>
      </c>
      <c r="J191">
        <v>10</v>
      </c>
      <c r="K191">
        <v>87</v>
      </c>
      <c r="L191" s="3">
        <v>2309</v>
      </c>
      <c r="M191" s="3">
        <v>3240</v>
      </c>
      <c r="N191" s="3">
        <v>2723</v>
      </c>
      <c r="O191" s="3">
        <v>399990</v>
      </c>
      <c r="P191" s="3">
        <v>474990</v>
      </c>
      <c r="Q191" s="3">
        <v>432190</v>
      </c>
      <c r="S191">
        <v>33.418391999999997</v>
      </c>
      <c r="T191">
        <v>-112.55368</v>
      </c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</row>
    <row r="192" spans="2:74" ht="16" thickTop="1" thickBot="1" x14ac:dyDescent="0.25">
      <c r="B192" t="s">
        <v>251</v>
      </c>
      <c r="C192" t="s">
        <v>218</v>
      </c>
      <c r="E192" t="s">
        <v>21</v>
      </c>
      <c r="F192" t="s">
        <v>22</v>
      </c>
      <c r="G192" s="1">
        <v>5175</v>
      </c>
      <c r="H192" s="2">
        <v>45</v>
      </c>
      <c r="I192" s="5" t="str">
        <f>CONCATENATE(H192,"x",INT(G192/H192))</f>
        <v>45x115</v>
      </c>
      <c r="J192">
        <v>38</v>
      </c>
      <c r="K192">
        <v>87</v>
      </c>
      <c r="L192" s="3">
        <v>1174</v>
      </c>
      <c r="M192" s="3">
        <v>2488</v>
      </c>
      <c r="N192" s="3">
        <v>1834</v>
      </c>
      <c r="O192" s="3">
        <v>375900</v>
      </c>
      <c r="P192" s="3">
        <v>497900</v>
      </c>
      <c r="Q192" s="3">
        <v>436900</v>
      </c>
      <c r="S192">
        <v>33.576259999999998</v>
      </c>
      <c r="T192">
        <v>-112.30410000000001</v>
      </c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</row>
    <row r="193" spans="2:74" ht="16" thickTop="1" thickBot="1" x14ac:dyDescent="0.25">
      <c r="B193" t="s">
        <v>456</v>
      </c>
      <c r="C193" t="s">
        <v>151</v>
      </c>
      <c r="D193" t="s">
        <v>34</v>
      </c>
      <c r="E193" t="s">
        <v>21</v>
      </c>
      <c r="F193" t="s">
        <v>22</v>
      </c>
      <c r="G193" s="1">
        <v>6000</v>
      </c>
      <c r="H193" s="2">
        <v>50</v>
      </c>
      <c r="I193" s="5" t="str">
        <f>CONCATENATE(H193,"x",INT(G193/H193))</f>
        <v>50x120</v>
      </c>
      <c r="J193">
        <v>15</v>
      </c>
      <c r="K193">
        <v>87</v>
      </c>
      <c r="L193" s="3">
        <v>1841</v>
      </c>
      <c r="M193" s="3">
        <v>2271</v>
      </c>
      <c r="N193" s="3">
        <v>2027</v>
      </c>
      <c r="O193" s="3">
        <v>464990</v>
      </c>
      <c r="P193" s="3">
        <v>502990</v>
      </c>
      <c r="Q193" s="3">
        <v>482240</v>
      </c>
      <c r="S193">
        <v>32.447780999999999</v>
      </c>
      <c r="T193">
        <v>-110.94801</v>
      </c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</row>
    <row r="194" spans="2:74" ht="16" thickTop="1" thickBot="1" x14ac:dyDescent="0.25">
      <c r="B194" t="s">
        <v>711</v>
      </c>
      <c r="C194" t="s">
        <v>38</v>
      </c>
      <c r="D194" t="s">
        <v>329</v>
      </c>
      <c r="E194" t="s">
        <v>21</v>
      </c>
      <c r="F194" t="s">
        <v>22</v>
      </c>
      <c r="G194" s="1">
        <v>7875</v>
      </c>
      <c r="H194" s="2">
        <v>63</v>
      </c>
      <c r="I194" s="5" t="str">
        <f>CONCATENATE(H194,"x",INT(G194/H194))</f>
        <v>63x125</v>
      </c>
      <c r="J194">
        <v>19</v>
      </c>
      <c r="K194">
        <v>87</v>
      </c>
      <c r="L194" s="3">
        <v>2234</v>
      </c>
      <c r="M194" s="3">
        <v>2870</v>
      </c>
      <c r="N194" s="3">
        <v>2532</v>
      </c>
      <c r="O194" s="3">
        <v>482990</v>
      </c>
      <c r="P194" s="3">
        <v>526990</v>
      </c>
      <c r="Q194" s="3">
        <v>497490</v>
      </c>
      <c r="S194">
        <v>33.589618999999999</v>
      </c>
      <c r="T194">
        <v>-112.42467000000001</v>
      </c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</row>
    <row r="195" spans="2:74" ht="16" thickTop="1" thickBot="1" x14ac:dyDescent="0.25">
      <c r="B195" t="s">
        <v>546</v>
      </c>
      <c r="C195" t="s">
        <v>116</v>
      </c>
      <c r="D195" t="s">
        <v>212</v>
      </c>
      <c r="E195" t="s">
        <v>21</v>
      </c>
      <c r="F195" t="s">
        <v>22</v>
      </c>
      <c r="G195" s="1">
        <v>6050</v>
      </c>
      <c r="H195" s="2">
        <v>55</v>
      </c>
      <c r="I195" s="5" t="str">
        <f>CONCATENATE(H195,"x",INT(G195/H195))</f>
        <v>55x110</v>
      </c>
      <c r="J195">
        <v>76</v>
      </c>
      <c r="K195">
        <v>86</v>
      </c>
      <c r="L195" s="3">
        <v>1513</v>
      </c>
      <c r="M195" s="3">
        <v>2821</v>
      </c>
      <c r="N195" s="3">
        <v>2121</v>
      </c>
      <c r="O195" s="3">
        <v>378990</v>
      </c>
      <c r="P195" s="3">
        <v>443990</v>
      </c>
      <c r="Q195" s="3">
        <v>410156.6666</v>
      </c>
      <c r="R195" t="s">
        <v>23</v>
      </c>
      <c r="S195">
        <v>33.395626</v>
      </c>
      <c r="T195">
        <v>-112.10995</v>
      </c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</row>
    <row r="196" spans="2:74" ht="16" thickTop="1" thickBot="1" x14ac:dyDescent="0.25">
      <c r="B196" t="s">
        <v>154</v>
      </c>
      <c r="C196" t="s">
        <v>114</v>
      </c>
      <c r="E196" t="s">
        <v>21</v>
      </c>
      <c r="F196" t="s">
        <v>22</v>
      </c>
      <c r="G196" s="1">
        <v>4600</v>
      </c>
      <c r="H196" s="2">
        <v>40</v>
      </c>
      <c r="I196" s="5" t="str">
        <f>CONCATENATE(H196,"x",INT(G196/H196))</f>
        <v>40x115</v>
      </c>
      <c r="J196">
        <v>44</v>
      </c>
      <c r="K196">
        <v>85</v>
      </c>
      <c r="L196" s="3">
        <v>1213</v>
      </c>
      <c r="M196" s="3">
        <v>1633</v>
      </c>
      <c r="N196" s="3">
        <v>1431</v>
      </c>
      <c r="O196" s="3">
        <v>358990</v>
      </c>
      <c r="P196" s="3">
        <v>388990</v>
      </c>
      <c r="Q196" s="3">
        <v>373990</v>
      </c>
      <c r="S196">
        <v>33.411563999999998</v>
      </c>
      <c r="T196">
        <v>-112.2492</v>
      </c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</row>
    <row r="197" spans="2:74" ht="16" thickTop="1" thickBot="1" x14ac:dyDescent="0.25">
      <c r="B197" t="s">
        <v>501</v>
      </c>
      <c r="C197" t="s">
        <v>151</v>
      </c>
      <c r="D197" t="s">
        <v>293</v>
      </c>
      <c r="E197" t="s">
        <v>21</v>
      </c>
      <c r="F197" t="s">
        <v>22</v>
      </c>
      <c r="G197" s="1">
        <v>6250</v>
      </c>
      <c r="H197" s="2">
        <v>50</v>
      </c>
      <c r="I197" s="5" t="str">
        <f>CONCATENATE(H197,"x",INT(G197/H197))</f>
        <v>50x125</v>
      </c>
      <c r="J197">
        <v>111</v>
      </c>
      <c r="K197">
        <v>84</v>
      </c>
      <c r="L197" s="3">
        <v>1841</v>
      </c>
      <c r="M197" s="3">
        <v>2821</v>
      </c>
      <c r="N197" s="3">
        <v>2253</v>
      </c>
      <c r="O197" s="3">
        <v>428990</v>
      </c>
      <c r="P197" s="3">
        <v>498990</v>
      </c>
      <c r="Q197" s="3">
        <v>457490</v>
      </c>
      <c r="S197">
        <v>33.367989000000001</v>
      </c>
      <c r="T197">
        <v>-112.20461</v>
      </c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</row>
    <row r="198" spans="2:74" ht="16" thickTop="1" thickBot="1" x14ac:dyDescent="0.25">
      <c r="B198" t="s">
        <v>129</v>
      </c>
      <c r="C198" t="s">
        <v>130</v>
      </c>
      <c r="E198" t="s">
        <v>21</v>
      </c>
      <c r="F198" t="s">
        <v>22</v>
      </c>
      <c r="G198" s="1">
        <v>4000</v>
      </c>
      <c r="H198" s="2">
        <v>40</v>
      </c>
      <c r="I198" s="5" t="str">
        <f>CONCATENATE(H198,"x",INT(G198/H198))</f>
        <v>40x100</v>
      </c>
      <c r="J198">
        <v>6</v>
      </c>
      <c r="K198">
        <v>83</v>
      </c>
      <c r="L198" s="3">
        <v>1986</v>
      </c>
      <c r="M198" s="3">
        <v>2645</v>
      </c>
      <c r="N198" s="3">
        <v>2337</v>
      </c>
      <c r="O198" s="3">
        <v>454990</v>
      </c>
      <c r="P198" s="3">
        <v>485990</v>
      </c>
      <c r="Q198" s="3">
        <v>470990</v>
      </c>
      <c r="S198">
        <v>33.543830999999997</v>
      </c>
      <c r="T198">
        <v>-112.2192</v>
      </c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</row>
    <row r="199" spans="2:74" ht="16" thickTop="1" thickBot="1" x14ac:dyDescent="0.25">
      <c r="B199" t="s">
        <v>162</v>
      </c>
      <c r="C199" t="s">
        <v>114</v>
      </c>
      <c r="E199" t="s">
        <v>21</v>
      </c>
      <c r="F199" t="s">
        <v>22</v>
      </c>
      <c r="G199" s="1">
        <v>4800</v>
      </c>
      <c r="H199" s="2">
        <v>40</v>
      </c>
      <c r="I199" s="5" t="str">
        <f>CONCATENATE(H199,"x",INT(G199/H199))</f>
        <v>40x120</v>
      </c>
      <c r="J199">
        <v>45</v>
      </c>
      <c r="K199">
        <v>83</v>
      </c>
      <c r="L199" s="3">
        <v>1327</v>
      </c>
      <c r="M199" s="3">
        <v>2220</v>
      </c>
      <c r="N199" s="3">
        <v>1744</v>
      </c>
      <c r="O199" s="3">
        <v>309990</v>
      </c>
      <c r="P199" s="3">
        <v>359990</v>
      </c>
      <c r="Q199" s="3">
        <v>332990</v>
      </c>
      <c r="S199">
        <v>32.444583999999999</v>
      </c>
      <c r="T199">
        <v>-111.21947</v>
      </c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</row>
    <row r="200" spans="2:74" ht="16" thickTop="1" thickBot="1" x14ac:dyDescent="0.25">
      <c r="B200" t="s">
        <v>457</v>
      </c>
      <c r="C200" t="s">
        <v>151</v>
      </c>
      <c r="D200" t="s">
        <v>458</v>
      </c>
      <c r="E200" t="s">
        <v>21</v>
      </c>
      <c r="F200" t="s">
        <v>22</v>
      </c>
      <c r="G200" s="1">
        <v>6000</v>
      </c>
      <c r="H200" s="2">
        <v>50</v>
      </c>
      <c r="I200" s="5" t="str">
        <f>CONCATENATE(H200,"x",INT(G200/H200))</f>
        <v>50x120</v>
      </c>
      <c r="J200">
        <v>9</v>
      </c>
      <c r="K200">
        <v>83</v>
      </c>
      <c r="L200" s="3">
        <v>1684</v>
      </c>
      <c r="M200" s="3">
        <v>2605</v>
      </c>
      <c r="N200" s="3">
        <v>2173</v>
      </c>
      <c r="O200" s="3">
        <v>508990</v>
      </c>
      <c r="P200" s="3">
        <v>598990</v>
      </c>
      <c r="Q200" s="3">
        <v>556590</v>
      </c>
      <c r="S200">
        <v>33.734062000000002</v>
      </c>
      <c r="T200">
        <v>-112.21379</v>
      </c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</row>
    <row r="201" spans="2:74" ht="16" thickTop="1" thickBot="1" x14ac:dyDescent="0.25">
      <c r="B201" t="s">
        <v>382</v>
      </c>
      <c r="C201" t="s">
        <v>187</v>
      </c>
      <c r="D201" t="s">
        <v>306</v>
      </c>
      <c r="E201" t="s">
        <v>21</v>
      </c>
      <c r="F201" t="s">
        <v>22</v>
      </c>
      <c r="G201" s="1">
        <v>5000</v>
      </c>
      <c r="H201" s="2">
        <v>50</v>
      </c>
      <c r="I201" s="5" t="str">
        <f>CONCATENATE(H201,"x",INT(G201/H201))</f>
        <v>50x100</v>
      </c>
      <c r="J201">
        <v>8</v>
      </c>
      <c r="K201">
        <v>82</v>
      </c>
      <c r="L201" s="3">
        <v>1377</v>
      </c>
      <c r="M201" s="3">
        <v>2688</v>
      </c>
      <c r="N201" s="3">
        <v>2014</v>
      </c>
      <c r="O201" s="3">
        <v>358990</v>
      </c>
      <c r="P201" s="3">
        <v>448990</v>
      </c>
      <c r="Q201" s="3">
        <v>404740</v>
      </c>
      <c r="S201">
        <v>33.221367000000001</v>
      </c>
      <c r="T201">
        <v>-111.54428</v>
      </c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</row>
    <row r="202" spans="2:74" ht="16" thickTop="1" thickBot="1" x14ac:dyDescent="0.25">
      <c r="B202" t="s">
        <v>459</v>
      </c>
      <c r="C202" t="s">
        <v>187</v>
      </c>
      <c r="D202" t="s">
        <v>460</v>
      </c>
      <c r="E202" t="s">
        <v>21</v>
      </c>
      <c r="F202" t="s">
        <v>22</v>
      </c>
      <c r="G202" s="1">
        <v>6000</v>
      </c>
      <c r="H202" s="2">
        <v>50</v>
      </c>
      <c r="I202" s="5" t="str">
        <f>CONCATENATE(H202,"x",INT(G202/H202))</f>
        <v>50x120</v>
      </c>
      <c r="J202">
        <v>37</v>
      </c>
      <c r="K202">
        <v>82</v>
      </c>
      <c r="L202" s="3">
        <v>1567</v>
      </c>
      <c r="M202" s="3">
        <v>3111</v>
      </c>
      <c r="N202" s="3">
        <v>2138</v>
      </c>
      <c r="O202" s="3">
        <v>476990</v>
      </c>
      <c r="P202" s="3">
        <v>567990</v>
      </c>
      <c r="Q202" s="3">
        <v>518656.6666</v>
      </c>
      <c r="S202">
        <v>33.260959999999997</v>
      </c>
      <c r="T202">
        <v>-111.59216000000001</v>
      </c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</row>
    <row r="203" spans="2:74" ht="16" thickTop="1" thickBot="1" x14ac:dyDescent="0.25">
      <c r="B203" t="s">
        <v>315</v>
      </c>
      <c r="C203" t="s">
        <v>276</v>
      </c>
      <c r="D203" t="s">
        <v>265</v>
      </c>
      <c r="E203" t="s">
        <v>21</v>
      </c>
      <c r="F203" t="s">
        <v>22</v>
      </c>
      <c r="G203" s="1">
        <v>5400</v>
      </c>
      <c r="H203" s="2">
        <v>45</v>
      </c>
      <c r="I203" s="5" t="str">
        <f>CONCATENATE(H203,"x",INT(G203/H203))</f>
        <v>45x120</v>
      </c>
      <c r="J203">
        <v>2</v>
      </c>
      <c r="K203">
        <v>82</v>
      </c>
      <c r="L203" s="3">
        <v>1685</v>
      </c>
      <c r="M203" s="3">
        <v>2802</v>
      </c>
      <c r="N203" s="3">
        <v>2147</v>
      </c>
      <c r="O203" s="3">
        <v>468900</v>
      </c>
      <c r="P203" s="3">
        <v>553900</v>
      </c>
      <c r="Q203" s="3">
        <v>501900</v>
      </c>
      <c r="S203">
        <v>33.785575999999999</v>
      </c>
      <c r="T203">
        <v>-112.34853</v>
      </c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</row>
    <row r="204" spans="2:74" ht="16" thickTop="1" thickBot="1" x14ac:dyDescent="0.25">
      <c r="B204" t="s">
        <v>678</v>
      </c>
      <c r="C204" t="s">
        <v>114</v>
      </c>
      <c r="E204" t="s">
        <v>21</v>
      </c>
      <c r="F204" t="s">
        <v>22</v>
      </c>
      <c r="G204" s="1">
        <v>7500</v>
      </c>
      <c r="H204" s="2">
        <v>60</v>
      </c>
      <c r="I204" s="5" t="str">
        <f>CONCATENATE(H204,"x",INT(G204/H204))</f>
        <v>60x125</v>
      </c>
      <c r="J204">
        <v>34</v>
      </c>
      <c r="K204">
        <v>82</v>
      </c>
      <c r="L204" s="3">
        <v>1365</v>
      </c>
      <c r="M204" s="3">
        <v>2926</v>
      </c>
      <c r="N204" s="3">
        <v>2204</v>
      </c>
      <c r="O204" s="3">
        <v>442990</v>
      </c>
      <c r="P204" s="3">
        <v>532990</v>
      </c>
      <c r="Q204" s="3">
        <v>484656.6666</v>
      </c>
      <c r="S204">
        <v>33.203578999999998</v>
      </c>
      <c r="T204">
        <v>-111.61887</v>
      </c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</row>
    <row r="205" spans="2:74" ht="16" thickTop="1" thickBot="1" x14ac:dyDescent="0.25">
      <c r="B205" t="s">
        <v>555</v>
      </c>
      <c r="C205" t="s">
        <v>38</v>
      </c>
      <c r="D205" t="s">
        <v>284</v>
      </c>
      <c r="E205" t="s">
        <v>21</v>
      </c>
      <c r="F205" t="s">
        <v>22</v>
      </c>
      <c r="G205" s="1">
        <v>6325</v>
      </c>
      <c r="H205" s="2">
        <v>55</v>
      </c>
      <c r="I205" s="5" t="str">
        <f>CONCATENATE(H205,"x",INT(G205/H205))</f>
        <v>55x115</v>
      </c>
      <c r="J205">
        <v>186</v>
      </c>
      <c r="K205">
        <v>82</v>
      </c>
      <c r="L205" s="3">
        <v>1958</v>
      </c>
      <c r="M205" s="3">
        <v>3550</v>
      </c>
      <c r="N205" s="3">
        <v>2563</v>
      </c>
      <c r="O205" s="3">
        <v>456990</v>
      </c>
      <c r="P205" s="3">
        <v>548990</v>
      </c>
      <c r="Q205" s="3">
        <v>498823.3333</v>
      </c>
      <c r="S205">
        <v>33.340935000000002</v>
      </c>
      <c r="T205">
        <v>-112.17627</v>
      </c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</row>
    <row r="206" spans="2:74" ht="16" thickTop="1" thickBot="1" x14ac:dyDescent="0.25">
      <c r="B206" t="s">
        <v>688</v>
      </c>
      <c r="C206" t="s">
        <v>110</v>
      </c>
      <c r="D206" t="s">
        <v>689</v>
      </c>
      <c r="E206" t="s">
        <v>21</v>
      </c>
      <c r="F206" t="s">
        <v>22</v>
      </c>
      <c r="G206" s="1">
        <v>7800</v>
      </c>
      <c r="H206" s="2">
        <v>60</v>
      </c>
      <c r="I206" s="5" t="str">
        <f>CONCATENATE(H206,"x",INT(G206/H206))</f>
        <v>60x130</v>
      </c>
      <c r="J206">
        <v>7</v>
      </c>
      <c r="K206">
        <v>81</v>
      </c>
      <c r="L206" s="3">
        <v>1629</v>
      </c>
      <c r="M206" s="3">
        <v>2574</v>
      </c>
      <c r="N206" s="3">
        <v>2138</v>
      </c>
      <c r="O206" s="3">
        <v>562990</v>
      </c>
      <c r="P206" s="3">
        <v>671990</v>
      </c>
      <c r="Q206" s="3">
        <v>620390</v>
      </c>
      <c r="S206">
        <v>34.624012</v>
      </c>
      <c r="T206">
        <v>-112.389</v>
      </c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</row>
    <row r="207" spans="2:74" ht="16" thickTop="1" thickBot="1" x14ac:dyDescent="0.25">
      <c r="B207" t="s">
        <v>316</v>
      </c>
      <c r="C207" t="s">
        <v>116</v>
      </c>
      <c r="E207" t="s">
        <v>21</v>
      </c>
      <c r="F207" t="s">
        <v>22</v>
      </c>
      <c r="G207" s="1">
        <v>5400</v>
      </c>
      <c r="H207" s="2">
        <v>45</v>
      </c>
      <c r="I207" s="5" t="str">
        <f>CONCATENATE(H207,"x",INT(G207/H207))</f>
        <v>45x120</v>
      </c>
      <c r="J207">
        <v>48</v>
      </c>
      <c r="K207">
        <v>80</v>
      </c>
      <c r="L207" s="3">
        <v>1455</v>
      </c>
      <c r="M207" s="3">
        <v>2377</v>
      </c>
      <c r="N207" s="3">
        <v>1930</v>
      </c>
      <c r="O207" s="3">
        <v>343990</v>
      </c>
      <c r="P207" s="3">
        <v>394990</v>
      </c>
      <c r="Q207" s="3">
        <v>371590</v>
      </c>
      <c r="S207">
        <v>33.430579999999999</v>
      </c>
      <c r="T207">
        <v>-112.45062</v>
      </c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</row>
    <row r="208" spans="2:74" ht="16" thickTop="1" thickBot="1" x14ac:dyDescent="0.25">
      <c r="B208" t="s">
        <v>802</v>
      </c>
      <c r="C208" t="s">
        <v>114</v>
      </c>
      <c r="E208" t="s">
        <v>21</v>
      </c>
      <c r="F208" t="s">
        <v>22</v>
      </c>
      <c r="G208" s="1">
        <v>9800</v>
      </c>
      <c r="H208" s="2">
        <v>70</v>
      </c>
      <c r="I208" s="5" t="str">
        <f>CONCATENATE(H208,"x",INT(G208/H208))</f>
        <v>70x140</v>
      </c>
      <c r="J208">
        <v>2</v>
      </c>
      <c r="K208">
        <v>80</v>
      </c>
      <c r="L208" s="3">
        <v>1885</v>
      </c>
      <c r="M208" s="3">
        <v>3121</v>
      </c>
      <c r="N208" s="3">
        <v>2519</v>
      </c>
      <c r="O208" s="3">
        <v>488990</v>
      </c>
      <c r="P208" s="3">
        <v>590990</v>
      </c>
      <c r="Q208" s="3">
        <v>536490</v>
      </c>
      <c r="S208">
        <v>33.717410999999998</v>
      </c>
      <c r="T208">
        <v>-112.40121000000001</v>
      </c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</row>
    <row r="209" spans="2:74" ht="16" thickTop="1" thickBot="1" x14ac:dyDescent="0.25">
      <c r="B209" t="s">
        <v>461</v>
      </c>
      <c r="C209" t="s">
        <v>462</v>
      </c>
      <c r="D209" t="s">
        <v>193</v>
      </c>
      <c r="E209" t="s">
        <v>21</v>
      </c>
      <c r="F209" t="s">
        <v>22</v>
      </c>
      <c r="G209" s="1">
        <v>6000</v>
      </c>
      <c r="H209" s="2">
        <v>50</v>
      </c>
      <c r="I209" s="5" t="str">
        <f>CONCATENATE(H209,"x",INT(G209/H209))</f>
        <v>50x120</v>
      </c>
      <c r="J209">
        <v>13</v>
      </c>
      <c r="K209">
        <v>79</v>
      </c>
      <c r="L209" s="3">
        <v>2244</v>
      </c>
      <c r="M209" s="3">
        <v>4160</v>
      </c>
      <c r="N209" s="3">
        <v>2951</v>
      </c>
      <c r="O209" s="3">
        <v>650000</v>
      </c>
      <c r="P209" s="3">
        <v>865000</v>
      </c>
      <c r="Q209" s="3">
        <v>745250</v>
      </c>
      <c r="S209">
        <v>33.504513000000003</v>
      </c>
      <c r="T209">
        <v>-112.52281000000001</v>
      </c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</row>
    <row r="210" spans="2:74" ht="16" thickTop="1" thickBot="1" x14ac:dyDescent="0.25">
      <c r="B210" t="s">
        <v>252</v>
      </c>
      <c r="C210" t="s">
        <v>144</v>
      </c>
      <c r="E210" t="s">
        <v>21</v>
      </c>
      <c r="F210" t="s">
        <v>22</v>
      </c>
      <c r="G210" s="1">
        <v>5175</v>
      </c>
      <c r="H210" s="2">
        <v>45</v>
      </c>
      <c r="I210" s="5" t="str">
        <f>CONCATENATE(H210,"x",INT(G210/H210))</f>
        <v>45x115</v>
      </c>
      <c r="J210">
        <v>3</v>
      </c>
      <c r="K210">
        <v>79</v>
      </c>
      <c r="L210" s="3">
        <v>1232</v>
      </c>
      <c r="M210" s="3">
        <v>1411</v>
      </c>
      <c r="N210" s="3">
        <v>1347</v>
      </c>
      <c r="O210" s="3">
        <v>444990</v>
      </c>
      <c r="P210" s="3">
        <v>459990</v>
      </c>
      <c r="Q210" s="3">
        <v>453323.3333</v>
      </c>
      <c r="R210" t="s">
        <v>23</v>
      </c>
      <c r="S210">
        <v>33.753391000000001</v>
      </c>
      <c r="T210">
        <v>-112.12889</v>
      </c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</row>
    <row r="211" spans="2:74" ht="16" thickTop="1" thickBot="1" x14ac:dyDescent="0.25">
      <c r="B211" t="s">
        <v>163</v>
      </c>
      <c r="C211" t="s">
        <v>114</v>
      </c>
      <c r="D211" t="s">
        <v>161</v>
      </c>
      <c r="E211" t="s">
        <v>21</v>
      </c>
      <c r="F211" t="s">
        <v>22</v>
      </c>
      <c r="G211" s="1">
        <v>4800</v>
      </c>
      <c r="H211" s="2">
        <v>40</v>
      </c>
      <c r="I211" s="5" t="str">
        <f>CONCATENATE(H211,"x",INT(G211/H211))</f>
        <v>40x120</v>
      </c>
      <c r="J211">
        <v>17</v>
      </c>
      <c r="K211">
        <v>79</v>
      </c>
      <c r="L211" s="3">
        <v>1327</v>
      </c>
      <c r="M211" s="3">
        <v>2220</v>
      </c>
      <c r="N211" s="3">
        <v>1744</v>
      </c>
      <c r="O211" s="3">
        <v>336990</v>
      </c>
      <c r="P211" s="3">
        <v>384990</v>
      </c>
      <c r="Q211" s="3">
        <v>357990</v>
      </c>
      <c r="S211">
        <v>32.433337999999999</v>
      </c>
      <c r="T211">
        <v>-111.18536</v>
      </c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</row>
    <row r="212" spans="2:74" ht="16" thickTop="1" thickBot="1" x14ac:dyDescent="0.25">
      <c r="B212" t="s">
        <v>574</v>
      </c>
      <c r="C212" t="s">
        <v>151</v>
      </c>
      <c r="D212" t="s">
        <v>265</v>
      </c>
      <c r="E212" t="s">
        <v>21</v>
      </c>
      <c r="F212" t="s">
        <v>22</v>
      </c>
      <c r="G212" s="1">
        <v>6600</v>
      </c>
      <c r="H212" s="2">
        <v>55</v>
      </c>
      <c r="I212" s="5" t="str">
        <f>CONCATENATE(H212,"x",INT(G212/H212))</f>
        <v>55x120</v>
      </c>
      <c r="J212">
        <v>32</v>
      </c>
      <c r="K212">
        <v>79</v>
      </c>
      <c r="L212" s="3">
        <v>2294</v>
      </c>
      <c r="M212" s="3">
        <v>3554</v>
      </c>
      <c r="N212" s="3">
        <v>2793</v>
      </c>
      <c r="O212" s="3">
        <v>549990</v>
      </c>
      <c r="P212" s="3">
        <v>662990</v>
      </c>
      <c r="Q212" s="3">
        <v>597990</v>
      </c>
      <c r="S212">
        <v>33.770439000000003</v>
      </c>
      <c r="T212">
        <v>-112.35805000000001</v>
      </c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</row>
    <row r="213" spans="2:74" ht="16" thickTop="1" thickBot="1" x14ac:dyDescent="0.25">
      <c r="B213" t="s">
        <v>417</v>
      </c>
      <c r="C213" t="s">
        <v>272</v>
      </c>
      <c r="E213" t="s">
        <v>21</v>
      </c>
      <c r="F213" t="s">
        <v>22</v>
      </c>
      <c r="G213" s="1">
        <v>5750</v>
      </c>
      <c r="H213" s="2">
        <v>50</v>
      </c>
      <c r="I213" s="5" t="str">
        <f>CONCATENATE(H213,"x",INT(G213/H213))</f>
        <v>50x115</v>
      </c>
      <c r="J213">
        <v>54</v>
      </c>
      <c r="K213">
        <v>78</v>
      </c>
      <c r="L213" s="3">
        <v>1486</v>
      </c>
      <c r="M213" s="3">
        <v>2273</v>
      </c>
      <c r="N213" s="3">
        <v>1840</v>
      </c>
      <c r="O213" s="3">
        <v>346990</v>
      </c>
      <c r="P213" s="3">
        <v>406990</v>
      </c>
      <c r="Q213" s="3">
        <v>371990</v>
      </c>
      <c r="S213">
        <v>33.428089</v>
      </c>
      <c r="T213">
        <v>-112.57222</v>
      </c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</row>
    <row r="214" spans="2:74" ht="16" thickTop="1" thickBot="1" x14ac:dyDescent="0.25">
      <c r="B214" t="s">
        <v>368</v>
      </c>
      <c r="C214" t="s">
        <v>43</v>
      </c>
      <c r="E214" t="s">
        <v>21</v>
      </c>
      <c r="F214" t="s">
        <v>22</v>
      </c>
      <c r="G214" s="1">
        <v>5520</v>
      </c>
      <c r="H214" s="2">
        <v>48</v>
      </c>
      <c r="I214" s="5" t="str">
        <f>CONCATENATE(H214,"x",INT(G214/H214))</f>
        <v>48x115</v>
      </c>
      <c r="J214">
        <v>36</v>
      </c>
      <c r="K214">
        <v>78</v>
      </c>
      <c r="L214" s="3">
        <v>1611</v>
      </c>
      <c r="M214" s="3">
        <v>2734</v>
      </c>
      <c r="N214" s="3">
        <v>2058</v>
      </c>
      <c r="O214" s="3">
        <v>419990</v>
      </c>
      <c r="P214" s="3">
        <v>536990</v>
      </c>
      <c r="Q214" s="3">
        <v>466990</v>
      </c>
      <c r="S214">
        <v>33.713298999999999</v>
      </c>
      <c r="T214">
        <v>-112.39887</v>
      </c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</row>
    <row r="215" spans="2:74" ht="16" thickTop="1" thickBot="1" x14ac:dyDescent="0.25">
      <c r="B215" t="s">
        <v>253</v>
      </c>
      <c r="C215" t="s">
        <v>116</v>
      </c>
      <c r="D215" t="s">
        <v>137</v>
      </c>
      <c r="E215" t="s">
        <v>21</v>
      </c>
      <c r="F215" t="s">
        <v>22</v>
      </c>
      <c r="G215" s="1">
        <v>5750</v>
      </c>
      <c r="H215" s="2">
        <v>50</v>
      </c>
      <c r="I215" s="5" t="str">
        <f>CONCATENATE(H215,"x",INT(G215/H215))</f>
        <v>50x115</v>
      </c>
      <c r="J215">
        <v>16</v>
      </c>
      <c r="K215">
        <v>78</v>
      </c>
      <c r="L215" s="3">
        <v>1289</v>
      </c>
      <c r="M215" s="3">
        <v>2201</v>
      </c>
      <c r="N215" s="3">
        <v>1694</v>
      </c>
      <c r="O215" s="3">
        <v>315990</v>
      </c>
      <c r="P215" s="3">
        <v>379990</v>
      </c>
      <c r="Q215" s="3">
        <v>342490</v>
      </c>
      <c r="S215">
        <v>31.945398000000001</v>
      </c>
      <c r="T215">
        <v>-110.98441</v>
      </c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</row>
    <row r="216" spans="2:74" ht="16" thickTop="1" thickBot="1" x14ac:dyDescent="0.25">
      <c r="B216" t="s">
        <v>661</v>
      </c>
      <c r="C216" t="s">
        <v>116</v>
      </c>
      <c r="E216" t="s">
        <v>21</v>
      </c>
      <c r="F216" t="s">
        <v>22</v>
      </c>
      <c r="G216" s="1">
        <v>7200</v>
      </c>
      <c r="H216" s="2">
        <v>60</v>
      </c>
      <c r="I216" s="5" t="str">
        <f>CONCATENATE(H216,"x",INT(G216/H216))</f>
        <v>60x120</v>
      </c>
      <c r="J216">
        <v>40</v>
      </c>
      <c r="K216">
        <v>78</v>
      </c>
      <c r="L216" s="3">
        <v>1643</v>
      </c>
      <c r="M216" s="3">
        <v>3625</v>
      </c>
      <c r="N216" s="3">
        <v>2510</v>
      </c>
      <c r="O216" s="3">
        <v>514990</v>
      </c>
      <c r="P216" s="3">
        <v>645990</v>
      </c>
      <c r="Q216" s="3">
        <v>583323.33330000006</v>
      </c>
      <c r="S216">
        <v>33.217663000000002</v>
      </c>
      <c r="T216">
        <v>-111.72402</v>
      </c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</row>
    <row r="217" spans="2:74" ht="16" thickTop="1" thickBot="1" x14ac:dyDescent="0.25">
      <c r="B217" t="s">
        <v>631</v>
      </c>
      <c r="C217" t="s">
        <v>123</v>
      </c>
      <c r="E217" t="s">
        <v>21</v>
      </c>
      <c r="F217" t="s">
        <v>22</v>
      </c>
      <c r="G217" s="1">
        <v>6000</v>
      </c>
      <c r="H217" s="2">
        <v>60</v>
      </c>
      <c r="I217" s="5" t="str">
        <f>CONCATENATE(H217,"x",INT(G217/H217))</f>
        <v>60x100</v>
      </c>
      <c r="J217">
        <v>2</v>
      </c>
      <c r="K217">
        <v>78</v>
      </c>
      <c r="L217" s="3">
        <v>1829</v>
      </c>
      <c r="M217" s="3">
        <v>2526</v>
      </c>
      <c r="N217" s="3">
        <v>2203</v>
      </c>
      <c r="O217" s="3">
        <v>489990</v>
      </c>
      <c r="P217" s="3">
        <v>529990</v>
      </c>
      <c r="Q217" s="3">
        <v>512490</v>
      </c>
      <c r="S217">
        <v>33.579197000000001</v>
      </c>
      <c r="T217">
        <v>-112.16692999999999</v>
      </c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</row>
    <row r="218" spans="2:74" ht="16" thickTop="1" thickBot="1" x14ac:dyDescent="0.25">
      <c r="B218" t="s">
        <v>783</v>
      </c>
      <c r="C218" t="s">
        <v>36</v>
      </c>
      <c r="E218" t="s">
        <v>21</v>
      </c>
      <c r="F218" t="s">
        <v>22</v>
      </c>
      <c r="G218" s="1">
        <v>8750</v>
      </c>
      <c r="H218" s="2">
        <v>70</v>
      </c>
      <c r="I218" s="5" t="str">
        <f>CONCATENATE(H218,"x",INT(G218/H218))</f>
        <v>70x125</v>
      </c>
      <c r="J218">
        <v>2</v>
      </c>
      <c r="K218">
        <v>78</v>
      </c>
      <c r="L218" s="3">
        <v>2346</v>
      </c>
      <c r="M218" s="3">
        <v>2987</v>
      </c>
      <c r="N218" s="3">
        <v>2761</v>
      </c>
      <c r="O218" s="3">
        <v>550000</v>
      </c>
      <c r="P218" s="3">
        <v>605000</v>
      </c>
      <c r="Q218" s="3">
        <v>583000</v>
      </c>
      <c r="S218">
        <v>33.357532999999997</v>
      </c>
      <c r="T218">
        <v>-112.13728</v>
      </c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</row>
    <row r="219" spans="2:74" ht="16" thickTop="1" thickBot="1" x14ac:dyDescent="0.25">
      <c r="B219" t="s">
        <v>601</v>
      </c>
      <c r="C219" t="s">
        <v>520</v>
      </c>
      <c r="D219" t="s">
        <v>602</v>
      </c>
      <c r="E219" t="s">
        <v>21</v>
      </c>
      <c r="F219" t="s">
        <v>22</v>
      </c>
      <c r="G219" s="1">
        <v>5000</v>
      </c>
      <c r="H219" s="2">
        <v>55</v>
      </c>
      <c r="I219" s="5" t="str">
        <f>CONCATENATE(H219,"x",INT(G219/H219))</f>
        <v>55x90</v>
      </c>
      <c r="J219">
        <v>234</v>
      </c>
      <c r="K219">
        <v>77</v>
      </c>
      <c r="L219" s="3">
        <v>1341</v>
      </c>
      <c r="M219" s="3">
        <v>1927</v>
      </c>
      <c r="N219" s="3">
        <v>1719</v>
      </c>
      <c r="O219" s="3">
        <v>452000</v>
      </c>
      <c r="P219" s="3">
        <v>599000</v>
      </c>
      <c r="Q219" s="3">
        <v>511609.5</v>
      </c>
      <c r="S219">
        <v>34.767757000000003</v>
      </c>
      <c r="T219">
        <v>-112.05605</v>
      </c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</row>
    <row r="220" spans="2:74" ht="16" thickTop="1" thickBot="1" x14ac:dyDescent="0.25">
      <c r="B220" t="s">
        <v>253</v>
      </c>
      <c r="C220" t="s">
        <v>136</v>
      </c>
      <c r="D220" t="s">
        <v>137</v>
      </c>
      <c r="E220" t="s">
        <v>21</v>
      </c>
      <c r="F220" t="s">
        <v>22</v>
      </c>
      <c r="G220" s="1">
        <v>5175</v>
      </c>
      <c r="H220" s="2">
        <v>45</v>
      </c>
      <c r="I220" s="5" t="str">
        <f>CONCATENATE(H220,"x",INT(G220/H220))</f>
        <v>45x115</v>
      </c>
      <c r="J220">
        <v>21</v>
      </c>
      <c r="K220">
        <v>77</v>
      </c>
      <c r="L220" s="3">
        <v>1597</v>
      </c>
      <c r="M220" s="3">
        <v>2633</v>
      </c>
      <c r="N220" s="3">
        <v>2059</v>
      </c>
      <c r="O220" s="3">
        <v>363990</v>
      </c>
      <c r="P220" s="3">
        <v>452990</v>
      </c>
      <c r="Q220" s="3">
        <v>401904</v>
      </c>
      <c r="S220">
        <v>31.947877999999999</v>
      </c>
      <c r="T220">
        <v>-110.98174</v>
      </c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</row>
    <row r="221" spans="2:74" ht="16" thickTop="1" thickBot="1" x14ac:dyDescent="0.25">
      <c r="B221" t="s">
        <v>463</v>
      </c>
      <c r="C221" t="s">
        <v>136</v>
      </c>
      <c r="D221" t="s">
        <v>158</v>
      </c>
      <c r="E221" t="s">
        <v>21</v>
      </c>
      <c r="F221" t="s">
        <v>22</v>
      </c>
      <c r="G221" s="1">
        <v>6000</v>
      </c>
      <c r="H221" s="2">
        <v>50</v>
      </c>
      <c r="I221" s="5" t="str">
        <f>CONCATENATE(H221,"x",INT(G221/H221))</f>
        <v>50x120</v>
      </c>
      <c r="J221">
        <v>18</v>
      </c>
      <c r="K221">
        <v>77</v>
      </c>
      <c r="L221" s="3">
        <v>1730</v>
      </c>
      <c r="M221" s="3">
        <v>3040</v>
      </c>
      <c r="N221" s="3">
        <v>2326</v>
      </c>
      <c r="O221" s="3">
        <v>369990</v>
      </c>
      <c r="P221" s="3">
        <v>549995</v>
      </c>
      <c r="Q221" s="3">
        <v>465994</v>
      </c>
      <c r="S221">
        <v>33.076469000000003</v>
      </c>
      <c r="T221">
        <v>-112.00203999999999</v>
      </c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</row>
    <row r="222" spans="2:74" ht="16" thickTop="1" thickBot="1" x14ac:dyDescent="0.25">
      <c r="B222" t="s">
        <v>575</v>
      </c>
      <c r="C222" t="s">
        <v>110</v>
      </c>
      <c r="D222" t="s">
        <v>193</v>
      </c>
      <c r="E222" t="s">
        <v>21</v>
      </c>
      <c r="F222" t="s">
        <v>22</v>
      </c>
      <c r="G222" s="1">
        <v>6600</v>
      </c>
      <c r="H222" s="2">
        <v>55</v>
      </c>
      <c r="I222" s="5" t="str">
        <f>CONCATENATE(H222,"x",INT(G222/H222))</f>
        <v>55x120</v>
      </c>
      <c r="J222">
        <v>24</v>
      </c>
      <c r="K222">
        <v>77</v>
      </c>
      <c r="L222" s="3">
        <v>2064</v>
      </c>
      <c r="M222" s="3">
        <v>3351</v>
      </c>
      <c r="N222" s="3">
        <v>2698</v>
      </c>
      <c r="O222" s="3">
        <v>493990</v>
      </c>
      <c r="P222" s="3">
        <v>645990</v>
      </c>
      <c r="Q222" s="3">
        <v>577156.6666</v>
      </c>
      <c r="S222">
        <v>33.496487000000002</v>
      </c>
      <c r="T222">
        <v>-112.49482999999999</v>
      </c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</row>
    <row r="223" spans="2:74" ht="16" thickTop="1" thickBot="1" x14ac:dyDescent="0.25">
      <c r="B223" t="s">
        <v>541</v>
      </c>
      <c r="C223" t="s">
        <v>136</v>
      </c>
      <c r="D223" t="s">
        <v>542</v>
      </c>
      <c r="E223" t="s">
        <v>21</v>
      </c>
      <c r="F223" t="s">
        <v>22</v>
      </c>
      <c r="G223" s="1">
        <v>6360</v>
      </c>
      <c r="H223" s="2">
        <v>53</v>
      </c>
      <c r="I223" s="5" t="str">
        <f>CONCATENATE(H223,"x",INT(G223/H223))</f>
        <v>53x120</v>
      </c>
      <c r="J223">
        <v>43</v>
      </c>
      <c r="K223">
        <v>76</v>
      </c>
      <c r="L223" s="3">
        <v>1730</v>
      </c>
      <c r="M223" s="3">
        <v>3030</v>
      </c>
      <c r="N223" s="3">
        <v>2326</v>
      </c>
      <c r="O223" s="3">
        <v>375990</v>
      </c>
      <c r="P223" s="3">
        <v>468990</v>
      </c>
      <c r="Q223" s="3">
        <v>420390</v>
      </c>
      <c r="S223">
        <v>33.479149</v>
      </c>
      <c r="T223">
        <v>-112.48072000000001</v>
      </c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</row>
    <row r="224" spans="2:74" ht="16" thickTop="1" thickBot="1" x14ac:dyDescent="0.25">
      <c r="B224" t="s">
        <v>915</v>
      </c>
      <c r="C224" t="s">
        <v>31</v>
      </c>
      <c r="E224" t="s">
        <v>872</v>
      </c>
      <c r="F224" t="s">
        <v>907</v>
      </c>
      <c r="G224" s="1">
        <v>0</v>
      </c>
      <c r="H224" s="1">
        <v>0</v>
      </c>
      <c r="I224" s="5" t="s">
        <v>908</v>
      </c>
      <c r="J224">
        <v>60</v>
      </c>
      <c r="K224">
        <v>76</v>
      </c>
      <c r="L224" s="3">
        <v>2157</v>
      </c>
      <c r="M224" s="3">
        <v>2392</v>
      </c>
      <c r="N224" s="3">
        <v>2269</v>
      </c>
      <c r="O224" s="3">
        <v>1149995</v>
      </c>
      <c r="P224" s="3">
        <v>1212995</v>
      </c>
      <c r="Q224" s="3">
        <v>1178495</v>
      </c>
      <c r="R224" t="s">
        <v>916</v>
      </c>
      <c r="S224">
        <v>33.711899000000003</v>
      </c>
      <c r="T224">
        <v>-111.8125</v>
      </c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</row>
    <row r="225" spans="2:74" ht="16" thickTop="1" thickBot="1" x14ac:dyDescent="0.25">
      <c r="B225" t="s">
        <v>859</v>
      </c>
      <c r="C225" t="s">
        <v>173</v>
      </c>
      <c r="D225" t="s">
        <v>396</v>
      </c>
      <c r="E225" t="s">
        <v>21</v>
      </c>
      <c r="F225" t="s">
        <v>22</v>
      </c>
      <c r="G225" s="1">
        <v>12150</v>
      </c>
      <c r="H225" s="2">
        <v>90</v>
      </c>
      <c r="I225" s="5" t="str">
        <f>CONCATENATE(H225,"x",INT(G225/H225))</f>
        <v>90x135</v>
      </c>
      <c r="J225">
        <v>6</v>
      </c>
      <c r="K225">
        <v>75</v>
      </c>
      <c r="L225" s="3">
        <v>2189</v>
      </c>
      <c r="M225" s="3">
        <v>3760</v>
      </c>
      <c r="N225" s="3">
        <v>2828</v>
      </c>
      <c r="O225" s="3">
        <v>819900</v>
      </c>
      <c r="P225" s="3">
        <v>1089900</v>
      </c>
      <c r="Q225" s="3">
        <v>944500</v>
      </c>
      <c r="S225">
        <v>34.613925999999999</v>
      </c>
      <c r="T225">
        <v>-112.37521</v>
      </c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</row>
    <row r="226" spans="2:74" ht="16" thickTop="1" thickBot="1" x14ac:dyDescent="0.25">
      <c r="B226" t="s">
        <v>254</v>
      </c>
      <c r="C226" t="s">
        <v>38</v>
      </c>
      <c r="D226" t="s">
        <v>255</v>
      </c>
      <c r="E226" t="s">
        <v>21</v>
      </c>
      <c r="F226" t="s">
        <v>22</v>
      </c>
      <c r="G226" s="1">
        <v>5175</v>
      </c>
      <c r="H226" s="2">
        <v>45</v>
      </c>
      <c r="I226" s="5" t="str">
        <f>CONCATENATE(H226,"x",INT(G226/H226))</f>
        <v>45x115</v>
      </c>
      <c r="J226">
        <v>27</v>
      </c>
      <c r="K226">
        <v>75</v>
      </c>
      <c r="L226" s="3">
        <v>1579</v>
      </c>
      <c r="M226" s="3">
        <v>2974</v>
      </c>
      <c r="N226" s="3">
        <v>2238</v>
      </c>
      <c r="O226" s="3">
        <v>440990</v>
      </c>
      <c r="P226" s="3">
        <v>542990</v>
      </c>
      <c r="Q226" s="3">
        <v>489990</v>
      </c>
      <c r="S226">
        <v>33.776749000000002</v>
      </c>
      <c r="T226">
        <v>-112.32416000000001</v>
      </c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</row>
    <row r="227" spans="2:74" ht="16" thickTop="1" thickBot="1" x14ac:dyDescent="0.25">
      <c r="B227" t="s">
        <v>662</v>
      </c>
      <c r="C227" t="s">
        <v>187</v>
      </c>
      <c r="E227" t="s">
        <v>21</v>
      </c>
      <c r="F227" t="s">
        <v>22</v>
      </c>
      <c r="G227" s="1">
        <v>7200</v>
      </c>
      <c r="H227" s="2">
        <v>60</v>
      </c>
      <c r="I227" s="5" t="str">
        <f>CONCATENATE(H227,"x",INT(G227/H227))</f>
        <v>60x120</v>
      </c>
      <c r="J227">
        <v>65</v>
      </c>
      <c r="K227">
        <v>74</v>
      </c>
      <c r="L227" s="3">
        <v>2399</v>
      </c>
      <c r="M227" s="3">
        <v>4173</v>
      </c>
      <c r="N227" s="3">
        <v>2925</v>
      </c>
      <c r="O227" s="3">
        <v>554990</v>
      </c>
      <c r="P227" s="3">
        <v>676990</v>
      </c>
      <c r="Q227" s="3">
        <v>596740</v>
      </c>
      <c r="S227">
        <v>33.30471</v>
      </c>
      <c r="T227">
        <v>-111.59023999999999</v>
      </c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</row>
    <row r="228" spans="2:74" ht="16" thickTop="1" thickBot="1" x14ac:dyDescent="0.25">
      <c r="B228" t="s">
        <v>418</v>
      </c>
      <c r="C228" t="s">
        <v>43</v>
      </c>
      <c r="E228" t="s">
        <v>21</v>
      </c>
      <c r="F228" t="s">
        <v>22</v>
      </c>
      <c r="G228" s="1">
        <v>5750</v>
      </c>
      <c r="H228" s="2">
        <v>50</v>
      </c>
      <c r="I228" s="5" t="str">
        <f>CONCATENATE(H228,"x",INT(G228/H228))</f>
        <v>50x115</v>
      </c>
      <c r="J228">
        <v>314</v>
      </c>
      <c r="K228">
        <v>74</v>
      </c>
      <c r="L228" s="3">
        <v>1315</v>
      </c>
      <c r="M228" s="3">
        <v>2645</v>
      </c>
      <c r="N228" s="3">
        <v>1855</v>
      </c>
      <c r="O228" s="3">
        <v>351900</v>
      </c>
      <c r="P228" s="3">
        <v>451900</v>
      </c>
      <c r="Q228" s="3">
        <v>394122.22220000002</v>
      </c>
      <c r="S228">
        <v>32.383366000000002</v>
      </c>
      <c r="T228">
        <v>-111.16273</v>
      </c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</row>
    <row r="229" spans="2:74" ht="16" thickTop="1" thickBot="1" x14ac:dyDescent="0.25">
      <c r="B229" t="s">
        <v>793</v>
      </c>
      <c r="C229" t="s">
        <v>29</v>
      </c>
      <c r="D229" t="s">
        <v>298</v>
      </c>
      <c r="E229" t="s">
        <v>21</v>
      </c>
      <c r="F229" t="s">
        <v>22</v>
      </c>
      <c r="G229" s="1">
        <v>9100</v>
      </c>
      <c r="H229" s="2">
        <v>70</v>
      </c>
      <c r="I229" s="5" t="str">
        <f>CONCATENATE(H229,"x",INT(G229/H229))</f>
        <v>70x130</v>
      </c>
      <c r="J229">
        <v>19</v>
      </c>
      <c r="K229">
        <v>74</v>
      </c>
      <c r="L229" s="3">
        <v>2245</v>
      </c>
      <c r="M229" s="3">
        <v>3147</v>
      </c>
      <c r="N229" s="3">
        <v>2703</v>
      </c>
      <c r="O229" s="3">
        <v>539990</v>
      </c>
      <c r="P229" s="3">
        <v>629990</v>
      </c>
      <c r="Q229" s="3">
        <v>589156.6666</v>
      </c>
      <c r="S229">
        <v>33.517406000000001</v>
      </c>
      <c r="T229">
        <v>-112.49435</v>
      </c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</row>
    <row r="230" spans="2:74" ht="16" thickTop="1" thickBot="1" x14ac:dyDescent="0.25">
      <c r="B230" t="s">
        <v>303</v>
      </c>
      <c r="C230" t="s">
        <v>94</v>
      </c>
      <c r="E230" t="s">
        <v>21</v>
      </c>
      <c r="F230" t="s">
        <v>22</v>
      </c>
      <c r="G230" s="1">
        <v>5250</v>
      </c>
      <c r="H230" s="2">
        <v>45</v>
      </c>
      <c r="I230" s="5" t="str">
        <f>CONCATENATE(H230,"x",INT(G230/H230))</f>
        <v>45x116</v>
      </c>
      <c r="J230">
        <v>483</v>
      </c>
      <c r="K230">
        <v>74</v>
      </c>
      <c r="L230" s="3">
        <v>1533</v>
      </c>
      <c r="M230" s="3">
        <v>3305</v>
      </c>
      <c r="N230" s="3">
        <v>2296</v>
      </c>
      <c r="O230" s="3">
        <v>363000</v>
      </c>
      <c r="P230" s="3">
        <v>558000</v>
      </c>
      <c r="Q230" s="3">
        <v>449153.84610000002</v>
      </c>
      <c r="S230">
        <v>32.148552000000002</v>
      </c>
      <c r="T230">
        <v>-110.77351</v>
      </c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</row>
    <row r="231" spans="2:74" ht="16" thickTop="1" thickBot="1" x14ac:dyDescent="0.25">
      <c r="B231" t="s">
        <v>619</v>
      </c>
      <c r="C231" t="s">
        <v>276</v>
      </c>
      <c r="D231" t="s">
        <v>273</v>
      </c>
      <c r="E231" t="s">
        <v>21</v>
      </c>
      <c r="F231" t="s">
        <v>22</v>
      </c>
      <c r="G231" s="1">
        <v>6960</v>
      </c>
      <c r="H231" s="2">
        <v>58</v>
      </c>
      <c r="I231" s="5" t="str">
        <f>CONCATENATE(H231,"x",INT(G231/H231))</f>
        <v>58x120</v>
      </c>
      <c r="J231">
        <v>12</v>
      </c>
      <c r="K231">
        <v>73</v>
      </c>
      <c r="L231" s="3">
        <v>2000</v>
      </c>
      <c r="M231" s="3">
        <v>3186</v>
      </c>
      <c r="N231" s="3">
        <v>2517</v>
      </c>
      <c r="O231" s="3">
        <v>450900</v>
      </c>
      <c r="P231" s="3">
        <v>540900</v>
      </c>
      <c r="Q231" s="3">
        <v>489900</v>
      </c>
      <c r="S231">
        <v>33.521374000000002</v>
      </c>
      <c r="T231">
        <v>-112.47647000000001</v>
      </c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</row>
    <row r="232" spans="2:74" ht="16" thickTop="1" thickBot="1" x14ac:dyDescent="0.25">
      <c r="B232" t="s">
        <v>589</v>
      </c>
      <c r="C232" t="s">
        <v>123</v>
      </c>
      <c r="E232" t="s">
        <v>21</v>
      </c>
      <c r="F232" t="s">
        <v>22</v>
      </c>
      <c r="G232" s="1">
        <v>6875</v>
      </c>
      <c r="H232" s="2">
        <v>55</v>
      </c>
      <c r="I232" s="5" t="str">
        <f>CONCATENATE(H232,"x",INT(G232/H232))</f>
        <v>55x125</v>
      </c>
      <c r="J232">
        <v>1</v>
      </c>
      <c r="K232">
        <v>73</v>
      </c>
      <c r="L232" s="3">
        <v>2185</v>
      </c>
      <c r="M232" s="3">
        <v>3427</v>
      </c>
      <c r="N232" s="3">
        <v>2807</v>
      </c>
      <c r="O232" s="3">
        <v>444990</v>
      </c>
      <c r="P232" s="3">
        <v>514990</v>
      </c>
      <c r="Q232" s="3">
        <v>480990</v>
      </c>
      <c r="S232">
        <v>33.414828999999997</v>
      </c>
      <c r="T232">
        <v>-112.44707</v>
      </c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</row>
    <row r="233" spans="2:74" ht="16" thickTop="1" thickBot="1" x14ac:dyDescent="0.25">
      <c r="B233" t="s">
        <v>590</v>
      </c>
      <c r="C233" t="s">
        <v>144</v>
      </c>
      <c r="E233" t="s">
        <v>21</v>
      </c>
      <c r="F233" t="s">
        <v>22</v>
      </c>
      <c r="G233" s="1">
        <v>6875</v>
      </c>
      <c r="H233" s="2">
        <v>55</v>
      </c>
      <c r="I233" s="5" t="str">
        <f>CONCATENATE(H233,"x",INT(G233/H233))</f>
        <v>55x125</v>
      </c>
      <c r="J233">
        <v>0</v>
      </c>
      <c r="K233">
        <v>73</v>
      </c>
      <c r="L233" s="3">
        <v>2274</v>
      </c>
      <c r="M233" s="3">
        <v>2649</v>
      </c>
      <c r="N233" s="3">
        <v>2432</v>
      </c>
      <c r="O233" s="3">
        <v>629990</v>
      </c>
      <c r="P233" s="3">
        <v>689990</v>
      </c>
      <c r="Q233" s="3">
        <v>658323.33330000006</v>
      </c>
      <c r="R233" t="s">
        <v>23</v>
      </c>
      <c r="S233">
        <v>33.747734000000001</v>
      </c>
      <c r="T233">
        <v>-112.12835</v>
      </c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</row>
    <row r="234" spans="2:74" ht="16" thickTop="1" thickBot="1" x14ac:dyDescent="0.25">
      <c r="B234" t="s">
        <v>464</v>
      </c>
      <c r="C234" t="s">
        <v>114</v>
      </c>
      <c r="E234" t="s">
        <v>21</v>
      </c>
      <c r="F234" t="s">
        <v>22</v>
      </c>
      <c r="G234" s="1">
        <v>6000</v>
      </c>
      <c r="H234" s="2">
        <v>50</v>
      </c>
      <c r="I234" s="5" t="str">
        <f>CONCATENATE(H234,"x",INT(G234/H234))</f>
        <v>50x120</v>
      </c>
      <c r="J234">
        <v>15</v>
      </c>
      <c r="K234">
        <v>73</v>
      </c>
      <c r="L234" s="3">
        <v>1844</v>
      </c>
      <c r="M234" s="3">
        <v>3306</v>
      </c>
      <c r="N234" s="3">
        <v>2475</v>
      </c>
      <c r="O234" s="3">
        <v>445990</v>
      </c>
      <c r="P234" s="3">
        <v>553990</v>
      </c>
      <c r="Q234" s="3">
        <v>491790</v>
      </c>
      <c r="R234" t="s">
        <v>23</v>
      </c>
      <c r="S234">
        <v>32.226433</v>
      </c>
      <c r="T234">
        <v>-110.76833000000001</v>
      </c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</row>
    <row r="235" spans="2:74" ht="16" thickTop="1" thickBot="1" x14ac:dyDescent="0.25">
      <c r="B235" t="s">
        <v>37</v>
      </c>
      <c r="C235" t="s">
        <v>38</v>
      </c>
      <c r="E235" t="s">
        <v>21</v>
      </c>
      <c r="F235" t="s">
        <v>22</v>
      </c>
      <c r="G235" s="1">
        <v>16000</v>
      </c>
      <c r="H235" s="2">
        <v>100</v>
      </c>
      <c r="I235" s="5" t="str">
        <f>CONCATENATE(H235,"x",INT(G235/H235))</f>
        <v>100x160</v>
      </c>
      <c r="J235">
        <v>20</v>
      </c>
      <c r="K235">
        <v>73</v>
      </c>
      <c r="L235" s="3">
        <v>3301</v>
      </c>
      <c r="M235" s="3">
        <v>4377</v>
      </c>
      <c r="N235" s="3">
        <v>3784</v>
      </c>
      <c r="O235" s="3">
        <v>916990</v>
      </c>
      <c r="P235" s="3">
        <v>990990</v>
      </c>
      <c r="Q235" s="3">
        <v>947490</v>
      </c>
      <c r="S235">
        <v>33.238303999999999</v>
      </c>
      <c r="T235">
        <v>-111.64175</v>
      </c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</row>
    <row r="236" spans="2:74" ht="16" thickTop="1" thickBot="1" x14ac:dyDescent="0.25">
      <c r="B236" t="s">
        <v>807</v>
      </c>
      <c r="C236" t="s">
        <v>43</v>
      </c>
      <c r="E236" t="s">
        <v>21</v>
      </c>
      <c r="F236" t="s">
        <v>22</v>
      </c>
      <c r="G236" s="1">
        <v>8030</v>
      </c>
      <c r="H236" s="2">
        <v>73</v>
      </c>
      <c r="I236" s="5" t="str">
        <f>CONCATENATE(H236,"x",INT(G236/H236))</f>
        <v>73x110</v>
      </c>
      <c r="J236">
        <v>57</v>
      </c>
      <c r="K236">
        <v>72</v>
      </c>
      <c r="L236" s="3">
        <v>1583</v>
      </c>
      <c r="M236" s="3">
        <v>2577</v>
      </c>
      <c r="N236" s="3">
        <v>2002</v>
      </c>
      <c r="O236" s="3">
        <v>364990</v>
      </c>
      <c r="P236" s="3">
        <v>443900</v>
      </c>
      <c r="Q236" s="3">
        <v>390118</v>
      </c>
      <c r="S236">
        <v>31.94162</v>
      </c>
      <c r="T236">
        <v>-110.78631</v>
      </c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</row>
    <row r="237" spans="2:74" ht="16" thickTop="1" thickBot="1" x14ac:dyDescent="0.25">
      <c r="B237" t="s">
        <v>812</v>
      </c>
      <c r="C237" t="s">
        <v>187</v>
      </c>
      <c r="D237" t="s">
        <v>460</v>
      </c>
      <c r="E237" t="s">
        <v>21</v>
      </c>
      <c r="F237" t="s">
        <v>22</v>
      </c>
      <c r="G237" s="1">
        <v>9750</v>
      </c>
      <c r="H237" s="2">
        <v>75</v>
      </c>
      <c r="I237" s="5" t="str">
        <f>CONCATENATE(H237,"x",INT(G237/H237))</f>
        <v>75x130</v>
      </c>
      <c r="J237">
        <v>22</v>
      </c>
      <c r="K237">
        <v>71</v>
      </c>
      <c r="L237" s="3">
        <v>2451</v>
      </c>
      <c r="M237" s="3">
        <v>4962</v>
      </c>
      <c r="N237" s="3">
        <v>3731</v>
      </c>
      <c r="O237" s="3">
        <v>615990</v>
      </c>
      <c r="P237" s="3">
        <v>788990</v>
      </c>
      <c r="Q237" s="3">
        <v>696190</v>
      </c>
      <c r="S237">
        <v>33.256976999999999</v>
      </c>
      <c r="T237">
        <v>-111.58942</v>
      </c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</row>
    <row r="238" spans="2:74" ht="16" thickTop="1" thickBot="1" x14ac:dyDescent="0.25">
      <c r="B238" t="s">
        <v>271</v>
      </c>
      <c r="C238" t="s">
        <v>29</v>
      </c>
      <c r="D238" t="s">
        <v>273</v>
      </c>
      <c r="E238" t="s">
        <v>21</v>
      </c>
      <c r="F238" t="s">
        <v>22</v>
      </c>
      <c r="G238" s="1">
        <v>6095</v>
      </c>
      <c r="H238" s="2">
        <v>53</v>
      </c>
      <c r="I238" s="5" t="str">
        <f>CONCATENATE(H238,"x",INT(G238/H238))</f>
        <v>53x115</v>
      </c>
      <c r="J238">
        <v>29</v>
      </c>
      <c r="K238">
        <v>71</v>
      </c>
      <c r="L238" s="3">
        <v>1585</v>
      </c>
      <c r="M238" s="3">
        <v>3317</v>
      </c>
      <c r="N238" s="3">
        <v>2438</v>
      </c>
      <c r="O238" s="3">
        <v>414990</v>
      </c>
      <c r="P238" s="3">
        <v>564990</v>
      </c>
      <c r="Q238" s="3">
        <v>492704.28570000001</v>
      </c>
      <c r="S238">
        <v>33.516292999999997</v>
      </c>
      <c r="T238">
        <v>-112.47668</v>
      </c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</row>
    <row r="239" spans="2:74" ht="16" thickTop="1" thickBot="1" x14ac:dyDescent="0.25">
      <c r="B239" t="s">
        <v>256</v>
      </c>
      <c r="C239" t="s">
        <v>144</v>
      </c>
      <c r="E239" t="s">
        <v>21</v>
      </c>
      <c r="F239" t="s">
        <v>22</v>
      </c>
      <c r="G239" s="1">
        <v>5175</v>
      </c>
      <c r="H239" s="2">
        <v>45</v>
      </c>
      <c r="I239" s="5" t="str">
        <f>CONCATENATE(H239,"x",INT(G239/H239))</f>
        <v>45x115</v>
      </c>
      <c r="J239">
        <v>2</v>
      </c>
      <c r="K239">
        <v>71</v>
      </c>
      <c r="L239" s="3">
        <v>1797</v>
      </c>
      <c r="M239" s="3">
        <v>2105</v>
      </c>
      <c r="N239" s="3">
        <v>1950</v>
      </c>
      <c r="O239" s="3">
        <v>544990</v>
      </c>
      <c r="P239" s="3">
        <v>584990</v>
      </c>
      <c r="Q239" s="3">
        <v>562490</v>
      </c>
      <c r="R239" t="s">
        <v>23</v>
      </c>
      <c r="S239">
        <v>33.750534000000002</v>
      </c>
      <c r="T239">
        <v>-112.1271</v>
      </c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</row>
    <row r="240" spans="2:74" ht="16" thickTop="1" thickBot="1" x14ac:dyDescent="0.25">
      <c r="B240" t="s">
        <v>620</v>
      </c>
      <c r="C240" t="s">
        <v>47</v>
      </c>
      <c r="D240" t="s">
        <v>621</v>
      </c>
      <c r="E240" t="s">
        <v>21</v>
      </c>
      <c r="F240" t="s">
        <v>22</v>
      </c>
      <c r="G240" s="1">
        <v>6960</v>
      </c>
      <c r="H240" s="2">
        <v>58</v>
      </c>
      <c r="I240" s="5" t="str">
        <f>CONCATENATE(H240,"x",INT(G240/H240))</f>
        <v>58x120</v>
      </c>
      <c r="J240">
        <v>201</v>
      </c>
      <c r="K240">
        <v>70</v>
      </c>
      <c r="L240" s="3">
        <v>1527</v>
      </c>
      <c r="M240" s="3">
        <v>2578</v>
      </c>
      <c r="N240" s="3">
        <v>2059</v>
      </c>
      <c r="O240" s="3">
        <v>482900</v>
      </c>
      <c r="P240" s="3">
        <v>652900</v>
      </c>
      <c r="Q240" s="3">
        <v>562344.44440000004</v>
      </c>
      <c r="S240">
        <v>34.646991999999997</v>
      </c>
      <c r="T240">
        <v>-112.43993</v>
      </c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</row>
    <row r="241" spans="2:74" ht="16" thickTop="1" thickBot="1" x14ac:dyDescent="0.25">
      <c r="B241" t="s">
        <v>208</v>
      </c>
      <c r="C241" t="s">
        <v>114</v>
      </c>
      <c r="D241" t="s">
        <v>209</v>
      </c>
      <c r="E241" t="s">
        <v>21</v>
      </c>
      <c r="F241" t="s">
        <v>22</v>
      </c>
      <c r="G241" s="1">
        <v>4950</v>
      </c>
      <c r="H241" s="2">
        <v>45</v>
      </c>
      <c r="I241" s="5" t="str">
        <f>CONCATENATE(H241,"x",INT(G241/H241))</f>
        <v>45x110</v>
      </c>
      <c r="J241">
        <v>35</v>
      </c>
      <c r="K241">
        <v>70</v>
      </c>
      <c r="L241" s="3">
        <v>1424</v>
      </c>
      <c r="M241" s="3">
        <v>2038</v>
      </c>
      <c r="N241" s="3">
        <v>1715</v>
      </c>
      <c r="O241" s="3">
        <v>323990</v>
      </c>
      <c r="P241" s="3">
        <v>368990</v>
      </c>
      <c r="Q241" s="3">
        <v>343990</v>
      </c>
      <c r="S241">
        <v>33.071007000000002</v>
      </c>
      <c r="T241">
        <v>-112.01472</v>
      </c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</row>
    <row r="242" spans="2:74" ht="16" thickTop="1" thickBot="1" x14ac:dyDescent="0.25">
      <c r="B242" t="s">
        <v>576</v>
      </c>
      <c r="C242" t="s">
        <v>136</v>
      </c>
      <c r="D242" t="s">
        <v>475</v>
      </c>
      <c r="E242" t="s">
        <v>21</v>
      </c>
      <c r="F242" t="s">
        <v>22</v>
      </c>
      <c r="G242" s="1">
        <v>6600</v>
      </c>
      <c r="H242" s="2">
        <v>55</v>
      </c>
      <c r="I242" s="5" t="str">
        <f>CONCATENATE(H242,"x",INT(G242/H242))</f>
        <v>55x120</v>
      </c>
      <c r="J242">
        <v>40</v>
      </c>
      <c r="K242">
        <v>70</v>
      </c>
      <c r="L242" s="3">
        <v>1810</v>
      </c>
      <c r="M242" s="3">
        <v>2630</v>
      </c>
      <c r="N242" s="3">
        <v>2086</v>
      </c>
      <c r="O242" s="3">
        <v>397990</v>
      </c>
      <c r="P242" s="3">
        <v>453990</v>
      </c>
      <c r="Q242" s="3">
        <v>418390</v>
      </c>
      <c r="S242">
        <v>33.737324000000001</v>
      </c>
      <c r="T242">
        <v>-112.44507</v>
      </c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</row>
    <row r="243" spans="2:74" ht="16" thickTop="1" thickBot="1" x14ac:dyDescent="0.25">
      <c r="B243" t="s">
        <v>709</v>
      </c>
      <c r="C243" t="s">
        <v>136</v>
      </c>
      <c r="D243" t="s">
        <v>189</v>
      </c>
      <c r="E243" t="s">
        <v>21</v>
      </c>
      <c r="F243" t="s">
        <v>22</v>
      </c>
      <c r="G243" s="1">
        <v>7560</v>
      </c>
      <c r="H243" s="2">
        <v>63</v>
      </c>
      <c r="I243" s="5" t="str">
        <f>CONCATENATE(H243,"x",INT(G243/H243))</f>
        <v>63x120</v>
      </c>
      <c r="J243">
        <v>1</v>
      </c>
      <c r="K243">
        <v>70</v>
      </c>
      <c r="L243" s="3">
        <v>2224</v>
      </c>
      <c r="M243" s="3">
        <v>2506</v>
      </c>
      <c r="N243" s="3">
        <v>2359</v>
      </c>
      <c r="O243" s="3">
        <v>515990</v>
      </c>
      <c r="P243" s="3">
        <v>551990</v>
      </c>
      <c r="Q243" s="3">
        <v>534190</v>
      </c>
      <c r="S243">
        <v>33.699806000000002</v>
      </c>
      <c r="T243">
        <v>-112.41316</v>
      </c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</row>
    <row r="244" spans="2:74" ht="16" thickTop="1" thickBot="1" x14ac:dyDescent="0.25">
      <c r="B244" t="s">
        <v>419</v>
      </c>
      <c r="C244" t="s">
        <v>31</v>
      </c>
      <c r="D244" t="s">
        <v>124</v>
      </c>
      <c r="E244" t="s">
        <v>21</v>
      </c>
      <c r="F244" t="s">
        <v>22</v>
      </c>
      <c r="G244" s="1">
        <v>5750</v>
      </c>
      <c r="H244" s="2">
        <v>50</v>
      </c>
      <c r="I244" s="5" t="str">
        <f>CONCATENATE(H244,"x",INT(G244/H244))</f>
        <v>50x115</v>
      </c>
      <c r="J244">
        <v>59</v>
      </c>
      <c r="K244">
        <v>70</v>
      </c>
      <c r="L244" s="3">
        <v>1672</v>
      </c>
      <c r="M244" s="3">
        <v>2612</v>
      </c>
      <c r="N244" s="3">
        <v>2163</v>
      </c>
      <c r="O244" s="3">
        <v>449995</v>
      </c>
      <c r="P244" s="3">
        <v>555995</v>
      </c>
      <c r="Q244" s="3">
        <v>498795</v>
      </c>
      <c r="S244">
        <v>33.305019000000001</v>
      </c>
      <c r="T244">
        <v>-112.44277</v>
      </c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</row>
    <row r="245" spans="2:74" ht="16" thickTop="1" thickBot="1" x14ac:dyDescent="0.25">
      <c r="B245" t="s">
        <v>577</v>
      </c>
      <c r="C245" t="s">
        <v>116</v>
      </c>
      <c r="D245" t="s">
        <v>475</v>
      </c>
      <c r="E245" t="s">
        <v>21</v>
      </c>
      <c r="F245" t="s">
        <v>22</v>
      </c>
      <c r="G245" s="1">
        <v>6600</v>
      </c>
      <c r="H245" s="2">
        <v>55</v>
      </c>
      <c r="I245" s="5" t="str">
        <f>CONCATENATE(H245,"x",INT(G245/H245))</f>
        <v>55x120</v>
      </c>
      <c r="J245">
        <v>30</v>
      </c>
      <c r="K245">
        <v>69</v>
      </c>
      <c r="L245" s="3">
        <v>1513</v>
      </c>
      <c r="M245" s="3">
        <v>3368</v>
      </c>
      <c r="N245" s="3">
        <v>2364</v>
      </c>
      <c r="O245" s="3">
        <v>356990</v>
      </c>
      <c r="P245" s="3">
        <v>467990</v>
      </c>
      <c r="Q245" s="3">
        <v>409061.42849999998</v>
      </c>
      <c r="S245">
        <v>33.737060999999997</v>
      </c>
      <c r="T245">
        <v>-112.43165999999999</v>
      </c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</row>
    <row r="246" spans="2:74" ht="16" thickTop="1" thickBot="1" x14ac:dyDescent="0.25">
      <c r="B246" t="s">
        <v>383</v>
      </c>
      <c r="C246" t="s">
        <v>384</v>
      </c>
      <c r="E246" t="s">
        <v>21</v>
      </c>
      <c r="F246" t="s">
        <v>22</v>
      </c>
      <c r="G246" s="1">
        <v>5000</v>
      </c>
      <c r="H246" s="2">
        <v>50</v>
      </c>
      <c r="I246" s="5" t="str">
        <f>CONCATENATE(H246,"x",INT(G246/H246))</f>
        <v>50x100</v>
      </c>
      <c r="J246">
        <v>5</v>
      </c>
      <c r="K246">
        <v>69</v>
      </c>
      <c r="L246" s="3">
        <v>1571</v>
      </c>
      <c r="M246" s="3">
        <v>2363</v>
      </c>
      <c r="N246" s="3">
        <v>1837</v>
      </c>
      <c r="O246" s="3">
        <v>449900</v>
      </c>
      <c r="P246" s="3">
        <v>589900</v>
      </c>
      <c r="Q246" s="3">
        <v>508233.3333</v>
      </c>
      <c r="S246">
        <v>34.728855000000003</v>
      </c>
      <c r="T246">
        <v>-112.04866</v>
      </c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</row>
    <row r="247" spans="2:74" ht="16" thickTop="1" thickBot="1" x14ac:dyDescent="0.25">
      <c r="B247" t="s">
        <v>358</v>
      </c>
      <c r="C247" t="s">
        <v>136</v>
      </c>
      <c r="D247" t="s">
        <v>149</v>
      </c>
      <c r="E247" t="s">
        <v>21</v>
      </c>
      <c r="F247" t="s">
        <v>22</v>
      </c>
      <c r="G247" s="1">
        <v>5405</v>
      </c>
      <c r="H247" s="2">
        <v>47</v>
      </c>
      <c r="I247" s="5" t="str">
        <f>CONCATENATE(H247,"x",INT(G247/H247))</f>
        <v>47x115</v>
      </c>
      <c r="J247">
        <v>69</v>
      </c>
      <c r="K247">
        <v>69</v>
      </c>
      <c r="L247" s="3">
        <v>1590</v>
      </c>
      <c r="M247" s="3">
        <v>2630</v>
      </c>
      <c r="N247" s="3">
        <v>1975</v>
      </c>
      <c r="O247" s="3">
        <v>317990</v>
      </c>
      <c r="P247" s="3">
        <v>468727</v>
      </c>
      <c r="Q247" s="3">
        <v>381753.5</v>
      </c>
      <c r="S247">
        <v>32.109848</v>
      </c>
      <c r="T247">
        <v>-111.10854999999999</v>
      </c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</row>
    <row r="248" spans="2:74" ht="16" thickTop="1" thickBot="1" x14ac:dyDescent="0.25">
      <c r="B248" t="s">
        <v>629</v>
      </c>
      <c r="C248" t="s">
        <v>38</v>
      </c>
      <c r="D248" t="s">
        <v>329</v>
      </c>
      <c r="E248" t="s">
        <v>21</v>
      </c>
      <c r="F248" t="s">
        <v>22</v>
      </c>
      <c r="G248" s="1">
        <v>7250</v>
      </c>
      <c r="H248" s="2">
        <v>58</v>
      </c>
      <c r="I248" s="5" t="str">
        <f>CONCATENATE(H248,"x",INT(G248/H248))</f>
        <v>58x125</v>
      </c>
      <c r="J248">
        <v>33</v>
      </c>
      <c r="K248">
        <v>69</v>
      </c>
      <c r="L248" s="3">
        <v>2379</v>
      </c>
      <c r="M248" s="3">
        <v>3532</v>
      </c>
      <c r="N248" s="3">
        <v>3008</v>
      </c>
      <c r="O248" s="3">
        <v>483990</v>
      </c>
      <c r="P248" s="3">
        <v>570990</v>
      </c>
      <c r="Q248" s="3">
        <v>530590</v>
      </c>
      <c r="S248">
        <v>33.592132999999997</v>
      </c>
      <c r="T248">
        <v>-112.42421</v>
      </c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</row>
    <row r="249" spans="2:74" ht="16" thickTop="1" thickBot="1" x14ac:dyDescent="0.25">
      <c r="B249" t="s">
        <v>359</v>
      </c>
      <c r="C249" t="s">
        <v>276</v>
      </c>
      <c r="D249" t="s">
        <v>124</v>
      </c>
      <c r="E249" t="s">
        <v>21</v>
      </c>
      <c r="F249" t="s">
        <v>22</v>
      </c>
      <c r="G249" s="1">
        <v>5405</v>
      </c>
      <c r="H249" s="2">
        <v>47</v>
      </c>
      <c r="I249" s="5" t="str">
        <f>CONCATENATE(H249,"x",INT(G249/H249))</f>
        <v>47x115</v>
      </c>
      <c r="J249">
        <v>1</v>
      </c>
      <c r="K249">
        <v>68</v>
      </c>
      <c r="L249" s="3">
        <v>1501</v>
      </c>
      <c r="M249" s="3">
        <v>1960</v>
      </c>
      <c r="N249" s="3">
        <v>1747</v>
      </c>
      <c r="O249" s="3">
        <v>419900</v>
      </c>
      <c r="P249" s="3">
        <v>459900</v>
      </c>
      <c r="Q249" s="3">
        <v>442150</v>
      </c>
      <c r="S249">
        <v>33.335037</v>
      </c>
      <c r="T249">
        <v>-112.42258</v>
      </c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</row>
    <row r="250" spans="2:74" ht="16" thickTop="1" thickBot="1" x14ac:dyDescent="0.25">
      <c r="B250" t="s">
        <v>663</v>
      </c>
      <c r="C250" t="s">
        <v>178</v>
      </c>
      <c r="E250" t="s">
        <v>21</v>
      </c>
      <c r="F250" t="s">
        <v>22</v>
      </c>
      <c r="G250" s="1">
        <v>7200</v>
      </c>
      <c r="H250" s="2">
        <v>60</v>
      </c>
      <c r="I250" s="5" t="str">
        <f>CONCATENATE(H250,"x",INT(G250/H250))</f>
        <v>60x120</v>
      </c>
      <c r="J250">
        <v>19</v>
      </c>
      <c r="K250">
        <v>68</v>
      </c>
      <c r="L250" s="3">
        <v>1971</v>
      </c>
      <c r="M250" s="3">
        <v>2621</v>
      </c>
      <c r="N250" s="3">
        <v>2304</v>
      </c>
      <c r="O250" s="3">
        <v>346990</v>
      </c>
      <c r="P250" s="3">
        <v>404990</v>
      </c>
      <c r="Q250" s="3">
        <v>372390</v>
      </c>
      <c r="S250">
        <v>33.054585000000003</v>
      </c>
      <c r="T250">
        <v>-111.95041000000001</v>
      </c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</row>
    <row r="251" spans="2:74" ht="16" thickTop="1" thickBot="1" x14ac:dyDescent="0.25">
      <c r="B251" t="s">
        <v>132</v>
      </c>
      <c r="C251" t="s">
        <v>43</v>
      </c>
      <c r="D251" t="s">
        <v>133</v>
      </c>
      <c r="E251" t="s">
        <v>21</v>
      </c>
      <c r="F251" t="s">
        <v>22</v>
      </c>
      <c r="G251" s="1">
        <v>4400</v>
      </c>
      <c r="H251" s="2">
        <v>40</v>
      </c>
      <c r="I251" s="5" t="str">
        <f>CONCATENATE(H251,"x",INT(G251/H251))</f>
        <v>40x110</v>
      </c>
      <c r="J251">
        <v>776</v>
      </c>
      <c r="K251">
        <v>68</v>
      </c>
      <c r="L251" s="3">
        <v>1432</v>
      </c>
      <c r="M251" s="3">
        <v>2461</v>
      </c>
      <c r="N251" s="3">
        <v>1899</v>
      </c>
      <c r="O251" s="3">
        <v>328990</v>
      </c>
      <c r="P251" s="3">
        <v>430990</v>
      </c>
      <c r="Q251" s="3">
        <v>376740</v>
      </c>
      <c r="S251">
        <v>33.135643000000002</v>
      </c>
      <c r="T251">
        <v>-111.51108000000001</v>
      </c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</row>
    <row r="252" spans="2:74" ht="16" thickTop="1" thickBot="1" x14ac:dyDescent="0.25">
      <c r="B252" t="s">
        <v>257</v>
      </c>
      <c r="C252" t="s">
        <v>144</v>
      </c>
      <c r="D252" t="s">
        <v>137</v>
      </c>
      <c r="E252" t="s">
        <v>21</v>
      </c>
      <c r="F252" t="s">
        <v>22</v>
      </c>
      <c r="G252" s="1">
        <v>5175</v>
      </c>
      <c r="H252" s="2">
        <v>45</v>
      </c>
      <c r="I252" s="5" t="str">
        <f>CONCATENATE(H252,"x",INT(G252/H252))</f>
        <v>45x115</v>
      </c>
      <c r="J252">
        <v>42</v>
      </c>
      <c r="K252">
        <v>68</v>
      </c>
      <c r="L252" s="3">
        <v>1232</v>
      </c>
      <c r="M252" s="3">
        <v>2685</v>
      </c>
      <c r="N252" s="3">
        <v>1826</v>
      </c>
      <c r="O252" s="3">
        <v>299990</v>
      </c>
      <c r="P252" s="3">
        <v>398990</v>
      </c>
      <c r="Q252" s="3">
        <v>332323.3333</v>
      </c>
      <c r="S252">
        <v>31.949919000000001</v>
      </c>
      <c r="T252">
        <v>-110.98003</v>
      </c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</row>
    <row r="253" spans="2:74" ht="16" thickTop="1" thickBot="1" x14ac:dyDescent="0.25">
      <c r="B253" t="s">
        <v>690</v>
      </c>
      <c r="C253" t="s">
        <v>31</v>
      </c>
      <c r="E253" t="s">
        <v>21</v>
      </c>
      <c r="F253" t="s">
        <v>22</v>
      </c>
      <c r="G253" s="1">
        <v>7800</v>
      </c>
      <c r="H253" s="2">
        <v>60</v>
      </c>
      <c r="I253" s="5" t="str">
        <f>CONCATENATE(H253,"x",INT(G253/H253))</f>
        <v>60x130</v>
      </c>
      <c r="J253">
        <v>52</v>
      </c>
      <c r="K253">
        <v>68</v>
      </c>
      <c r="L253" s="3">
        <v>2509</v>
      </c>
      <c r="M253" s="3">
        <v>3489</v>
      </c>
      <c r="N253" s="3">
        <v>3034</v>
      </c>
      <c r="O253" s="3">
        <v>1515995</v>
      </c>
      <c r="P253" s="3">
        <v>1645995</v>
      </c>
      <c r="Q253" s="3">
        <v>1577280.7142</v>
      </c>
      <c r="S253">
        <v>33.711899000000003</v>
      </c>
      <c r="T253">
        <v>-111.8125</v>
      </c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</row>
    <row r="254" spans="2:74" ht="16" thickTop="1" thickBot="1" x14ac:dyDescent="0.25">
      <c r="B254" t="s">
        <v>665</v>
      </c>
      <c r="C254" t="s">
        <v>272</v>
      </c>
      <c r="D254" t="s">
        <v>298</v>
      </c>
      <c r="E254" t="s">
        <v>21</v>
      </c>
      <c r="F254" t="s">
        <v>22</v>
      </c>
      <c r="G254" s="1">
        <v>7200</v>
      </c>
      <c r="H254" s="2">
        <v>60</v>
      </c>
      <c r="I254" s="5" t="str">
        <f>CONCATENATE(H254,"x",INT(G254/H254))</f>
        <v>60x120</v>
      </c>
      <c r="J254">
        <v>20</v>
      </c>
      <c r="K254">
        <v>67</v>
      </c>
      <c r="L254" s="3">
        <v>2119</v>
      </c>
      <c r="M254" s="3">
        <v>3486</v>
      </c>
      <c r="N254" s="3">
        <v>2615</v>
      </c>
      <c r="O254" s="3">
        <v>464990</v>
      </c>
      <c r="P254" s="3">
        <v>576990</v>
      </c>
      <c r="Q254" s="3">
        <v>501190</v>
      </c>
      <c r="S254">
        <v>33.519351999999998</v>
      </c>
      <c r="T254">
        <v>-112.49120000000001</v>
      </c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</row>
    <row r="255" spans="2:74" ht="16" thickTop="1" thickBot="1" x14ac:dyDescent="0.25">
      <c r="B255" t="s">
        <v>664</v>
      </c>
      <c r="C255" t="s">
        <v>462</v>
      </c>
      <c r="D255" t="s">
        <v>249</v>
      </c>
      <c r="E255" t="s">
        <v>21</v>
      </c>
      <c r="F255" t="s">
        <v>22</v>
      </c>
      <c r="G255" s="1">
        <v>7200</v>
      </c>
      <c r="H255" s="2">
        <v>60</v>
      </c>
      <c r="I255" s="5" t="str">
        <f>CONCATENATE(H255,"x",INT(G255/H255))</f>
        <v>60x120</v>
      </c>
      <c r="J255">
        <v>93</v>
      </c>
      <c r="K255">
        <v>67</v>
      </c>
      <c r="L255" s="3">
        <v>2318</v>
      </c>
      <c r="M255" s="3">
        <v>4160</v>
      </c>
      <c r="N255" s="3">
        <v>3105</v>
      </c>
      <c r="O255" s="3">
        <v>536000</v>
      </c>
      <c r="P255" s="3">
        <v>723000</v>
      </c>
      <c r="Q255" s="3">
        <v>619750</v>
      </c>
      <c r="S255">
        <v>33.405434</v>
      </c>
      <c r="T255">
        <v>-112.31122000000001</v>
      </c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</row>
    <row r="256" spans="2:74" ht="16" thickTop="1" thickBot="1" x14ac:dyDescent="0.25">
      <c r="B256" t="s">
        <v>465</v>
      </c>
      <c r="C256" t="s">
        <v>240</v>
      </c>
      <c r="E256" t="s">
        <v>21</v>
      </c>
      <c r="F256" t="s">
        <v>22</v>
      </c>
      <c r="G256" s="1">
        <v>6000</v>
      </c>
      <c r="H256" s="2">
        <v>50</v>
      </c>
      <c r="I256" s="5" t="str">
        <f>CONCATENATE(H256,"x",INT(G256/H256))</f>
        <v>50x120</v>
      </c>
      <c r="J256">
        <v>0</v>
      </c>
      <c r="K256">
        <v>67</v>
      </c>
      <c r="L256" s="3">
        <v>1808</v>
      </c>
      <c r="M256" s="3">
        <v>2389</v>
      </c>
      <c r="N256" s="3">
        <v>2122</v>
      </c>
      <c r="O256" s="3">
        <v>383990</v>
      </c>
      <c r="P256" s="3">
        <v>411990</v>
      </c>
      <c r="Q256" s="3">
        <v>400740</v>
      </c>
      <c r="S256">
        <v>33.398361000000001</v>
      </c>
      <c r="T256">
        <v>-112.59256999999999</v>
      </c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</row>
    <row r="257" spans="2:74" ht="16" thickTop="1" thickBot="1" x14ac:dyDescent="0.25">
      <c r="B257" t="s">
        <v>725</v>
      </c>
      <c r="C257" t="s">
        <v>43</v>
      </c>
      <c r="E257" t="s">
        <v>21</v>
      </c>
      <c r="F257" t="s">
        <v>22</v>
      </c>
      <c r="G257" s="1">
        <v>8125</v>
      </c>
      <c r="H257" s="2">
        <v>65</v>
      </c>
      <c r="I257" s="5" t="str">
        <f>CONCATENATE(H257,"x",INT(G257/H257))</f>
        <v>65x125</v>
      </c>
      <c r="J257">
        <v>15</v>
      </c>
      <c r="K257">
        <v>67</v>
      </c>
      <c r="L257" s="3">
        <v>1423</v>
      </c>
      <c r="M257" s="3">
        <v>2577</v>
      </c>
      <c r="N257" s="3">
        <v>2000</v>
      </c>
      <c r="O257" s="3">
        <v>418900</v>
      </c>
      <c r="P257" s="3">
        <v>508900</v>
      </c>
      <c r="Q257" s="3">
        <v>456733.3333</v>
      </c>
      <c r="S257">
        <v>32.445549</v>
      </c>
      <c r="T257">
        <v>-111.08229</v>
      </c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</row>
    <row r="258" spans="2:74" ht="16" thickTop="1" thickBot="1" x14ac:dyDescent="0.25">
      <c r="B258" t="s">
        <v>258</v>
      </c>
      <c r="C258" t="s">
        <v>123</v>
      </c>
      <c r="E258" t="s">
        <v>21</v>
      </c>
      <c r="F258" t="s">
        <v>22</v>
      </c>
      <c r="G258" s="1">
        <v>5175</v>
      </c>
      <c r="H258" s="2">
        <v>45</v>
      </c>
      <c r="I258" s="5" t="str">
        <f>CONCATENATE(H258,"x",INT(G258/H258))</f>
        <v>45x115</v>
      </c>
      <c r="J258">
        <v>1</v>
      </c>
      <c r="K258">
        <v>67</v>
      </c>
      <c r="L258" s="3">
        <v>1727</v>
      </c>
      <c r="M258" s="3">
        <v>2807</v>
      </c>
      <c r="N258" s="3">
        <v>2213</v>
      </c>
      <c r="O258" s="3">
        <v>394990</v>
      </c>
      <c r="P258" s="3">
        <v>454990</v>
      </c>
      <c r="Q258" s="3">
        <v>421190</v>
      </c>
      <c r="S258">
        <v>33.414878999999999</v>
      </c>
      <c r="T258">
        <v>-112.45126</v>
      </c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</row>
    <row r="259" spans="2:74" ht="16" thickTop="1" thickBot="1" x14ac:dyDescent="0.25">
      <c r="B259" t="s">
        <v>317</v>
      </c>
      <c r="C259" t="s">
        <v>144</v>
      </c>
      <c r="D259" t="s">
        <v>306</v>
      </c>
      <c r="E259" t="s">
        <v>21</v>
      </c>
      <c r="F259" t="s">
        <v>22</v>
      </c>
      <c r="G259" s="1">
        <v>5400</v>
      </c>
      <c r="H259" s="2">
        <v>45</v>
      </c>
      <c r="I259" s="5" t="str">
        <f>CONCATENATE(H259,"x",INT(G259/H259))</f>
        <v>45x120</v>
      </c>
      <c r="J259">
        <v>4</v>
      </c>
      <c r="K259">
        <v>67</v>
      </c>
      <c r="L259" s="3">
        <v>1923</v>
      </c>
      <c r="M259" s="3">
        <v>2671</v>
      </c>
      <c r="N259" s="3">
        <v>2272</v>
      </c>
      <c r="O259" s="3">
        <v>417990</v>
      </c>
      <c r="P259" s="3">
        <v>480990</v>
      </c>
      <c r="Q259" s="3">
        <v>445240</v>
      </c>
      <c r="S259">
        <v>33.223464999999997</v>
      </c>
      <c r="T259">
        <v>-111.53287</v>
      </c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</row>
    <row r="260" spans="2:74" ht="16" thickTop="1" thickBot="1" x14ac:dyDescent="0.25">
      <c r="B260" t="s">
        <v>613</v>
      </c>
      <c r="C260" t="s">
        <v>136</v>
      </c>
      <c r="D260" t="s">
        <v>203</v>
      </c>
      <c r="E260" t="s">
        <v>21</v>
      </c>
      <c r="F260" t="s">
        <v>22</v>
      </c>
      <c r="G260" s="1">
        <v>6700</v>
      </c>
      <c r="H260" s="2">
        <v>58</v>
      </c>
      <c r="I260" s="5" t="str">
        <f>CONCATENATE(H260,"x",INT(G260/H260))</f>
        <v>58x115</v>
      </c>
      <c r="J260">
        <v>17</v>
      </c>
      <c r="K260">
        <v>67</v>
      </c>
      <c r="L260" s="3">
        <v>1590</v>
      </c>
      <c r="M260" s="3">
        <v>2040</v>
      </c>
      <c r="N260" s="3">
        <v>1825</v>
      </c>
      <c r="O260" s="3">
        <v>310990</v>
      </c>
      <c r="P260" s="3">
        <v>343990</v>
      </c>
      <c r="Q260" s="3">
        <v>327740</v>
      </c>
      <c r="S260">
        <v>32.993755</v>
      </c>
      <c r="T260">
        <v>-111.54333</v>
      </c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</row>
    <row r="261" spans="2:74" ht="16" thickTop="1" thickBot="1" x14ac:dyDescent="0.25">
      <c r="B261" t="s">
        <v>666</v>
      </c>
      <c r="C261" t="s">
        <v>272</v>
      </c>
      <c r="E261" t="s">
        <v>21</v>
      </c>
      <c r="F261" t="s">
        <v>22</v>
      </c>
      <c r="G261" s="1">
        <v>7200</v>
      </c>
      <c r="H261" s="2">
        <v>60</v>
      </c>
      <c r="I261" s="5" t="str">
        <f>CONCATENATE(H261,"x",INT(G261/H261))</f>
        <v>60x120</v>
      </c>
      <c r="J261">
        <v>24</v>
      </c>
      <c r="K261">
        <v>66</v>
      </c>
      <c r="L261" s="3">
        <v>2093</v>
      </c>
      <c r="M261" s="3">
        <v>3486</v>
      </c>
      <c r="N261" s="3">
        <v>2554</v>
      </c>
      <c r="O261" s="3">
        <v>463990</v>
      </c>
      <c r="P261" s="3">
        <v>564990</v>
      </c>
      <c r="Q261" s="3">
        <v>497188</v>
      </c>
      <c r="S261">
        <v>33.444546000000003</v>
      </c>
      <c r="T261">
        <v>-112.41159</v>
      </c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</row>
    <row r="262" spans="2:74" ht="16" thickTop="1" thickBot="1" x14ac:dyDescent="0.25">
      <c r="B262" t="s">
        <v>372</v>
      </c>
      <c r="C262" t="s">
        <v>240</v>
      </c>
      <c r="E262" t="s">
        <v>21</v>
      </c>
      <c r="F262" t="s">
        <v>22</v>
      </c>
      <c r="G262" s="1">
        <v>5760</v>
      </c>
      <c r="H262" s="2">
        <v>48</v>
      </c>
      <c r="I262" s="5" t="str">
        <f>CONCATENATE(H262,"x",INT(G262/H262))</f>
        <v>48x120</v>
      </c>
      <c r="J262">
        <v>53</v>
      </c>
      <c r="K262">
        <v>66</v>
      </c>
      <c r="L262" s="3">
        <v>1353</v>
      </c>
      <c r="M262" s="3">
        <v>2197</v>
      </c>
      <c r="N262" s="3">
        <v>1757</v>
      </c>
      <c r="O262" s="3">
        <v>359990</v>
      </c>
      <c r="P262" s="3">
        <v>404990</v>
      </c>
      <c r="Q262" s="3">
        <v>382240</v>
      </c>
      <c r="S262">
        <v>33.425460999999999</v>
      </c>
      <c r="T262">
        <v>-112.58132000000001</v>
      </c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</row>
    <row r="263" spans="2:74" ht="16" thickTop="1" thickBot="1" x14ac:dyDescent="0.25">
      <c r="B263" t="s">
        <v>467</v>
      </c>
      <c r="C263" t="s">
        <v>144</v>
      </c>
      <c r="D263" t="s">
        <v>147</v>
      </c>
      <c r="E263" t="s">
        <v>21</v>
      </c>
      <c r="F263" t="s">
        <v>22</v>
      </c>
      <c r="G263" s="1">
        <v>6000</v>
      </c>
      <c r="H263" s="2">
        <v>50</v>
      </c>
      <c r="I263" s="5" t="str">
        <f>CONCATENATE(H263,"x",INT(G263/H263))</f>
        <v>50x120</v>
      </c>
      <c r="J263">
        <v>31</v>
      </c>
      <c r="K263">
        <v>66</v>
      </c>
      <c r="L263" s="3">
        <v>1930</v>
      </c>
      <c r="M263" s="3">
        <v>3005</v>
      </c>
      <c r="N263" s="3">
        <v>2448</v>
      </c>
      <c r="O263" s="3">
        <v>364990</v>
      </c>
      <c r="P263" s="3">
        <v>433990</v>
      </c>
      <c r="Q263" s="3">
        <v>401390</v>
      </c>
      <c r="S263">
        <v>32.115245999999999</v>
      </c>
      <c r="T263">
        <v>-110.84953</v>
      </c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</row>
    <row r="264" spans="2:74" ht="16" thickTop="1" thickBot="1" x14ac:dyDescent="0.25">
      <c r="B264" t="s">
        <v>740</v>
      </c>
      <c r="C264" t="s">
        <v>144</v>
      </c>
      <c r="D264" t="s">
        <v>349</v>
      </c>
      <c r="E264" t="s">
        <v>21</v>
      </c>
      <c r="F264" t="s">
        <v>22</v>
      </c>
      <c r="G264" s="1">
        <v>8450</v>
      </c>
      <c r="H264" s="2">
        <v>65</v>
      </c>
      <c r="I264" s="5" t="str">
        <f>CONCATENATE(H264,"x",INT(G264/H264))</f>
        <v>65x130</v>
      </c>
      <c r="J264">
        <v>47</v>
      </c>
      <c r="K264">
        <v>66</v>
      </c>
      <c r="L264" s="3">
        <v>2183</v>
      </c>
      <c r="M264" s="3">
        <v>2958</v>
      </c>
      <c r="N264" s="3">
        <v>2572</v>
      </c>
      <c r="O264" s="3">
        <v>420990</v>
      </c>
      <c r="P264" s="3">
        <v>586990</v>
      </c>
      <c r="Q264" s="3">
        <v>499132.85710000002</v>
      </c>
      <c r="S264">
        <v>32.109467000000002</v>
      </c>
      <c r="T264">
        <v>-110.71764</v>
      </c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</row>
    <row r="265" spans="2:74" ht="16" thickTop="1" thickBot="1" x14ac:dyDescent="0.25">
      <c r="B265" t="s">
        <v>466</v>
      </c>
      <c r="C265" t="s">
        <v>68</v>
      </c>
      <c r="E265" t="s">
        <v>21</v>
      </c>
      <c r="F265" t="s">
        <v>22</v>
      </c>
      <c r="G265" s="1">
        <v>6000</v>
      </c>
      <c r="H265" s="2">
        <v>50</v>
      </c>
      <c r="I265" s="5" t="str">
        <f>CONCATENATE(H265,"x",INT(G265/H265))</f>
        <v>50x120</v>
      </c>
      <c r="J265">
        <v>44</v>
      </c>
      <c r="K265">
        <v>66</v>
      </c>
      <c r="L265" s="3">
        <v>1968</v>
      </c>
      <c r="M265" s="3">
        <v>3062</v>
      </c>
      <c r="N265" s="3">
        <v>2394</v>
      </c>
      <c r="O265" s="3">
        <v>541990</v>
      </c>
      <c r="P265" s="3">
        <v>637990</v>
      </c>
      <c r="Q265" s="3">
        <v>570190</v>
      </c>
      <c r="S265">
        <v>33.272647999999997</v>
      </c>
      <c r="T265">
        <v>-111.62401</v>
      </c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</row>
    <row r="266" spans="2:74" ht="16" thickTop="1" thickBot="1" x14ac:dyDescent="0.25">
      <c r="B266" t="s">
        <v>772</v>
      </c>
      <c r="C266" t="s">
        <v>68</v>
      </c>
      <c r="E266" t="s">
        <v>21</v>
      </c>
      <c r="F266" t="s">
        <v>22</v>
      </c>
      <c r="G266" s="1">
        <v>8400</v>
      </c>
      <c r="H266" s="2">
        <v>70</v>
      </c>
      <c r="I266" s="5" t="str">
        <f>CONCATENATE(H266,"x",INT(G266/H266))</f>
        <v>70x120</v>
      </c>
      <c r="J266">
        <v>14</v>
      </c>
      <c r="K266">
        <v>66</v>
      </c>
      <c r="L266" s="3">
        <v>2553</v>
      </c>
      <c r="M266" s="3">
        <v>3744</v>
      </c>
      <c r="N266" s="3">
        <v>3143</v>
      </c>
      <c r="O266" s="3">
        <v>589990</v>
      </c>
      <c r="P266" s="3">
        <v>692990</v>
      </c>
      <c r="Q266" s="3">
        <v>640990</v>
      </c>
      <c r="S266">
        <v>33.185799000000003</v>
      </c>
      <c r="T266">
        <v>-111.61869</v>
      </c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</row>
    <row r="267" spans="2:74" ht="16" thickTop="1" thickBot="1" x14ac:dyDescent="0.25">
      <c r="B267" t="s">
        <v>468</v>
      </c>
      <c r="C267" t="s">
        <v>469</v>
      </c>
      <c r="D267" t="s">
        <v>470</v>
      </c>
      <c r="E267" t="s">
        <v>21</v>
      </c>
      <c r="F267" t="s">
        <v>22</v>
      </c>
      <c r="G267" s="1">
        <v>6000</v>
      </c>
      <c r="H267" s="2">
        <v>50</v>
      </c>
      <c r="I267" s="5" t="str">
        <f>CONCATENATE(H267,"x",INT(G267/H267))</f>
        <v>50x120</v>
      </c>
      <c r="J267">
        <v>255</v>
      </c>
      <c r="K267">
        <v>65</v>
      </c>
      <c r="L267" s="3">
        <v>1258</v>
      </c>
      <c r="M267" s="3">
        <v>2506</v>
      </c>
      <c r="N267" s="3">
        <v>1772</v>
      </c>
      <c r="O267" s="3">
        <v>361950</v>
      </c>
      <c r="P267" s="3">
        <v>487950</v>
      </c>
      <c r="Q267" s="3">
        <v>408283.3333</v>
      </c>
      <c r="S267">
        <v>33.556480000000001</v>
      </c>
      <c r="T267">
        <v>-112.43464</v>
      </c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</row>
    <row r="268" spans="2:74" ht="16" thickTop="1" thickBot="1" x14ac:dyDescent="0.25">
      <c r="B268" t="s">
        <v>164</v>
      </c>
      <c r="C268" t="s">
        <v>116</v>
      </c>
      <c r="E268" t="s">
        <v>21</v>
      </c>
      <c r="F268" t="s">
        <v>22</v>
      </c>
      <c r="G268" s="1">
        <v>4800</v>
      </c>
      <c r="H268" s="2">
        <v>40</v>
      </c>
      <c r="I268" s="5" t="str">
        <f>CONCATENATE(H268,"x",INT(G268/H268))</f>
        <v>40x120</v>
      </c>
      <c r="J268">
        <v>33</v>
      </c>
      <c r="K268">
        <v>65</v>
      </c>
      <c r="L268" s="3">
        <v>1262</v>
      </c>
      <c r="M268" s="3">
        <v>1745</v>
      </c>
      <c r="N268" s="3">
        <v>1523</v>
      </c>
      <c r="O268" s="3">
        <v>355990</v>
      </c>
      <c r="P268" s="3">
        <v>382990</v>
      </c>
      <c r="Q268" s="3">
        <v>369990</v>
      </c>
      <c r="S268">
        <v>32.375548999999999</v>
      </c>
      <c r="T268">
        <v>-111.01397</v>
      </c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</row>
    <row r="269" spans="2:74" ht="16" thickTop="1" thickBot="1" x14ac:dyDescent="0.25">
      <c r="B269" t="s">
        <v>420</v>
      </c>
      <c r="C269" t="s">
        <v>144</v>
      </c>
      <c r="D269" t="s">
        <v>261</v>
      </c>
      <c r="E269" t="s">
        <v>21</v>
      </c>
      <c r="F269" t="s">
        <v>22</v>
      </c>
      <c r="G269" s="1">
        <v>5750</v>
      </c>
      <c r="H269" s="2">
        <v>50</v>
      </c>
      <c r="I269" s="5" t="str">
        <f>CONCATENATE(H269,"x",INT(G269/H269))</f>
        <v>50x115</v>
      </c>
      <c r="J269">
        <v>80</v>
      </c>
      <c r="K269">
        <v>65</v>
      </c>
      <c r="L269" s="3">
        <v>1656</v>
      </c>
      <c r="M269" s="3">
        <v>2524</v>
      </c>
      <c r="N269" s="3">
        <v>2118</v>
      </c>
      <c r="O269" s="3">
        <v>390990</v>
      </c>
      <c r="P269" s="3">
        <v>484990</v>
      </c>
      <c r="Q269" s="3">
        <v>438190</v>
      </c>
      <c r="S269">
        <v>33.405079000000001</v>
      </c>
      <c r="T269">
        <v>-112.30024</v>
      </c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</row>
    <row r="270" spans="2:74" ht="16" thickTop="1" thickBot="1" x14ac:dyDescent="0.25">
      <c r="B270" t="s">
        <v>259</v>
      </c>
      <c r="C270" t="s">
        <v>43</v>
      </c>
      <c r="E270" t="s">
        <v>21</v>
      </c>
      <c r="F270" t="s">
        <v>22</v>
      </c>
      <c r="G270" s="1">
        <v>5400</v>
      </c>
      <c r="H270" s="2">
        <v>45</v>
      </c>
      <c r="I270" s="5" t="str">
        <f>CONCATENATE(H270,"x",INT(G270/H270))</f>
        <v>45x120</v>
      </c>
      <c r="J270">
        <v>362</v>
      </c>
      <c r="K270">
        <v>64</v>
      </c>
      <c r="L270" s="3">
        <v>1428</v>
      </c>
      <c r="M270" s="3">
        <v>2239</v>
      </c>
      <c r="N270" s="3">
        <v>1753</v>
      </c>
      <c r="O270" s="3">
        <v>350990</v>
      </c>
      <c r="P270" s="3">
        <v>437990</v>
      </c>
      <c r="Q270" s="3">
        <v>391626.36359999998</v>
      </c>
      <c r="S270">
        <v>33.422812999999998</v>
      </c>
      <c r="T270">
        <v>-112.57344999999999</v>
      </c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</row>
    <row r="271" spans="2:74" ht="16" thickTop="1" thickBot="1" x14ac:dyDescent="0.25">
      <c r="B271" t="s">
        <v>318</v>
      </c>
      <c r="C271" t="s">
        <v>29</v>
      </c>
      <c r="D271" t="s">
        <v>319</v>
      </c>
      <c r="E271" t="s">
        <v>21</v>
      </c>
      <c r="F271" t="s">
        <v>22</v>
      </c>
      <c r="G271" s="1">
        <v>5400</v>
      </c>
      <c r="H271" s="2">
        <v>45</v>
      </c>
      <c r="I271" s="5" t="str">
        <f>CONCATENATE(H271,"x",INT(G271/H271))</f>
        <v>45x120</v>
      </c>
      <c r="J271">
        <v>27</v>
      </c>
      <c r="K271">
        <v>64</v>
      </c>
      <c r="L271" s="3">
        <v>1777</v>
      </c>
      <c r="M271" s="3">
        <v>3003</v>
      </c>
      <c r="N271" s="3">
        <v>2369</v>
      </c>
      <c r="O271" s="3">
        <v>445990</v>
      </c>
      <c r="P271" s="3">
        <v>584990</v>
      </c>
      <c r="Q271" s="3">
        <v>517740</v>
      </c>
      <c r="S271">
        <v>33.211105000000003</v>
      </c>
      <c r="T271">
        <v>-111.58835000000001</v>
      </c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</row>
    <row r="272" spans="2:74" ht="16" thickTop="1" thickBot="1" x14ac:dyDescent="0.25">
      <c r="B272" t="s">
        <v>773</v>
      </c>
      <c r="C272" t="s">
        <v>144</v>
      </c>
      <c r="E272" t="s">
        <v>21</v>
      </c>
      <c r="F272" t="s">
        <v>22</v>
      </c>
      <c r="G272" s="1">
        <v>8400</v>
      </c>
      <c r="H272" s="2">
        <v>70</v>
      </c>
      <c r="I272" s="5" t="str">
        <f>CONCATENATE(H272,"x",INT(G272/H272))</f>
        <v>70x120</v>
      </c>
      <c r="J272">
        <v>125</v>
      </c>
      <c r="K272">
        <v>64</v>
      </c>
      <c r="L272" s="3">
        <v>2163</v>
      </c>
      <c r="M272" s="3">
        <v>3024</v>
      </c>
      <c r="N272" s="3">
        <v>2614</v>
      </c>
      <c r="O272" s="3">
        <v>539990</v>
      </c>
      <c r="P272" s="3">
        <v>593990</v>
      </c>
      <c r="Q272" s="3">
        <v>560847.14280000003</v>
      </c>
      <c r="S272">
        <v>33.361069000000001</v>
      </c>
      <c r="T272">
        <v>-112.14542</v>
      </c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</row>
    <row r="273" spans="2:74" ht="16" thickTop="1" thickBot="1" x14ac:dyDescent="0.25">
      <c r="B273" t="s">
        <v>165</v>
      </c>
      <c r="C273" t="s">
        <v>114</v>
      </c>
      <c r="E273" t="s">
        <v>21</v>
      </c>
      <c r="F273" t="s">
        <v>22</v>
      </c>
      <c r="G273" s="1">
        <v>4800</v>
      </c>
      <c r="H273" s="2">
        <v>40</v>
      </c>
      <c r="I273" s="5" t="str">
        <f>CONCATENATE(H273,"x",INT(G273/H273))</f>
        <v>40x120</v>
      </c>
      <c r="J273">
        <v>30</v>
      </c>
      <c r="K273">
        <v>64</v>
      </c>
      <c r="L273" s="3">
        <v>1467</v>
      </c>
      <c r="M273" s="3">
        <v>2694</v>
      </c>
      <c r="N273" s="3">
        <v>2043</v>
      </c>
      <c r="O273" s="3">
        <v>382990</v>
      </c>
      <c r="P273" s="3">
        <v>481990</v>
      </c>
      <c r="Q273" s="3">
        <v>431390</v>
      </c>
      <c r="R273" t="s">
        <v>23</v>
      </c>
      <c r="S273">
        <v>32.225056000000002</v>
      </c>
      <c r="T273">
        <v>-110.77081</v>
      </c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</row>
    <row r="274" spans="2:74" ht="16" thickTop="1" thickBot="1" x14ac:dyDescent="0.25">
      <c r="B274" t="s">
        <v>259</v>
      </c>
      <c r="C274" t="s">
        <v>114</v>
      </c>
      <c r="E274" t="s">
        <v>21</v>
      </c>
      <c r="F274" t="s">
        <v>22</v>
      </c>
      <c r="G274" s="1">
        <v>5175</v>
      </c>
      <c r="H274" s="2">
        <v>45</v>
      </c>
      <c r="I274" s="5" t="str">
        <f>CONCATENATE(H274,"x",INT(G274/H274))</f>
        <v>45x115</v>
      </c>
      <c r="J274">
        <v>3</v>
      </c>
      <c r="K274">
        <v>64</v>
      </c>
      <c r="L274" s="3">
        <v>1560</v>
      </c>
      <c r="M274" s="3">
        <v>2049</v>
      </c>
      <c r="N274" s="3">
        <v>1813</v>
      </c>
      <c r="O274" s="3">
        <v>357990</v>
      </c>
      <c r="P274" s="3">
        <v>392990</v>
      </c>
      <c r="Q274" s="3">
        <v>374656.6666</v>
      </c>
      <c r="S274">
        <v>33.431168</v>
      </c>
      <c r="T274">
        <v>-112.57134000000001</v>
      </c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</row>
    <row r="275" spans="2:74" ht="16" thickTop="1" thickBot="1" x14ac:dyDescent="0.25">
      <c r="B275" t="s">
        <v>603</v>
      </c>
      <c r="C275" t="s">
        <v>38</v>
      </c>
      <c r="D275" t="s">
        <v>552</v>
      </c>
      <c r="E275" t="s">
        <v>21</v>
      </c>
      <c r="F275" t="s">
        <v>22</v>
      </c>
      <c r="G275" s="1">
        <v>4950</v>
      </c>
      <c r="H275" s="2">
        <v>55</v>
      </c>
      <c r="I275" s="5" t="str">
        <f>CONCATENATE(H275,"x",INT(G275/H275))</f>
        <v>55x90</v>
      </c>
      <c r="J275">
        <v>194</v>
      </c>
      <c r="K275">
        <v>64</v>
      </c>
      <c r="L275" s="3">
        <v>1478</v>
      </c>
      <c r="M275" s="3">
        <v>1721</v>
      </c>
      <c r="N275" s="3">
        <v>1638</v>
      </c>
      <c r="O275" s="3">
        <v>408990</v>
      </c>
      <c r="P275" s="3">
        <v>438990</v>
      </c>
      <c r="Q275" s="3">
        <v>427490</v>
      </c>
      <c r="R275" t="s">
        <v>190</v>
      </c>
      <c r="S275">
        <v>33.240189000000001</v>
      </c>
      <c r="T275">
        <v>-111.57989000000001</v>
      </c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</row>
    <row r="276" spans="2:74" ht="16" thickTop="1" thickBot="1" x14ac:dyDescent="0.25">
      <c r="B276" t="s">
        <v>329</v>
      </c>
      <c r="C276" t="s">
        <v>272</v>
      </c>
      <c r="D276" t="s">
        <v>329</v>
      </c>
      <c r="E276" t="s">
        <v>21</v>
      </c>
      <c r="F276" t="s">
        <v>22</v>
      </c>
      <c r="G276" s="1">
        <v>7250</v>
      </c>
      <c r="H276" s="2">
        <v>58</v>
      </c>
      <c r="I276" s="5" t="str">
        <f>CONCATENATE(H276,"x",INT(G276/H276))</f>
        <v>58x125</v>
      </c>
      <c r="J276">
        <v>2</v>
      </c>
      <c r="K276">
        <v>63</v>
      </c>
      <c r="L276" s="3">
        <v>2119</v>
      </c>
      <c r="M276" s="3">
        <v>3947</v>
      </c>
      <c r="N276" s="3">
        <v>2788</v>
      </c>
      <c r="O276" s="3">
        <v>478990</v>
      </c>
      <c r="P276" s="3">
        <v>625990</v>
      </c>
      <c r="Q276" s="3">
        <v>531490</v>
      </c>
      <c r="S276">
        <v>33.583961000000002</v>
      </c>
      <c r="T276">
        <v>-112.41154</v>
      </c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</row>
    <row r="277" spans="2:74" ht="16" thickTop="1" thickBot="1" x14ac:dyDescent="0.25">
      <c r="B277" t="s">
        <v>715</v>
      </c>
      <c r="C277" t="s">
        <v>376</v>
      </c>
      <c r="E277" t="s">
        <v>21</v>
      </c>
      <c r="F277" t="s">
        <v>22</v>
      </c>
      <c r="G277" s="1">
        <v>7150</v>
      </c>
      <c r="H277" s="2">
        <v>65</v>
      </c>
      <c r="I277" s="5" t="str">
        <f>CONCATENATE(H277,"x",INT(G277/H277))</f>
        <v>65x110</v>
      </c>
      <c r="J277">
        <v>8</v>
      </c>
      <c r="K277">
        <v>63</v>
      </c>
      <c r="L277" s="3">
        <v>1470</v>
      </c>
      <c r="M277" s="3">
        <v>1815</v>
      </c>
      <c r="N277" s="3">
        <v>1669</v>
      </c>
      <c r="O277" s="3">
        <v>284990</v>
      </c>
      <c r="P277" s="3">
        <v>309990</v>
      </c>
      <c r="Q277" s="3">
        <v>294990</v>
      </c>
      <c r="S277">
        <v>32.935611999999999</v>
      </c>
      <c r="T277">
        <v>-111.72481999999999</v>
      </c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</row>
    <row r="278" spans="2:74" ht="16" thickTop="1" thickBot="1" x14ac:dyDescent="0.25">
      <c r="B278" t="s">
        <v>122</v>
      </c>
      <c r="C278" t="s">
        <v>123</v>
      </c>
      <c r="D278" t="s">
        <v>124</v>
      </c>
      <c r="E278" t="s">
        <v>21</v>
      </c>
      <c r="F278" t="s">
        <v>22</v>
      </c>
      <c r="G278" s="1">
        <v>3000</v>
      </c>
      <c r="H278" s="2">
        <v>35</v>
      </c>
      <c r="I278" s="5" t="str">
        <f>CONCATENATE(H278,"x",INT(G278/H278))</f>
        <v>35x85</v>
      </c>
      <c r="J278">
        <v>2</v>
      </c>
      <c r="K278">
        <v>63</v>
      </c>
      <c r="L278" s="3">
        <v>1875</v>
      </c>
      <c r="M278" s="3">
        <v>2194</v>
      </c>
      <c r="N278" s="3">
        <v>2016</v>
      </c>
      <c r="O278" s="3">
        <v>389990</v>
      </c>
      <c r="P278" s="3">
        <v>419990</v>
      </c>
      <c r="Q278" s="3">
        <v>403990</v>
      </c>
      <c r="S278">
        <v>33.305531000000002</v>
      </c>
      <c r="T278">
        <v>-112.44025999999999</v>
      </c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</row>
    <row r="279" spans="2:74" ht="16" thickTop="1" thickBot="1" x14ac:dyDescent="0.25">
      <c r="B279" t="s">
        <v>320</v>
      </c>
      <c r="C279" t="s">
        <v>144</v>
      </c>
      <c r="D279" t="s">
        <v>306</v>
      </c>
      <c r="E279" t="s">
        <v>21</v>
      </c>
      <c r="F279" t="s">
        <v>22</v>
      </c>
      <c r="G279" s="1">
        <v>5400</v>
      </c>
      <c r="H279" s="2">
        <v>45</v>
      </c>
      <c r="I279" s="5" t="str">
        <f>CONCATENATE(H279,"x",INT(G279/H279))</f>
        <v>45x120</v>
      </c>
      <c r="J279">
        <v>4</v>
      </c>
      <c r="K279">
        <v>63</v>
      </c>
      <c r="L279" s="3">
        <v>1797</v>
      </c>
      <c r="M279" s="3">
        <v>2105</v>
      </c>
      <c r="N279" s="3">
        <v>1956</v>
      </c>
      <c r="O279" s="3">
        <v>399990</v>
      </c>
      <c r="P279" s="3">
        <v>445990</v>
      </c>
      <c r="Q279" s="3">
        <v>421990</v>
      </c>
      <c r="S279">
        <v>33.221465999999999</v>
      </c>
      <c r="T279">
        <v>-111.53616</v>
      </c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</row>
    <row r="280" spans="2:74" ht="16" thickTop="1" thickBot="1" x14ac:dyDescent="0.25">
      <c r="B280" t="s">
        <v>794</v>
      </c>
      <c r="C280" t="s">
        <v>144</v>
      </c>
      <c r="E280" t="s">
        <v>21</v>
      </c>
      <c r="F280" t="s">
        <v>22</v>
      </c>
      <c r="G280" s="1">
        <v>9100</v>
      </c>
      <c r="H280" s="2">
        <v>70</v>
      </c>
      <c r="I280" s="5" t="str">
        <f>CONCATENATE(H280,"x",INT(G280/H280))</f>
        <v>70x130</v>
      </c>
      <c r="J280">
        <v>34</v>
      </c>
      <c r="K280">
        <v>63</v>
      </c>
      <c r="L280" s="3">
        <v>2175</v>
      </c>
      <c r="M280" s="3">
        <v>3024</v>
      </c>
      <c r="N280" s="3">
        <v>2657</v>
      </c>
      <c r="O280" s="3">
        <v>653490</v>
      </c>
      <c r="P280" s="3">
        <v>695990</v>
      </c>
      <c r="Q280" s="3">
        <v>673690</v>
      </c>
      <c r="R280" t="s">
        <v>23</v>
      </c>
      <c r="S280">
        <v>33.257313000000003</v>
      </c>
      <c r="T280">
        <v>-111.61082</v>
      </c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</row>
    <row r="281" spans="2:74" ht="16" thickTop="1" thickBot="1" x14ac:dyDescent="0.25">
      <c r="B281" t="s">
        <v>667</v>
      </c>
      <c r="C281" t="s">
        <v>136</v>
      </c>
      <c r="D281" t="s">
        <v>475</v>
      </c>
      <c r="E281" t="s">
        <v>21</v>
      </c>
      <c r="F281" t="s">
        <v>22</v>
      </c>
      <c r="G281" s="1">
        <v>7200</v>
      </c>
      <c r="H281" s="2">
        <v>60</v>
      </c>
      <c r="I281" s="5" t="str">
        <f>CONCATENATE(H281,"x",INT(G281/H281))</f>
        <v>60x120</v>
      </c>
      <c r="J281">
        <v>28</v>
      </c>
      <c r="K281">
        <v>63</v>
      </c>
      <c r="L281" s="3">
        <v>1690</v>
      </c>
      <c r="M281" s="3">
        <v>2980</v>
      </c>
      <c r="N281" s="3">
        <v>2407</v>
      </c>
      <c r="O281" s="3">
        <v>439990</v>
      </c>
      <c r="P281" s="3">
        <v>534990</v>
      </c>
      <c r="Q281" s="3">
        <v>491418.57140000002</v>
      </c>
      <c r="S281">
        <v>33.737094999999997</v>
      </c>
      <c r="T281">
        <v>-112.43958000000001</v>
      </c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</row>
    <row r="282" spans="2:74" ht="16" thickTop="1" thickBot="1" x14ac:dyDescent="0.25">
      <c r="B282" t="s">
        <v>360</v>
      </c>
      <c r="C282" t="s">
        <v>38</v>
      </c>
      <c r="D282" t="s">
        <v>361</v>
      </c>
      <c r="E282" t="s">
        <v>21</v>
      </c>
      <c r="F282" t="s">
        <v>22</v>
      </c>
      <c r="G282" s="1">
        <v>5405</v>
      </c>
      <c r="H282" s="2">
        <v>47</v>
      </c>
      <c r="I282" s="5" t="str">
        <f>CONCATENATE(H282,"x",INT(G282/H282))</f>
        <v>47x115</v>
      </c>
      <c r="J282">
        <v>4</v>
      </c>
      <c r="K282">
        <v>63</v>
      </c>
      <c r="L282" s="3">
        <v>1575</v>
      </c>
      <c r="M282" s="3">
        <v>2842</v>
      </c>
      <c r="N282" s="3">
        <v>2192</v>
      </c>
      <c r="O282" s="3">
        <v>392990</v>
      </c>
      <c r="P282" s="3">
        <v>496990</v>
      </c>
      <c r="Q282" s="3">
        <v>440964.28570000001</v>
      </c>
      <c r="S282">
        <v>33.363788999999997</v>
      </c>
      <c r="T282">
        <v>-112.41349</v>
      </c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</row>
    <row r="283" spans="2:74" ht="16" thickTop="1" thickBot="1" x14ac:dyDescent="0.25">
      <c r="B283" t="s">
        <v>260</v>
      </c>
      <c r="C283" t="s">
        <v>144</v>
      </c>
      <c r="D283" t="s">
        <v>261</v>
      </c>
      <c r="E283" t="s">
        <v>21</v>
      </c>
      <c r="F283" t="s">
        <v>22</v>
      </c>
      <c r="G283" s="1">
        <v>5175</v>
      </c>
      <c r="H283" s="2">
        <v>45</v>
      </c>
      <c r="I283" s="5" t="str">
        <f>CONCATENATE(H283,"x",INT(G283/H283))</f>
        <v>45x115</v>
      </c>
      <c r="J283">
        <v>34</v>
      </c>
      <c r="K283">
        <v>62</v>
      </c>
      <c r="L283" s="3">
        <v>1232</v>
      </c>
      <c r="M283" s="3">
        <v>1411</v>
      </c>
      <c r="N283" s="3">
        <v>1347</v>
      </c>
      <c r="O283" s="3">
        <v>351990</v>
      </c>
      <c r="P283" s="3">
        <v>368990</v>
      </c>
      <c r="Q283" s="3">
        <v>362656.6666</v>
      </c>
      <c r="S283">
        <v>33.409179999999999</v>
      </c>
      <c r="T283">
        <v>-112.2957</v>
      </c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</row>
    <row r="284" spans="2:74" ht="16" thickTop="1" thickBot="1" x14ac:dyDescent="0.25">
      <c r="B284" t="s">
        <v>471</v>
      </c>
      <c r="C284" t="s">
        <v>94</v>
      </c>
      <c r="D284" t="s">
        <v>161</v>
      </c>
      <c r="E284" t="s">
        <v>21</v>
      </c>
      <c r="F284" t="s">
        <v>22</v>
      </c>
      <c r="G284" s="1">
        <v>6000</v>
      </c>
      <c r="H284" s="2">
        <v>50</v>
      </c>
      <c r="I284" s="5" t="str">
        <f>CONCATENATE(H284,"x",INT(G284/H284))</f>
        <v>50x120</v>
      </c>
      <c r="J284">
        <v>53</v>
      </c>
      <c r="K284">
        <v>62</v>
      </c>
      <c r="L284" s="3">
        <v>1837</v>
      </c>
      <c r="M284" s="3">
        <v>2757</v>
      </c>
      <c r="N284" s="3">
        <v>2325</v>
      </c>
      <c r="O284" s="3">
        <v>352000</v>
      </c>
      <c r="P284" s="3">
        <v>449000</v>
      </c>
      <c r="Q284" s="3">
        <v>403600</v>
      </c>
      <c r="S284">
        <v>32.435451999999998</v>
      </c>
      <c r="T284">
        <v>-111.19363</v>
      </c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</row>
    <row r="285" spans="2:74" ht="16" thickTop="1" thickBot="1" x14ac:dyDescent="0.25">
      <c r="B285" t="s">
        <v>705</v>
      </c>
      <c r="C285" t="s">
        <v>38</v>
      </c>
      <c r="D285" t="s">
        <v>357</v>
      </c>
      <c r="E285" t="s">
        <v>21</v>
      </c>
      <c r="F285" t="s">
        <v>22</v>
      </c>
      <c r="G285" s="1">
        <v>7245</v>
      </c>
      <c r="H285" s="2">
        <v>63</v>
      </c>
      <c r="I285" s="5" t="str">
        <f>CONCATENATE(H285,"x",INT(G285/H285))</f>
        <v>63x115</v>
      </c>
      <c r="J285">
        <v>120</v>
      </c>
      <c r="K285">
        <v>62</v>
      </c>
      <c r="L285" s="3">
        <v>2226</v>
      </c>
      <c r="M285" s="3">
        <v>2812</v>
      </c>
      <c r="N285" s="3">
        <v>2498</v>
      </c>
      <c r="O285" s="3">
        <v>479990</v>
      </c>
      <c r="P285" s="3">
        <v>522990</v>
      </c>
      <c r="Q285" s="3">
        <v>498490</v>
      </c>
      <c r="S285">
        <v>33.707794</v>
      </c>
      <c r="T285">
        <v>-112.36536</v>
      </c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</row>
    <row r="286" spans="2:74" ht="16" thickTop="1" thickBot="1" x14ac:dyDescent="0.25">
      <c r="B286" t="s">
        <v>726</v>
      </c>
      <c r="C286" t="s">
        <v>38</v>
      </c>
      <c r="D286" t="s">
        <v>152</v>
      </c>
      <c r="E286" t="s">
        <v>21</v>
      </c>
      <c r="F286" t="s">
        <v>22</v>
      </c>
      <c r="G286" s="1">
        <v>8125</v>
      </c>
      <c r="H286" s="2">
        <v>65</v>
      </c>
      <c r="I286" s="5" t="str">
        <f>CONCATENATE(H286,"x",INT(G286/H286))</f>
        <v>65x125</v>
      </c>
      <c r="J286">
        <v>9</v>
      </c>
      <c r="K286">
        <v>62</v>
      </c>
      <c r="L286" s="3">
        <v>2314</v>
      </c>
      <c r="M286" s="3">
        <v>3704</v>
      </c>
      <c r="N286" s="3">
        <v>2988</v>
      </c>
      <c r="O286" s="3">
        <v>496990</v>
      </c>
      <c r="P286" s="3">
        <v>606990</v>
      </c>
      <c r="Q286" s="3">
        <v>551323.33330000006</v>
      </c>
      <c r="S286">
        <v>33.510109</v>
      </c>
      <c r="T286">
        <v>-112.44286</v>
      </c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</row>
    <row r="287" spans="2:74" ht="16" thickTop="1" thickBot="1" x14ac:dyDescent="0.25">
      <c r="B287" t="s">
        <v>342</v>
      </c>
      <c r="C287" t="s">
        <v>43</v>
      </c>
      <c r="D287" t="s">
        <v>343</v>
      </c>
      <c r="E287" t="s">
        <v>21</v>
      </c>
      <c r="F287" t="s">
        <v>22</v>
      </c>
      <c r="G287" s="1">
        <v>5625</v>
      </c>
      <c r="H287" s="2">
        <v>45</v>
      </c>
      <c r="I287" s="5" t="str">
        <f>CONCATENATE(H287,"x",INT(G287/H287))</f>
        <v>45x125</v>
      </c>
      <c r="J287">
        <v>151</v>
      </c>
      <c r="K287">
        <v>61</v>
      </c>
      <c r="L287" s="3">
        <v>1611</v>
      </c>
      <c r="M287" s="3">
        <v>3487</v>
      </c>
      <c r="N287" s="3">
        <v>2407</v>
      </c>
      <c r="O287" s="3">
        <v>710990</v>
      </c>
      <c r="P287" s="3">
        <v>922990</v>
      </c>
      <c r="Q287" s="3">
        <v>796740</v>
      </c>
      <c r="R287" t="s">
        <v>23</v>
      </c>
      <c r="S287">
        <v>33.682346000000003</v>
      </c>
      <c r="T287">
        <v>-111.95205</v>
      </c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</row>
    <row r="288" spans="2:74" ht="16" thickTop="1" thickBot="1" x14ac:dyDescent="0.25">
      <c r="B288" t="s">
        <v>861</v>
      </c>
      <c r="C288" t="s">
        <v>469</v>
      </c>
      <c r="E288" t="s">
        <v>21</v>
      </c>
      <c r="F288" t="s">
        <v>22</v>
      </c>
      <c r="G288" s="1">
        <v>12600</v>
      </c>
      <c r="H288" s="2">
        <v>90</v>
      </c>
      <c r="I288" s="5" t="str">
        <f>CONCATENATE(H288,"x",INT(G288/H288))</f>
        <v>90x140</v>
      </c>
      <c r="J288">
        <v>117</v>
      </c>
      <c r="K288">
        <v>61</v>
      </c>
      <c r="L288" s="3">
        <v>2812</v>
      </c>
      <c r="M288" s="3">
        <v>3550</v>
      </c>
      <c r="N288" s="3">
        <v>3182</v>
      </c>
      <c r="O288" s="3">
        <v>693950</v>
      </c>
      <c r="P288" s="3">
        <v>1200000</v>
      </c>
      <c r="Q288" s="3">
        <v>833360</v>
      </c>
      <c r="S288">
        <v>33.210402999999999</v>
      </c>
      <c r="T288">
        <v>-111.62466999999999</v>
      </c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</row>
    <row r="289" spans="2:74" ht="16" thickTop="1" thickBot="1" x14ac:dyDescent="0.25">
      <c r="B289" t="s">
        <v>112</v>
      </c>
      <c r="C289" t="s">
        <v>94</v>
      </c>
      <c r="E289" t="s">
        <v>21</v>
      </c>
      <c r="F289" t="s">
        <v>22</v>
      </c>
      <c r="G289" s="1">
        <v>3400</v>
      </c>
      <c r="H289">
        <v>34</v>
      </c>
      <c r="I289" s="5" t="str">
        <f>CONCATENATE(H289,"x",INT(G289/H289))</f>
        <v>34x100</v>
      </c>
      <c r="J289">
        <v>45</v>
      </c>
      <c r="K289">
        <v>61</v>
      </c>
      <c r="L289" s="3">
        <v>1735</v>
      </c>
      <c r="M289" s="3">
        <v>2718</v>
      </c>
      <c r="N289" s="3">
        <v>2112</v>
      </c>
      <c r="O289" s="3">
        <v>369000</v>
      </c>
      <c r="P289" s="3">
        <v>496000</v>
      </c>
      <c r="Q289" s="3">
        <v>421833.3333</v>
      </c>
      <c r="S289">
        <v>32.264366000000003</v>
      </c>
      <c r="T289">
        <v>-111.02158</v>
      </c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</row>
    <row r="290" spans="2:74" ht="16" thickTop="1" thickBot="1" x14ac:dyDescent="0.25">
      <c r="B290" t="s">
        <v>578</v>
      </c>
      <c r="C290" t="s">
        <v>94</v>
      </c>
      <c r="D290" t="s">
        <v>267</v>
      </c>
      <c r="E290" t="s">
        <v>21</v>
      </c>
      <c r="F290" t="s">
        <v>22</v>
      </c>
      <c r="G290" s="1">
        <v>6600</v>
      </c>
      <c r="H290" s="2">
        <v>55</v>
      </c>
      <c r="I290" s="5" t="str">
        <f>CONCATENATE(H290,"x",INT(G290/H290))</f>
        <v>55x120</v>
      </c>
      <c r="J290">
        <v>3</v>
      </c>
      <c r="K290">
        <v>61</v>
      </c>
      <c r="L290" s="3">
        <v>2205</v>
      </c>
      <c r="M290" s="3">
        <v>2918</v>
      </c>
      <c r="N290" s="3">
        <v>2537</v>
      </c>
      <c r="O290" s="3">
        <v>420000</v>
      </c>
      <c r="P290" s="3">
        <v>485000</v>
      </c>
      <c r="Q290" s="3">
        <v>449666.6666</v>
      </c>
      <c r="S290">
        <v>32.073563</v>
      </c>
      <c r="T290">
        <v>-110.72272</v>
      </c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</row>
    <row r="291" spans="2:74" ht="16" thickTop="1" thickBot="1" x14ac:dyDescent="0.25">
      <c r="B291" t="s">
        <v>421</v>
      </c>
      <c r="C291" t="s">
        <v>114</v>
      </c>
      <c r="D291" t="s">
        <v>293</v>
      </c>
      <c r="E291" t="s">
        <v>21</v>
      </c>
      <c r="F291" t="s">
        <v>22</v>
      </c>
      <c r="G291" s="1">
        <v>5750</v>
      </c>
      <c r="H291" s="2">
        <v>50</v>
      </c>
      <c r="I291" s="5" t="str">
        <f>CONCATENATE(H291,"x",INT(G291/H291))</f>
        <v>50x115</v>
      </c>
      <c r="J291">
        <v>114</v>
      </c>
      <c r="K291">
        <v>61</v>
      </c>
      <c r="L291" s="3">
        <v>1832</v>
      </c>
      <c r="M291" s="3">
        <v>2406</v>
      </c>
      <c r="N291" s="3">
        <v>2102</v>
      </c>
      <c r="O291" s="3">
        <v>427990</v>
      </c>
      <c r="P291" s="3">
        <v>491990</v>
      </c>
      <c r="Q291" s="3">
        <v>455823.3333</v>
      </c>
      <c r="S291">
        <v>33.367812999999998</v>
      </c>
      <c r="T291">
        <v>-112.20728</v>
      </c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</row>
    <row r="292" spans="2:74" ht="16" thickTop="1" thickBot="1" x14ac:dyDescent="0.25">
      <c r="B292" t="s">
        <v>125</v>
      </c>
      <c r="C292" t="s">
        <v>126</v>
      </c>
      <c r="D292" t="s">
        <v>127</v>
      </c>
      <c r="E292" t="s">
        <v>21</v>
      </c>
      <c r="F292" t="s">
        <v>22</v>
      </c>
      <c r="G292" s="1">
        <v>1800</v>
      </c>
      <c r="H292">
        <v>37</v>
      </c>
      <c r="I292" s="5" t="str">
        <f>CONCATENATE(H292,"x",INT(G292/H292))</f>
        <v>37x48</v>
      </c>
      <c r="J292">
        <v>74</v>
      </c>
      <c r="K292">
        <v>61</v>
      </c>
      <c r="L292" s="3">
        <v>1559</v>
      </c>
      <c r="M292" s="3">
        <v>1965</v>
      </c>
      <c r="N292" s="3">
        <v>1814</v>
      </c>
      <c r="O292" s="3">
        <v>454720</v>
      </c>
      <c r="P292" s="3">
        <v>499990</v>
      </c>
      <c r="Q292" s="3">
        <v>481561.25</v>
      </c>
      <c r="S292">
        <v>33.328892000000003</v>
      </c>
      <c r="T292">
        <v>-111.61977</v>
      </c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</row>
    <row r="293" spans="2:74" ht="16" thickTop="1" thickBot="1" x14ac:dyDescent="0.25">
      <c r="B293" t="s">
        <v>668</v>
      </c>
      <c r="C293" t="s">
        <v>144</v>
      </c>
      <c r="D293" t="s">
        <v>161</v>
      </c>
      <c r="E293" t="s">
        <v>21</v>
      </c>
      <c r="F293" t="s">
        <v>22</v>
      </c>
      <c r="G293" s="1">
        <v>7200</v>
      </c>
      <c r="H293" s="2">
        <v>60</v>
      </c>
      <c r="I293" s="5" t="str">
        <f>CONCATENATE(H293,"x",INT(G293/H293))</f>
        <v>60x120</v>
      </c>
      <c r="J293">
        <v>15</v>
      </c>
      <c r="K293">
        <v>60</v>
      </c>
      <c r="L293" s="3">
        <v>1852</v>
      </c>
      <c r="M293" s="3">
        <v>2749</v>
      </c>
      <c r="N293" s="3">
        <v>2290</v>
      </c>
      <c r="O293" s="3">
        <v>370990</v>
      </c>
      <c r="P293" s="3">
        <v>460990</v>
      </c>
      <c r="Q293" s="3">
        <v>408240</v>
      </c>
      <c r="S293">
        <v>32.430061000000002</v>
      </c>
      <c r="T293">
        <v>-111.19070000000001</v>
      </c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</row>
    <row r="294" spans="2:74" ht="16" thickTop="1" thickBot="1" x14ac:dyDescent="0.25">
      <c r="B294" t="s">
        <v>757</v>
      </c>
      <c r="C294" t="s">
        <v>144</v>
      </c>
      <c r="D294" t="s">
        <v>542</v>
      </c>
      <c r="E294" t="s">
        <v>21</v>
      </c>
      <c r="F294" t="s">
        <v>22</v>
      </c>
      <c r="G294" s="1">
        <v>8160</v>
      </c>
      <c r="H294" s="2">
        <v>68</v>
      </c>
      <c r="I294" s="5" t="str">
        <f>CONCATENATE(H294,"x",INT(G294/H294))</f>
        <v>68x120</v>
      </c>
      <c r="J294">
        <v>7</v>
      </c>
      <c r="K294">
        <v>60</v>
      </c>
      <c r="L294" s="3">
        <v>2598</v>
      </c>
      <c r="M294" s="3">
        <v>3024</v>
      </c>
      <c r="N294" s="3">
        <v>2765</v>
      </c>
      <c r="O294" s="3">
        <v>544990</v>
      </c>
      <c r="P294" s="3">
        <v>599990</v>
      </c>
      <c r="Q294" s="3">
        <v>574990</v>
      </c>
      <c r="S294">
        <v>33.481910999999997</v>
      </c>
      <c r="T294">
        <v>-112.49055</v>
      </c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</row>
    <row r="295" spans="2:74" ht="16" thickTop="1" thickBot="1" x14ac:dyDescent="0.25">
      <c r="B295" t="s">
        <v>472</v>
      </c>
      <c r="C295" t="s">
        <v>38</v>
      </c>
      <c r="D295" t="s">
        <v>329</v>
      </c>
      <c r="E295" t="s">
        <v>21</v>
      </c>
      <c r="F295" t="s">
        <v>22</v>
      </c>
      <c r="G295" s="1">
        <v>6000</v>
      </c>
      <c r="H295" s="2">
        <v>50</v>
      </c>
      <c r="I295" s="5" t="str">
        <f>CONCATENATE(H295,"x",INT(G295/H295))</f>
        <v>50x120</v>
      </c>
      <c r="J295">
        <v>33</v>
      </c>
      <c r="K295">
        <v>60</v>
      </c>
      <c r="L295" s="3">
        <v>1952</v>
      </c>
      <c r="M295" s="3">
        <v>2918</v>
      </c>
      <c r="N295" s="3">
        <v>2406</v>
      </c>
      <c r="O295" s="3">
        <v>448990</v>
      </c>
      <c r="P295" s="3">
        <v>514990</v>
      </c>
      <c r="Q295" s="3">
        <v>477790</v>
      </c>
      <c r="S295">
        <v>33.588405999999999</v>
      </c>
      <c r="T295">
        <v>-112.42008</v>
      </c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</row>
    <row r="296" spans="2:74" ht="16" thickTop="1" thickBot="1" x14ac:dyDescent="0.25">
      <c r="B296" t="s">
        <v>263</v>
      </c>
      <c r="C296" t="s">
        <v>116</v>
      </c>
      <c r="E296" t="s">
        <v>21</v>
      </c>
      <c r="F296" t="s">
        <v>22</v>
      </c>
      <c r="G296" s="1">
        <v>5175</v>
      </c>
      <c r="H296" s="2">
        <v>45</v>
      </c>
      <c r="I296" s="5" t="str">
        <f>CONCATENATE(H296,"x",INT(G296/H296))</f>
        <v>45x115</v>
      </c>
      <c r="J296">
        <v>74</v>
      </c>
      <c r="K296">
        <v>59</v>
      </c>
      <c r="L296" s="3">
        <v>1439</v>
      </c>
      <c r="M296" s="3">
        <v>2529</v>
      </c>
      <c r="N296" s="3">
        <v>1941</v>
      </c>
      <c r="O296" s="3">
        <v>348990</v>
      </c>
      <c r="P296" s="3">
        <v>424990</v>
      </c>
      <c r="Q296" s="3">
        <v>384990</v>
      </c>
      <c r="S296">
        <v>33.413505999999998</v>
      </c>
      <c r="T296">
        <v>-112.24059</v>
      </c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</row>
    <row r="297" spans="2:74" ht="16" thickTop="1" thickBot="1" x14ac:dyDescent="0.25">
      <c r="B297" t="s">
        <v>262</v>
      </c>
      <c r="C297" t="s">
        <v>144</v>
      </c>
      <c r="D297" t="s">
        <v>249</v>
      </c>
      <c r="E297" t="s">
        <v>21</v>
      </c>
      <c r="F297" t="s">
        <v>22</v>
      </c>
      <c r="G297" s="1">
        <v>5175</v>
      </c>
      <c r="H297" s="2">
        <v>45</v>
      </c>
      <c r="I297" s="5" t="str">
        <f>CONCATENATE(H297,"x",INT(G297/H297))</f>
        <v>45x115</v>
      </c>
      <c r="J297">
        <v>4</v>
      </c>
      <c r="K297">
        <v>59</v>
      </c>
      <c r="L297" s="3">
        <v>1232</v>
      </c>
      <c r="M297" s="3">
        <v>1411</v>
      </c>
      <c r="N297" s="3">
        <v>1347</v>
      </c>
      <c r="O297" s="3">
        <v>359990</v>
      </c>
      <c r="P297" s="3">
        <v>377990</v>
      </c>
      <c r="Q297" s="3">
        <v>370990</v>
      </c>
      <c r="S297">
        <v>33.405071</v>
      </c>
      <c r="T297">
        <v>-112.32816</v>
      </c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</row>
    <row r="298" spans="2:74" ht="16" thickTop="1" thickBot="1" x14ac:dyDescent="0.25">
      <c r="B298" t="s">
        <v>834</v>
      </c>
      <c r="C298" t="s">
        <v>38</v>
      </c>
      <c r="D298" t="s">
        <v>284</v>
      </c>
      <c r="E298" t="s">
        <v>21</v>
      </c>
      <c r="F298" t="s">
        <v>22</v>
      </c>
      <c r="G298" s="1">
        <v>10400</v>
      </c>
      <c r="H298" s="2">
        <v>80</v>
      </c>
      <c r="I298" s="5" t="str">
        <f>CONCATENATE(H298,"x",INT(G298/H298))</f>
        <v>80x130</v>
      </c>
      <c r="J298">
        <v>56</v>
      </c>
      <c r="K298">
        <v>59</v>
      </c>
      <c r="L298" s="3">
        <v>2184</v>
      </c>
      <c r="M298" s="3">
        <v>2981</v>
      </c>
      <c r="N298" s="3">
        <v>2602</v>
      </c>
      <c r="O298" s="3">
        <v>537990</v>
      </c>
      <c r="P298" s="3">
        <v>595990</v>
      </c>
      <c r="Q298" s="3">
        <v>571990</v>
      </c>
      <c r="S298">
        <v>33.343280999999998</v>
      </c>
      <c r="T298">
        <v>-112.17229</v>
      </c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</row>
    <row r="299" spans="2:74" ht="16" thickTop="1" thickBot="1" x14ac:dyDescent="0.25">
      <c r="B299" t="s">
        <v>184</v>
      </c>
      <c r="C299" t="s">
        <v>29</v>
      </c>
      <c r="D299" t="s">
        <v>184</v>
      </c>
      <c r="E299" t="s">
        <v>21</v>
      </c>
      <c r="F299" t="s">
        <v>22</v>
      </c>
      <c r="G299" s="1">
        <v>6360</v>
      </c>
      <c r="H299" s="2">
        <v>53</v>
      </c>
      <c r="I299" s="5" t="str">
        <f>CONCATENATE(H299,"x",INT(G299/H299))</f>
        <v>53x120</v>
      </c>
      <c r="J299">
        <v>163</v>
      </c>
      <c r="K299">
        <v>58</v>
      </c>
      <c r="L299" s="3">
        <v>2332</v>
      </c>
      <c r="M299" s="3">
        <v>3859</v>
      </c>
      <c r="N299" s="3">
        <v>2934</v>
      </c>
      <c r="O299" s="3">
        <v>791990</v>
      </c>
      <c r="P299" s="3">
        <v>940990</v>
      </c>
      <c r="Q299" s="3">
        <v>857132.85710000002</v>
      </c>
      <c r="S299">
        <v>33.717396000000001</v>
      </c>
      <c r="T299">
        <v>-112.10513</v>
      </c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</row>
    <row r="300" spans="2:74" ht="16" thickTop="1" thickBot="1" x14ac:dyDescent="0.25">
      <c r="B300" t="s">
        <v>502</v>
      </c>
      <c r="C300" t="s">
        <v>151</v>
      </c>
      <c r="D300" t="s">
        <v>349</v>
      </c>
      <c r="E300" t="s">
        <v>21</v>
      </c>
      <c r="F300" t="s">
        <v>22</v>
      </c>
      <c r="G300" s="1">
        <v>6250</v>
      </c>
      <c r="H300" s="2">
        <v>50</v>
      </c>
      <c r="I300" s="5" t="str">
        <f>CONCATENATE(H300,"x",INT(G300/H300))</f>
        <v>50x125</v>
      </c>
      <c r="J300">
        <v>100</v>
      </c>
      <c r="K300">
        <v>58</v>
      </c>
      <c r="L300" s="3">
        <v>1606</v>
      </c>
      <c r="M300" s="3">
        <v>2821</v>
      </c>
      <c r="N300" s="3">
        <v>2102</v>
      </c>
      <c r="O300" s="3">
        <v>362990</v>
      </c>
      <c r="P300" s="3">
        <v>440990</v>
      </c>
      <c r="Q300" s="3">
        <v>392190</v>
      </c>
      <c r="S300">
        <v>32.106098000000003</v>
      </c>
      <c r="T300">
        <v>-110.70622</v>
      </c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</row>
    <row r="301" spans="2:74" ht="16" thickTop="1" thickBot="1" x14ac:dyDescent="0.25">
      <c r="B301" t="s">
        <v>743</v>
      </c>
      <c r="C301" t="s">
        <v>136</v>
      </c>
      <c r="E301" t="s">
        <v>21</v>
      </c>
      <c r="F301" t="s">
        <v>22</v>
      </c>
      <c r="G301" s="1">
        <v>8775</v>
      </c>
      <c r="H301" s="2">
        <v>65</v>
      </c>
      <c r="I301" s="5" t="str">
        <f>CONCATENATE(H301,"x",INT(G301/H301))</f>
        <v>65x135</v>
      </c>
      <c r="J301">
        <v>51</v>
      </c>
      <c r="K301">
        <v>58</v>
      </c>
      <c r="L301" s="3">
        <v>2500</v>
      </c>
      <c r="M301" s="3">
        <v>2840</v>
      </c>
      <c r="N301" s="3">
        <v>2650</v>
      </c>
      <c r="O301" s="3">
        <v>617990</v>
      </c>
      <c r="P301" s="3">
        <v>790990</v>
      </c>
      <c r="Q301" s="3">
        <v>701323.33330000006</v>
      </c>
      <c r="S301">
        <v>33.249564999999997</v>
      </c>
      <c r="T301">
        <v>-111.66110999999999</v>
      </c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</row>
    <row r="302" spans="2:74" ht="16" thickTop="1" thickBot="1" x14ac:dyDescent="0.25">
      <c r="B302" t="s">
        <v>385</v>
      </c>
      <c r="C302" t="s">
        <v>68</v>
      </c>
      <c r="E302" t="s">
        <v>21</v>
      </c>
      <c r="F302" t="s">
        <v>22</v>
      </c>
      <c r="G302" s="1">
        <v>5000</v>
      </c>
      <c r="H302" s="2">
        <v>50</v>
      </c>
      <c r="I302" s="5" t="str">
        <f>CONCATENATE(H302,"x",INT(G302/H302))</f>
        <v>50x100</v>
      </c>
      <c r="J302">
        <v>57</v>
      </c>
      <c r="K302">
        <v>58</v>
      </c>
      <c r="L302" s="3">
        <v>1968</v>
      </c>
      <c r="M302" s="3">
        <v>2648</v>
      </c>
      <c r="N302" s="3">
        <v>2278</v>
      </c>
      <c r="O302" s="3">
        <v>490990</v>
      </c>
      <c r="P302" s="3">
        <v>545990</v>
      </c>
      <c r="Q302" s="3">
        <v>519990</v>
      </c>
      <c r="S302">
        <v>33.275168999999998</v>
      </c>
      <c r="T302">
        <v>-111.62461999999999</v>
      </c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</row>
    <row r="303" spans="2:74" ht="16" thickTop="1" thickBot="1" x14ac:dyDescent="0.25">
      <c r="B303" t="s">
        <v>795</v>
      </c>
      <c r="C303" t="s">
        <v>110</v>
      </c>
      <c r="D303" t="s">
        <v>689</v>
      </c>
      <c r="E303" t="s">
        <v>21</v>
      </c>
      <c r="F303" t="s">
        <v>22</v>
      </c>
      <c r="G303" s="1">
        <v>9100</v>
      </c>
      <c r="H303" s="2">
        <v>70</v>
      </c>
      <c r="I303" s="5" t="str">
        <f>CONCATENATE(H303,"x",INT(G303/H303))</f>
        <v>70x130</v>
      </c>
      <c r="J303">
        <v>6</v>
      </c>
      <c r="K303">
        <v>58</v>
      </c>
      <c r="L303" s="3">
        <v>2312</v>
      </c>
      <c r="M303" s="3">
        <v>3055</v>
      </c>
      <c r="N303" s="3">
        <v>2680</v>
      </c>
      <c r="O303" s="3">
        <v>716990</v>
      </c>
      <c r="P303" s="3">
        <v>828990</v>
      </c>
      <c r="Q303" s="3">
        <v>768490</v>
      </c>
      <c r="S303">
        <v>34.621174000000003</v>
      </c>
      <c r="T303">
        <v>-112.38782</v>
      </c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</row>
    <row r="304" spans="2:74" ht="16" thickTop="1" thickBot="1" x14ac:dyDescent="0.25">
      <c r="B304" t="s">
        <v>264</v>
      </c>
      <c r="C304" t="s">
        <v>151</v>
      </c>
      <c r="D304" t="s">
        <v>265</v>
      </c>
      <c r="E304" t="s">
        <v>21</v>
      </c>
      <c r="F304" t="s">
        <v>22</v>
      </c>
      <c r="G304" s="1">
        <v>5175</v>
      </c>
      <c r="H304" s="2">
        <v>45</v>
      </c>
      <c r="I304" s="5" t="str">
        <f>CONCATENATE(H304,"x",INT(G304/H304))</f>
        <v>45x115</v>
      </c>
      <c r="J304">
        <v>9</v>
      </c>
      <c r="K304">
        <v>57</v>
      </c>
      <c r="L304" s="3">
        <v>1730</v>
      </c>
      <c r="M304" s="3">
        <v>2605</v>
      </c>
      <c r="N304" s="3">
        <v>2091</v>
      </c>
      <c r="O304" s="3">
        <v>453990</v>
      </c>
      <c r="P304" s="3">
        <v>547990</v>
      </c>
      <c r="Q304" s="3">
        <v>492240</v>
      </c>
      <c r="S304">
        <v>33.774009999999997</v>
      </c>
      <c r="T304">
        <v>-112.35236</v>
      </c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</row>
    <row r="305" spans="2:74" ht="16" thickTop="1" thickBot="1" x14ac:dyDescent="0.25">
      <c r="B305" t="s">
        <v>796</v>
      </c>
      <c r="C305" t="s">
        <v>38</v>
      </c>
      <c r="D305" t="s">
        <v>40</v>
      </c>
      <c r="E305" t="s">
        <v>21</v>
      </c>
      <c r="F305" t="s">
        <v>22</v>
      </c>
      <c r="G305" s="1">
        <v>9100</v>
      </c>
      <c r="H305" s="2">
        <v>70</v>
      </c>
      <c r="I305" s="5" t="str">
        <f>CONCATENATE(H305,"x",INT(G305/H305))</f>
        <v>70x130</v>
      </c>
      <c r="J305">
        <v>5</v>
      </c>
      <c r="K305">
        <v>57</v>
      </c>
      <c r="L305" s="3">
        <v>2661</v>
      </c>
      <c r="M305" s="3">
        <v>4517</v>
      </c>
      <c r="N305" s="3">
        <v>3624</v>
      </c>
      <c r="O305" s="3">
        <v>671990</v>
      </c>
      <c r="P305" s="3">
        <v>829990</v>
      </c>
      <c r="Q305" s="3">
        <v>759590</v>
      </c>
      <c r="S305">
        <v>33.252769000000001</v>
      </c>
      <c r="T305">
        <v>-111.67075</v>
      </c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</row>
    <row r="306" spans="2:74" ht="16" thickTop="1" thickBot="1" x14ac:dyDescent="0.25">
      <c r="B306" t="s">
        <v>266</v>
      </c>
      <c r="C306" t="s">
        <v>94</v>
      </c>
      <c r="D306" t="s">
        <v>267</v>
      </c>
      <c r="E306" t="s">
        <v>21</v>
      </c>
      <c r="F306" t="s">
        <v>22</v>
      </c>
      <c r="G306" s="1">
        <v>5175</v>
      </c>
      <c r="H306" s="2">
        <v>45</v>
      </c>
      <c r="I306" s="5" t="str">
        <f>CONCATENATE(H306,"x",INT(G306/H306))</f>
        <v>45x115</v>
      </c>
      <c r="J306">
        <v>3</v>
      </c>
      <c r="K306">
        <v>56</v>
      </c>
      <c r="L306" s="3">
        <v>1815</v>
      </c>
      <c r="M306" s="3">
        <v>2286</v>
      </c>
      <c r="N306" s="3">
        <v>2055</v>
      </c>
      <c r="O306" s="3">
        <v>359000</v>
      </c>
      <c r="P306" s="3">
        <v>403000</v>
      </c>
      <c r="Q306" s="3">
        <v>382750</v>
      </c>
      <c r="S306">
        <v>32.068877999999998</v>
      </c>
      <c r="T306">
        <v>-110.7223</v>
      </c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</row>
    <row r="307" spans="2:74" ht="16" thickTop="1" thickBot="1" x14ac:dyDescent="0.25">
      <c r="B307" t="s">
        <v>593</v>
      </c>
      <c r="C307" t="s">
        <v>94</v>
      </c>
      <c r="E307" t="s">
        <v>21</v>
      </c>
      <c r="F307" t="s">
        <v>22</v>
      </c>
      <c r="G307" s="1">
        <v>7150</v>
      </c>
      <c r="H307" s="2">
        <v>55</v>
      </c>
      <c r="I307" s="5" t="str">
        <f>CONCATENATE(H307,"x",INT(G307/H307))</f>
        <v>55x130</v>
      </c>
      <c r="J307">
        <v>277</v>
      </c>
      <c r="K307">
        <v>56</v>
      </c>
      <c r="L307" s="3">
        <v>1972</v>
      </c>
      <c r="M307" s="3">
        <v>3607</v>
      </c>
      <c r="N307" s="3">
        <v>2906</v>
      </c>
      <c r="O307" s="3">
        <v>460490</v>
      </c>
      <c r="P307" s="3">
        <v>694990</v>
      </c>
      <c r="Q307" s="3">
        <v>578340</v>
      </c>
      <c r="S307">
        <v>33.510204000000002</v>
      </c>
      <c r="T307">
        <v>-112.453</v>
      </c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</row>
    <row r="308" spans="2:74" ht="16" thickTop="1" thickBot="1" x14ac:dyDescent="0.25">
      <c r="B308" t="s">
        <v>109</v>
      </c>
      <c r="C308" t="s">
        <v>110</v>
      </c>
      <c r="E308" t="s">
        <v>21</v>
      </c>
      <c r="F308" t="s">
        <v>22</v>
      </c>
      <c r="G308" s="1">
        <v>2240</v>
      </c>
      <c r="H308">
        <v>32</v>
      </c>
      <c r="I308" s="5" t="str">
        <f>CONCATENATE(H308,"x",INT(G308/H308))</f>
        <v>32x70</v>
      </c>
      <c r="J308">
        <v>54</v>
      </c>
      <c r="K308">
        <v>56</v>
      </c>
      <c r="L308" s="3">
        <v>1464</v>
      </c>
      <c r="M308" s="3">
        <v>2055</v>
      </c>
      <c r="N308" s="3">
        <v>1777</v>
      </c>
      <c r="O308" s="3">
        <v>402990</v>
      </c>
      <c r="P308" s="3">
        <v>442990</v>
      </c>
      <c r="Q308" s="3">
        <v>425847.14279999997</v>
      </c>
      <c r="S308">
        <v>33.272015000000003</v>
      </c>
      <c r="T308">
        <v>-111.58107</v>
      </c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</row>
    <row r="309" spans="2:74" ht="16" thickTop="1" thickBot="1" x14ac:dyDescent="0.25">
      <c r="B309" t="s">
        <v>321</v>
      </c>
      <c r="C309" t="s">
        <v>240</v>
      </c>
      <c r="D309" t="s">
        <v>147</v>
      </c>
      <c r="E309" t="s">
        <v>21</v>
      </c>
      <c r="F309" t="s">
        <v>22</v>
      </c>
      <c r="G309" s="1">
        <v>5400</v>
      </c>
      <c r="H309" s="2">
        <v>45</v>
      </c>
      <c r="I309" s="5" t="str">
        <f>CONCATENATE(H309,"x",INT(G309/H309))</f>
        <v>45x120</v>
      </c>
      <c r="J309">
        <v>41</v>
      </c>
      <c r="K309">
        <v>55</v>
      </c>
      <c r="L309" s="3">
        <v>1353</v>
      </c>
      <c r="M309" s="3">
        <v>2197</v>
      </c>
      <c r="N309" s="3">
        <v>1757</v>
      </c>
      <c r="O309" s="3">
        <v>333990</v>
      </c>
      <c r="P309" s="3">
        <v>391990</v>
      </c>
      <c r="Q309" s="3">
        <v>360740</v>
      </c>
      <c r="S309">
        <v>32.113807999999999</v>
      </c>
      <c r="T309">
        <v>-110.85165000000001</v>
      </c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</row>
    <row r="310" spans="2:74" ht="16" thickTop="1" thickBot="1" x14ac:dyDescent="0.25">
      <c r="B310" t="s">
        <v>797</v>
      </c>
      <c r="C310" t="s">
        <v>144</v>
      </c>
      <c r="D310" t="s">
        <v>656</v>
      </c>
      <c r="E310" t="s">
        <v>21</v>
      </c>
      <c r="F310" t="s">
        <v>22</v>
      </c>
      <c r="G310" s="1">
        <v>9100</v>
      </c>
      <c r="H310" s="2">
        <v>70</v>
      </c>
      <c r="I310" s="5" t="str">
        <f>CONCATENATE(H310,"x",INT(G310/H310))</f>
        <v>70x130</v>
      </c>
      <c r="J310">
        <v>0</v>
      </c>
      <c r="K310">
        <v>55</v>
      </c>
      <c r="L310" s="3">
        <v>1930</v>
      </c>
      <c r="M310" s="3">
        <v>3005</v>
      </c>
      <c r="N310" s="3">
        <v>2443</v>
      </c>
      <c r="O310" s="3">
        <v>364990</v>
      </c>
      <c r="P310" s="3">
        <v>435990</v>
      </c>
      <c r="Q310" s="3">
        <v>402156.6666</v>
      </c>
      <c r="S310">
        <v>31.936720000000001</v>
      </c>
      <c r="T310">
        <v>-110.76148000000001</v>
      </c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</row>
    <row r="311" spans="2:74" ht="16" thickTop="1" thickBot="1" x14ac:dyDescent="0.25">
      <c r="B311" t="s">
        <v>679</v>
      </c>
      <c r="C311" t="s">
        <v>36</v>
      </c>
      <c r="E311" t="s">
        <v>21</v>
      </c>
      <c r="F311" t="s">
        <v>22</v>
      </c>
      <c r="G311" s="1">
        <v>7500</v>
      </c>
      <c r="H311" s="2">
        <v>60</v>
      </c>
      <c r="I311" s="5" t="str">
        <f>CONCATENATE(H311,"x",INT(G311/H311))</f>
        <v>60x125</v>
      </c>
      <c r="J311">
        <v>31</v>
      </c>
      <c r="K311">
        <v>55</v>
      </c>
      <c r="L311" s="3">
        <v>2427</v>
      </c>
      <c r="M311" s="3">
        <v>3199</v>
      </c>
      <c r="N311" s="3">
        <v>2748</v>
      </c>
      <c r="O311" s="3">
        <v>709000</v>
      </c>
      <c r="P311" s="3">
        <v>889000</v>
      </c>
      <c r="Q311" s="3">
        <v>771500</v>
      </c>
      <c r="R311" t="s">
        <v>23</v>
      </c>
      <c r="S311">
        <v>33.232039999999998</v>
      </c>
      <c r="T311">
        <v>-111.81740000000001</v>
      </c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</row>
    <row r="312" spans="2:74" ht="16" thickTop="1" thickBot="1" x14ac:dyDescent="0.25">
      <c r="B312" t="s">
        <v>473</v>
      </c>
      <c r="C312" t="s">
        <v>248</v>
      </c>
      <c r="D312" t="s">
        <v>249</v>
      </c>
      <c r="E312" t="s">
        <v>21</v>
      </c>
      <c r="F312" t="s">
        <v>22</v>
      </c>
      <c r="G312" s="1">
        <v>6000</v>
      </c>
      <c r="H312" s="2">
        <v>50</v>
      </c>
      <c r="I312" s="5" t="str">
        <f>CONCATENATE(H312,"x",INT(G312/H312))</f>
        <v>50x120</v>
      </c>
      <c r="J312">
        <v>5</v>
      </c>
      <c r="K312">
        <v>54</v>
      </c>
      <c r="L312" s="3">
        <v>1998</v>
      </c>
      <c r="M312" s="3">
        <v>3094</v>
      </c>
      <c r="N312" s="3">
        <v>2525</v>
      </c>
      <c r="O312" s="3">
        <v>432593</v>
      </c>
      <c r="P312" s="3">
        <v>520423</v>
      </c>
      <c r="Q312" s="3">
        <v>472433.25</v>
      </c>
      <c r="S312">
        <v>33.404549000000003</v>
      </c>
      <c r="T312">
        <v>-112.33065000000001</v>
      </c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</row>
    <row r="313" spans="2:74" ht="16" thickTop="1" thickBot="1" x14ac:dyDescent="0.25">
      <c r="B313" t="s">
        <v>543</v>
      </c>
      <c r="C313" t="s">
        <v>240</v>
      </c>
      <c r="E313" t="s">
        <v>21</v>
      </c>
      <c r="F313" t="s">
        <v>22</v>
      </c>
      <c r="G313" s="1">
        <v>6360</v>
      </c>
      <c r="H313" s="2">
        <v>53</v>
      </c>
      <c r="I313" s="5" t="str">
        <f>CONCATENATE(H313,"x",INT(G313/H313))</f>
        <v>53x120</v>
      </c>
      <c r="J313">
        <v>78</v>
      </c>
      <c r="K313">
        <v>54</v>
      </c>
      <c r="L313" s="3">
        <v>1808</v>
      </c>
      <c r="M313" s="3">
        <v>2389</v>
      </c>
      <c r="N313" s="3">
        <v>2122</v>
      </c>
      <c r="O313" s="3">
        <v>394990</v>
      </c>
      <c r="P313" s="3">
        <v>421990</v>
      </c>
      <c r="Q313" s="3">
        <v>410740</v>
      </c>
      <c r="S313">
        <v>33.425460999999999</v>
      </c>
      <c r="T313">
        <v>-112.58132000000001</v>
      </c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</row>
    <row r="314" spans="2:74" ht="16" thickTop="1" thickBot="1" x14ac:dyDescent="0.25">
      <c r="B314" t="s">
        <v>784</v>
      </c>
      <c r="C314" t="s">
        <v>144</v>
      </c>
      <c r="D314" t="s">
        <v>246</v>
      </c>
      <c r="E314" t="s">
        <v>21</v>
      </c>
      <c r="F314" t="s">
        <v>22</v>
      </c>
      <c r="G314" s="1">
        <v>8750</v>
      </c>
      <c r="H314" s="2">
        <v>70</v>
      </c>
      <c r="I314" s="5" t="str">
        <f>CONCATENATE(H314,"x",INT(G314/H314))</f>
        <v>70x125</v>
      </c>
      <c r="J314">
        <v>5</v>
      </c>
      <c r="K314">
        <v>54</v>
      </c>
      <c r="L314" s="3">
        <v>2163</v>
      </c>
      <c r="M314" s="3">
        <v>3024</v>
      </c>
      <c r="N314" s="3">
        <v>2607</v>
      </c>
      <c r="O314" s="3">
        <v>539990</v>
      </c>
      <c r="P314" s="3">
        <v>585990</v>
      </c>
      <c r="Q314" s="3">
        <v>560190</v>
      </c>
      <c r="S314">
        <v>33.173507999999998</v>
      </c>
      <c r="T314">
        <v>-111.52567999999999</v>
      </c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</row>
    <row r="315" spans="2:74" ht="16" thickTop="1" thickBot="1" x14ac:dyDescent="0.25">
      <c r="B315" t="s">
        <v>680</v>
      </c>
      <c r="C315" t="s">
        <v>151</v>
      </c>
      <c r="D315" t="s">
        <v>34</v>
      </c>
      <c r="E315" t="s">
        <v>21</v>
      </c>
      <c r="F315" t="s">
        <v>22</v>
      </c>
      <c r="G315" s="1">
        <v>7500</v>
      </c>
      <c r="H315" s="2">
        <v>60</v>
      </c>
      <c r="I315" s="5" t="str">
        <f>CONCATENATE(H315,"x",INT(G315/H315))</f>
        <v>60x125</v>
      </c>
      <c r="J315">
        <v>16</v>
      </c>
      <c r="K315">
        <v>54</v>
      </c>
      <c r="L315" s="3">
        <v>2261</v>
      </c>
      <c r="M315" s="3">
        <v>2582</v>
      </c>
      <c r="N315" s="3">
        <v>2431</v>
      </c>
      <c r="O315" s="3">
        <v>549990</v>
      </c>
      <c r="P315" s="3">
        <v>585990</v>
      </c>
      <c r="Q315" s="3">
        <v>569656.6666</v>
      </c>
      <c r="S315">
        <v>32.447780999999999</v>
      </c>
      <c r="T315">
        <v>-110.94801</v>
      </c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</row>
    <row r="316" spans="2:74" ht="16" thickTop="1" thickBot="1" x14ac:dyDescent="0.25">
      <c r="B316" t="s">
        <v>727</v>
      </c>
      <c r="C316" t="s">
        <v>38</v>
      </c>
      <c r="D316" t="s">
        <v>40</v>
      </c>
      <c r="E316" t="s">
        <v>21</v>
      </c>
      <c r="F316" t="s">
        <v>22</v>
      </c>
      <c r="G316" s="1">
        <v>8125</v>
      </c>
      <c r="H316" s="2">
        <v>65</v>
      </c>
      <c r="I316" s="5" t="str">
        <f>CONCATENATE(H316,"x",INT(G316/H316))</f>
        <v>65x125</v>
      </c>
      <c r="J316">
        <v>17</v>
      </c>
      <c r="K316">
        <v>54</v>
      </c>
      <c r="L316" s="3">
        <v>1955</v>
      </c>
      <c r="M316" s="3">
        <v>3491</v>
      </c>
      <c r="N316" s="3">
        <v>2778</v>
      </c>
      <c r="O316" s="3">
        <v>549990</v>
      </c>
      <c r="P316" s="3">
        <v>680990</v>
      </c>
      <c r="Q316" s="3">
        <v>622156.6666</v>
      </c>
      <c r="S316">
        <v>33.250216999999999</v>
      </c>
      <c r="T316">
        <v>-111.67108</v>
      </c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</row>
    <row r="317" spans="2:74" ht="16" thickTop="1" thickBot="1" x14ac:dyDescent="0.25">
      <c r="B317" t="s">
        <v>514</v>
      </c>
      <c r="C317" t="s">
        <v>187</v>
      </c>
      <c r="D317" t="s">
        <v>127</v>
      </c>
      <c r="E317" t="s">
        <v>21</v>
      </c>
      <c r="F317" t="s">
        <v>22</v>
      </c>
      <c r="G317" s="1">
        <v>4000</v>
      </c>
      <c r="H317" s="2">
        <v>50</v>
      </c>
      <c r="I317" s="5" t="str">
        <f>CONCATENATE(H317,"x",INT(G317/H317))</f>
        <v>50x80</v>
      </c>
      <c r="J317">
        <v>74</v>
      </c>
      <c r="K317">
        <v>53</v>
      </c>
      <c r="L317" s="3">
        <v>1377</v>
      </c>
      <c r="M317" s="3">
        <v>2688</v>
      </c>
      <c r="N317" s="3">
        <v>2014</v>
      </c>
      <c r="O317" s="3">
        <v>442990</v>
      </c>
      <c r="P317" s="3">
        <v>551990</v>
      </c>
      <c r="Q317" s="3">
        <v>502490</v>
      </c>
      <c r="S317">
        <v>33.331904999999999</v>
      </c>
      <c r="T317">
        <v>-111.63113</v>
      </c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</row>
    <row r="318" spans="2:74" ht="16" thickTop="1" thickBot="1" x14ac:dyDescent="0.25">
      <c r="B318" t="s">
        <v>155</v>
      </c>
      <c r="C318" t="s">
        <v>144</v>
      </c>
      <c r="D318" t="s">
        <v>147</v>
      </c>
      <c r="E318" t="s">
        <v>21</v>
      </c>
      <c r="F318" t="s">
        <v>22</v>
      </c>
      <c r="G318" s="1">
        <v>4600</v>
      </c>
      <c r="H318" s="2">
        <v>40</v>
      </c>
      <c r="I318" s="5" t="str">
        <f>CONCATENATE(H318,"x",INT(G318/H318))</f>
        <v>40x115</v>
      </c>
      <c r="J318">
        <v>27</v>
      </c>
      <c r="K318">
        <v>53</v>
      </c>
      <c r="L318" s="3">
        <v>1366</v>
      </c>
      <c r="M318" s="3">
        <v>2570</v>
      </c>
      <c r="N318" s="3">
        <v>1999</v>
      </c>
      <c r="O318" s="3">
        <v>315990</v>
      </c>
      <c r="P318" s="3">
        <v>373990</v>
      </c>
      <c r="Q318" s="3">
        <v>345590</v>
      </c>
      <c r="S318">
        <v>32.113739000000002</v>
      </c>
      <c r="T318">
        <v>-110.84690999999999</v>
      </c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</row>
    <row r="319" spans="2:74" ht="16" thickTop="1" thickBot="1" x14ac:dyDescent="0.25">
      <c r="B319" t="s">
        <v>322</v>
      </c>
      <c r="C319" t="s">
        <v>114</v>
      </c>
      <c r="E319" t="s">
        <v>21</v>
      </c>
      <c r="F319" t="s">
        <v>22</v>
      </c>
      <c r="G319" s="1">
        <v>5400</v>
      </c>
      <c r="H319" s="2">
        <v>45</v>
      </c>
      <c r="I319" s="5" t="str">
        <f>CONCATENATE(H319,"x",INT(G319/H319))</f>
        <v>45x120</v>
      </c>
      <c r="J319">
        <v>40</v>
      </c>
      <c r="K319">
        <v>53</v>
      </c>
      <c r="L319" s="3">
        <v>1424</v>
      </c>
      <c r="M319" s="3">
        <v>2049</v>
      </c>
      <c r="N319" s="3">
        <v>1718</v>
      </c>
      <c r="O319" s="3">
        <v>318990</v>
      </c>
      <c r="P319" s="3">
        <v>358990</v>
      </c>
      <c r="Q319" s="3">
        <v>336490</v>
      </c>
      <c r="S319">
        <v>33.051281000000003</v>
      </c>
      <c r="T319">
        <v>-111.94591</v>
      </c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</row>
    <row r="320" spans="2:74" ht="16" thickTop="1" thickBot="1" x14ac:dyDescent="0.25">
      <c r="B320" t="s">
        <v>556</v>
      </c>
      <c r="C320" t="s">
        <v>136</v>
      </c>
      <c r="E320" t="s">
        <v>21</v>
      </c>
      <c r="F320" t="s">
        <v>22</v>
      </c>
      <c r="G320" s="1">
        <v>6325</v>
      </c>
      <c r="H320" s="2">
        <v>55</v>
      </c>
      <c r="I320" s="5" t="str">
        <f>CONCATENATE(H320,"x",INT(G320/H320))</f>
        <v>55x115</v>
      </c>
      <c r="J320">
        <v>130</v>
      </c>
      <c r="K320">
        <v>53</v>
      </c>
      <c r="L320" s="3">
        <v>1590</v>
      </c>
      <c r="M320" s="3">
        <v>2630</v>
      </c>
      <c r="N320" s="3">
        <v>1920</v>
      </c>
      <c r="O320" s="3">
        <v>323990</v>
      </c>
      <c r="P320" s="3">
        <v>376990</v>
      </c>
      <c r="Q320" s="3">
        <v>355132.85710000002</v>
      </c>
      <c r="S320">
        <v>32.842854000000003</v>
      </c>
      <c r="T320">
        <v>-111.69771</v>
      </c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</row>
    <row r="321" spans="2:74" ht="16" thickTop="1" thickBot="1" x14ac:dyDescent="0.25">
      <c r="B321" t="s">
        <v>268</v>
      </c>
      <c r="C321" t="s">
        <v>43</v>
      </c>
      <c r="D321" t="s">
        <v>269</v>
      </c>
      <c r="E321" t="s">
        <v>21</v>
      </c>
      <c r="F321" t="s">
        <v>22</v>
      </c>
      <c r="G321" s="1">
        <v>5175</v>
      </c>
      <c r="H321" s="2">
        <v>45</v>
      </c>
      <c r="I321" s="5" t="str">
        <f>CONCATENATE(H321,"x",INT(G321/H321))</f>
        <v>45x115</v>
      </c>
      <c r="J321">
        <v>14</v>
      </c>
      <c r="K321">
        <v>52</v>
      </c>
      <c r="L321" s="3">
        <v>1450</v>
      </c>
      <c r="M321" s="3">
        <v>1854</v>
      </c>
      <c r="N321" s="3">
        <v>1667</v>
      </c>
      <c r="O321" s="3">
        <v>325990</v>
      </c>
      <c r="P321" s="3">
        <v>344990</v>
      </c>
      <c r="Q321" s="3">
        <v>334490</v>
      </c>
      <c r="S321">
        <v>33.051071</v>
      </c>
      <c r="T321">
        <v>-111.48600999999999</v>
      </c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</row>
    <row r="322" spans="2:74" ht="16" thickTop="1" thickBot="1" x14ac:dyDescent="0.25">
      <c r="B322" t="s">
        <v>323</v>
      </c>
      <c r="C322" t="s">
        <v>116</v>
      </c>
      <c r="D322" t="s">
        <v>323</v>
      </c>
      <c r="E322" t="s">
        <v>21</v>
      </c>
      <c r="F322" t="s">
        <v>22</v>
      </c>
      <c r="G322" s="1">
        <v>5400</v>
      </c>
      <c r="H322" s="2">
        <v>45</v>
      </c>
      <c r="I322" s="5" t="str">
        <f>CONCATENATE(H322,"x",INT(G322/H322))</f>
        <v>45x120</v>
      </c>
      <c r="J322">
        <v>102</v>
      </c>
      <c r="K322">
        <v>52</v>
      </c>
      <c r="L322" s="3">
        <v>1439</v>
      </c>
      <c r="M322" s="3">
        <v>2373</v>
      </c>
      <c r="N322" s="3">
        <v>1880</v>
      </c>
      <c r="O322" s="3">
        <v>292990</v>
      </c>
      <c r="P322" s="3">
        <v>359990</v>
      </c>
      <c r="Q322" s="3">
        <v>320823.3333</v>
      </c>
      <c r="S322">
        <v>33.045895000000002</v>
      </c>
      <c r="T322">
        <v>-111.95834000000001</v>
      </c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</row>
    <row r="323" spans="2:74" ht="16" thickTop="1" thickBot="1" x14ac:dyDescent="0.25">
      <c r="B323" t="s">
        <v>854</v>
      </c>
      <c r="C323" t="s">
        <v>68</v>
      </c>
      <c r="E323" t="s">
        <v>21</v>
      </c>
      <c r="F323" t="s">
        <v>22</v>
      </c>
      <c r="G323" s="1">
        <v>10800</v>
      </c>
      <c r="H323" s="2">
        <v>90</v>
      </c>
      <c r="I323" s="5" t="str">
        <f>CONCATENATE(H323,"x",INT(G323/H323))</f>
        <v>90x120</v>
      </c>
      <c r="J323">
        <v>9</v>
      </c>
      <c r="K323">
        <v>52</v>
      </c>
      <c r="L323" s="3">
        <v>2973</v>
      </c>
      <c r="M323" s="3">
        <v>3097</v>
      </c>
      <c r="N323" s="3">
        <v>3033</v>
      </c>
      <c r="O323" s="3">
        <v>774990</v>
      </c>
      <c r="P323" s="3">
        <v>790990</v>
      </c>
      <c r="Q323" s="3">
        <v>783990</v>
      </c>
      <c r="S323">
        <v>33.186408999999998</v>
      </c>
      <c r="T323">
        <v>-111.62015</v>
      </c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</row>
    <row r="324" spans="2:74" ht="16" thickTop="1" thickBot="1" x14ac:dyDescent="0.25">
      <c r="B324" t="s">
        <v>758</v>
      </c>
      <c r="C324" t="s">
        <v>38</v>
      </c>
      <c r="D324" t="s">
        <v>193</v>
      </c>
      <c r="E324" t="s">
        <v>21</v>
      </c>
      <c r="F324" t="s">
        <v>22</v>
      </c>
      <c r="G324" s="1">
        <v>8160</v>
      </c>
      <c r="H324" s="2">
        <v>68</v>
      </c>
      <c r="I324" s="5" t="str">
        <f>CONCATENATE(H324,"x",INT(G324/H324))</f>
        <v>68x120</v>
      </c>
      <c r="J324">
        <v>56</v>
      </c>
      <c r="K324">
        <v>52</v>
      </c>
      <c r="L324" s="3">
        <v>2234</v>
      </c>
      <c r="M324" s="3">
        <v>2870</v>
      </c>
      <c r="N324" s="3">
        <v>2518</v>
      </c>
      <c r="O324" s="3">
        <v>612990</v>
      </c>
      <c r="P324" s="3">
        <v>688990</v>
      </c>
      <c r="Q324" s="3">
        <v>650990</v>
      </c>
      <c r="R324" t="s">
        <v>718</v>
      </c>
      <c r="S324">
        <v>33.507877000000001</v>
      </c>
      <c r="T324">
        <v>-112.51121000000001</v>
      </c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</row>
    <row r="325" spans="2:74" ht="16" thickTop="1" thickBot="1" x14ac:dyDescent="0.25">
      <c r="B325" t="s">
        <v>422</v>
      </c>
      <c r="C325" t="s">
        <v>139</v>
      </c>
      <c r="D325" t="s">
        <v>140</v>
      </c>
      <c r="E325" t="s">
        <v>21</v>
      </c>
      <c r="F325" t="s">
        <v>22</v>
      </c>
      <c r="G325" s="1">
        <v>5750</v>
      </c>
      <c r="H325" s="2">
        <v>50</v>
      </c>
      <c r="I325" s="5" t="str">
        <f>CONCATENATE(H325,"x",INT(G325/H325))</f>
        <v>50x115</v>
      </c>
      <c r="J325">
        <v>368</v>
      </c>
      <c r="K325">
        <v>52</v>
      </c>
      <c r="L325" s="3">
        <v>1222</v>
      </c>
      <c r="M325" s="3">
        <v>1596</v>
      </c>
      <c r="N325" s="3">
        <v>1454</v>
      </c>
      <c r="O325" s="3">
        <v>391900</v>
      </c>
      <c r="P325" s="3">
        <v>459900</v>
      </c>
      <c r="Q325" s="3">
        <v>425628.57140000002</v>
      </c>
      <c r="S325">
        <v>34.616810000000001</v>
      </c>
      <c r="T325">
        <v>-112.35352</v>
      </c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</row>
    <row r="326" spans="2:74" ht="16" thickTop="1" thickBot="1" x14ac:dyDescent="0.25">
      <c r="B326" t="s">
        <v>394</v>
      </c>
      <c r="C326" t="s">
        <v>350</v>
      </c>
      <c r="E326" t="s">
        <v>21</v>
      </c>
      <c r="F326" t="s">
        <v>22</v>
      </c>
      <c r="G326" s="1">
        <v>5500</v>
      </c>
      <c r="H326" s="2">
        <v>50</v>
      </c>
      <c r="I326" s="5" t="str">
        <f>CONCATENATE(H326,"x",INT(G326/H326))</f>
        <v>50x110</v>
      </c>
      <c r="J326">
        <v>74</v>
      </c>
      <c r="K326">
        <v>51</v>
      </c>
      <c r="L326" s="3">
        <v>1700</v>
      </c>
      <c r="M326" s="3">
        <v>3007</v>
      </c>
      <c r="N326" s="3">
        <v>2160</v>
      </c>
      <c r="O326" s="3">
        <v>598950</v>
      </c>
      <c r="P326" s="3">
        <v>674950</v>
      </c>
      <c r="Q326" s="3">
        <v>631450</v>
      </c>
      <c r="R326" t="s">
        <v>23</v>
      </c>
      <c r="S326">
        <v>33.482154999999999</v>
      </c>
      <c r="T326">
        <v>-111.70585</v>
      </c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</row>
    <row r="327" spans="2:74" ht="16" thickTop="1" thickBot="1" x14ac:dyDescent="0.25">
      <c r="B327" t="s">
        <v>166</v>
      </c>
      <c r="C327" t="s">
        <v>114</v>
      </c>
      <c r="E327" t="s">
        <v>21</v>
      </c>
      <c r="F327" t="s">
        <v>22</v>
      </c>
      <c r="G327" s="1">
        <v>4800</v>
      </c>
      <c r="H327" s="2">
        <v>40</v>
      </c>
      <c r="I327" s="5" t="str">
        <f>CONCATENATE(H327,"x",INT(G327/H327))</f>
        <v>40x120</v>
      </c>
      <c r="J327">
        <v>42</v>
      </c>
      <c r="K327">
        <v>51</v>
      </c>
      <c r="L327" s="3">
        <v>1327</v>
      </c>
      <c r="M327" s="3">
        <v>2220</v>
      </c>
      <c r="N327" s="3">
        <v>1744</v>
      </c>
      <c r="O327" s="3">
        <v>315990</v>
      </c>
      <c r="P327" s="3">
        <v>369990</v>
      </c>
      <c r="Q327" s="3">
        <v>342240</v>
      </c>
      <c r="S327">
        <v>32.143368000000002</v>
      </c>
      <c r="T327">
        <v>-110.89028</v>
      </c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</row>
    <row r="328" spans="2:74" ht="16" thickTop="1" thickBot="1" x14ac:dyDescent="0.25">
      <c r="B328" t="s">
        <v>210</v>
      </c>
      <c r="C328" t="s">
        <v>151</v>
      </c>
      <c r="D328" t="s">
        <v>210</v>
      </c>
      <c r="E328" t="s">
        <v>21</v>
      </c>
      <c r="F328" t="s">
        <v>22</v>
      </c>
      <c r="G328" s="1">
        <v>4950</v>
      </c>
      <c r="H328" s="2">
        <v>45</v>
      </c>
      <c r="I328" s="5" t="str">
        <f>CONCATENATE(H328,"x",INT(G328/H328))</f>
        <v>45x110</v>
      </c>
      <c r="J328">
        <v>151</v>
      </c>
      <c r="K328">
        <v>51</v>
      </c>
      <c r="L328" s="3">
        <v>1730</v>
      </c>
      <c r="M328" s="3">
        <v>3897</v>
      </c>
      <c r="N328" s="3">
        <v>2495</v>
      </c>
      <c r="O328" s="3">
        <v>390990</v>
      </c>
      <c r="P328" s="3">
        <v>1064990</v>
      </c>
      <c r="Q328" s="3">
        <v>497323.3333</v>
      </c>
      <c r="S328">
        <v>33.172756</v>
      </c>
      <c r="T328">
        <v>-111.58450000000001</v>
      </c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</row>
    <row r="329" spans="2:74" ht="16" thickTop="1" thickBot="1" x14ac:dyDescent="0.25">
      <c r="B329" t="s">
        <v>785</v>
      </c>
      <c r="C329" t="s">
        <v>151</v>
      </c>
      <c r="D329" t="s">
        <v>34</v>
      </c>
      <c r="E329" t="s">
        <v>21</v>
      </c>
      <c r="F329" t="s">
        <v>22</v>
      </c>
      <c r="G329" s="1">
        <v>8750</v>
      </c>
      <c r="H329" s="2">
        <v>70</v>
      </c>
      <c r="I329" s="5" t="str">
        <f>CONCATENATE(H329,"x",INT(G329/H329))</f>
        <v>70x125</v>
      </c>
      <c r="J329">
        <v>4</v>
      </c>
      <c r="K329">
        <v>51</v>
      </c>
      <c r="L329" s="3">
        <v>2669</v>
      </c>
      <c r="M329" s="3">
        <v>3148</v>
      </c>
      <c r="N329" s="3">
        <v>2889</v>
      </c>
      <c r="O329" s="3">
        <v>648990</v>
      </c>
      <c r="P329" s="3">
        <v>692990</v>
      </c>
      <c r="Q329" s="3">
        <v>668990</v>
      </c>
      <c r="S329">
        <v>32.447780999999999</v>
      </c>
      <c r="T329">
        <v>-110.94801</v>
      </c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</row>
    <row r="330" spans="2:74" ht="16" thickTop="1" thickBot="1" x14ac:dyDescent="0.25">
      <c r="B330" t="s">
        <v>774</v>
      </c>
      <c r="C330" t="s">
        <v>38</v>
      </c>
      <c r="D330" t="s">
        <v>234</v>
      </c>
      <c r="E330" t="s">
        <v>21</v>
      </c>
      <c r="F330" t="s">
        <v>22</v>
      </c>
      <c r="G330" s="1">
        <v>8400</v>
      </c>
      <c r="H330" s="2">
        <v>70</v>
      </c>
      <c r="I330" s="5" t="str">
        <f>CONCATENATE(H330,"x",INT(G330/H330))</f>
        <v>70x120</v>
      </c>
      <c r="J330">
        <v>41</v>
      </c>
      <c r="K330">
        <v>51</v>
      </c>
      <c r="L330" s="3">
        <v>2341</v>
      </c>
      <c r="M330" s="3">
        <v>4517</v>
      </c>
      <c r="N330" s="3">
        <v>3410</v>
      </c>
      <c r="O330" s="3">
        <v>586990</v>
      </c>
      <c r="P330" s="3">
        <v>756990</v>
      </c>
      <c r="Q330" s="3">
        <v>668656.6666</v>
      </c>
      <c r="S330">
        <v>33.520966000000001</v>
      </c>
      <c r="T330">
        <v>-112.24052</v>
      </c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</row>
    <row r="331" spans="2:74" ht="16" thickTop="1" thickBot="1" x14ac:dyDescent="0.25">
      <c r="B331" t="s">
        <v>712</v>
      </c>
      <c r="C331" t="s">
        <v>110</v>
      </c>
      <c r="D331" t="s">
        <v>249</v>
      </c>
      <c r="E331" t="s">
        <v>21</v>
      </c>
      <c r="F331" t="s">
        <v>22</v>
      </c>
      <c r="G331" s="1">
        <v>8190</v>
      </c>
      <c r="H331" s="2">
        <v>63</v>
      </c>
      <c r="I331" s="5" t="str">
        <f>CONCATENATE(H331,"x",INT(G331/H331))</f>
        <v>63x130</v>
      </c>
      <c r="J331">
        <v>2</v>
      </c>
      <c r="K331">
        <v>51</v>
      </c>
      <c r="L331" s="3">
        <v>2475</v>
      </c>
      <c r="M331" s="3">
        <v>4011</v>
      </c>
      <c r="N331" s="3">
        <v>3222</v>
      </c>
      <c r="O331" s="3">
        <v>577490</v>
      </c>
      <c r="P331" s="3">
        <v>727490</v>
      </c>
      <c r="Q331" s="3">
        <v>645269.42850000004</v>
      </c>
      <c r="S331">
        <v>33.406075000000001</v>
      </c>
      <c r="T331">
        <v>-112.32616</v>
      </c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</row>
    <row r="332" spans="2:74" ht="16" thickTop="1" thickBot="1" x14ac:dyDescent="0.25">
      <c r="B332" t="s">
        <v>172</v>
      </c>
      <c r="C332" t="s">
        <v>173</v>
      </c>
      <c r="E332" t="s">
        <v>21</v>
      </c>
      <c r="F332" t="s">
        <v>22</v>
      </c>
      <c r="G332" s="1">
        <v>3200</v>
      </c>
      <c r="H332" s="2">
        <v>40</v>
      </c>
      <c r="I332" s="5" t="str">
        <f>CONCATENATE(H332,"x",INT(G332/H332))</f>
        <v>40x80</v>
      </c>
      <c r="J332">
        <v>0</v>
      </c>
      <c r="K332">
        <v>50</v>
      </c>
      <c r="L332" s="3">
        <v>1821</v>
      </c>
      <c r="M332" s="3">
        <v>2728</v>
      </c>
      <c r="N332" s="3">
        <v>2341</v>
      </c>
      <c r="O332" s="3">
        <v>630900</v>
      </c>
      <c r="P332" s="3">
        <v>754900</v>
      </c>
      <c r="Q332" s="3">
        <v>705025</v>
      </c>
      <c r="S332">
        <v>35.192886000000001</v>
      </c>
      <c r="T332">
        <v>-111.61054</v>
      </c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</row>
    <row r="333" spans="2:74" ht="16" thickTop="1" thickBot="1" x14ac:dyDescent="0.25">
      <c r="B333" t="s">
        <v>822</v>
      </c>
      <c r="C333" t="s">
        <v>376</v>
      </c>
      <c r="E333" t="s">
        <v>21</v>
      </c>
      <c r="F333" t="s">
        <v>22</v>
      </c>
      <c r="G333" s="1">
        <v>13875</v>
      </c>
      <c r="H333" s="2">
        <v>75</v>
      </c>
      <c r="I333" s="5" t="str">
        <f>CONCATENATE(H333,"x",INT(G333/H333))</f>
        <v>75x185</v>
      </c>
      <c r="J333">
        <v>13</v>
      </c>
      <c r="K333">
        <v>50</v>
      </c>
      <c r="L333" s="3">
        <v>1656</v>
      </c>
      <c r="M333" s="3">
        <v>2282</v>
      </c>
      <c r="N333" s="3">
        <v>1968</v>
      </c>
      <c r="O333" s="3">
        <v>319990</v>
      </c>
      <c r="P333" s="3">
        <v>355990</v>
      </c>
      <c r="Q333" s="3">
        <v>341490</v>
      </c>
      <c r="S333">
        <v>32.867801999999998</v>
      </c>
      <c r="T333">
        <v>-111.72816</v>
      </c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</row>
    <row r="334" spans="2:74" ht="16" thickTop="1" thickBot="1" x14ac:dyDescent="0.25">
      <c r="B334" t="s">
        <v>474</v>
      </c>
      <c r="C334" t="s">
        <v>116</v>
      </c>
      <c r="D334" t="s">
        <v>475</v>
      </c>
      <c r="E334" t="s">
        <v>21</v>
      </c>
      <c r="F334" t="s">
        <v>22</v>
      </c>
      <c r="G334" s="1">
        <v>6000</v>
      </c>
      <c r="H334" s="2">
        <v>50</v>
      </c>
      <c r="I334" s="5" t="str">
        <f>CONCATENATE(H334,"x",INT(G334/H334))</f>
        <v>50x120</v>
      </c>
      <c r="J334">
        <v>90</v>
      </c>
      <c r="K334">
        <v>50</v>
      </c>
      <c r="L334" s="3">
        <v>1513</v>
      </c>
      <c r="M334" s="3">
        <v>2650</v>
      </c>
      <c r="N334" s="3">
        <v>2038</v>
      </c>
      <c r="O334" s="3">
        <v>343990</v>
      </c>
      <c r="P334" s="3">
        <v>408990</v>
      </c>
      <c r="Q334" s="3">
        <v>373275.71419999999</v>
      </c>
      <c r="S334">
        <v>33.735275000000001</v>
      </c>
      <c r="T334">
        <v>-112.4444</v>
      </c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</row>
    <row r="335" spans="2:74" ht="16" thickTop="1" thickBot="1" x14ac:dyDescent="0.25">
      <c r="B335" t="s">
        <v>597</v>
      </c>
      <c r="C335" t="s">
        <v>123</v>
      </c>
      <c r="D335" t="s">
        <v>127</v>
      </c>
      <c r="E335" t="s">
        <v>21</v>
      </c>
      <c r="F335" t="s">
        <v>22</v>
      </c>
      <c r="G335" s="1">
        <v>3850</v>
      </c>
      <c r="H335" s="2">
        <v>55</v>
      </c>
      <c r="I335" s="5" t="str">
        <f>CONCATENATE(H335,"x",INT(G335/H335))</f>
        <v>55x70</v>
      </c>
      <c r="J335">
        <v>40</v>
      </c>
      <c r="K335">
        <v>50</v>
      </c>
      <c r="L335" s="3">
        <v>1810</v>
      </c>
      <c r="M335" s="3">
        <v>2410</v>
      </c>
      <c r="N335" s="3">
        <v>2120</v>
      </c>
      <c r="O335" s="3">
        <v>474990</v>
      </c>
      <c r="P335" s="3">
        <v>524990</v>
      </c>
      <c r="Q335" s="3">
        <v>504990</v>
      </c>
      <c r="S335">
        <v>33.331206999999999</v>
      </c>
      <c r="T335">
        <v>-111.63457</v>
      </c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</row>
    <row r="336" spans="2:74" ht="16" thickTop="1" thickBot="1" x14ac:dyDescent="0.25">
      <c r="B336" t="s">
        <v>638</v>
      </c>
      <c r="C336" t="s">
        <v>144</v>
      </c>
      <c r="D336" t="s">
        <v>288</v>
      </c>
      <c r="E336" t="s">
        <v>21</v>
      </c>
      <c r="F336" t="s">
        <v>22</v>
      </c>
      <c r="G336" s="1">
        <v>6325</v>
      </c>
      <c r="H336" s="2">
        <v>60</v>
      </c>
      <c r="I336" s="5" t="str">
        <f>CONCATENATE(H336,"x",INT(G336/H336))</f>
        <v>60x105</v>
      </c>
      <c r="J336">
        <v>98</v>
      </c>
      <c r="K336">
        <v>50</v>
      </c>
      <c r="L336" s="3">
        <v>2192</v>
      </c>
      <c r="M336" s="3">
        <v>2612</v>
      </c>
      <c r="N336" s="3">
        <v>2401</v>
      </c>
      <c r="O336" s="3">
        <v>626490</v>
      </c>
      <c r="P336" s="3">
        <v>717990</v>
      </c>
      <c r="Q336" s="3">
        <v>658656.6666</v>
      </c>
      <c r="S336">
        <v>33.341270000000002</v>
      </c>
      <c r="T336">
        <v>-111.69849000000001</v>
      </c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</row>
    <row r="337" spans="2:74" ht="16" thickTop="1" thickBot="1" x14ac:dyDescent="0.25">
      <c r="B337" t="s">
        <v>728</v>
      </c>
      <c r="C337" t="s">
        <v>94</v>
      </c>
      <c r="D337" t="s">
        <v>267</v>
      </c>
      <c r="E337" t="s">
        <v>21</v>
      </c>
      <c r="F337" t="s">
        <v>22</v>
      </c>
      <c r="G337" s="1">
        <v>8125</v>
      </c>
      <c r="H337" s="2">
        <v>65</v>
      </c>
      <c r="I337" s="5" t="str">
        <f>CONCATENATE(H337,"x",INT(G337/H337))</f>
        <v>65x125</v>
      </c>
      <c r="J337">
        <v>15</v>
      </c>
      <c r="K337">
        <v>50</v>
      </c>
      <c r="L337" s="3">
        <v>2559</v>
      </c>
      <c r="M337" s="3">
        <v>3548</v>
      </c>
      <c r="N337" s="3">
        <v>2970</v>
      </c>
      <c r="O337" s="3">
        <v>482000</v>
      </c>
      <c r="P337" s="3">
        <v>578000</v>
      </c>
      <c r="Q337" s="3">
        <v>533600</v>
      </c>
      <c r="S337">
        <v>32.070945999999999</v>
      </c>
      <c r="T337">
        <v>-110.72057</v>
      </c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</row>
    <row r="338" spans="2:74" ht="16" thickTop="1" thickBot="1" x14ac:dyDescent="0.25">
      <c r="B338" t="s">
        <v>815</v>
      </c>
      <c r="C338" t="s">
        <v>38</v>
      </c>
      <c r="D338" t="s">
        <v>152</v>
      </c>
      <c r="E338" t="s">
        <v>21</v>
      </c>
      <c r="F338" t="s">
        <v>22</v>
      </c>
      <c r="G338" s="1">
        <v>10125</v>
      </c>
      <c r="H338" s="2">
        <v>75</v>
      </c>
      <c r="I338" s="5" t="str">
        <f>CONCATENATE(H338,"x",INT(G338/H338))</f>
        <v>75x135</v>
      </c>
      <c r="J338">
        <v>16</v>
      </c>
      <c r="K338">
        <v>50</v>
      </c>
      <c r="L338" s="3">
        <v>2184</v>
      </c>
      <c r="M338" s="3">
        <v>2981</v>
      </c>
      <c r="N338" s="3">
        <v>2600</v>
      </c>
      <c r="O338" s="3">
        <v>528990</v>
      </c>
      <c r="P338" s="3">
        <v>589990</v>
      </c>
      <c r="Q338" s="3">
        <v>559390</v>
      </c>
      <c r="S338">
        <v>33.513537999999997</v>
      </c>
      <c r="T338">
        <v>-112.44262999999999</v>
      </c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</row>
    <row r="339" spans="2:74" ht="16" thickTop="1" thickBot="1" x14ac:dyDescent="0.25">
      <c r="B339" t="s">
        <v>35</v>
      </c>
      <c r="C339" t="s">
        <v>36</v>
      </c>
      <c r="E339" t="s">
        <v>21</v>
      </c>
      <c r="F339" t="s">
        <v>22</v>
      </c>
      <c r="G339" s="1">
        <v>15000</v>
      </c>
      <c r="H339" s="2">
        <v>100</v>
      </c>
      <c r="I339" s="5" t="str">
        <f>CONCATENATE(H339,"x",INT(G339/H339))</f>
        <v>100x150</v>
      </c>
      <c r="J339">
        <v>3</v>
      </c>
      <c r="K339">
        <v>50</v>
      </c>
      <c r="L339" s="3">
        <v>2987</v>
      </c>
      <c r="M339" s="3">
        <v>4304</v>
      </c>
      <c r="N339" s="3">
        <v>3560</v>
      </c>
      <c r="O339" s="3">
        <v>665000</v>
      </c>
      <c r="P339" s="3">
        <v>755000</v>
      </c>
      <c r="Q339" s="3">
        <v>700000</v>
      </c>
      <c r="S339">
        <v>33.355651999999999</v>
      </c>
      <c r="T339">
        <v>-112.14172000000001</v>
      </c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</row>
    <row r="340" spans="2:74" ht="16" thickTop="1" thickBot="1" x14ac:dyDescent="0.25">
      <c r="B340" t="s">
        <v>798</v>
      </c>
      <c r="C340" t="s">
        <v>29</v>
      </c>
      <c r="D340" t="s">
        <v>249</v>
      </c>
      <c r="E340" t="s">
        <v>21</v>
      </c>
      <c r="F340" t="s">
        <v>22</v>
      </c>
      <c r="G340" s="1">
        <v>9100</v>
      </c>
      <c r="H340" s="2">
        <v>70</v>
      </c>
      <c r="I340" s="5" t="str">
        <f>CONCATENATE(H340,"x",INT(G340/H340))</f>
        <v>70x130</v>
      </c>
      <c r="J340">
        <v>70</v>
      </c>
      <c r="K340">
        <v>49</v>
      </c>
      <c r="L340" s="3">
        <v>2238</v>
      </c>
      <c r="M340" s="3">
        <v>3048</v>
      </c>
      <c r="N340" s="3">
        <v>2642</v>
      </c>
      <c r="O340" s="3">
        <v>467990</v>
      </c>
      <c r="P340" s="3">
        <v>569990</v>
      </c>
      <c r="Q340" s="3">
        <v>525156.6666</v>
      </c>
      <c r="S340">
        <v>33.404167000000001</v>
      </c>
      <c r="T340">
        <v>-112.31487</v>
      </c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</row>
    <row r="341" spans="2:74" ht="16" thickTop="1" thickBot="1" x14ac:dyDescent="0.25">
      <c r="B341" t="s">
        <v>596</v>
      </c>
      <c r="C341" t="s">
        <v>116</v>
      </c>
      <c r="E341" t="s">
        <v>21</v>
      </c>
      <c r="F341" t="s">
        <v>22</v>
      </c>
      <c r="G341" s="1">
        <v>8250</v>
      </c>
      <c r="H341" s="2">
        <v>55</v>
      </c>
      <c r="I341" s="5" t="str">
        <f>CONCATENATE(H341,"x",INT(G341/H341))</f>
        <v>55x150</v>
      </c>
      <c r="J341">
        <v>35</v>
      </c>
      <c r="K341">
        <v>49</v>
      </c>
      <c r="L341" s="3">
        <v>1576</v>
      </c>
      <c r="M341" s="3">
        <v>2510</v>
      </c>
      <c r="N341" s="3">
        <v>2063</v>
      </c>
      <c r="O341" s="3">
        <v>395990</v>
      </c>
      <c r="P341" s="3">
        <v>465990</v>
      </c>
      <c r="Q341" s="3">
        <v>430740</v>
      </c>
      <c r="S341">
        <v>32.364407</v>
      </c>
      <c r="T341">
        <v>-111.08038999999999</v>
      </c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</row>
    <row r="342" spans="2:74" ht="16" thickTop="1" thickBot="1" x14ac:dyDescent="0.25">
      <c r="B342" t="s">
        <v>270</v>
      </c>
      <c r="C342" t="s">
        <v>144</v>
      </c>
      <c r="D342" t="s">
        <v>249</v>
      </c>
      <c r="E342" t="s">
        <v>21</v>
      </c>
      <c r="F342" t="s">
        <v>22</v>
      </c>
      <c r="G342" s="1">
        <v>5175</v>
      </c>
      <c r="H342" s="2">
        <v>45</v>
      </c>
      <c r="I342" s="5" t="str">
        <f>CONCATENATE(H342,"x",INT(G342/H342))</f>
        <v>45x115</v>
      </c>
      <c r="J342">
        <v>0</v>
      </c>
      <c r="K342">
        <v>49</v>
      </c>
      <c r="L342" s="3">
        <v>1797</v>
      </c>
      <c r="M342" s="3">
        <v>1953</v>
      </c>
      <c r="N342" s="3">
        <v>1898</v>
      </c>
      <c r="O342" s="3">
        <v>419990</v>
      </c>
      <c r="P342" s="3">
        <v>440990</v>
      </c>
      <c r="Q342" s="3">
        <v>432323.3333</v>
      </c>
      <c r="S342">
        <v>33.406063000000003</v>
      </c>
      <c r="T342">
        <v>-112.32844</v>
      </c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</row>
    <row r="343" spans="2:74" ht="16" thickTop="1" thickBot="1" x14ac:dyDescent="0.25">
      <c r="B343" t="s">
        <v>48</v>
      </c>
      <c r="C343" t="s">
        <v>31</v>
      </c>
      <c r="D343" t="s">
        <v>49</v>
      </c>
      <c r="E343" t="s">
        <v>21</v>
      </c>
      <c r="F343" t="s">
        <v>22</v>
      </c>
      <c r="G343" s="1">
        <v>13200</v>
      </c>
      <c r="H343" s="2">
        <v>110</v>
      </c>
      <c r="I343" s="5" t="str">
        <f>CONCATENATE(H343,"x",INT(G343/H343))</f>
        <v>110x120</v>
      </c>
      <c r="J343">
        <v>36</v>
      </c>
      <c r="K343">
        <v>49</v>
      </c>
      <c r="L343" s="3">
        <v>3460</v>
      </c>
      <c r="M343" s="3">
        <v>4126</v>
      </c>
      <c r="N343" s="3">
        <v>3721</v>
      </c>
      <c r="O343" s="3">
        <v>1095995</v>
      </c>
      <c r="P343" s="3">
        <v>1200995</v>
      </c>
      <c r="Q343" s="3">
        <v>1139328.3333000001</v>
      </c>
      <c r="R343" t="s">
        <v>50</v>
      </c>
      <c r="S343">
        <v>33.585853999999998</v>
      </c>
      <c r="T343">
        <v>-112.43998000000001</v>
      </c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</row>
    <row r="344" spans="2:74" ht="16" thickTop="1" thickBot="1" x14ac:dyDescent="0.25">
      <c r="B344" t="s">
        <v>799</v>
      </c>
      <c r="C344" t="s">
        <v>350</v>
      </c>
      <c r="E344" t="s">
        <v>21</v>
      </c>
      <c r="F344" t="s">
        <v>22</v>
      </c>
      <c r="G344" s="1">
        <v>9100</v>
      </c>
      <c r="H344" s="2">
        <v>70</v>
      </c>
      <c r="I344" s="5" t="str">
        <f>CONCATENATE(H344,"x",INT(G344/H344))</f>
        <v>70x130</v>
      </c>
      <c r="J344">
        <v>18</v>
      </c>
      <c r="K344">
        <v>48</v>
      </c>
      <c r="L344" s="3">
        <v>2357</v>
      </c>
      <c r="M344" s="3">
        <v>4219</v>
      </c>
      <c r="N344" s="3">
        <v>3040</v>
      </c>
      <c r="O344" s="3">
        <v>830950</v>
      </c>
      <c r="P344" s="3">
        <v>1033950</v>
      </c>
      <c r="Q344" s="3">
        <v>899750</v>
      </c>
      <c r="R344" t="s">
        <v>23</v>
      </c>
      <c r="S344">
        <v>33.485134000000002</v>
      </c>
      <c r="T344">
        <v>-111.70499</v>
      </c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</row>
    <row r="345" spans="2:74" ht="16" thickTop="1" thickBot="1" x14ac:dyDescent="0.25">
      <c r="B345" t="s">
        <v>476</v>
      </c>
      <c r="C345" t="s">
        <v>178</v>
      </c>
      <c r="E345" t="s">
        <v>21</v>
      </c>
      <c r="F345" t="s">
        <v>22</v>
      </c>
      <c r="G345" s="1">
        <v>6000</v>
      </c>
      <c r="H345" s="2">
        <v>50</v>
      </c>
      <c r="I345" s="5" t="str">
        <f>CONCATENATE(H345,"x",INT(G345/H345))</f>
        <v>50x120</v>
      </c>
      <c r="J345">
        <v>33</v>
      </c>
      <c r="K345">
        <v>48</v>
      </c>
      <c r="L345" s="3">
        <v>1299</v>
      </c>
      <c r="M345" s="3">
        <v>2377</v>
      </c>
      <c r="N345" s="3">
        <v>1789</v>
      </c>
      <c r="O345" s="3">
        <v>305990</v>
      </c>
      <c r="P345" s="3">
        <v>369990</v>
      </c>
      <c r="Q345" s="3">
        <v>330190</v>
      </c>
      <c r="S345">
        <v>33.055655999999999</v>
      </c>
      <c r="T345">
        <v>-111.94611999999999</v>
      </c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</row>
    <row r="346" spans="2:74" ht="16" thickTop="1" thickBot="1" x14ac:dyDescent="0.25">
      <c r="B346" t="s">
        <v>702</v>
      </c>
      <c r="C346" t="s">
        <v>110</v>
      </c>
      <c r="E346" t="s">
        <v>21</v>
      </c>
      <c r="F346" t="s">
        <v>22</v>
      </c>
      <c r="G346" s="1">
        <v>8400</v>
      </c>
      <c r="H346" s="2">
        <v>60</v>
      </c>
      <c r="I346" s="5" t="str">
        <f>CONCATENATE(H346,"x",INT(G346/H346))</f>
        <v>60x140</v>
      </c>
      <c r="J346">
        <v>30</v>
      </c>
      <c r="K346">
        <v>48</v>
      </c>
      <c r="L346" s="3">
        <v>2217</v>
      </c>
      <c r="M346" s="3">
        <v>4011</v>
      </c>
      <c r="N346" s="3">
        <v>3095</v>
      </c>
      <c r="O346" s="3">
        <v>637990</v>
      </c>
      <c r="P346" s="3">
        <v>827990</v>
      </c>
      <c r="Q346" s="3">
        <v>735865</v>
      </c>
      <c r="S346">
        <v>33.61871</v>
      </c>
      <c r="T346">
        <v>-112.18092</v>
      </c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</row>
    <row r="347" spans="2:74" ht="16" thickTop="1" thickBot="1" x14ac:dyDescent="0.25">
      <c r="B347" t="s">
        <v>271</v>
      </c>
      <c r="C347" t="s">
        <v>272</v>
      </c>
      <c r="D347" t="s">
        <v>273</v>
      </c>
      <c r="E347" t="s">
        <v>21</v>
      </c>
      <c r="F347" t="s">
        <v>22</v>
      </c>
      <c r="G347" s="1">
        <v>5175</v>
      </c>
      <c r="H347" s="2">
        <v>45</v>
      </c>
      <c r="I347" s="5" t="str">
        <f>CONCATENATE(H347,"x",INT(G347/H347))</f>
        <v>45x115</v>
      </c>
      <c r="J347">
        <v>68</v>
      </c>
      <c r="K347">
        <v>47</v>
      </c>
      <c r="L347" s="3">
        <v>1486</v>
      </c>
      <c r="M347" s="3">
        <v>2274</v>
      </c>
      <c r="N347" s="3">
        <v>1874</v>
      </c>
      <c r="O347" s="3">
        <v>371990</v>
      </c>
      <c r="P347" s="3">
        <v>431990</v>
      </c>
      <c r="Q347" s="3">
        <v>399390</v>
      </c>
      <c r="S347">
        <v>33.518580999999998</v>
      </c>
      <c r="T347">
        <v>-112.47629999999999</v>
      </c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</row>
    <row r="348" spans="2:74" ht="16" thickTop="1" thickBot="1" x14ac:dyDescent="0.25">
      <c r="B348" t="s">
        <v>134</v>
      </c>
      <c r="C348" t="s">
        <v>94</v>
      </c>
      <c r="D348" t="s">
        <v>134</v>
      </c>
      <c r="E348" t="s">
        <v>21</v>
      </c>
      <c r="F348" t="s">
        <v>22</v>
      </c>
      <c r="G348" s="1">
        <v>4400</v>
      </c>
      <c r="H348" s="2">
        <v>40</v>
      </c>
      <c r="I348" s="5" t="str">
        <f>CONCATENATE(H348,"x",INT(G348/H348))</f>
        <v>40x110</v>
      </c>
      <c r="J348">
        <v>438</v>
      </c>
      <c r="K348">
        <v>47</v>
      </c>
      <c r="L348" s="3">
        <v>1460</v>
      </c>
      <c r="M348" s="3">
        <v>2472</v>
      </c>
      <c r="N348" s="3">
        <v>1948</v>
      </c>
      <c r="O348" s="3">
        <v>364990</v>
      </c>
      <c r="P348" s="3">
        <v>470490</v>
      </c>
      <c r="Q348" s="3">
        <v>411090</v>
      </c>
      <c r="R348" t="s">
        <v>23</v>
      </c>
      <c r="S348">
        <v>33.452750999999999</v>
      </c>
      <c r="T348">
        <v>-112.29533000000001</v>
      </c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</row>
    <row r="349" spans="2:74" ht="16" thickTop="1" thickBot="1" x14ac:dyDescent="0.25">
      <c r="B349" t="s">
        <v>503</v>
      </c>
      <c r="C349" t="s">
        <v>151</v>
      </c>
      <c r="D349" t="s">
        <v>328</v>
      </c>
      <c r="E349" t="s">
        <v>21</v>
      </c>
      <c r="F349" t="s">
        <v>22</v>
      </c>
      <c r="G349" s="1">
        <v>6250</v>
      </c>
      <c r="H349" s="2">
        <v>50</v>
      </c>
      <c r="I349" s="5" t="str">
        <f>CONCATENATE(H349,"x",INT(G349/H349))</f>
        <v>50x125</v>
      </c>
      <c r="J349">
        <v>86</v>
      </c>
      <c r="K349">
        <v>47</v>
      </c>
      <c r="L349" s="3">
        <v>1841</v>
      </c>
      <c r="M349" s="3">
        <v>3567</v>
      </c>
      <c r="N349" s="3">
        <v>2513</v>
      </c>
      <c r="O349" s="3">
        <v>670990</v>
      </c>
      <c r="P349" s="3">
        <v>811990</v>
      </c>
      <c r="Q349" s="3">
        <v>726656.6666</v>
      </c>
      <c r="S349">
        <v>33.781638999999998</v>
      </c>
      <c r="T349">
        <v>-112.10277000000001</v>
      </c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</row>
    <row r="350" spans="2:74" ht="16" thickTop="1" thickBot="1" x14ac:dyDescent="0.25">
      <c r="B350" t="s">
        <v>851</v>
      </c>
      <c r="C350" t="s">
        <v>68</v>
      </c>
      <c r="E350" t="s">
        <v>21</v>
      </c>
      <c r="F350" t="s">
        <v>22</v>
      </c>
      <c r="G350" s="1">
        <v>11475</v>
      </c>
      <c r="H350" s="2">
        <v>85</v>
      </c>
      <c r="I350" s="5" t="str">
        <f>CONCATENATE(H350,"x",INT(G350/H350))</f>
        <v>85x135</v>
      </c>
      <c r="J350">
        <v>4</v>
      </c>
      <c r="K350">
        <v>47</v>
      </c>
      <c r="L350" s="3">
        <v>3364</v>
      </c>
      <c r="M350" s="3">
        <v>4019</v>
      </c>
      <c r="N350" s="3">
        <v>3719</v>
      </c>
      <c r="O350" s="3">
        <v>1194990</v>
      </c>
      <c r="P350" s="3">
        <v>1244990</v>
      </c>
      <c r="Q350" s="3">
        <v>1218323.3333000001</v>
      </c>
      <c r="R350" t="s">
        <v>23</v>
      </c>
      <c r="S350">
        <v>33.765014999999998</v>
      </c>
      <c r="T350">
        <v>-111.96008999999999</v>
      </c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</row>
    <row r="351" spans="2:74" ht="16" thickTop="1" thickBot="1" x14ac:dyDescent="0.25">
      <c r="B351" t="s">
        <v>77</v>
      </c>
      <c r="C351" t="s">
        <v>43</v>
      </c>
      <c r="E351" t="s">
        <v>21</v>
      </c>
      <c r="F351" t="s">
        <v>22</v>
      </c>
      <c r="G351" s="1">
        <v>39900</v>
      </c>
      <c r="H351" s="2">
        <v>150</v>
      </c>
      <c r="I351" s="5" t="str">
        <f>CONCATENATE(H351,"x",INT(G351/H351))</f>
        <v>150x266</v>
      </c>
      <c r="J351">
        <v>25</v>
      </c>
      <c r="K351">
        <v>46</v>
      </c>
      <c r="L351" s="3">
        <v>1823</v>
      </c>
      <c r="M351" s="3">
        <v>2626</v>
      </c>
      <c r="N351" s="3">
        <v>2295</v>
      </c>
      <c r="O351" s="3">
        <v>420900</v>
      </c>
      <c r="P351" s="3">
        <v>534900</v>
      </c>
      <c r="Q351" s="3">
        <v>479400</v>
      </c>
      <c r="S351">
        <v>31.961552000000001</v>
      </c>
      <c r="T351">
        <v>-110.92937000000001</v>
      </c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</row>
    <row r="352" spans="2:74" ht="16" thickTop="1" thickBot="1" x14ac:dyDescent="0.25">
      <c r="B352" t="s">
        <v>607</v>
      </c>
      <c r="C352" t="s">
        <v>130</v>
      </c>
      <c r="D352" t="s">
        <v>193</v>
      </c>
      <c r="E352" t="s">
        <v>21</v>
      </c>
      <c r="F352" t="s">
        <v>22</v>
      </c>
      <c r="G352" s="1">
        <v>6840</v>
      </c>
      <c r="H352" s="2">
        <v>57</v>
      </c>
      <c r="I352" s="5" t="str">
        <f>CONCATENATE(H352,"x",INT(G352/H352))</f>
        <v>57x120</v>
      </c>
      <c r="J352">
        <v>99</v>
      </c>
      <c r="K352">
        <v>46</v>
      </c>
      <c r="L352" s="3">
        <v>1924</v>
      </c>
      <c r="M352" s="3">
        <v>2288</v>
      </c>
      <c r="N352" s="3">
        <v>2167</v>
      </c>
      <c r="O352" s="3">
        <v>556990</v>
      </c>
      <c r="P352" s="3">
        <v>599990</v>
      </c>
      <c r="Q352" s="3">
        <v>586590</v>
      </c>
      <c r="R352" t="s">
        <v>190</v>
      </c>
      <c r="S352">
        <v>33.515704999999997</v>
      </c>
      <c r="T352">
        <v>-112.49942</v>
      </c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</row>
    <row r="353" spans="2:74" ht="16" thickTop="1" thickBot="1" x14ac:dyDescent="0.25">
      <c r="B353" t="s">
        <v>477</v>
      </c>
      <c r="C353" t="s">
        <v>144</v>
      </c>
      <c r="D353" t="s">
        <v>246</v>
      </c>
      <c r="E353" t="s">
        <v>21</v>
      </c>
      <c r="F353" t="s">
        <v>22</v>
      </c>
      <c r="G353" s="1">
        <v>6000</v>
      </c>
      <c r="H353" s="2">
        <v>50</v>
      </c>
      <c r="I353" s="5" t="str">
        <f>CONCATENATE(H353,"x",INT(G353/H353))</f>
        <v>50x120</v>
      </c>
      <c r="J353">
        <v>6</v>
      </c>
      <c r="K353">
        <v>46</v>
      </c>
      <c r="L353" s="3">
        <v>1797</v>
      </c>
      <c r="M353" s="3">
        <v>2524</v>
      </c>
      <c r="N353" s="3">
        <v>2098</v>
      </c>
      <c r="O353" s="3">
        <v>400490</v>
      </c>
      <c r="P353" s="3">
        <v>460490</v>
      </c>
      <c r="Q353" s="3">
        <v>425490</v>
      </c>
      <c r="S353">
        <v>33.172221999999998</v>
      </c>
      <c r="T353">
        <v>-111.52068</v>
      </c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</row>
    <row r="354" spans="2:74" ht="16" thickTop="1" thickBot="1" x14ac:dyDescent="0.25">
      <c r="B354" t="s">
        <v>324</v>
      </c>
      <c r="C354" t="s">
        <v>114</v>
      </c>
      <c r="D354" t="s">
        <v>161</v>
      </c>
      <c r="E354" t="s">
        <v>21</v>
      </c>
      <c r="F354" t="s">
        <v>22</v>
      </c>
      <c r="G354" s="1">
        <v>5400</v>
      </c>
      <c r="H354" s="2">
        <v>45</v>
      </c>
      <c r="I354" s="5" t="str">
        <f>CONCATENATE(H354,"x",INT(G354/H354))</f>
        <v>45x120</v>
      </c>
      <c r="J354">
        <v>26</v>
      </c>
      <c r="K354">
        <v>46</v>
      </c>
      <c r="L354" s="3">
        <v>1912</v>
      </c>
      <c r="M354" s="3">
        <v>2920</v>
      </c>
      <c r="N354" s="3">
        <v>2367</v>
      </c>
      <c r="O354" s="3">
        <v>375990</v>
      </c>
      <c r="P354" s="3">
        <v>446990</v>
      </c>
      <c r="Q354" s="3">
        <v>408790</v>
      </c>
      <c r="S354">
        <v>32.433266000000003</v>
      </c>
      <c r="T354">
        <v>-111.18684</v>
      </c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</row>
    <row r="355" spans="2:74" ht="16" thickTop="1" thickBot="1" x14ac:dyDescent="0.25">
      <c r="B355" t="s">
        <v>686</v>
      </c>
      <c r="C355" t="s">
        <v>151</v>
      </c>
      <c r="D355" t="s">
        <v>26</v>
      </c>
      <c r="E355" t="s">
        <v>21</v>
      </c>
      <c r="F355" t="s">
        <v>22</v>
      </c>
      <c r="G355" s="1">
        <v>7620</v>
      </c>
      <c r="H355" s="2">
        <v>60</v>
      </c>
      <c r="I355" s="5" t="str">
        <f>CONCATENATE(H355,"x",INT(G355/H355))</f>
        <v>60x127</v>
      </c>
      <c r="J355">
        <v>13</v>
      </c>
      <c r="K355">
        <v>46</v>
      </c>
      <c r="L355" s="3">
        <v>2261</v>
      </c>
      <c r="M355" s="3">
        <v>2582</v>
      </c>
      <c r="N355" s="3">
        <v>2431</v>
      </c>
      <c r="O355" s="3">
        <v>465990</v>
      </c>
      <c r="P355" s="3">
        <v>493990</v>
      </c>
      <c r="Q355" s="3">
        <v>480656.6666</v>
      </c>
      <c r="S355">
        <v>32.469669000000003</v>
      </c>
      <c r="T355">
        <v>-111.12902</v>
      </c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</row>
    <row r="356" spans="2:74" ht="16" thickTop="1" thickBot="1" x14ac:dyDescent="0.25">
      <c r="B356" t="s">
        <v>557</v>
      </c>
      <c r="C356" t="s">
        <v>110</v>
      </c>
      <c r="E356" t="s">
        <v>21</v>
      </c>
      <c r="F356" t="s">
        <v>22</v>
      </c>
      <c r="G356" s="1">
        <v>6325</v>
      </c>
      <c r="H356" s="2">
        <v>55</v>
      </c>
      <c r="I356" s="5" t="str">
        <f>CONCATENATE(H356,"x",INT(G356/H356))</f>
        <v>55x115</v>
      </c>
      <c r="J356">
        <v>36</v>
      </c>
      <c r="K356">
        <v>46</v>
      </c>
      <c r="L356" s="3">
        <v>1400</v>
      </c>
      <c r="M356" s="3">
        <v>2422</v>
      </c>
      <c r="N356" s="3">
        <v>1847</v>
      </c>
      <c r="O356" s="3">
        <v>440990</v>
      </c>
      <c r="P356" s="3">
        <v>567990</v>
      </c>
      <c r="Q356" s="3">
        <v>502847.14279999997</v>
      </c>
      <c r="S356">
        <v>34.641956</v>
      </c>
      <c r="T356">
        <v>-112.32744</v>
      </c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</row>
    <row r="357" spans="2:74" ht="16" thickTop="1" thickBot="1" x14ac:dyDescent="0.25">
      <c r="B357" t="s">
        <v>423</v>
      </c>
      <c r="C357" t="s">
        <v>187</v>
      </c>
      <c r="E357" t="s">
        <v>21</v>
      </c>
      <c r="F357" t="s">
        <v>22</v>
      </c>
      <c r="G357" s="1">
        <v>5750</v>
      </c>
      <c r="H357" s="2">
        <v>50</v>
      </c>
      <c r="I357" s="5" t="str">
        <f>CONCATENATE(H357,"x",INT(G357/H357))</f>
        <v>50x115</v>
      </c>
      <c r="J357">
        <v>105</v>
      </c>
      <c r="K357">
        <v>45</v>
      </c>
      <c r="L357" s="3">
        <v>1494</v>
      </c>
      <c r="M357" s="3">
        <v>3270</v>
      </c>
      <c r="N357" s="3">
        <v>2327</v>
      </c>
      <c r="O357" s="3">
        <v>458990</v>
      </c>
      <c r="P357" s="3">
        <v>583990</v>
      </c>
      <c r="Q357" s="3">
        <v>519656.6666</v>
      </c>
      <c r="S357">
        <v>33.301200999999999</v>
      </c>
      <c r="T357">
        <v>-111.58941</v>
      </c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</row>
    <row r="358" spans="2:74" ht="16" thickTop="1" thickBot="1" x14ac:dyDescent="0.25">
      <c r="B358" t="s">
        <v>274</v>
      </c>
      <c r="C358" t="s">
        <v>114</v>
      </c>
      <c r="D358" t="s">
        <v>147</v>
      </c>
      <c r="E358" t="s">
        <v>21</v>
      </c>
      <c r="F358" t="s">
        <v>22</v>
      </c>
      <c r="G358" s="1">
        <v>5175</v>
      </c>
      <c r="H358" s="2">
        <v>45</v>
      </c>
      <c r="I358" s="5" t="str">
        <f>CONCATENATE(H358,"x",INT(G358/H358))</f>
        <v>45x115</v>
      </c>
      <c r="J358">
        <v>35</v>
      </c>
      <c r="K358">
        <v>45</v>
      </c>
      <c r="L358" s="3">
        <v>1912</v>
      </c>
      <c r="M358" s="3">
        <v>2920</v>
      </c>
      <c r="N358" s="3">
        <v>2367</v>
      </c>
      <c r="O358" s="3">
        <v>370990</v>
      </c>
      <c r="P358" s="3">
        <v>426990</v>
      </c>
      <c r="Q358" s="3">
        <v>398590</v>
      </c>
      <c r="S358">
        <v>32.112492000000003</v>
      </c>
      <c r="T358">
        <v>-110.85063</v>
      </c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</row>
    <row r="359" spans="2:74" ht="16" thickTop="1" thickBot="1" x14ac:dyDescent="0.25">
      <c r="B359" t="s">
        <v>478</v>
      </c>
      <c r="C359" t="s">
        <v>136</v>
      </c>
      <c r="D359" t="s">
        <v>193</v>
      </c>
      <c r="E359" t="s">
        <v>21</v>
      </c>
      <c r="F359" t="s">
        <v>22</v>
      </c>
      <c r="G359" s="1">
        <v>6000</v>
      </c>
      <c r="H359" s="2">
        <v>50</v>
      </c>
      <c r="I359" s="5" t="str">
        <f>CONCATENATE(H359,"x",INT(G359/H359))</f>
        <v>50x120</v>
      </c>
      <c r="J359">
        <v>41</v>
      </c>
      <c r="K359">
        <v>45</v>
      </c>
      <c r="L359" s="3">
        <v>1940</v>
      </c>
      <c r="M359" s="3">
        <v>2910</v>
      </c>
      <c r="N359" s="3">
        <v>2280</v>
      </c>
      <c r="O359" s="3">
        <v>422990</v>
      </c>
      <c r="P359" s="3">
        <v>497990</v>
      </c>
      <c r="Q359" s="3">
        <v>450240</v>
      </c>
      <c r="S359">
        <v>33.498764000000001</v>
      </c>
      <c r="T359">
        <v>-112.49138000000001</v>
      </c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</row>
    <row r="360" spans="2:74" ht="16" thickTop="1" thickBot="1" x14ac:dyDescent="0.25">
      <c r="B360" t="s">
        <v>325</v>
      </c>
      <c r="C360" t="s">
        <v>38</v>
      </c>
      <c r="D360" t="s">
        <v>193</v>
      </c>
      <c r="E360" t="s">
        <v>21</v>
      </c>
      <c r="F360" t="s">
        <v>22</v>
      </c>
      <c r="G360" s="1">
        <v>5400</v>
      </c>
      <c r="H360" s="2">
        <v>45</v>
      </c>
      <c r="I360" s="5" t="str">
        <f>CONCATENATE(H360,"x",INT(G360/H360))</f>
        <v>45x120</v>
      </c>
      <c r="J360">
        <v>35</v>
      </c>
      <c r="K360">
        <v>45</v>
      </c>
      <c r="L360" s="3">
        <v>1715</v>
      </c>
      <c r="M360" s="3">
        <v>2961</v>
      </c>
      <c r="N360" s="3">
        <v>2263</v>
      </c>
      <c r="O360" s="3">
        <v>384990</v>
      </c>
      <c r="P360" s="3">
        <v>480990</v>
      </c>
      <c r="Q360" s="3">
        <v>426490</v>
      </c>
      <c r="S360">
        <v>33.500129999999999</v>
      </c>
      <c r="T360">
        <v>-112.49422</v>
      </c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</row>
    <row r="361" spans="2:74" ht="16" thickTop="1" thickBot="1" x14ac:dyDescent="0.25">
      <c r="B361" t="s">
        <v>275</v>
      </c>
      <c r="C361" t="s">
        <v>276</v>
      </c>
      <c r="D361" t="s">
        <v>273</v>
      </c>
      <c r="E361" t="s">
        <v>21</v>
      </c>
      <c r="F361" t="s">
        <v>22</v>
      </c>
      <c r="G361" s="1">
        <v>5175</v>
      </c>
      <c r="H361" s="2">
        <v>45</v>
      </c>
      <c r="I361" s="5" t="str">
        <f>CONCATENATE(H361,"x",INT(G361/H361))</f>
        <v>45x115</v>
      </c>
      <c r="J361">
        <v>47</v>
      </c>
      <c r="K361">
        <v>44</v>
      </c>
      <c r="L361" s="3">
        <v>1501</v>
      </c>
      <c r="M361" s="3">
        <v>2926</v>
      </c>
      <c r="N361" s="3">
        <v>2163</v>
      </c>
      <c r="O361" s="3">
        <v>383900</v>
      </c>
      <c r="P361" s="3">
        <v>499900</v>
      </c>
      <c r="Q361" s="3">
        <v>437614.28570000001</v>
      </c>
      <c r="S361">
        <v>33.519137999999998</v>
      </c>
      <c r="T361">
        <v>-112.47230999999999</v>
      </c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</row>
    <row r="362" spans="2:74" ht="16" thickTop="1" thickBot="1" x14ac:dyDescent="0.25">
      <c r="B362" t="s">
        <v>438</v>
      </c>
      <c r="C362" t="s">
        <v>116</v>
      </c>
      <c r="D362" t="s">
        <v>438</v>
      </c>
      <c r="E362" t="s">
        <v>21</v>
      </c>
      <c r="F362" t="s">
        <v>22</v>
      </c>
      <c r="G362" s="1">
        <v>6600</v>
      </c>
      <c r="H362" s="2">
        <v>55</v>
      </c>
      <c r="I362" s="5" t="str">
        <f>CONCATENATE(H362,"x",INT(G362/H362))</f>
        <v>55x120</v>
      </c>
      <c r="J362">
        <v>166</v>
      </c>
      <c r="K362">
        <v>44</v>
      </c>
      <c r="L362" s="3">
        <v>1238</v>
      </c>
      <c r="M362" s="3">
        <v>2419</v>
      </c>
      <c r="N362" s="3">
        <v>1788</v>
      </c>
      <c r="O362" s="3">
        <v>234990</v>
      </c>
      <c r="P362" s="3">
        <v>318990</v>
      </c>
      <c r="Q362" s="3">
        <v>287275.71419999999</v>
      </c>
      <c r="S362">
        <v>32.978752</v>
      </c>
      <c r="T362">
        <v>-111.54447</v>
      </c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</row>
    <row r="363" spans="2:74" ht="16" thickTop="1" thickBot="1" x14ac:dyDescent="0.25">
      <c r="B363" t="s">
        <v>542</v>
      </c>
      <c r="C363" t="s">
        <v>136</v>
      </c>
      <c r="D363" t="s">
        <v>542</v>
      </c>
      <c r="E363" t="s">
        <v>21</v>
      </c>
      <c r="F363" t="s">
        <v>22</v>
      </c>
      <c r="G363" s="1">
        <v>6960</v>
      </c>
      <c r="H363" s="2">
        <v>58</v>
      </c>
      <c r="I363" s="5" t="str">
        <f>CONCATENATE(H363,"x",INT(G363/H363))</f>
        <v>58x120</v>
      </c>
      <c r="J363">
        <v>30</v>
      </c>
      <c r="K363">
        <v>44</v>
      </c>
      <c r="L363" s="3">
        <v>2260</v>
      </c>
      <c r="M363" s="3">
        <v>2910</v>
      </c>
      <c r="N363" s="3">
        <v>2517</v>
      </c>
      <c r="O363" s="3">
        <v>438990</v>
      </c>
      <c r="P363" s="3">
        <v>486990</v>
      </c>
      <c r="Q363" s="3">
        <v>457490</v>
      </c>
      <c r="S363">
        <v>33.474513999999999</v>
      </c>
      <c r="T363">
        <v>-112.47923</v>
      </c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</row>
    <row r="364" spans="2:74" ht="16" thickTop="1" thickBot="1" x14ac:dyDescent="0.25">
      <c r="B364" t="s">
        <v>522</v>
      </c>
      <c r="C364" t="s">
        <v>123</v>
      </c>
      <c r="E364" t="s">
        <v>21</v>
      </c>
      <c r="F364" t="s">
        <v>22</v>
      </c>
      <c r="G364" s="1">
        <v>4335</v>
      </c>
      <c r="H364" s="2">
        <v>51</v>
      </c>
      <c r="I364" s="5" t="str">
        <f>CONCATENATE(H364,"x",INT(G364/H364))</f>
        <v>51x85</v>
      </c>
      <c r="J364">
        <v>211</v>
      </c>
      <c r="K364">
        <v>43</v>
      </c>
      <c r="L364" s="3">
        <v>1844</v>
      </c>
      <c r="M364" s="3">
        <v>2210</v>
      </c>
      <c r="N364" s="3">
        <v>2041</v>
      </c>
      <c r="O364" s="3">
        <v>410495</v>
      </c>
      <c r="P364" s="3">
        <v>436308</v>
      </c>
      <c r="Q364" s="3">
        <v>421577.6</v>
      </c>
      <c r="S364">
        <v>33.437793999999997</v>
      </c>
      <c r="T364">
        <v>-112.38455</v>
      </c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</row>
    <row r="365" spans="2:74" ht="16" thickTop="1" thickBot="1" x14ac:dyDescent="0.25">
      <c r="B365" t="s">
        <v>600</v>
      </c>
      <c r="C365" t="s">
        <v>144</v>
      </c>
      <c r="E365" t="s">
        <v>21</v>
      </c>
      <c r="F365" t="s">
        <v>22</v>
      </c>
      <c r="G365" s="1">
        <v>4400</v>
      </c>
      <c r="H365" s="2">
        <v>55</v>
      </c>
      <c r="I365" s="5" t="str">
        <f>CONCATENATE(H365,"x",INT(G365/H365))</f>
        <v>55x80</v>
      </c>
      <c r="J365">
        <v>1</v>
      </c>
      <c r="K365">
        <v>43</v>
      </c>
      <c r="L365" s="3">
        <v>2202</v>
      </c>
      <c r="M365" s="3">
        <v>2275</v>
      </c>
      <c r="N365" s="3">
        <v>2245</v>
      </c>
      <c r="O365" s="3">
        <v>589990</v>
      </c>
      <c r="P365" s="3">
        <v>606990</v>
      </c>
      <c r="Q365" s="3">
        <v>597990</v>
      </c>
      <c r="S365">
        <v>33.234264000000003</v>
      </c>
      <c r="T365">
        <v>-111.7765</v>
      </c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</row>
    <row r="366" spans="2:74" ht="16" thickTop="1" thickBot="1" x14ac:dyDescent="0.25">
      <c r="B366" t="s">
        <v>720</v>
      </c>
      <c r="C366" t="s">
        <v>70</v>
      </c>
      <c r="D366" t="s">
        <v>184</v>
      </c>
      <c r="E366" t="s">
        <v>21</v>
      </c>
      <c r="F366" t="s">
        <v>22</v>
      </c>
      <c r="G366" s="1">
        <v>7800</v>
      </c>
      <c r="H366" s="2">
        <v>65</v>
      </c>
      <c r="I366" s="5" t="str">
        <f>CONCATENATE(H366,"x",INT(G366/H366))</f>
        <v>65x120</v>
      </c>
      <c r="J366">
        <v>18</v>
      </c>
      <c r="K366">
        <v>42</v>
      </c>
      <c r="L366" s="3">
        <v>2767</v>
      </c>
      <c r="M366" s="3">
        <v>4115</v>
      </c>
      <c r="N366" s="3">
        <v>3356</v>
      </c>
      <c r="O366" s="3">
        <v>857900</v>
      </c>
      <c r="P366" s="3">
        <v>987900</v>
      </c>
      <c r="Q366" s="3">
        <v>923900</v>
      </c>
      <c r="S366">
        <v>33.724716000000001</v>
      </c>
      <c r="T366">
        <v>-112.10486</v>
      </c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</row>
    <row r="367" spans="2:74" ht="16" thickTop="1" thickBot="1" x14ac:dyDescent="0.25">
      <c r="B367" t="s">
        <v>277</v>
      </c>
      <c r="C367" t="s">
        <v>144</v>
      </c>
      <c r="D367" t="s">
        <v>278</v>
      </c>
      <c r="E367" t="s">
        <v>21</v>
      </c>
      <c r="F367" t="s">
        <v>22</v>
      </c>
      <c r="G367" s="1">
        <v>5175</v>
      </c>
      <c r="H367" s="2">
        <v>45</v>
      </c>
      <c r="I367" s="5" t="str">
        <f>CONCATENATE(H367,"x",INT(G367/H367))</f>
        <v>45x115</v>
      </c>
      <c r="J367">
        <v>14</v>
      </c>
      <c r="K367">
        <v>42</v>
      </c>
      <c r="L367" s="3">
        <v>1797</v>
      </c>
      <c r="M367" s="3">
        <v>2105</v>
      </c>
      <c r="N367" s="3">
        <v>1950</v>
      </c>
      <c r="O367" s="3">
        <v>348490</v>
      </c>
      <c r="P367" s="3">
        <v>383490</v>
      </c>
      <c r="Q367" s="3">
        <v>362990</v>
      </c>
      <c r="S367">
        <v>33.037754</v>
      </c>
      <c r="T367">
        <v>-111.96088</v>
      </c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</row>
    <row r="368" spans="2:74" ht="16" thickTop="1" thickBot="1" x14ac:dyDescent="0.25">
      <c r="B368" t="s">
        <v>669</v>
      </c>
      <c r="C368" t="s">
        <v>144</v>
      </c>
      <c r="E368" t="s">
        <v>21</v>
      </c>
      <c r="F368" t="s">
        <v>22</v>
      </c>
      <c r="G368" s="1">
        <v>7200</v>
      </c>
      <c r="H368" s="2">
        <v>60</v>
      </c>
      <c r="I368" s="5" t="str">
        <f>CONCATENATE(H368,"x",INT(G368/H368))</f>
        <v>60x120</v>
      </c>
      <c r="J368">
        <v>136</v>
      </c>
      <c r="K368">
        <v>42</v>
      </c>
      <c r="L368" s="3">
        <v>2274</v>
      </c>
      <c r="M368" s="3">
        <v>2649</v>
      </c>
      <c r="N368" s="3">
        <v>2441</v>
      </c>
      <c r="O368" s="3">
        <v>476490</v>
      </c>
      <c r="P368" s="3">
        <v>532490</v>
      </c>
      <c r="Q368" s="3">
        <v>500490</v>
      </c>
      <c r="S368">
        <v>33.357807000000001</v>
      </c>
      <c r="T368">
        <v>-112.14474</v>
      </c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</row>
    <row r="369" spans="2:74" ht="16" thickTop="1" thickBot="1" x14ac:dyDescent="0.25">
      <c r="B369" t="s">
        <v>135</v>
      </c>
      <c r="C369" t="s">
        <v>136</v>
      </c>
      <c r="D369" t="s">
        <v>137</v>
      </c>
      <c r="E369" t="s">
        <v>21</v>
      </c>
      <c r="F369" t="s">
        <v>22</v>
      </c>
      <c r="G369" s="1">
        <v>4400</v>
      </c>
      <c r="H369" s="2">
        <v>40</v>
      </c>
      <c r="I369" s="5" t="str">
        <f>CONCATENATE(H369,"x",INT(G369/H369))</f>
        <v>40x110</v>
      </c>
      <c r="J369">
        <v>38</v>
      </c>
      <c r="K369">
        <v>42</v>
      </c>
      <c r="L369" s="3">
        <v>1560</v>
      </c>
      <c r="M369" s="3">
        <v>2600</v>
      </c>
      <c r="N369" s="3">
        <v>2125</v>
      </c>
      <c r="O369" s="3">
        <v>301990</v>
      </c>
      <c r="P369" s="3">
        <v>411990</v>
      </c>
      <c r="Q369" s="3">
        <v>360490</v>
      </c>
      <c r="S369">
        <v>31.951989999999999</v>
      </c>
      <c r="T369">
        <v>-110.98235</v>
      </c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</row>
    <row r="370" spans="2:74" ht="16" thickTop="1" thickBot="1" x14ac:dyDescent="0.25">
      <c r="B370" t="s">
        <v>545</v>
      </c>
      <c r="C370" t="s">
        <v>136</v>
      </c>
      <c r="E370" t="s">
        <v>21</v>
      </c>
      <c r="F370" t="s">
        <v>22</v>
      </c>
      <c r="G370" s="1">
        <v>6625</v>
      </c>
      <c r="H370" s="2">
        <v>53</v>
      </c>
      <c r="I370" s="5" t="str">
        <f>CONCATENATE(H370,"x",INT(G370/H370))</f>
        <v>53x125</v>
      </c>
      <c r="J370">
        <v>53</v>
      </c>
      <c r="K370">
        <v>42</v>
      </c>
      <c r="L370" s="3">
        <v>1730</v>
      </c>
      <c r="M370" s="3">
        <v>3030</v>
      </c>
      <c r="N370" s="3">
        <v>2326</v>
      </c>
      <c r="O370" s="3">
        <v>407990</v>
      </c>
      <c r="P370" s="3">
        <v>492990</v>
      </c>
      <c r="Q370" s="3">
        <v>449190</v>
      </c>
      <c r="S370">
        <v>33.442371000000001</v>
      </c>
      <c r="T370">
        <v>-112.29607</v>
      </c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</row>
    <row r="371" spans="2:74" ht="16" thickTop="1" thickBot="1" x14ac:dyDescent="0.25">
      <c r="B371" t="s">
        <v>246</v>
      </c>
      <c r="C371" t="s">
        <v>206</v>
      </c>
      <c r="D371" t="s">
        <v>246</v>
      </c>
      <c r="E371" t="s">
        <v>21</v>
      </c>
      <c r="F371" t="s">
        <v>22</v>
      </c>
      <c r="G371" s="1">
        <v>6000</v>
      </c>
      <c r="H371" s="2">
        <v>50</v>
      </c>
      <c r="I371" s="5" t="str">
        <f>CONCATENATE(H371,"x",INT(G371/H371))</f>
        <v>50x120</v>
      </c>
      <c r="J371">
        <v>40</v>
      </c>
      <c r="K371">
        <v>42</v>
      </c>
      <c r="L371" s="3">
        <v>1402</v>
      </c>
      <c r="M371" s="3">
        <v>3131</v>
      </c>
      <c r="N371" s="3">
        <v>2159</v>
      </c>
      <c r="O371" s="3">
        <v>359990</v>
      </c>
      <c r="P371" s="3">
        <v>449990</v>
      </c>
      <c r="Q371" s="3">
        <v>403990</v>
      </c>
      <c r="S371">
        <v>33.170108999999997</v>
      </c>
      <c r="T371">
        <v>-111.53283</v>
      </c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</row>
    <row r="372" spans="2:74" ht="16" thickTop="1" thickBot="1" x14ac:dyDescent="0.25">
      <c r="B372" t="s">
        <v>167</v>
      </c>
      <c r="C372" t="s">
        <v>116</v>
      </c>
      <c r="E372" t="s">
        <v>21</v>
      </c>
      <c r="F372" t="s">
        <v>22</v>
      </c>
      <c r="G372" s="1">
        <v>4800</v>
      </c>
      <c r="H372" s="2">
        <v>40</v>
      </c>
      <c r="I372" s="5" t="str">
        <f>CONCATENATE(H372,"x",INT(G372/H372))</f>
        <v>40x120</v>
      </c>
      <c r="J372">
        <v>9</v>
      </c>
      <c r="K372">
        <v>41</v>
      </c>
      <c r="L372" s="3">
        <v>1015</v>
      </c>
      <c r="M372" s="3">
        <v>1728</v>
      </c>
      <c r="N372" s="3">
        <v>1412</v>
      </c>
      <c r="O372" s="3">
        <v>278990</v>
      </c>
      <c r="P372" s="3">
        <v>329990</v>
      </c>
      <c r="Q372" s="3">
        <v>308156.6666</v>
      </c>
      <c r="S372">
        <v>32.136229999999998</v>
      </c>
      <c r="T372">
        <v>-110.8802</v>
      </c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</row>
    <row r="373" spans="2:74" ht="16" thickTop="1" thickBot="1" x14ac:dyDescent="0.25">
      <c r="B373" t="s">
        <v>670</v>
      </c>
      <c r="C373" t="s">
        <v>114</v>
      </c>
      <c r="E373" t="s">
        <v>21</v>
      </c>
      <c r="F373" t="s">
        <v>22</v>
      </c>
      <c r="G373" s="1">
        <v>7200</v>
      </c>
      <c r="H373" s="2">
        <v>60</v>
      </c>
      <c r="I373" s="5" t="str">
        <f>CONCATENATE(H373,"x",INT(G373/H373))</f>
        <v>60x120</v>
      </c>
      <c r="J373">
        <v>3</v>
      </c>
      <c r="K373">
        <v>41</v>
      </c>
      <c r="L373" s="3">
        <v>2324</v>
      </c>
      <c r="M373" s="3">
        <v>2931</v>
      </c>
      <c r="N373" s="3">
        <v>2614</v>
      </c>
      <c r="O373" s="3">
        <v>489990</v>
      </c>
      <c r="P373" s="3">
        <v>540990</v>
      </c>
      <c r="Q373" s="3">
        <v>513990</v>
      </c>
      <c r="R373" t="s">
        <v>23</v>
      </c>
      <c r="S373">
        <v>32.226897999999998</v>
      </c>
      <c r="T373">
        <v>-110.7668</v>
      </c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</row>
    <row r="374" spans="2:74" ht="16" thickTop="1" thickBot="1" x14ac:dyDescent="0.25">
      <c r="B374" t="s">
        <v>710</v>
      </c>
      <c r="C374" t="s">
        <v>136</v>
      </c>
      <c r="E374" t="s">
        <v>21</v>
      </c>
      <c r="F374" t="s">
        <v>22</v>
      </c>
      <c r="G374" s="1">
        <v>7560</v>
      </c>
      <c r="H374" s="2">
        <v>63</v>
      </c>
      <c r="I374" s="5" t="str">
        <f>CONCATENATE(H374,"x",INT(G374/H374))</f>
        <v>63x120</v>
      </c>
      <c r="J374">
        <v>56</v>
      </c>
      <c r="K374">
        <v>41</v>
      </c>
      <c r="L374" s="3">
        <v>1690</v>
      </c>
      <c r="M374" s="3">
        <v>2090</v>
      </c>
      <c r="N374" s="3">
        <v>1900</v>
      </c>
      <c r="O374" s="3">
        <v>400990</v>
      </c>
      <c r="P374" s="3">
        <v>454990</v>
      </c>
      <c r="Q374" s="3">
        <v>427590</v>
      </c>
      <c r="S374">
        <v>33.716723999999999</v>
      </c>
      <c r="T374">
        <v>-112.45934</v>
      </c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</row>
    <row r="375" spans="2:74" ht="16" thickTop="1" thickBot="1" x14ac:dyDescent="0.25">
      <c r="B375" t="s">
        <v>326</v>
      </c>
      <c r="C375" t="s">
        <v>144</v>
      </c>
      <c r="D375" t="s">
        <v>212</v>
      </c>
      <c r="E375" t="s">
        <v>21</v>
      </c>
      <c r="F375" t="s">
        <v>22</v>
      </c>
      <c r="G375" s="1">
        <v>5400</v>
      </c>
      <c r="H375" s="2">
        <v>45</v>
      </c>
      <c r="I375" s="5" t="str">
        <f>CONCATENATE(H375,"x",INT(G375/H375))</f>
        <v>45x120</v>
      </c>
      <c r="J375">
        <v>82</v>
      </c>
      <c r="K375">
        <v>40</v>
      </c>
      <c r="L375" s="3">
        <v>1232</v>
      </c>
      <c r="M375" s="3">
        <v>1411</v>
      </c>
      <c r="N375" s="3">
        <v>1347</v>
      </c>
      <c r="O375" s="3">
        <v>358990</v>
      </c>
      <c r="P375" s="3">
        <v>375990</v>
      </c>
      <c r="Q375" s="3">
        <v>369156.6666</v>
      </c>
      <c r="R375" t="s">
        <v>23</v>
      </c>
      <c r="S375">
        <v>33.396835000000003</v>
      </c>
      <c r="T375">
        <v>-112.10984000000001</v>
      </c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</row>
    <row r="376" spans="2:74" ht="16" thickTop="1" thickBot="1" x14ac:dyDescent="0.25">
      <c r="B376" t="s">
        <v>558</v>
      </c>
      <c r="C376" t="s">
        <v>123</v>
      </c>
      <c r="E376" t="s">
        <v>21</v>
      </c>
      <c r="F376" t="s">
        <v>22</v>
      </c>
      <c r="G376" s="1">
        <v>6325</v>
      </c>
      <c r="H376" s="2">
        <v>55</v>
      </c>
      <c r="I376" s="5" t="str">
        <f>CONCATENATE(H376,"x",INT(G376/H376))</f>
        <v>55x115</v>
      </c>
      <c r="J376">
        <v>39</v>
      </c>
      <c r="K376">
        <v>39</v>
      </c>
      <c r="L376" s="3">
        <v>2088</v>
      </c>
      <c r="M376" s="3">
        <v>3240</v>
      </c>
      <c r="N376" s="3">
        <v>2574</v>
      </c>
      <c r="O376" s="3">
        <v>414990</v>
      </c>
      <c r="P376" s="3">
        <v>484990</v>
      </c>
      <c r="Q376" s="3">
        <v>446990</v>
      </c>
      <c r="S376">
        <v>33.729942000000001</v>
      </c>
      <c r="T376">
        <v>-112.42477</v>
      </c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</row>
    <row r="377" spans="2:74" ht="16" thickTop="1" thickBot="1" x14ac:dyDescent="0.25">
      <c r="B377" t="s">
        <v>327</v>
      </c>
      <c r="C377" t="s">
        <v>144</v>
      </c>
      <c r="D377" t="s">
        <v>328</v>
      </c>
      <c r="E377" t="s">
        <v>21</v>
      </c>
      <c r="F377" t="s">
        <v>22</v>
      </c>
      <c r="G377" s="1">
        <v>5400</v>
      </c>
      <c r="H377" s="2">
        <v>45</v>
      </c>
      <c r="I377" s="5" t="str">
        <f>CONCATENATE(H377,"x",INT(G377/H377))</f>
        <v>45x120</v>
      </c>
      <c r="J377">
        <v>101</v>
      </c>
      <c r="K377">
        <v>39</v>
      </c>
      <c r="L377" s="3">
        <v>1797</v>
      </c>
      <c r="M377" s="3">
        <v>1953</v>
      </c>
      <c r="N377" s="3">
        <v>1904</v>
      </c>
      <c r="O377" s="3">
        <v>590990</v>
      </c>
      <c r="P377" s="3">
        <v>608990</v>
      </c>
      <c r="Q377" s="3">
        <v>601740</v>
      </c>
      <c r="S377">
        <v>33.779384999999998</v>
      </c>
      <c r="T377">
        <v>-112.10478999999999</v>
      </c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</row>
    <row r="378" spans="2:74" ht="16" thickTop="1" thickBot="1" x14ac:dyDescent="0.25">
      <c r="B378" t="s">
        <v>344</v>
      </c>
      <c r="C378" t="s">
        <v>144</v>
      </c>
      <c r="D378" t="s">
        <v>319</v>
      </c>
      <c r="E378" t="s">
        <v>21</v>
      </c>
      <c r="F378" t="s">
        <v>22</v>
      </c>
      <c r="G378" s="1">
        <v>5625</v>
      </c>
      <c r="H378" s="2">
        <v>45</v>
      </c>
      <c r="I378" s="5" t="str">
        <f>CONCATENATE(H378,"x",INT(G378/H378))</f>
        <v>45x125</v>
      </c>
      <c r="J378">
        <v>6</v>
      </c>
      <c r="K378">
        <v>39</v>
      </c>
      <c r="L378" s="3">
        <v>1232</v>
      </c>
      <c r="M378" s="3">
        <v>1406</v>
      </c>
      <c r="N378" s="3">
        <v>1346</v>
      </c>
      <c r="O378" s="3">
        <v>359990</v>
      </c>
      <c r="P378" s="3">
        <v>372490</v>
      </c>
      <c r="Q378" s="3">
        <v>367656.6666</v>
      </c>
      <c r="S378">
        <v>33.214686999999998</v>
      </c>
      <c r="T378">
        <v>-111.58405999999999</v>
      </c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</row>
    <row r="379" spans="2:74" ht="16" thickTop="1" thickBot="1" x14ac:dyDescent="0.25">
      <c r="B379" t="s">
        <v>369</v>
      </c>
      <c r="C379" t="s">
        <v>144</v>
      </c>
      <c r="D379" t="s">
        <v>189</v>
      </c>
      <c r="E379" t="s">
        <v>21</v>
      </c>
      <c r="F379" t="s">
        <v>22</v>
      </c>
      <c r="G379" s="1">
        <v>5520</v>
      </c>
      <c r="H379" s="2">
        <v>48</v>
      </c>
      <c r="I379" s="5" t="str">
        <f>CONCATENATE(H379,"x",INT(G379/H379))</f>
        <v>48x115</v>
      </c>
      <c r="J379">
        <v>48</v>
      </c>
      <c r="K379">
        <v>39</v>
      </c>
      <c r="L379" s="3">
        <v>1392</v>
      </c>
      <c r="M379" s="3">
        <v>1939</v>
      </c>
      <c r="N379" s="3">
        <v>1767</v>
      </c>
      <c r="O379" s="3">
        <v>378990</v>
      </c>
      <c r="P379" s="3">
        <v>450990</v>
      </c>
      <c r="Q379" s="3">
        <v>420740</v>
      </c>
      <c r="S379">
        <v>33.708075999999998</v>
      </c>
      <c r="T379">
        <v>-112.42513</v>
      </c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</row>
    <row r="380" spans="2:74" ht="16" thickTop="1" thickBot="1" x14ac:dyDescent="0.25">
      <c r="B380" t="s">
        <v>544</v>
      </c>
      <c r="C380" t="s">
        <v>144</v>
      </c>
      <c r="D380" t="s">
        <v>542</v>
      </c>
      <c r="E380" t="s">
        <v>21</v>
      </c>
      <c r="F380" t="s">
        <v>22</v>
      </c>
      <c r="G380" s="1">
        <v>6360</v>
      </c>
      <c r="H380" s="2">
        <v>53</v>
      </c>
      <c r="I380" s="5" t="str">
        <f>CONCATENATE(H380,"x",INT(G380/H380))</f>
        <v>53x120</v>
      </c>
      <c r="J380">
        <v>32</v>
      </c>
      <c r="K380">
        <v>39</v>
      </c>
      <c r="L380" s="3">
        <v>1760</v>
      </c>
      <c r="M380" s="3">
        <v>2524</v>
      </c>
      <c r="N380" s="3">
        <v>2147</v>
      </c>
      <c r="O380" s="3">
        <v>404990</v>
      </c>
      <c r="P380" s="3">
        <v>474990</v>
      </c>
      <c r="Q380" s="3">
        <v>436240</v>
      </c>
      <c r="S380">
        <v>33.483994000000003</v>
      </c>
      <c r="T380">
        <v>-112.48987</v>
      </c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</row>
    <row r="381" spans="2:74" ht="16" thickTop="1" thickBot="1" x14ac:dyDescent="0.25">
      <c r="B381" t="s">
        <v>498</v>
      </c>
      <c r="C381" t="s">
        <v>151</v>
      </c>
      <c r="D381" t="s">
        <v>26</v>
      </c>
      <c r="E381" t="s">
        <v>21</v>
      </c>
      <c r="F381" t="s">
        <v>22</v>
      </c>
      <c r="G381" s="1">
        <v>6200</v>
      </c>
      <c r="H381" s="2">
        <v>50</v>
      </c>
      <c r="I381" s="5" t="str">
        <f>CONCATENATE(H381,"x",INT(G381/H381))</f>
        <v>50x124</v>
      </c>
      <c r="J381">
        <v>21</v>
      </c>
      <c r="K381">
        <v>39</v>
      </c>
      <c r="L381" s="3">
        <v>1841</v>
      </c>
      <c r="M381" s="3">
        <v>2271</v>
      </c>
      <c r="N381" s="3">
        <v>2027</v>
      </c>
      <c r="O381" s="3">
        <v>407990</v>
      </c>
      <c r="P381" s="3">
        <v>439990</v>
      </c>
      <c r="Q381" s="3">
        <v>422240</v>
      </c>
      <c r="S381">
        <v>32.470032000000003</v>
      </c>
      <c r="T381">
        <v>-111.13105</v>
      </c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</row>
    <row r="382" spans="2:74" ht="16" thickTop="1" thickBot="1" x14ac:dyDescent="0.25">
      <c r="B382" t="s">
        <v>775</v>
      </c>
      <c r="C382" t="s">
        <v>36</v>
      </c>
      <c r="E382" t="s">
        <v>21</v>
      </c>
      <c r="F382" t="s">
        <v>22</v>
      </c>
      <c r="G382" s="1">
        <v>8400</v>
      </c>
      <c r="H382" s="2">
        <v>70</v>
      </c>
      <c r="I382" s="5" t="str">
        <f>CONCATENATE(H382,"x",INT(G382/H382))</f>
        <v>70x120</v>
      </c>
      <c r="J382">
        <v>13</v>
      </c>
      <c r="K382">
        <v>39</v>
      </c>
      <c r="L382" s="3">
        <v>2665</v>
      </c>
      <c r="M382" s="3">
        <v>3124</v>
      </c>
      <c r="N382" s="3">
        <v>2875</v>
      </c>
      <c r="O382" s="3">
        <v>548000</v>
      </c>
      <c r="P382" s="3">
        <v>584000</v>
      </c>
      <c r="Q382" s="3">
        <v>566666.6666</v>
      </c>
      <c r="S382">
        <v>33.182827000000003</v>
      </c>
      <c r="T382">
        <v>-111.61812999999999</v>
      </c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</row>
    <row r="383" spans="2:74" ht="16" thickTop="1" thickBot="1" x14ac:dyDescent="0.25">
      <c r="B383" t="s">
        <v>691</v>
      </c>
      <c r="C383" t="s">
        <v>350</v>
      </c>
      <c r="E383" t="s">
        <v>21</v>
      </c>
      <c r="F383" t="s">
        <v>22</v>
      </c>
      <c r="G383" s="1">
        <v>7800</v>
      </c>
      <c r="H383" s="2">
        <v>60</v>
      </c>
      <c r="I383" s="5" t="str">
        <f>CONCATENATE(H383,"x",INT(G383/H383))</f>
        <v>60x130</v>
      </c>
      <c r="J383">
        <v>65</v>
      </c>
      <c r="K383">
        <v>38</v>
      </c>
      <c r="L383" s="3">
        <v>2279</v>
      </c>
      <c r="M383" s="3">
        <v>4365</v>
      </c>
      <c r="N383" s="3">
        <v>2977</v>
      </c>
      <c r="O383" s="3">
        <v>700950</v>
      </c>
      <c r="P383" s="3">
        <v>889950</v>
      </c>
      <c r="Q383" s="3">
        <v>789283.33330000006</v>
      </c>
      <c r="R383" t="s">
        <v>23</v>
      </c>
      <c r="S383">
        <v>33.482554999999998</v>
      </c>
      <c r="T383">
        <v>-111.70417999999999</v>
      </c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</row>
    <row r="384" spans="2:74" ht="16" thickTop="1" thickBot="1" x14ac:dyDescent="0.25">
      <c r="B384" t="s">
        <v>847</v>
      </c>
      <c r="C384" t="s">
        <v>272</v>
      </c>
      <c r="D384" t="s">
        <v>542</v>
      </c>
      <c r="E384" t="s">
        <v>21</v>
      </c>
      <c r="F384" t="s">
        <v>22</v>
      </c>
      <c r="G384" s="1">
        <v>10200</v>
      </c>
      <c r="H384" s="2">
        <v>85</v>
      </c>
      <c r="I384" s="5" t="str">
        <f>CONCATENATE(H384,"x",INT(G384/H384))</f>
        <v>85x120</v>
      </c>
      <c r="J384">
        <v>2</v>
      </c>
      <c r="K384">
        <v>38</v>
      </c>
      <c r="L384" s="3">
        <v>2397</v>
      </c>
      <c r="M384" s="3">
        <v>4312</v>
      </c>
      <c r="N384" s="3">
        <v>3144</v>
      </c>
      <c r="O384" s="3">
        <v>572990</v>
      </c>
      <c r="P384" s="3">
        <v>740990</v>
      </c>
      <c r="Q384" s="3">
        <v>638190</v>
      </c>
      <c r="S384">
        <v>33.486099000000003</v>
      </c>
      <c r="T384">
        <v>-112.48934</v>
      </c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</row>
    <row r="385" spans="1:74" ht="16" thickTop="1" thickBot="1" x14ac:dyDescent="0.25">
      <c r="B385" t="s">
        <v>917</v>
      </c>
      <c r="C385" t="s">
        <v>462</v>
      </c>
      <c r="D385" t="s">
        <v>918</v>
      </c>
      <c r="E385" t="s">
        <v>872</v>
      </c>
      <c r="F385" t="s">
        <v>907</v>
      </c>
      <c r="G385" s="1">
        <v>0</v>
      </c>
      <c r="H385" s="1">
        <v>0</v>
      </c>
      <c r="I385" s="5" t="s">
        <v>908</v>
      </c>
      <c r="J385">
        <v>30</v>
      </c>
      <c r="K385">
        <v>38</v>
      </c>
      <c r="L385" s="3">
        <v>2132</v>
      </c>
      <c r="M385" s="3">
        <v>3566</v>
      </c>
      <c r="N385" s="3">
        <v>2894</v>
      </c>
      <c r="O385" s="3">
        <v>790000</v>
      </c>
      <c r="P385" s="3">
        <v>1092000</v>
      </c>
      <c r="Q385" s="3">
        <v>937500</v>
      </c>
      <c r="R385" t="s">
        <v>919</v>
      </c>
      <c r="S385">
        <v>33.289524</v>
      </c>
      <c r="T385">
        <v>-111.73338</v>
      </c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</row>
    <row r="386" spans="1:74" ht="16" thickTop="1" thickBot="1" x14ac:dyDescent="0.25">
      <c r="B386" t="s">
        <v>504</v>
      </c>
      <c r="C386" t="s">
        <v>29</v>
      </c>
      <c r="D386" t="s">
        <v>193</v>
      </c>
      <c r="E386" t="s">
        <v>21</v>
      </c>
      <c r="F386" t="s">
        <v>22</v>
      </c>
      <c r="G386" s="1">
        <v>6250</v>
      </c>
      <c r="H386" s="2">
        <v>50</v>
      </c>
      <c r="I386" s="5" t="str">
        <f>CONCATENATE(H386,"x",INT(G386/H386))</f>
        <v>50x125</v>
      </c>
      <c r="J386">
        <v>114</v>
      </c>
      <c r="K386">
        <v>38</v>
      </c>
      <c r="L386" s="3">
        <v>2115</v>
      </c>
      <c r="M386" s="3">
        <v>3025</v>
      </c>
      <c r="N386" s="3">
        <v>2592</v>
      </c>
      <c r="O386" s="3">
        <v>656990</v>
      </c>
      <c r="P386" s="3">
        <v>737990</v>
      </c>
      <c r="Q386" s="3">
        <v>703990</v>
      </c>
      <c r="S386">
        <v>33.505180000000003</v>
      </c>
      <c r="T386">
        <v>-112.51723</v>
      </c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</row>
    <row r="387" spans="1:74" ht="16" thickTop="1" thickBot="1" x14ac:dyDescent="0.25">
      <c r="B387" t="s">
        <v>729</v>
      </c>
      <c r="C387" t="s">
        <v>110</v>
      </c>
      <c r="D387" t="s">
        <v>127</v>
      </c>
      <c r="E387" t="s">
        <v>21</v>
      </c>
      <c r="F387" t="s">
        <v>22</v>
      </c>
      <c r="G387" s="1">
        <v>8150</v>
      </c>
      <c r="H387" s="2">
        <v>65</v>
      </c>
      <c r="I387" s="5" t="str">
        <f>CONCATENATE(H387,"x",INT(G387/H387))</f>
        <v>65x125</v>
      </c>
      <c r="J387">
        <v>163</v>
      </c>
      <c r="K387">
        <v>38</v>
      </c>
      <c r="L387" s="3">
        <v>2889</v>
      </c>
      <c r="M387" s="3">
        <v>4611</v>
      </c>
      <c r="N387" s="3">
        <v>3652</v>
      </c>
      <c r="O387" s="3">
        <v>831990</v>
      </c>
      <c r="P387" s="3">
        <v>1035990</v>
      </c>
      <c r="Q387" s="3">
        <v>932323.33330000006</v>
      </c>
      <c r="S387">
        <v>33.336539999999999</v>
      </c>
      <c r="T387">
        <v>-111.61612</v>
      </c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</row>
    <row r="388" spans="1:74" ht="16" thickTop="1" thickBot="1" x14ac:dyDescent="0.25">
      <c r="B388" t="s">
        <v>424</v>
      </c>
      <c r="C388" t="s">
        <v>276</v>
      </c>
      <c r="D388" t="s">
        <v>265</v>
      </c>
      <c r="E388" t="s">
        <v>21</v>
      </c>
      <c r="F388" t="s">
        <v>22</v>
      </c>
      <c r="G388" s="1">
        <v>5750</v>
      </c>
      <c r="H388" s="2">
        <v>50</v>
      </c>
      <c r="I388" s="5" t="str">
        <f>CONCATENATE(H388,"x",INT(G388/H388))</f>
        <v>50x115</v>
      </c>
      <c r="J388">
        <v>14</v>
      </c>
      <c r="K388">
        <v>37</v>
      </c>
      <c r="L388" s="3">
        <v>1842</v>
      </c>
      <c r="M388" s="3">
        <v>2116</v>
      </c>
      <c r="N388" s="3">
        <v>1974</v>
      </c>
      <c r="O388" s="3">
        <v>483900</v>
      </c>
      <c r="P388" s="3">
        <v>523900</v>
      </c>
      <c r="Q388" s="3">
        <v>501400</v>
      </c>
      <c r="S388">
        <v>33.767487000000003</v>
      </c>
      <c r="T388">
        <v>-112.34032000000001</v>
      </c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</row>
    <row r="389" spans="1:74" ht="16" thickTop="1" thickBot="1" x14ac:dyDescent="0.25">
      <c r="B389" t="s">
        <v>46</v>
      </c>
      <c r="C389" t="s">
        <v>47</v>
      </c>
      <c r="E389" t="s">
        <v>21</v>
      </c>
      <c r="F389" t="s">
        <v>22</v>
      </c>
      <c r="G389" s="1">
        <v>19425</v>
      </c>
      <c r="H389" s="2">
        <v>105</v>
      </c>
      <c r="I389" s="5" t="str">
        <f>CONCATENATE(H389,"x",INT(G389/H389))</f>
        <v>105x185</v>
      </c>
      <c r="J389">
        <v>13</v>
      </c>
      <c r="K389">
        <v>37</v>
      </c>
      <c r="L389" s="3">
        <v>1953</v>
      </c>
      <c r="M389" s="3">
        <v>2578</v>
      </c>
      <c r="N389" s="3">
        <v>2256</v>
      </c>
      <c r="O389" s="3">
        <v>549900</v>
      </c>
      <c r="P389" s="3">
        <v>633900</v>
      </c>
      <c r="Q389" s="3">
        <v>580900</v>
      </c>
      <c r="S389">
        <v>34.666930999999998</v>
      </c>
      <c r="T389">
        <v>-112.22548</v>
      </c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</row>
    <row r="390" spans="1:74" ht="16" thickTop="1" thickBot="1" x14ac:dyDescent="0.25">
      <c r="B390" t="s">
        <v>279</v>
      </c>
      <c r="C390" t="s">
        <v>116</v>
      </c>
      <c r="D390" t="s">
        <v>280</v>
      </c>
      <c r="E390" t="s">
        <v>21</v>
      </c>
      <c r="F390" t="s">
        <v>22</v>
      </c>
      <c r="G390" s="1">
        <v>5175</v>
      </c>
      <c r="H390" s="2">
        <v>45</v>
      </c>
      <c r="I390" s="5" t="str">
        <f>CONCATENATE(H390,"x",INT(G390/H390))</f>
        <v>45x115</v>
      </c>
      <c r="J390">
        <v>109</v>
      </c>
      <c r="K390">
        <v>37</v>
      </c>
      <c r="L390" s="3">
        <v>1503</v>
      </c>
      <c r="M390" s="3">
        <v>2575</v>
      </c>
      <c r="N390" s="3">
        <v>2000</v>
      </c>
      <c r="O390" s="3">
        <v>359990</v>
      </c>
      <c r="P390" s="3">
        <v>419990</v>
      </c>
      <c r="Q390" s="3">
        <v>390704.28570000001</v>
      </c>
      <c r="S390">
        <v>33.546863999999999</v>
      </c>
      <c r="T390">
        <v>-112.32611</v>
      </c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</row>
    <row r="391" spans="1:74" ht="16" thickTop="1" thickBot="1" x14ac:dyDescent="0.25">
      <c r="B391" t="s">
        <v>614</v>
      </c>
      <c r="C391" t="s">
        <v>136</v>
      </c>
      <c r="E391" t="s">
        <v>21</v>
      </c>
      <c r="F391" t="s">
        <v>22</v>
      </c>
      <c r="G391" s="1">
        <v>6670</v>
      </c>
      <c r="H391" s="2">
        <v>58</v>
      </c>
      <c r="I391" s="5" t="str">
        <f>CONCATENATE(H391,"x",INT(G391/H391))</f>
        <v>58x115</v>
      </c>
      <c r="J391">
        <v>73</v>
      </c>
      <c r="K391">
        <v>37</v>
      </c>
      <c r="L391" s="3">
        <v>1590</v>
      </c>
      <c r="M391" s="3">
        <v>2630</v>
      </c>
      <c r="N391" s="3">
        <v>1986</v>
      </c>
      <c r="O391" s="3">
        <v>354990</v>
      </c>
      <c r="P391" s="3">
        <v>437990</v>
      </c>
      <c r="Q391" s="3">
        <v>386790</v>
      </c>
      <c r="S391">
        <v>33.426537000000003</v>
      </c>
      <c r="T391">
        <v>-112.5705</v>
      </c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</row>
    <row r="392" spans="1:74" ht="16" thickTop="1" thickBot="1" x14ac:dyDescent="0.25">
      <c r="A392" s="6"/>
      <c r="B392" t="s">
        <v>479</v>
      </c>
      <c r="C392" t="s">
        <v>45</v>
      </c>
      <c r="D392" t="s">
        <v>249</v>
      </c>
      <c r="E392" t="s">
        <v>21</v>
      </c>
      <c r="F392" t="s">
        <v>22</v>
      </c>
      <c r="G392" s="1">
        <v>6000</v>
      </c>
      <c r="H392" s="2">
        <v>50</v>
      </c>
      <c r="I392" s="5" t="str">
        <f>CONCATENATE(H392,"x",INT(G392/H392))</f>
        <v>50x120</v>
      </c>
      <c r="J392">
        <v>19</v>
      </c>
      <c r="K392">
        <v>37</v>
      </c>
      <c r="L392" s="3">
        <v>1704</v>
      </c>
      <c r="M392" s="3">
        <v>2942</v>
      </c>
      <c r="N392" s="3">
        <v>2289</v>
      </c>
      <c r="O392" s="3">
        <v>398900</v>
      </c>
      <c r="P392" s="3">
        <v>555900</v>
      </c>
      <c r="Q392" s="3">
        <v>468066.6666</v>
      </c>
      <c r="S392">
        <v>33.404964</v>
      </c>
      <c r="T392">
        <v>-112.33244000000001</v>
      </c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</row>
    <row r="393" spans="1:74" ht="15" thickTop="1" x14ac:dyDescent="0.2">
      <c r="B393" t="s">
        <v>186</v>
      </c>
      <c r="C393" t="s">
        <v>187</v>
      </c>
      <c r="D393" t="s">
        <v>184</v>
      </c>
      <c r="E393" t="s">
        <v>21</v>
      </c>
      <c r="F393" t="s">
        <v>22</v>
      </c>
      <c r="G393" s="1">
        <v>3600</v>
      </c>
      <c r="H393" s="2">
        <v>40</v>
      </c>
      <c r="I393" s="5" t="str">
        <f>CONCATENATE(H393,"x",INT(G393/H393))</f>
        <v>40x90</v>
      </c>
      <c r="J393">
        <v>84</v>
      </c>
      <c r="K393">
        <v>36</v>
      </c>
      <c r="L393" s="3">
        <v>1846</v>
      </c>
      <c r="M393" s="3">
        <v>2618</v>
      </c>
      <c r="N393" s="3">
        <v>2211</v>
      </c>
      <c r="O393" s="3">
        <v>547990</v>
      </c>
      <c r="P393" s="3">
        <v>631990</v>
      </c>
      <c r="Q393" s="3">
        <v>591990</v>
      </c>
      <c r="S393">
        <v>33.723033999999998</v>
      </c>
      <c r="T393">
        <v>-112.10405</v>
      </c>
    </row>
    <row r="394" spans="1:74" x14ac:dyDescent="0.2">
      <c r="B394" t="s">
        <v>395</v>
      </c>
      <c r="C394" t="s">
        <v>173</v>
      </c>
      <c r="D394" t="s">
        <v>396</v>
      </c>
      <c r="E394" t="s">
        <v>21</v>
      </c>
      <c r="F394" t="s">
        <v>22</v>
      </c>
      <c r="G394" s="1">
        <v>5500</v>
      </c>
      <c r="H394" s="2">
        <v>50</v>
      </c>
      <c r="I394" s="5" t="str">
        <f>CONCATENATE(H394,"x",INT(G394/H394))</f>
        <v>50x110</v>
      </c>
      <c r="J394">
        <v>18</v>
      </c>
      <c r="K394">
        <v>36</v>
      </c>
      <c r="L394" s="3">
        <v>1288</v>
      </c>
      <c r="M394" s="3">
        <v>1765</v>
      </c>
      <c r="N394" s="3">
        <v>1462</v>
      </c>
      <c r="O394" s="3">
        <v>439900</v>
      </c>
      <c r="P394" s="3">
        <v>549900</v>
      </c>
      <c r="Q394" s="3">
        <v>486150</v>
      </c>
      <c r="S394">
        <v>34.616557999999998</v>
      </c>
      <c r="T394">
        <v>-112.36091999999999</v>
      </c>
    </row>
    <row r="395" spans="1:74" x14ac:dyDescent="0.2">
      <c r="B395" t="s">
        <v>559</v>
      </c>
      <c r="C395" t="s">
        <v>114</v>
      </c>
      <c r="D395" t="s">
        <v>298</v>
      </c>
      <c r="E395" t="s">
        <v>21</v>
      </c>
      <c r="F395" t="s">
        <v>22</v>
      </c>
      <c r="G395" s="1">
        <v>6325</v>
      </c>
      <c r="H395" s="2">
        <v>55</v>
      </c>
      <c r="I395" s="5" t="str">
        <f>CONCATENATE(H395,"x",INT(G395/H395))</f>
        <v>55x115</v>
      </c>
      <c r="J395">
        <v>58</v>
      </c>
      <c r="K395">
        <v>36</v>
      </c>
      <c r="L395" s="3">
        <v>1568</v>
      </c>
      <c r="M395" s="3">
        <v>2552</v>
      </c>
      <c r="N395" s="3">
        <v>2156</v>
      </c>
      <c r="O395" s="3">
        <v>401990</v>
      </c>
      <c r="P395" s="3">
        <v>495990</v>
      </c>
      <c r="Q395" s="3">
        <v>453865</v>
      </c>
      <c r="S395">
        <v>33.521954000000001</v>
      </c>
      <c r="T395">
        <v>-112.48855</v>
      </c>
    </row>
    <row r="396" spans="1:74" x14ac:dyDescent="0.2">
      <c r="B396" t="s">
        <v>330</v>
      </c>
      <c r="C396" t="s">
        <v>240</v>
      </c>
      <c r="D396" t="s">
        <v>261</v>
      </c>
      <c r="E396" t="s">
        <v>21</v>
      </c>
      <c r="F396" t="s">
        <v>22</v>
      </c>
      <c r="G396" s="1">
        <v>5400</v>
      </c>
      <c r="H396" s="2">
        <v>45</v>
      </c>
      <c r="I396" s="5" t="str">
        <f>CONCATENATE(H396,"x",INT(G396/H396))</f>
        <v>45x120</v>
      </c>
      <c r="J396">
        <v>105</v>
      </c>
      <c r="K396">
        <v>35</v>
      </c>
      <c r="L396" s="3">
        <v>1353</v>
      </c>
      <c r="M396" s="3">
        <v>2197</v>
      </c>
      <c r="N396" s="3">
        <v>1757</v>
      </c>
      <c r="O396" s="3">
        <v>371990</v>
      </c>
      <c r="P396" s="3">
        <v>421990</v>
      </c>
      <c r="Q396" s="3">
        <v>395490</v>
      </c>
      <c r="S396">
        <v>33.401465999999999</v>
      </c>
      <c r="T396">
        <v>-112.29998000000001</v>
      </c>
    </row>
    <row r="397" spans="1:74" x14ac:dyDescent="0.2">
      <c r="B397" t="s">
        <v>211</v>
      </c>
      <c r="C397" t="s">
        <v>116</v>
      </c>
      <c r="D397" t="s">
        <v>212</v>
      </c>
      <c r="E397" t="s">
        <v>21</v>
      </c>
      <c r="F397" t="s">
        <v>22</v>
      </c>
      <c r="G397" s="1">
        <v>4950</v>
      </c>
      <c r="H397" s="2">
        <v>45</v>
      </c>
      <c r="I397" s="5" t="str">
        <f>CONCATENATE(H397,"x",INT(G397/H397))</f>
        <v>45x110</v>
      </c>
      <c r="J397">
        <v>138</v>
      </c>
      <c r="K397">
        <v>35</v>
      </c>
      <c r="L397" s="3">
        <v>1327</v>
      </c>
      <c r="M397" s="3">
        <v>2524</v>
      </c>
      <c r="N397" s="3">
        <v>1835</v>
      </c>
      <c r="O397" s="3">
        <v>361990</v>
      </c>
      <c r="P397" s="3">
        <v>419990</v>
      </c>
      <c r="Q397" s="3">
        <v>391823.3333</v>
      </c>
      <c r="R397" t="s">
        <v>23</v>
      </c>
      <c r="S397">
        <v>33.397247</v>
      </c>
      <c r="T397">
        <v>-112.11394</v>
      </c>
    </row>
    <row r="398" spans="1:74" x14ac:dyDescent="0.2">
      <c r="B398" t="s">
        <v>855</v>
      </c>
      <c r="C398" t="s">
        <v>856</v>
      </c>
      <c r="E398" t="s">
        <v>21</v>
      </c>
      <c r="F398" t="s">
        <v>22</v>
      </c>
      <c r="G398" s="1">
        <v>10800</v>
      </c>
      <c r="H398" s="2">
        <v>90</v>
      </c>
      <c r="I398" s="5" t="str">
        <f>CONCATENATE(H398,"x",INT(G398/H398))</f>
        <v>90x120</v>
      </c>
      <c r="J398">
        <v>13</v>
      </c>
      <c r="K398">
        <v>35</v>
      </c>
      <c r="L398" s="3">
        <v>1667</v>
      </c>
      <c r="M398" s="3">
        <v>2450</v>
      </c>
      <c r="N398" s="3">
        <v>1990</v>
      </c>
      <c r="O398" s="3">
        <v>495500</v>
      </c>
      <c r="P398" s="3">
        <v>667500</v>
      </c>
      <c r="Q398" s="3">
        <v>584140</v>
      </c>
      <c r="S398">
        <v>34.763205999999997</v>
      </c>
      <c r="T398">
        <v>-112.05409</v>
      </c>
    </row>
    <row r="399" spans="1:74" x14ac:dyDescent="0.2">
      <c r="B399" t="s">
        <v>786</v>
      </c>
      <c r="C399" t="s">
        <v>151</v>
      </c>
      <c r="E399" t="s">
        <v>21</v>
      </c>
      <c r="F399" t="s">
        <v>22</v>
      </c>
      <c r="G399" s="1">
        <v>8750</v>
      </c>
      <c r="H399" s="2">
        <v>70</v>
      </c>
      <c r="I399" s="5" t="str">
        <f>CONCATENATE(H399,"x",INT(G399/H399))</f>
        <v>70x125</v>
      </c>
      <c r="J399">
        <v>45</v>
      </c>
      <c r="K399">
        <v>35</v>
      </c>
      <c r="L399" s="3">
        <v>2443</v>
      </c>
      <c r="M399" s="3">
        <v>3148</v>
      </c>
      <c r="N399" s="3">
        <v>2780</v>
      </c>
      <c r="O399" s="3">
        <v>612990</v>
      </c>
      <c r="P399" s="3">
        <v>677990</v>
      </c>
      <c r="Q399" s="3">
        <v>644740</v>
      </c>
      <c r="R399" t="s">
        <v>23</v>
      </c>
      <c r="S399">
        <v>32.404865000000001</v>
      </c>
      <c r="T399">
        <v>-111.02515</v>
      </c>
    </row>
    <row r="400" spans="1:74" x14ac:dyDescent="0.2">
      <c r="B400" t="s">
        <v>329</v>
      </c>
      <c r="C400" t="s">
        <v>206</v>
      </c>
      <c r="D400" t="s">
        <v>329</v>
      </c>
      <c r="E400" t="s">
        <v>21</v>
      </c>
      <c r="F400" t="s">
        <v>22</v>
      </c>
      <c r="G400" s="1">
        <v>5400</v>
      </c>
      <c r="H400" s="2">
        <v>45</v>
      </c>
      <c r="I400" s="5" t="str">
        <f>CONCATENATE(H400,"x",INT(G400/H400))</f>
        <v>45x120</v>
      </c>
      <c r="J400">
        <v>50</v>
      </c>
      <c r="K400">
        <v>35</v>
      </c>
      <c r="L400" s="3">
        <v>1402</v>
      </c>
      <c r="M400" s="3">
        <v>3131</v>
      </c>
      <c r="N400" s="3">
        <v>2188</v>
      </c>
      <c r="O400" s="3">
        <v>384990</v>
      </c>
      <c r="P400" s="3">
        <v>494990</v>
      </c>
      <c r="Q400" s="3">
        <v>430823.3333</v>
      </c>
      <c r="S400">
        <v>33.583637000000003</v>
      </c>
      <c r="T400">
        <v>-112.41573</v>
      </c>
    </row>
    <row r="401" spans="2:20" x14ac:dyDescent="0.2">
      <c r="B401" t="s">
        <v>24</v>
      </c>
      <c r="C401" t="s">
        <v>25</v>
      </c>
      <c r="D401" t="s">
        <v>26</v>
      </c>
      <c r="E401" t="s">
        <v>21</v>
      </c>
      <c r="F401" t="s">
        <v>22</v>
      </c>
      <c r="G401" s="1">
        <v>14500</v>
      </c>
      <c r="H401" s="2">
        <v>100</v>
      </c>
      <c r="I401" s="5" t="str">
        <f>CONCATENATE(H401,"x",INT(G401/H401))</f>
        <v>100x145</v>
      </c>
      <c r="J401">
        <v>120</v>
      </c>
      <c r="K401">
        <v>34</v>
      </c>
      <c r="L401" s="3">
        <v>2479</v>
      </c>
      <c r="M401" s="3">
        <v>4725</v>
      </c>
      <c r="N401" s="3">
        <v>3531</v>
      </c>
      <c r="O401" s="3">
        <v>1611350</v>
      </c>
      <c r="P401" s="3">
        <v>3071250</v>
      </c>
      <c r="Q401" s="3">
        <v>2295280</v>
      </c>
      <c r="R401" t="s">
        <v>27</v>
      </c>
      <c r="S401">
        <v>32.470837000000003</v>
      </c>
      <c r="T401">
        <v>-111.09604</v>
      </c>
    </row>
    <row r="402" spans="2:20" x14ac:dyDescent="0.2">
      <c r="B402" t="s">
        <v>26</v>
      </c>
      <c r="C402" t="s">
        <v>33</v>
      </c>
      <c r="D402" t="s">
        <v>26</v>
      </c>
      <c r="E402" t="s">
        <v>21</v>
      </c>
      <c r="F402" t="s">
        <v>22</v>
      </c>
      <c r="G402" s="1">
        <v>10400</v>
      </c>
      <c r="H402" s="2">
        <v>80</v>
      </c>
      <c r="I402" s="5" t="str">
        <f>CONCATENATE(H402,"x",INT(G402/H402))</f>
        <v>80x130</v>
      </c>
      <c r="J402">
        <v>38</v>
      </c>
      <c r="K402">
        <v>34</v>
      </c>
      <c r="L402" s="3">
        <v>2746</v>
      </c>
      <c r="M402" s="3">
        <v>3770</v>
      </c>
      <c r="N402" s="3">
        <v>3195</v>
      </c>
      <c r="O402" s="3">
        <v>865000</v>
      </c>
      <c r="P402" s="3">
        <v>959000</v>
      </c>
      <c r="Q402" s="3">
        <v>910800</v>
      </c>
      <c r="S402">
        <v>32.472599000000002</v>
      </c>
      <c r="T402">
        <v>-111.11151</v>
      </c>
    </row>
    <row r="403" spans="2:20" x14ac:dyDescent="0.2">
      <c r="B403" t="s">
        <v>759</v>
      </c>
      <c r="C403" t="s">
        <v>144</v>
      </c>
      <c r="D403" t="s">
        <v>542</v>
      </c>
      <c r="E403" t="s">
        <v>21</v>
      </c>
      <c r="F403" t="s">
        <v>22</v>
      </c>
      <c r="G403" s="1">
        <v>8160</v>
      </c>
      <c r="H403" s="2">
        <v>68</v>
      </c>
      <c r="I403" s="5" t="str">
        <f>CONCATENATE(H403,"x",INT(G403/H403))</f>
        <v>68x120</v>
      </c>
      <c r="J403">
        <v>11</v>
      </c>
      <c r="K403">
        <v>34</v>
      </c>
      <c r="L403" s="3">
        <v>2163</v>
      </c>
      <c r="M403" s="3">
        <v>2604</v>
      </c>
      <c r="N403" s="3">
        <v>2354</v>
      </c>
      <c r="O403" s="3">
        <v>551990</v>
      </c>
      <c r="P403" s="3">
        <v>601990</v>
      </c>
      <c r="Q403" s="3">
        <v>570323.33330000006</v>
      </c>
      <c r="S403">
        <v>33.481064000000003</v>
      </c>
      <c r="T403">
        <v>-112.49165000000001</v>
      </c>
    </row>
    <row r="404" spans="2:20" x14ac:dyDescent="0.2">
      <c r="B404" t="s">
        <v>535</v>
      </c>
      <c r="C404" t="s">
        <v>136</v>
      </c>
      <c r="E404" t="s">
        <v>21</v>
      </c>
      <c r="F404" t="s">
        <v>22</v>
      </c>
      <c r="G404" s="1">
        <v>6095</v>
      </c>
      <c r="H404" s="2">
        <v>53</v>
      </c>
      <c r="I404" s="5" t="str">
        <f>CONCATENATE(H404,"x",INT(G404/H404))</f>
        <v>53x115</v>
      </c>
      <c r="J404">
        <v>118</v>
      </c>
      <c r="K404">
        <v>34</v>
      </c>
      <c r="L404" s="3">
        <v>1690</v>
      </c>
      <c r="M404" s="3">
        <v>2090</v>
      </c>
      <c r="N404" s="3">
        <v>1881</v>
      </c>
      <c r="O404" s="3">
        <v>410990</v>
      </c>
      <c r="P404" s="3">
        <v>447990</v>
      </c>
      <c r="Q404" s="3">
        <v>428490</v>
      </c>
      <c r="S404">
        <v>33.437206000000003</v>
      </c>
      <c r="T404">
        <v>-112.29049000000001</v>
      </c>
    </row>
    <row r="405" spans="2:20" x14ac:dyDescent="0.2">
      <c r="B405" t="s">
        <v>281</v>
      </c>
      <c r="C405" t="s">
        <v>68</v>
      </c>
      <c r="D405" t="s">
        <v>249</v>
      </c>
      <c r="E405" t="s">
        <v>21</v>
      </c>
      <c r="F405" t="s">
        <v>22</v>
      </c>
      <c r="G405" s="1">
        <v>5175</v>
      </c>
      <c r="H405" s="2">
        <v>45</v>
      </c>
      <c r="I405" s="5" t="str">
        <f>CONCATENATE(H405,"x",INT(G405/H405))</f>
        <v>45x115</v>
      </c>
      <c r="J405">
        <v>65</v>
      </c>
      <c r="K405">
        <v>34</v>
      </c>
      <c r="L405" s="3">
        <v>1746</v>
      </c>
      <c r="M405" s="3">
        <v>2648</v>
      </c>
      <c r="N405" s="3">
        <v>2106</v>
      </c>
      <c r="O405" s="3">
        <v>420490</v>
      </c>
      <c r="P405" s="3">
        <v>492490</v>
      </c>
      <c r="Q405" s="3">
        <v>454490</v>
      </c>
      <c r="S405">
        <v>33.400222999999997</v>
      </c>
      <c r="T405">
        <v>-112.31712</v>
      </c>
    </row>
    <row r="406" spans="2:20" x14ac:dyDescent="0.2">
      <c r="B406" t="s">
        <v>323</v>
      </c>
      <c r="C406" t="s">
        <v>206</v>
      </c>
      <c r="D406" t="s">
        <v>323</v>
      </c>
      <c r="E406" t="s">
        <v>21</v>
      </c>
      <c r="F406" t="s">
        <v>22</v>
      </c>
      <c r="G406" s="1">
        <v>5400</v>
      </c>
      <c r="H406" s="2">
        <v>45</v>
      </c>
      <c r="I406" s="5" t="str">
        <f>CONCATENATE(H406,"x",INT(G406/H406))</f>
        <v>45x120</v>
      </c>
      <c r="J406">
        <v>240</v>
      </c>
      <c r="K406">
        <v>34</v>
      </c>
      <c r="L406" s="3">
        <v>1402</v>
      </c>
      <c r="M406" s="3">
        <v>3131</v>
      </c>
      <c r="N406" s="3">
        <v>2159</v>
      </c>
      <c r="O406" s="3">
        <v>309990</v>
      </c>
      <c r="P406" s="3">
        <v>419990</v>
      </c>
      <c r="Q406" s="3">
        <v>358990</v>
      </c>
      <c r="S406">
        <v>33.047150000000002</v>
      </c>
      <c r="T406">
        <v>-111.94755000000001</v>
      </c>
    </row>
    <row r="407" spans="2:20" x14ac:dyDescent="0.2">
      <c r="B407" t="s">
        <v>363</v>
      </c>
      <c r="C407" t="s">
        <v>45</v>
      </c>
      <c r="D407" t="s">
        <v>193</v>
      </c>
      <c r="E407" t="s">
        <v>21</v>
      </c>
      <c r="F407" t="s">
        <v>22</v>
      </c>
      <c r="G407" s="1">
        <v>5640</v>
      </c>
      <c r="H407" s="2">
        <v>47</v>
      </c>
      <c r="I407" s="5" t="str">
        <f>CONCATENATE(H407,"x",INT(G407/H407))</f>
        <v>47x120</v>
      </c>
      <c r="J407">
        <v>81</v>
      </c>
      <c r="K407">
        <v>34</v>
      </c>
      <c r="L407" s="3">
        <v>1466</v>
      </c>
      <c r="M407" s="3">
        <v>1842</v>
      </c>
      <c r="N407" s="3">
        <v>1622</v>
      </c>
      <c r="O407" s="3">
        <v>515900</v>
      </c>
      <c r="P407" s="3">
        <v>545900</v>
      </c>
      <c r="Q407" s="3">
        <v>527650</v>
      </c>
      <c r="R407" t="s">
        <v>190</v>
      </c>
      <c r="S407">
        <v>33.516258000000001</v>
      </c>
      <c r="T407">
        <v>-112.49974</v>
      </c>
    </row>
    <row r="408" spans="2:20" x14ac:dyDescent="0.2">
      <c r="B408" t="s">
        <v>246</v>
      </c>
      <c r="C408" t="s">
        <v>187</v>
      </c>
      <c r="D408" t="s">
        <v>246</v>
      </c>
      <c r="E408" t="s">
        <v>21</v>
      </c>
      <c r="F408" t="s">
        <v>22</v>
      </c>
      <c r="G408" s="1">
        <v>6600</v>
      </c>
      <c r="H408" s="2">
        <v>55</v>
      </c>
      <c r="I408" s="5" t="str">
        <f>CONCATENATE(H408,"x",INT(G408/H408))</f>
        <v>55x120</v>
      </c>
      <c r="J408">
        <v>52</v>
      </c>
      <c r="K408">
        <v>33</v>
      </c>
      <c r="L408" s="3">
        <v>1567</v>
      </c>
      <c r="M408" s="3">
        <v>3264</v>
      </c>
      <c r="N408" s="3">
        <v>2248</v>
      </c>
      <c r="O408" s="3">
        <v>375990</v>
      </c>
      <c r="P408" s="3">
        <v>493990</v>
      </c>
      <c r="Q408" s="3">
        <v>427240</v>
      </c>
      <c r="S408">
        <v>33.16872</v>
      </c>
      <c r="T408">
        <v>-111.5309</v>
      </c>
    </row>
    <row r="409" spans="2:20" x14ac:dyDescent="0.2">
      <c r="B409" t="s">
        <v>480</v>
      </c>
      <c r="C409" t="s">
        <v>272</v>
      </c>
      <c r="E409" t="s">
        <v>21</v>
      </c>
      <c r="F409" t="s">
        <v>22</v>
      </c>
      <c r="G409" s="1">
        <v>6000</v>
      </c>
      <c r="H409" s="2">
        <v>50</v>
      </c>
      <c r="I409" s="5" t="str">
        <f>CONCATENATE(H409,"x",INT(G409/H409))</f>
        <v>50x120</v>
      </c>
      <c r="J409">
        <v>39</v>
      </c>
      <c r="K409">
        <v>33</v>
      </c>
      <c r="L409" s="3">
        <v>1896</v>
      </c>
      <c r="M409" s="3">
        <v>3199</v>
      </c>
      <c r="N409" s="3">
        <v>2382</v>
      </c>
      <c r="O409" s="3">
        <v>417990</v>
      </c>
      <c r="P409" s="3">
        <v>526990</v>
      </c>
      <c r="Q409" s="3">
        <v>461590</v>
      </c>
      <c r="S409">
        <v>33.598185999999998</v>
      </c>
      <c r="T409">
        <v>-112.43149</v>
      </c>
    </row>
    <row r="410" spans="2:20" x14ac:dyDescent="0.2">
      <c r="B410" t="s">
        <v>28</v>
      </c>
      <c r="C410" t="s">
        <v>29</v>
      </c>
      <c r="D410" t="s">
        <v>28</v>
      </c>
      <c r="E410" t="s">
        <v>21</v>
      </c>
      <c r="F410" t="s">
        <v>22</v>
      </c>
      <c r="G410" s="1">
        <v>14500</v>
      </c>
      <c r="H410" s="2">
        <v>100</v>
      </c>
      <c r="I410" s="5" t="str">
        <f>CONCATENATE(H410,"x",INT(G410/H410))</f>
        <v>100x145</v>
      </c>
      <c r="J410">
        <v>37</v>
      </c>
      <c r="K410">
        <v>33</v>
      </c>
      <c r="L410" s="3">
        <v>3544</v>
      </c>
      <c r="M410" s="3">
        <v>4275</v>
      </c>
      <c r="N410" s="3">
        <v>3942</v>
      </c>
      <c r="O410" s="3">
        <v>1749990</v>
      </c>
      <c r="P410" s="3">
        <v>1839990</v>
      </c>
      <c r="Q410" s="3">
        <v>1805990</v>
      </c>
      <c r="S410">
        <v>33.706848000000001</v>
      </c>
      <c r="T410">
        <v>-111.80244</v>
      </c>
    </row>
    <row r="411" spans="2:20" x14ac:dyDescent="0.2">
      <c r="B411" t="s">
        <v>622</v>
      </c>
      <c r="C411" t="s">
        <v>144</v>
      </c>
      <c r="D411" t="s">
        <v>261</v>
      </c>
      <c r="E411" t="s">
        <v>21</v>
      </c>
      <c r="F411" t="s">
        <v>22</v>
      </c>
      <c r="G411" s="1">
        <v>6960</v>
      </c>
      <c r="H411" s="2">
        <v>58</v>
      </c>
      <c r="I411" s="5" t="str">
        <f>CONCATENATE(H411,"x",INT(G411/H411))</f>
        <v>58x120</v>
      </c>
      <c r="J411">
        <v>24</v>
      </c>
      <c r="K411">
        <v>33</v>
      </c>
      <c r="L411" s="3">
        <v>2375</v>
      </c>
      <c r="M411" s="3">
        <v>2649</v>
      </c>
      <c r="N411" s="3">
        <v>2497</v>
      </c>
      <c r="O411" s="3">
        <v>468990</v>
      </c>
      <c r="P411" s="3">
        <v>503990</v>
      </c>
      <c r="Q411" s="3">
        <v>483990</v>
      </c>
      <c r="S411">
        <v>33.407817999999999</v>
      </c>
      <c r="T411">
        <v>-112.29472</v>
      </c>
    </row>
    <row r="412" spans="2:20" x14ac:dyDescent="0.2">
      <c r="B412" t="s">
        <v>804</v>
      </c>
      <c r="C412" t="s">
        <v>31</v>
      </c>
      <c r="E412" t="s">
        <v>21</v>
      </c>
      <c r="F412" t="s">
        <v>22</v>
      </c>
      <c r="G412" s="1">
        <v>10500</v>
      </c>
      <c r="H412" s="2">
        <v>70</v>
      </c>
      <c r="I412" s="5" t="str">
        <f>CONCATENATE(H412,"x",INT(G412/H412))</f>
        <v>70x150</v>
      </c>
      <c r="J412">
        <v>60</v>
      </c>
      <c r="K412">
        <v>33</v>
      </c>
      <c r="L412" s="3">
        <v>2489</v>
      </c>
      <c r="M412" s="3">
        <v>3524</v>
      </c>
      <c r="N412" s="3">
        <v>2998</v>
      </c>
      <c r="O412" s="3">
        <v>749995</v>
      </c>
      <c r="P412" s="3">
        <v>961995</v>
      </c>
      <c r="Q412" s="3">
        <v>881995</v>
      </c>
      <c r="S412">
        <v>33.227607999999996</v>
      </c>
      <c r="T412">
        <v>-111.61035</v>
      </c>
    </row>
    <row r="413" spans="2:20" x14ac:dyDescent="0.2">
      <c r="B413" t="s">
        <v>835</v>
      </c>
      <c r="C413" t="s">
        <v>29</v>
      </c>
      <c r="D413" t="s">
        <v>298</v>
      </c>
      <c r="E413" t="s">
        <v>21</v>
      </c>
      <c r="F413" t="s">
        <v>22</v>
      </c>
      <c r="G413" s="1">
        <v>10400</v>
      </c>
      <c r="H413" s="2">
        <v>80</v>
      </c>
      <c r="I413" s="5" t="str">
        <f>CONCATENATE(H413,"x",INT(G413/H413))</f>
        <v>80x130</v>
      </c>
      <c r="J413">
        <v>23</v>
      </c>
      <c r="K413">
        <v>32</v>
      </c>
      <c r="L413" s="3">
        <v>2546</v>
      </c>
      <c r="M413" s="3">
        <v>3471</v>
      </c>
      <c r="N413" s="3">
        <v>3117</v>
      </c>
      <c r="O413" s="3">
        <v>700990</v>
      </c>
      <c r="P413" s="3">
        <v>799990</v>
      </c>
      <c r="Q413" s="3">
        <v>753323.33330000006</v>
      </c>
      <c r="S413">
        <v>33.517422000000003</v>
      </c>
      <c r="T413">
        <v>-112.48994</v>
      </c>
    </row>
    <row r="414" spans="2:20" x14ac:dyDescent="0.2">
      <c r="B414" t="s">
        <v>579</v>
      </c>
      <c r="C414" t="s">
        <v>47</v>
      </c>
      <c r="D414" t="s">
        <v>580</v>
      </c>
      <c r="E414" t="s">
        <v>21</v>
      </c>
      <c r="F414" t="s">
        <v>22</v>
      </c>
      <c r="G414" s="1">
        <v>6600</v>
      </c>
      <c r="H414" s="2">
        <v>55</v>
      </c>
      <c r="I414" s="5" t="str">
        <f>CONCATENATE(H414,"x",INT(G414/H414))</f>
        <v>55x120</v>
      </c>
      <c r="J414">
        <v>159</v>
      </c>
      <c r="K414">
        <v>32</v>
      </c>
      <c r="L414" s="3">
        <v>1800</v>
      </c>
      <c r="M414" s="3">
        <v>2578</v>
      </c>
      <c r="N414" s="3">
        <v>2104</v>
      </c>
      <c r="O414" s="3">
        <v>499900</v>
      </c>
      <c r="P414" s="3">
        <v>799900</v>
      </c>
      <c r="Q414" s="3">
        <v>616566.6666</v>
      </c>
      <c r="R414" t="s">
        <v>23</v>
      </c>
      <c r="S414">
        <v>34.040764000000003</v>
      </c>
      <c r="T414">
        <v>-112.79515000000001</v>
      </c>
    </row>
    <row r="415" spans="2:20" x14ac:dyDescent="0.2">
      <c r="B415" t="s">
        <v>261</v>
      </c>
      <c r="C415" t="s">
        <v>187</v>
      </c>
      <c r="D415" t="s">
        <v>261</v>
      </c>
      <c r="E415" t="s">
        <v>21</v>
      </c>
      <c r="F415" t="s">
        <v>22</v>
      </c>
      <c r="G415" s="1">
        <v>5400</v>
      </c>
      <c r="H415" s="2">
        <v>45</v>
      </c>
      <c r="I415" s="5" t="str">
        <f>CONCATENATE(H415,"x",INT(G415/H415))</f>
        <v>45x120</v>
      </c>
      <c r="J415">
        <v>84</v>
      </c>
      <c r="K415">
        <v>31</v>
      </c>
      <c r="L415" s="3">
        <v>1494</v>
      </c>
      <c r="M415" s="3">
        <v>3270</v>
      </c>
      <c r="N415" s="3">
        <v>2334</v>
      </c>
      <c r="O415" s="3">
        <v>385990</v>
      </c>
      <c r="P415" s="3">
        <v>492990</v>
      </c>
      <c r="Q415" s="3">
        <v>440490</v>
      </c>
      <c r="S415">
        <v>33.404693999999999</v>
      </c>
      <c r="T415">
        <v>-112.29337</v>
      </c>
    </row>
    <row r="416" spans="2:20" x14ac:dyDescent="0.2">
      <c r="B416" t="s">
        <v>425</v>
      </c>
      <c r="C416" t="s">
        <v>187</v>
      </c>
      <c r="E416" t="s">
        <v>21</v>
      </c>
      <c r="F416" t="s">
        <v>22</v>
      </c>
      <c r="G416" s="1">
        <v>5750</v>
      </c>
      <c r="H416" s="2">
        <v>50</v>
      </c>
      <c r="I416" s="5" t="str">
        <f>CONCATENATE(H416,"x",INT(G416/H416))</f>
        <v>50x115</v>
      </c>
      <c r="J416">
        <v>89</v>
      </c>
      <c r="K416">
        <v>31</v>
      </c>
      <c r="L416" s="3">
        <v>1567</v>
      </c>
      <c r="M416" s="3">
        <v>3270</v>
      </c>
      <c r="N416" s="3">
        <v>2266</v>
      </c>
      <c r="O416" s="3">
        <v>469990</v>
      </c>
      <c r="P416" s="3">
        <v>592990</v>
      </c>
      <c r="Q416" s="3">
        <v>518990</v>
      </c>
      <c r="S416">
        <v>33.302852999999999</v>
      </c>
      <c r="T416">
        <v>-111.58971</v>
      </c>
    </row>
    <row r="417" spans="2:20" x14ac:dyDescent="0.2">
      <c r="B417" t="s">
        <v>481</v>
      </c>
      <c r="C417" t="s">
        <v>36</v>
      </c>
      <c r="D417" t="s">
        <v>460</v>
      </c>
      <c r="E417" t="s">
        <v>21</v>
      </c>
      <c r="F417" t="s">
        <v>22</v>
      </c>
      <c r="G417" s="1">
        <v>6000</v>
      </c>
      <c r="H417" s="2">
        <v>50</v>
      </c>
      <c r="I417" s="5" t="str">
        <f>CONCATENATE(H417,"x",INT(G417/H417))</f>
        <v>50x120</v>
      </c>
      <c r="J417">
        <v>74</v>
      </c>
      <c r="K417">
        <v>31</v>
      </c>
      <c r="L417" s="3">
        <v>1880</v>
      </c>
      <c r="M417" s="3">
        <v>3267</v>
      </c>
      <c r="N417" s="3">
        <v>2443</v>
      </c>
      <c r="O417" s="3">
        <v>486000</v>
      </c>
      <c r="P417" s="3">
        <v>591000</v>
      </c>
      <c r="Q417" s="3">
        <v>529500</v>
      </c>
      <c r="S417">
        <v>33.259777</v>
      </c>
      <c r="T417">
        <v>-111.59443</v>
      </c>
    </row>
    <row r="418" spans="2:20" x14ac:dyDescent="0.2">
      <c r="B418" t="s">
        <v>213</v>
      </c>
      <c r="C418" t="s">
        <v>20</v>
      </c>
      <c r="E418" t="s">
        <v>21</v>
      </c>
      <c r="F418" t="s">
        <v>22</v>
      </c>
      <c r="G418" s="1">
        <v>4950</v>
      </c>
      <c r="H418" s="2">
        <v>45</v>
      </c>
      <c r="I418" s="5" t="str">
        <f>CONCATENATE(H418,"x",INT(G418/H418))</f>
        <v>45x110</v>
      </c>
      <c r="J418">
        <v>21</v>
      </c>
      <c r="K418">
        <v>30</v>
      </c>
      <c r="L418" s="3">
        <v>2952</v>
      </c>
      <c r="M418" s="3">
        <v>4394</v>
      </c>
      <c r="N418" s="3">
        <v>3435</v>
      </c>
      <c r="O418" s="3">
        <v>3354620</v>
      </c>
      <c r="P418" s="3">
        <v>4404219</v>
      </c>
      <c r="Q418" s="3">
        <v>4052914.6666000001</v>
      </c>
      <c r="R418" t="s">
        <v>23</v>
      </c>
      <c r="S418">
        <v>33.509349999999998</v>
      </c>
      <c r="T418">
        <v>-111.94607999999999</v>
      </c>
    </row>
    <row r="419" spans="2:20" x14ac:dyDescent="0.2">
      <c r="B419" t="s">
        <v>282</v>
      </c>
      <c r="C419" t="s">
        <v>43</v>
      </c>
      <c r="E419" t="s">
        <v>21</v>
      </c>
      <c r="F419" t="s">
        <v>22</v>
      </c>
      <c r="G419" s="1">
        <v>5175</v>
      </c>
      <c r="H419" s="2">
        <v>45</v>
      </c>
      <c r="I419" s="5" t="str">
        <f>CONCATENATE(H419,"x",INT(G419/H419))</f>
        <v>45x115</v>
      </c>
      <c r="J419">
        <v>3</v>
      </c>
      <c r="K419">
        <v>30</v>
      </c>
      <c r="L419" s="3">
        <v>1599</v>
      </c>
      <c r="M419" s="3">
        <v>2576</v>
      </c>
      <c r="N419" s="3">
        <v>1995</v>
      </c>
      <c r="O419" s="3">
        <v>674305</v>
      </c>
      <c r="P419" s="3">
        <v>805700</v>
      </c>
      <c r="Q419" s="3">
        <v>719536.25</v>
      </c>
      <c r="R419" t="s">
        <v>23</v>
      </c>
      <c r="S419">
        <v>33.709010999999997</v>
      </c>
      <c r="T419">
        <v>-112.04503</v>
      </c>
    </row>
    <row r="420" spans="2:20" x14ac:dyDescent="0.2">
      <c r="B420" t="s">
        <v>67</v>
      </c>
      <c r="C420" t="s">
        <v>68</v>
      </c>
      <c r="D420" t="s">
        <v>28</v>
      </c>
      <c r="E420" t="s">
        <v>21</v>
      </c>
      <c r="F420" t="s">
        <v>22</v>
      </c>
      <c r="G420" s="1">
        <v>26000</v>
      </c>
      <c r="H420" s="2">
        <v>130</v>
      </c>
      <c r="I420" s="5" t="str">
        <f>CONCATENATE(H420,"x",INT(G420/H420))</f>
        <v>130x200</v>
      </c>
      <c r="J420">
        <v>5</v>
      </c>
      <c r="K420">
        <v>30</v>
      </c>
      <c r="L420" s="3">
        <v>3776</v>
      </c>
      <c r="M420" s="3">
        <v>4779</v>
      </c>
      <c r="N420" s="3">
        <v>4227</v>
      </c>
      <c r="O420" s="3">
        <v>1699990</v>
      </c>
      <c r="P420" s="3">
        <v>2198990</v>
      </c>
      <c r="Q420" s="3">
        <v>1932240</v>
      </c>
      <c r="R420" t="s">
        <v>23</v>
      </c>
      <c r="S420">
        <v>33.714111000000003</v>
      </c>
      <c r="T420">
        <v>-111.7954</v>
      </c>
    </row>
    <row r="421" spans="2:20" x14ac:dyDescent="0.2">
      <c r="B421" t="s">
        <v>283</v>
      </c>
      <c r="C421" t="s">
        <v>38</v>
      </c>
      <c r="D421" t="s">
        <v>284</v>
      </c>
      <c r="E421" t="s">
        <v>21</v>
      </c>
      <c r="F421" t="s">
        <v>22</v>
      </c>
      <c r="G421" s="1">
        <v>5175</v>
      </c>
      <c r="H421" s="2">
        <v>45</v>
      </c>
      <c r="I421" s="5" t="str">
        <f>CONCATENATE(H421,"x",INT(G421/H421))</f>
        <v>45x115</v>
      </c>
      <c r="J421">
        <v>181</v>
      </c>
      <c r="K421">
        <v>30</v>
      </c>
      <c r="L421" s="3">
        <v>1579</v>
      </c>
      <c r="M421" s="3">
        <v>2974</v>
      </c>
      <c r="N421" s="3">
        <v>2203</v>
      </c>
      <c r="O421" s="3">
        <v>404990</v>
      </c>
      <c r="P421" s="3">
        <v>496990</v>
      </c>
      <c r="Q421" s="3">
        <v>449418.57140000002</v>
      </c>
      <c r="S421">
        <v>33.346004000000001</v>
      </c>
      <c r="T421">
        <v>-112.17458999999999</v>
      </c>
    </row>
    <row r="422" spans="2:20" x14ac:dyDescent="0.2">
      <c r="B422" t="s">
        <v>44</v>
      </c>
      <c r="C422" t="s">
        <v>45</v>
      </c>
      <c r="E422" t="s">
        <v>21</v>
      </c>
      <c r="F422" t="s">
        <v>22</v>
      </c>
      <c r="G422" s="1">
        <v>16800</v>
      </c>
      <c r="H422" s="2">
        <v>105</v>
      </c>
      <c r="I422" s="5" t="str">
        <f>CONCATENATE(H422,"x",INT(G422/H422))</f>
        <v>105x160</v>
      </c>
      <c r="J422">
        <v>37</v>
      </c>
      <c r="K422">
        <v>30</v>
      </c>
      <c r="L422" s="3">
        <v>2455</v>
      </c>
      <c r="M422" s="3">
        <v>3216</v>
      </c>
      <c r="N422" s="3">
        <v>2837</v>
      </c>
      <c r="O422" s="3">
        <v>754900</v>
      </c>
      <c r="P422" s="3">
        <v>830900</v>
      </c>
      <c r="Q422" s="3">
        <v>789900</v>
      </c>
      <c r="S422">
        <v>33.882221000000001</v>
      </c>
      <c r="T422">
        <v>-112.13625999999999</v>
      </c>
    </row>
    <row r="423" spans="2:20" x14ac:dyDescent="0.2">
      <c r="B423" t="s">
        <v>482</v>
      </c>
      <c r="C423" t="s">
        <v>29</v>
      </c>
      <c r="D423" t="s">
        <v>265</v>
      </c>
      <c r="E423" t="s">
        <v>21</v>
      </c>
      <c r="F423" t="s">
        <v>22</v>
      </c>
      <c r="G423" s="1">
        <v>6000</v>
      </c>
      <c r="H423" s="2">
        <v>50</v>
      </c>
      <c r="I423" s="5" t="str">
        <f>CONCATENATE(H423,"x",INT(G423/H423))</f>
        <v>50x120</v>
      </c>
      <c r="J423">
        <v>56</v>
      </c>
      <c r="K423">
        <v>29</v>
      </c>
      <c r="L423" s="3">
        <v>2060</v>
      </c>
      <c r="M423" s="3">
        <v>3041</v>
      </c>
      <c r="N423" s="3">
        <v>2508</v>
      </c>
      <c r="O423" s="3">
        <v>643990</v>
      </c>
      <c r="P423" s="3">
        <v>752990</v>
      </c>
      <c r="Q423" s="3">
        <v>686704.28570000001</v>
      </c>
      <c r="S423">
        <v>33.782393999999996</v>
      </c>
      <c r="T423">
        <v>-112.34627999999999</v>
      </c>
    </row>
    <row r="424" spans="2:20" x14ac:dyDescent="0.2">
      <c r="B424" t="s">
        <v>386</v>
      </c>
      <c r="C424" t="s">
        <v>130</v>
      </c>
      <c r="E424" t="s">
        <v>21</v>
      </c>
      <c r="F424" t="s">
        <v>22</v>
      </c>
      <c r="G424" s="1">
        <v>5000</v>
      </c>
      <c r="H424" s="2">
        <v>50</v>
      </c>
      <c r="I424" s="5" t="str">
        <f>CONCATENATE(H424,"x",INT(G424/H424))</f>
        <v>50x100</v>
      </c>
      <c r="J424">
        <v>28</v>
      </c>
      <c r="K424">
        <v>29</v>
      </c>
      <c r="L424" s="3">
        <v>1593</v>
      </c>
      <c r="M424" s="3">
        <v>2548</v>
      </c>
      <c r="N424" s="3">
        <v>1957</v>
      </c>
      <c r="O424" s="3">
        <v>538990</v>
      </c>
      <c r="P424" s="3">
        <v>598990</v>
      </c>
      <c r="Q424" s="3">
        <v>566740</v>
      </c>
      <c r="S424">
        <v>33.733795000000001</v>
      </c>
      <c r="T424">
        <v>-112.12394</v>
      </c>
    </row>
    <row r="425" spans="2:20" x14ac:dyDescent="0.2">
      <c r="B425" t="s">
        <v>766</v>
      </c>
      <c r="C425" t="s">
        <v>82</v>
      </c>
      <c r="E425" t="s">
        <v>21</v>
      </c>
      <c r="F425" t="s">
        <v>22</v>
      </c>
      <c r="G425" s="1">
        <v>8050</v>
      </c>
      <c r="H425" s="2">
        <v>70</v>
      </c>
      <c r="I425" s="5" t="str">
        <f>CONCATENATE(H425,"x",INT(G425/H425))</f>
        <v>70x115</v>
      </c>
      <c r="J425">
        <v>2</v>
      </c>
      <c r="K425">
        <v>28</v>
      </c>
      <c r="L425" s="3">
        <v>2250</v>
      </c>
      <c r="M425" s="3">
        <v>2650</v>
      </c>
      <c r="N425" s="3">
        <v>2450</v>
      </c>
      <c r="O425" s="3">
        <v>735000</v>
      </c>
      <c r="P425" s="3">
        <v>839900</v>
      </c>
      <c r="Q425" s="3">
        <v>784633.33330000006</v>
      </c>
      <c r="R425" t="s">
        <v>23</v>
      </c>
      <c r="S425">
        <v>33.616717999999999</v>
      </c>
      <c r="T425">
        <v>-112.22149</v>
      </c>
    </row>
    <row r="426" spans="2:20" x14ac:dyDescent="0.2">
      <c r="B426" t="s">
        <v>878</v>
      </c>
      <c r="C426" t="s">
        <v>879</v>
      </c>
      <c r="E426" t="s">
        <v>872</v>
      </c>
      <c r="F426" t="s">
        <v>873</v>
      </c>
      <c r="G426" s="1">
        <v>0</v>
      </c>
      <c r="H426" s="1">
        <v>0</v>
      </c>
      <c r="I426" s="5" t="s">
        <v>874</v>
      </c>
      <c r="J426">
        <v>84</v>
      </c>
      <c r="K426">
        <v>28</v>
      </c>
      <c r="L426" s="3">
        <v>1188</v>
      </c>
      <c r="M426" s="3">
        <v>2768</v>
      </c>
      <c r="N426" s="3">
        <v>2015</v>
      </c>
      <c r="O426" s="3">
        <v>600000</v>
      </c>
      <c r="P426" s="3">
        <v>1672000</v>
      </c>
      <c r="Q426" s="3">
        <v>1150227.2727000001</v>
      </c>
      <c r="R426" t="s">
        <v>880</v>
      </c>
      <c r="S426">
        <v>33.662106000000001</v>
      </c>
      <c r="T426">
        <v>-111.92310000000001</v>
      </c>
    </row>
    <row r="427" spans="2:20" x14ac:dyDescent="0.2">
      <c r="B427" t="s">
        <v>95</v>
      </c>
      <c r="C427" t="s">
        <v>96</v>
      </c>
      <c r="E427" t="s">
        <v>21</v>
      </c>
      <c r="F427" t="s">
        <v>22</v>
      </c>
      <c r="G427" s="1">
        <v>43560</v>
      </c>
      <c r="H427" s="2">
        <v>175</v>
      </c>
      <c r="I427" s="5" t="str">
        <f>CONCATENATE(H427,"x",INT(G427/H427))</f>
        <v>175x248</v>
      </c>
      <c r="J427">
        <v>0</v>
      </c>
      <c r="K427">
        <v>28</v>
      </c>
      <c r="L427" s="3">
        <v>2076</v>
      </c>
      <c r="M427" s="3">
        <v>2844</v>
      </c>
      <c r="N427" s="3">
        <v>2410</v>
      </c>
      <c r="O427" s="3">
        <v>635990</v>
      </c>
      <c r="P427" s="3">
        <v>805990</v>
      </c>
      <c r="Q427" s="3">
        <v>718990</v>
      </c>
      <c r="S427">
        <v>34.788136000000002</v>
      </c>
      <c r="T427">
        <v>-112.47122</v>
      </c>
    </row>
    <row r="428" spans="2:20" x14ac:dyDescent="0.2">
      <c r="B428" t="s">
        <v>483</v>
      </c>
      <c r="C428" t="s">
        <v>240</v>
      </c>
      <c r="D428" t="s">
        <v>261</v>
      </c>
      <c r="E428" t="s">
        <v>21</v>
      </c>
      <c r="F428" t="s">
        <v>22</v>
      </c>
      <c r="G428" s="1">
        <v>6000</v>
      </c>
      <c r="H428" s="2">
        <v>50</v>
      </c>
      <c r="I428" s="5" t="str">
        <f>CONCATENATE(H428,"x",INT(G428/H428))</f>
        <v>50x120</v>
      </c>
      <c r="J428">
        <v>71</v>
      </c>
      <c r="K428">
        <v>28</v>
      </c>
      <c r="L428" s="3">
        <v>1808</v>
      </c>
      <c r="M428" s="3">
        <v>2389</v>
      </c>
      <c r="N428" s="3">
        <v>2119</v>
      </c>
      <c r="O428" s="3">
        <v>403990</v>
      </c>
      <c r="P428" s="3">
        <v>434990</v>
      </c>
      <c r="Q428" s="3">
        <v>421240</v>
      </c>
      <c r="S428">
        <v>33.401370999999997</v>
      </c>
      <c r="T428">
        <v>-112.29281</v>
      </c>
    </row>
    <row r="429" spans="2:20" x14ac:dyDescent="0.2">
      <c r="B429" t="s">
        <v>426</v>
      </c>
      <c r="C429" t="s">
        <v>144</v>
      </c>
      <c r="D429" t="s">
        <v>278</v>
      </c>
      <c r="E429" t="s">
        <v>21</v>
      </c>
      <c r="F429" t="s">
        <v>22</v>
      </c>
      <c r="G429" s="1">
        <v>5750</v>
      </c>
      <c r="H429" s="2">
        <v>50</v>
      </c>
      <c r="I429" s="5" t="str">
        <f>CONCATENATE(H429,"x",INT(G429/H429))</f>
        <v>50x115</v>
      </c>
      <c r="J429">
        <v>1</v>
      </c>
      <c r="K429">
        <v>28</v>
      </c>
      <c r="L429" s="3">
        <v>2274</v>
      </c>
      <c r="M429" s="3">
        <v>2524</v>
      </c>
      <c r="N429" s="3">
        <v>2399</v>
      </c>
      <c r="O429" s="3">
        <v>391490</v>
      </c>
      <c r="P429" s="3">
        <v>427490</v>
      </c>
      <c r="Q429" s="3">
        <v>409490</v>
      </c>
      <c r="S429">
        <v>33.039588999999999</v>
      </c>
      <c r="T429">
        <v>-111.96035000000001</v>
      </c>
    </row>
    <row r="430" spans="2:20" x14ac:dyDescent="0.2">
      <c r="B430" t="s">
        <v>776</v>
      </c>
      <c r="C430" t="s">
        <v>144</v>
      </c>
      <c r="D430" t="s">
        <v>189</v>
      </c>
      <c r="E430" t="s">
        <v>21</v>
      </c>
      <c r="F430" t="s">
        <v>22</v>
      </c>
      <c r="G430" s="1">
        <v>8400</v>
      </c>
      <c r="H430" s="2">
        <v>70</v>
      </c>
      <c r="I430" s="5" t="str">
        <f>CONCATENATE(H430,"x",INT(G430/H430))</f>
        <v>70x120</v>
      </c>
      <c r="J430">
        <v>40</v>
      </c>
      <c r="K430">
        <v>28</v>
      </c>
      <c r="L430" s="3">
        <v>2231</v>
      </c>
      <c r="M430" s="3">
        <v>3024</v>
      </c>
      <c r="N430" s="3">
        <v>2640</v>
      </c>
      <c r="O430" s="3">
        <v>563990</v>
      </c>
      <c r="P430" s="3">
        <v>638990</v>
      </c>
      <c r="Q430" s="3">
        <v>594704.28570000001</v>
      </c>
      <c r="S430">
        <v>33.706417000000002</v>
      </c>
      <c r="T430">
        <v>-112.42744</v>
      </c>
    </row>
    <row r="431" spans="2:20" x14ac:dyDescent="0.2">
      <c r="B431" t="s">
        <v>120</v>
      </c>
      <c r="C431" t="s">
        <v>121</v>
      </c>
      <c r="E431" t="s">
        <v>21</v>
      </c>
      <c r="F431" t="s">
        <v>22</v>
      </c>
      <c r="G431" s="1">
        <v>1925</v>
      </c>
      <c r="H431" s="2">
        <v>35</v>
      </c>
      <c r="I431" s="5" t="str">
        <f>CONCATENATE(H431,"x",INT(G431/H431))</f>
        <v>35x55</v>
      </c>
      <c r="J431">
        <v>43</v>
      </c>
      <c r="K431">
        <v>28</v>
      </c>
      <c r="L431" s="3">
        <v>1041</v>
      </c>
      <c r="M431" s="3">
        <v>1624</v>
      </c>
      <c r="N431" s="3">
        <v>1382</v>
      </c>
      <c r="O431" s="3">
        <v>279990</v>
      </c>
      <c r="P431" s="3">
        <v>314990</v>
      </c>
      <c r="Q431" s="3">
        <v>298990</v>
      </c>
      <c r="S431">
        <v>32.200481000000003</v>
      </c>
      <c r="T431">
        <v>-110.86572</v>
      </c>
    </row>
    <row r="432" spans="2:20" x14ac:dyDescent="0.2">
      <c r="B432" t="s">
        <v>594</v>
      </c>
      <c r="C432" t="s">
        <v>136</v>
      </c>
      <c r="D432" t="s">
        <v>398</v>
      </c>
      <c r="E432" t="s">
        <v>21</v>
      </c>
      <c r="F432" t="s">
        <v>22</v>
      </c>
      <c r="G432" s="1">
        <v>7150</v>
      </c>
      <c r="H432" s="2">
        <v>55</v>
      </c>
      <c r="I432" s="5" t="str">
        <f>CONCATENATE(H432,"x",INT(G432/H432))</f>
        <v>55x130</v>
      </c>
      <c r="J432">
        <v>17</v>
      </c>
      <c r="K432">
        <v>28</v>
      </c>
      <c r="L432" s="3">
        <v>1590</v>
      </c>
      <c r="M432" s="3">
        <v>2040</v>
      </c>
      <c r="N432" s="3">
        <v>1825</v>
      </c>
      <c r="O432" s="3">
        <v>305990</v>
      </c>
      <c r="P432" s="3">
        <v>328990</v>
      </c>
      <c r="Q432" s="3">
        <v>317490</v>
      </c>
      <c r="S432">
        <v>32.907432999999997</v>
      </c>
      <c r="T432">
        <v>-111.73447</v>
      </c>
    </row>
    <row r="433" spans="2:20" x14ac:dyDescent="0.2">
      <c r="B433" t="s">
        <v>836</v>
      </c>
      <c r="C433" t="s">
        <v>36</v>
      </c>
      <c r="E433" t="s">
        <v>21</v>
      </c>
      <c r="F433" t="s">
        <v>22</v>
      </c>
      <c r="G433" s="1">
        <v>10400</v>
      </c>
      <c r="H433" s="2">
        <v>80</v>
      </c>
      <c r="I433" s="5" t="str">
        <f>CONCATENATE(H433,"x",INT(G433/H433))</f>
        <v>80x130</v>
      </c>
      <c r="J433">
        <v>4</v>
      </c>
      <c r="K433">
        <v>28</v>
      </c>
      <c r="L433" s="3">
        <v>2733</v>
      </c>
      <c r="M433" s="3">
        <v>3567</v>
      </c>
      <c r="N433" s="3">
        <v>3167</v>
      </c>
      <c r="O433" s="3">
        <v>629000</v>
      </c>
      <c r="P433" s="3">
        <v>662000</v>
      </c>
      <c r="Q433" s="3">
        <v>643250</v>
      </c>
      <c r="S433">
        <v>33.355721000000003</v>
      </c>
      <c r="T433">
        <v>-112.13796000000001</v>
      </c>
    </row>
    <row r="434" spans="2:20" x14ac:dyDescent="0.2">
      <c r="B434" t="s">
        <v>362</v>
      </c>
      <c r="C434" t="s">
        <v>276</v>
      </c>
      <c r="D434" t="s">
        <v>124</v>
      </c>
      <c r="E434" t="s">
        <v>21</v>
      </c>
      <c r="F434" t="s">
        <v>22</v>
      </c>
      <c r="G434" s="1">
        <v>5405</v>
      </c>
      <c r="H434" s="2">
        <v>47</v>
      </c>
      <c r="I434" s="5" t="str">
        <f>CONCATENATE(H434,"x",INT(G434/H434))</f>
        <v>47x115</v>
      </c>
      <c r="J434">
        <v>82</v>
      </c>
      <c r="K434">
        <v>27</v>
      </c>
      <c r="L434" s="3">
        <v>1685</v>
      </c>
      <c r="M434" s="3">
        <v>2801</v>
      </c>
      <c r="N434" s="3">
        <v>2143</v>
      </c>
      <c r="O434" s="3">
        <v>455900</v>
      </c>
      <c r="P434" s="3">
        <v>592900</v>
      </c>
      <c r="Q434" s="3">
        <v>511100</v>
      </c>
      <c r="S434">
        <v>33.336609000000003</v>
      </c>
      <c r="T434">
        <v>-112.42289</v>
      </c>
    </row>
    <row r="435" spans="2:20" x14ac:dyDescent="0.2">
      <c r="B435" t="s">
        <v>777</v>
      </c>
      <c r="C435" t="s">
        <v>130</v>
      </c>
      <c r="E435" t="s">
        <v>21</v>
      </c>
      <c r="F435" t="s">
        <v>22</v>
      </c>
      <c r="G435" s="1">
        <v>8400</v>
      </c>
      <c r="H435" s="2">
        <v>70</v>
      </c>
      <c r="I435" s="5" t="str">
        <f>CONCATENATE(H435,"x",INT(G435/H435))</f>
        <v>70x120</v>
      </c>
      <c r="J435">
        <v>44</v>
      </c>
      <c r="K435">
        <v>27</v>
      </c>
      <c r="L435" s="3">
        <v>2270</v>
      </c>
      <c r="M435" s="3">
        <v>3982</v>
      </c>
      <c r="N435" s="3">
        <v>2982</v>
      </c>
      <c r="O435" s="3">
        <v>669990</v>
      </c>
      <c r="P435" s="3">
        <v>801990</v>
      </c>
      <c r="Q435" s="3">
        <v>733990</v>
      </c>
      <c r="S435">
        <v>33.209308999999998</v>
      </c>
      <c r="T435">
        <v>-111.72817000000001</v>
      </c>
    </row>
    <row r="436" spans="2:20" x14ac:dyDescent="0.2">
      <c r="B436" t="s">
        <v>713</v>
      </c>
      <c r="C436" t="s">
        <v>714</v>
      </c>
      <c r="E436" t="s">
        <v>21</v>
      </c>
      <c r="F436" t="s">
        <v>22</v>
      </c>
      <c r="G436" s="1">
        <v>5120</v>
      </c>
      <c r="H436" s="2">
        <v>64</v>
      </c>
      <c r="I436" s="5" t="str">
        <f>CONCATENATE(H436,"x",INT(G436/H436))</f>
        <v>64x80</v>
      </c>
      <c r="J436">
        <v>0</v>
      </c>
      <c r="K436">
        <v>27</v>
      </c>
      <c r="L436" s="3">
        <v>2742</v>
      </c>
      <c r="M436" s="3">
        <v>4046</v>
      </c>
      <c r="N436" s="3">
        <v>3342</v>
      </c>
      <c r="O436" s="3">
        <v>1349000</v>
      </c>
      <c r="P436" s="3">
        <v>1597000</v>
      </c>
      <c r="Q436" s="3">
        <v>1471666.6666000001</v>
      </c>
      <c r="R436" t="s">
        <v>23</v>
      </c>
      <c r="S436">
        <v>33.582923999999998</v>
      </c>
      <c r="T436">
        <v>-111.75897000000001</v>
      </c>
    </row>
    <row r="437" spans="2:20" x14ac:dyDescent="0.2">
      <c r="B437" t="s">
        <v>285</v>
      </c>
      <c r="C437" t="s">
        <v>123</v>
      </c>
      <c r="D437" t="s">
        <v>285</v>
      </c>
      <c r="E437" t="s">
        <v>21</v>
      </c>
      <c r="F437" t="s">
        <v>22</v>
      </c>
      <c r="G437" s="1">
        <v>5175</v>
      </c>
      <c r="H437" s="2">
        <v>45</v>
      </c>
      <c r="I437" s="5" t="str">
        <f>CONCATENATE(H437,"x",INT(G437/H437))</f>
        <v>45x115</v>
      </c>
      <c r="J437">
        <v>113</v>
      </c>
      <c r="K437">
        <v>27</v>
      </c>
      <c r="L437" s="3">
        <v>1580</v>
      </c>
      <c r="M437" s="3">
        <v>3018</v>
      </c>
      <c r="N437" s="3">
        <v>2256</v>
      </c>
      <c r="O437" s="3">
        <v>367990</v>
      </c>
      <c r="P437" s="3">
        <v>479900</v>
      </c>
      <c r="Q437" s="3">
        <v>438500.6</v>
      </c>
      <c r="S437">
        <v>33.408073000000002</v>
      </c>
      <c r="T437">
        <v>-112.28706</v>
      </c>
    </row>
    <row r="438" spans="2:20" x14ac:dyDescent="0.2">
      <c r="B438" t="s">
        <v>681</v>
      </c>
      <c r="C438" t="s">
        <v>151</v>
      </c>
      <c r="D438" t="s">
        <v>349</v>
      </c>
      <c r="E438" t="s">
        <v>21</v>
      </c>
      <c r="F438" t="s">
        <v>22</v>
      </c>
      <c r="G438" s="1">
        <v>7500</v>
      </c>
      <c r="H438" s="2">
        <v>60</v>
      </c>
      <c r="I438" s="5" t="str">
        <f>CONCATENATE(H438,"x",INT(G438/H438))</f>
        <v>60x125</v>
      </c>
      <c r="J438">
        <v>75</v>
      </c>
      <c r="K438">
        <v>27</v>
      </c>
      <c r="L438" s="3">
        <v>2261</v>
      </c>
      <c r="M438" s="3">
        <v>3615</v>
      </c>
      <c r="N438" s="3">
        <v>2766</v>
      </c>
      <c r="O438" s="3">
        <v>434990</v>
      </c>
      <c r="P438" s="3">
        <v>525990</v>
      </c>
      <c r="Q438" s="3">
        <v>468390</v>
      </c>
      <c r="S438">
        <v>32.108317999999997</v>
      </c>
      <c r="T438">
        <v>-110.70699</v>
      </c>
    </row>
    <row r="439" spans="2:20" x14ac:dyDescent="0.2">
      <c r="B439" t="s">
        <v>39</v>
      </c>
      <c r="C439" t="s">
        <v>38</v>
      </c>
      <c r="D439" t="s">
        <v>40</v>
      </c>
      <c r="E439" t="s">
        <v>21</v>
      </c>
      <c r="F439" t="s">
        <v>22</v>
      </c>
      <c r="G439" s="1">
        <v>16000</v>
      </c>
      <c r="H439" s="2">
        <v>100</v>
      </c>
      <c r="I439" s="5" t="str">
        <f>CONCATENATE(H439,"x",INT(G439/H439))</f>
        <v>100x160</v>
      </c>
      <c r="J439">
        <v>20</v>
      </c>
      <c r="K439">
        <v>27</v>
      </c>
      <c r="L439" s="3">
        <v>3533</v>
      </c>
      <c r="M439" s="3">
        <v>4370</v>
      </c>
      <c r="N439" s="3">
        <v>3943</v>
      </c>
      <c r="O439" s="3">
        <v>1004490</v>
      </c>
      <c r="P439" s="3">
        <v>1074990</v>
      </c>
      <c r="Q439" s="3">
        <v>1036656.6666</v>
      </c>
      <c r="S439">
        <v>33.254649999999998</v>
      </c>
      <c r="T439">
        <v>-111.67542</v>
      </c>
    </row>
    <row r="440" spans="2:20" x14ac:dyDescent="0.2">
      <c r="B440" t="s">
        <v>138</v>
      </c>
      <c r="C440" t="s">
        <v>139</v>
      </c>
      <c r="D440" t="s">
        <v>140</v>
      </c>
      <c r="E440" t="s">
        <v>21</v>
      </c>
      <c r="F440" t="s">
        <v>22</v>
      </c>
      <c r="G440" s="1">
        <v>4400</v>
      </c>
      <c r="H440" s="2">
        <v>40</v>
      </c>
      <c r="I440" s="5" t="str">
        <f>CONCATENATE(H440,"x",INT(G440/H440))</f>
        <v>40x110</v>
      </c>
      <c r="J440">
        <v>3</v>
      </c>
      <c r="K440">
        <v>27</v>
      </c>
      <c r="L440" s="3">
        <v>1453</v>
      </c>
      <c r="M440" s="3">
        <v>1512</v>
      </c>
      <c r="N440" s="3">
        <v>1482</v>
      </c>
      <c r="O440" s="3">
        <v>420900</v>
      </c>
      <c r="P440" s="3">
        <v>428900</v>
      </c>
      <c r="Q440" s="3">
        <v>424900</v>
      </c>
      <c r="S440">
        <v>34.612011000000003</v>
      </c>
      <c r="T440">
        <v>-112.35093000000001</v>
      </c>
    </row>
    <row r="441" spans="2:20" x14ac:dyDescent="0.2">
      <c r="B441" t="s">
        <v>920</v>
      </c>
      <c r="C441" t="s">
        <v>888</v>
      </c>
      <c r="E441" t="s">
        <v>872</v>
      </c>
      <c r="F441" t="s">
        <v>907</v>
      </c>
      <c r="G441" s="1">
        <v>0</v>
      </c>
      <c r="H441" s="1">
        <v>0</v>
      </c>
      <c r="I441" s="5" t="s">
        <v>908</v>
      </c>
      <c r="J441">
        <v>20</v>
      </c>
      <c r="K441">
        <v>26</v>
      </c>
      <c r="L441" s="3">
        <v>2243</v>
      </c>
      <c r="M441" s="3">
        <v>3094</v>
      </c>
      <c r="N441" s="3">
        <v>2585</v>
      </c>
      <c r="O441" s="3">
        <v>845000</v>
      </c>
      <c r="P441" s="3">
        <v>1417500</v>
      </c>
      <c r="Q441" s="3">
        <v>1144790</v>
      </c>
      <c r="R441" t="s">
        <v>907</v>
      </c>
      <c r="S441">
        <v>33.636425000000003</v>
      </c>
      <c r="T441">
        <v>-111.8832</v>
      </c>
    </row>
    <row r="442" spans="2:20" x14ac:dyDescent="0.2">
      <c r="B442" t="s">
        <v>512</v>
      </c>
      <c r="C442" t="s">
        <v>43</v>
      </c>
      <c r="D442" t="s">
        <v>513</v>
      </c>
      <c r="E442" t="s">
        <v>21</v>
      </c>
      <c r="F442" t="s">
        <v>22</v>
      </c>
      <c r="G442" s="1">
        <v>3750</v>
      </c>
      <c r="H442" s="2">
        <v>50</v>
      </c>
      <c r="I442" s="5" t="str">
        <f>CONCATENATE(H442,"x",INT(G442/H442))</f>
        <v>50x75</v>
      </c>
      <c r="J442">
        <v>394</v>
      </c>
      <c r="K442">
        <v>26</v>
      </c>
      <c r="L442" s="3">
        <v>1832</v>
      </c>
      <c r="M442" s="3">
        <v>2475</v>
      </c>
      <c r="N442" s="3">
        <v>2119</v>
      </c>
      <c r="O442" s="3">
        <v>716990</v>
      </c>
      <c r="P442" s="3">
        <v>797990</v>
      </c>
      <c r="Q442" s="3">
        <v>751490</v>
      </c>
      <c r="S442">
        <v>33.643112000000002</v>
      </c>
      <c r="T442">
        <v>-111.97252</v>
      </c>
    </row>
    <row r="443" spans="2:20" x14ac:dyDescent="0.2">
      <c r="B443" t="s">
        <v>441</v>
      </c>
      <c r="C443" t="s">
        <v>547</v>
      </c>
      <c r="D443" t="s">
        <v>441</v>
      </c>
      <c r="E443" t="s">
        <v>21</v>
      </c>
      <c r="F443" t="s">
        <v>22</v>
      </c>
      <c r="G443" s="1">
        <v>6050</v>
      </c>
      <c r="H443" s="2">
        <v>55</v>
      </c>
      <c r="I443" s="5" t="str">
        <f>CONCATENATE(H443,"x",INT(G443/H443))</f>
        <v>55x110</v>
      </c>
      <c r="J443">
        <v>52</v>
      </c>
      <c r="K443">
        <v>26</v>
      </c>
      <c r="L443" s="3">
        <v>1507</v>
      </c>
      <c r="M443" s="3">
        <v>2875</v>
      </c>
      <c r="N443" s="3">
        <v>2225</v>
      </c>
      <c r="O443" s="3">
        <v>329900</v>
      </c>
      <c r="P443" s="3">
        <v>449900</v>
      </c>
      <c r="Q443" s="3">
        <v>392300</v>
      </c>
      <c r="S443">
        <v>32.941032</v>
      </c>
      <c r="T443">
        <v>-111.73908</v>
      </c>
    </row>
    <row r="444" spans="2:20" x14ac:dyDescent="0.2">
      <c r="B444" t="s">
        <v>841</v>
      </c>
      <c r="C444" t="s">
        <v>635</v>
      </c>
      <c r="E444" t="s">
        <v>21</v>
      </c>
      <c r="F444" t="s">
        <v>22</v>
      </c>
      <c r="G444" s="1">
        <v>13600</v>
      </c>
      <c r="H444" s="2">
        <v>80</v>
      </c>
      <c r="I444" s="5" t="str">
        <f>CONCATENATE(H444,"x",INT(G444/H444))</f>
        <v>80x170</v>
      </c>
      <c r="J444">
        <v>4</v>
      </c>
      <c r="K444">
        <v>26</v>
      </c>
      <c r="L444" s="3">
        <v>2699</v>
      </c>
      <c r="M444" s="3">
        <v>3308</v>
      </c>
      <c r="N444" s="3">
        <v>3022</v>
      </c>
      <c r="O444" s="3">
        <v>899900</v>
      </c>
      <c r="P444" s="3">
        <v>949900</v>
      </c>
      <c r="Q444" s="3">
        <v>925233.33330000006</v>
      </c>
      <c r="S444">
        <v>33.618789999999997</v>
      </c>
      <c r="T444">
        <v>-112.21738000000001</v>
      </c>
    </row>
    <row r="445" spans="2:20" x14ac:dyDescent="0.2">
      <c r="B445" t="s">
        <v>881</v>
      </c>
      <c r="C445" t="s">
        <v>882</v>
      </c>
      <c r="E445" t="s">
        <v>872</v>
      </c>
      <c r="F445" t="s">
        <v>873</v>
      </c>
      <c r="G445" s="1">
        <v>0</v>
      </c>
      <c r="H445" s="1">
        <v>0</v>
      </c>
      <c r="I445" s="5" t="s">
        <v>874</v>
      </c>
      <c r="J445">
        <v>34</v>
      </c>
      <c r="K445">
        <v>26</v>
      </c>
      <c r="L445" s="3">
        <v>1521</v>
      </c>
      <c r="M445" s="3">
        <v>3200</v>
      </c>
      <c r="N445" s="3">
        <v>2381</v>
      </c>
      <c r="O445" s="3">
        <v>1795000</v>
      </c>
      <c r="P445" s="3">
        <v>4725000</v>
      </c>
      <c r="Q445" s="3">
        <v>2931000</v>
      </c>
      <c r="R445" t="s">
        <v>883</v>
      </c>
      <c r="S445">
        <v>33.507846999999998</v>
      </c>
      <c r="T445">
        <v>-111.94604</v>
      </c>
    </row>
    <row r="446" spans="2:20" x14ac:dyDescent="0.2">
      <c r="B446" t="s">
        <v>800</v>
      </c>
      <c r="C446" t="s">
        <v>45</v>
      </c>
      <c r="D446" t="s">
        <v>124</v>
      </c>
      <c r="E446" t="s">
        <v>21</v>
      </c>
      <c r="F446" t="s">
        <v>22</v>
      </c>
      <c r="G446" s="1">
        <v>9450</v>
      </c>
      <c r="H446" s="2">
        <v>70</v>
      </c>
      <c r="I446" s="5" t="str">
        <f>CONCATENATE(H446,"x",INT(G446/H446))</f>
        <v>70x135</v>
      </c>
      <c r="J446">
        <v>47</v>
      </c>
      <c r="K446">
        <v>26</v>
      </c>
      <c r="L446" s="3">
        <v>2602</v>
      </c>
      <c r="M446" s="3">
        <v>3216</v>
      </c>
      <c r="N446" s="3">
        <v>2909</v>
      </c>
      <c r="O446" s="3">
        <v>660900</v>
      </c>
      <c r="P446" s="3">
        <v>749900</v>
      </c>
      <c r="Q446" s="3">
        <v>706650</v>
      </c>
      <c r="S446">
        <v>33.309738000000003</v>
      </c>
      <c r="T446">
        <v>-112.45084</v>
      </c>
    </row>
    <row r="447" spans="2:20" x14ac:dyDescent="0.2">
      <c r="B447" t="s">
        <v>427</v>
      </c>
      <c r="C447" t="s">
        <v>116</v>
      </c>
      <c r="E447" t="s">
        <v>21</v>
      </c>
      <c r="F447" t="s">
        <v>22</v>
      </c>
      <c r="G447" s="1">
        <v>5750</v>
      </c>
      <c r="H447" s="2">
        <v>50</v>
      </c>
      <c r="I447" s="5" t="str">
        <f>CONCATENATE(H447,"x",INT(G447/H447))</f>
        <v>50x115</v>
      </c>
      <c r="J447">
        <v>54</v>
      </c>
      <c r="K447">
        <v>25</v>
      </c>
      <c r="L447" s="3">
        <v>1289</v>
      </c>
      <c r="M447" s="3">
        <v>2013</v>
      </c>
      <c r="N447" s="3">
        <v>1634</v>
      </c>
      <c r="O447" s="3">
        <v>291990</v>
      </c>
      <c r="P447" s="3">
        <v>345990</v>
      </c>
      <c r="Q447" s="3">
        <v>317656.6666</v>
      </c>
      <c r="S447">
        <v>32.151519999999998</v>
      </c>
      <c r="T447">
        <v>-111.1046</v>
      </c>
    </row>
    <row r="448" spans="2:20" x14ac:dyDescent="0.2">
      <c r="B448" t="s">
        <v>611</v>
      </c>
      <c r="C448" t="s">
        <v>144</v>
      </c>
      <c r="D448" t="s">
        <v>189</v>
      </c>
      <c r="E448" t="s">
        <v>21</v>
      </c>
      <c r="F448" t="s">
        <v>22</v>
      </c>
      <c r="G448" s="1">
        <v>6400</v>
      </c>
      <c r="H448" s="2">
        <v>58</v>
      </c>
      <c r="I448" s="5" t="str">
        <f>CONCATENATE(H448,"x",INT(G448/H448))</f>
        <v>58x110</v>
      </c>
      <c r="J448">
        <v>126</v>
      </c>
      <c r="K448">
        <v>25</v>
      </c>
      <c r="L448" s="3">
        <v>1935</v>
      </c>
      <c r="M448" s="3">
        <v>2559</v>
      </c>
      <c r="N448" s="3">
        <v>2198</v>
      </c>
      <c r="O448" s="3">
        <v>484990</v>
      </c>
      <c r="P448" s="3">
        <v>544990</v>
      </c>
      <c r="Q448" s="3">
        <v>508740</v>
      </c>
      <c r="R448" t="s">
        <v>190</v>
      </c>
      <c r="S448">
        <v>33.709015000000001</v>
      </c>
      <c r="T448">
        <v>-112.43217</v>
      </c>
    </row>
    <row r="449" spans="2:20" x14ac:dyDescent="0.2">
      <c r="B449" t="s">
        <v>884</v>
      </c>
      <c r="C449" t="s">
        <v>885</v>
      </c>
      <c r="E449" t="s">
        <v>872</v>
      </c>
      <c r="F449" t="s">
        <v>873</v>
      </c>
      <c r="G449" s="1">
        <v>0</v>
      </c>
      <c r="H449" s="1">
        <v>0</v>
      </c>
      <c r="I449" s="5" t="s">
        <v>874</v>
      </c>
      <c r="J449">
        <v>35</v>
      </c>
      <c r="K449">
        <v>25</v>
      </c>
      <c r="L449" s="3">
        <v>822</v>
      </c>
      <c r="M449" s="3">
        <v>1419</v>
      </c>
      <c r="N449" s="3">
        <v>1185</v>
      </c>
      <c r="O449" s="3">
        <v>397900</v>
      </c>
      <c r="P449" s="3">
        <v>678917</v>
      </c>
      <c r="Q449" s="3">
        <v>572558.5</v>
      </c>
      <c r="R449" t="s">
        <v>886</v>
      </c>
      <c r="S449">
        <v>33.485118999999997</v>
      </c>
      <c r="T449">
        <v>-112.07272</v>
      </c>
    </row>
    <row r="450" spans="2:20" x14ac:dyDescent="0.2">
      <c r="B450" t="s">
        <v>813</v>
      </c>
      <c r="C450" t="s">
        <v>36</v>
      </c>
      <c r="D450" t="s">
        <v>460</v>
      </c>
      <c r="E450" t="s">
        <v>21</v>
      </c>
      <c r="F450" t="s">
        <v>22</v>
      </c>
      <c r="G450" s="1">
        <v>9750</v>
      </c>
      <c r="H450" s="2">
        <v>75</v>
      </c>
      <c r="I450" s="5" t="str">
        <f>CONCATENATE(H450,"x",INT(G450/H450))</f>
        <v>75x130</v>
      </c>
      <c r="J450">
        <v>66</v>
      </c>
      <c r="K450">
        <v>25</v>
      </c>
      <c r="L450" s="3">
        <v>2733</v>
      </c>
      <c r="M450" s="3">
        <v>4850</v>
      </c>
      <c r="N450" s="3">
        <v>3491</v>
      </c>
      <c r="O450" s="3">
        <v>686500</v>
      </c>
      <c r="P450" s="3">
        <v>784500</v>
      </c>
      <c r="Q450" s="3">
        <v>719700</v>
      </c>
      <c r="S450">
        <v>33.257010999999999</v>
      </c>
      <c r="T450">
        <v>-111.59466999999999</v>
      </c>
    </row>
    <row r="451" spans="2:20" x14ac:dyDescent="0.2">
      <c r="B451" t="s">
        <v>428</v>
      </c>
      <c r="C451" t="s">
        <v>187</v>
      </c>
      <c r="E451" t="s">
        <v>21</v>
      </c>
      <c r="F451" t="s">
        <v>22</v>
      </c>
      <c r="G451" s="1">
        <v>5750</v>
      </c>
      <c r="H451" s="2">
        <v>50</v>
      </c>
      <c r="I451" s="5" t="str">
        <f>CONCATENATE(H451,"x",INT(G451/H451))</f>
        <v>50x115</v>
      </c>
      <c r="J451">
        <v>65</v>
      </c>
      <c r="K451">
        <v>24</v>
      </c>
      <c r="L451" s="3">
        <v>1567</v>
      </c>
      <c r="M451" s="3">
        <v>3020</v>
      </c>
      <c r="N451" s="3">
        <v>2114</v>
      </c>
      <c r="O451" s="3">
        <v>401990</v>
      </c>
      <c r="P451" s="3">
        <v>519990</v>
      </c>
      <c r="Q451" s="3">
        <v>451490</v>
      </c>
      <c r="S451">
        <v>33.353122999999997</v>
      </c>
      <c r="T451">
        <v>-112.1801</v>
      </c>
    </row>
    <row r="452" spans="2:20" x14ac:dyDescent="0.2">
      <c r="B452" t="s">
        <v>623</v>
      </c>
      <c r="C452" t="s">
        <v>178</v>
      </c>
      <c r="E452" t="s">
        <v>21</v>
      </c>
      <c r="F452" t="s">
        <v>22</v>
      </c>
      <c r="G452" s="1">
        <v>6960</v>
      </c>
      <c r="H452" s="2">
        <v>58</v>
      </c>
      <c r="I452" s="5" t="str">
        <f>CONCATENATE(H452,"x",INT(G452/H452))</f>
        <v>58x120</v>
      </c>
      <c r="J452">
        <v>34</v>
      </c>
      <c r="K452">
        <v>24</v>
      </c>
      <c r="L452" s="3">
        <v>1789</v>
      </c>
      <c r="M452" s="3">
        <v>2840</v>
      </c>
      <c r="N452" s="3">
        <v>2246</v>
      </c>
      <c r="O452" s="3">
        <v>357990</v>
      </c>
      <c r="P452" s="3">
        <v>431990</v>
      </c>
      <c r="Q452" s="3">
        <v>390434.44439999998</v>
      </c>
      <c r="S452">
        <v>33.427818000000002</v>
      </c>
      <c r="T452">
        <v>-112.58132000000001</v>
      </c>
    </row>
    <row r="453" spans="2:20" x14ac:dyDescent="0.2">
      <c r="B453" t="s">
        <v>632</v>
      </c>
      <c r="C453" t="s">
        <v>376</v>
      </c>
      <c r="E453" t="s">
        <v>21</v>
      </c>
      <c r="F453" t="s">
        <v>22</v>
      </c>
      <c r="G453" s="1">
        <v>6000</v>
      </c>
      <c r="H453" s="2">
        <v>60</v>
      </c>
      <c r="I453" s="5" t="str">
        <f>CONCATENATE(H453,"x",INT(G453/H453))</f>
        <v>60x100</v>
      </c>
      <c r="J453">
        <v>20</v>
      </c>
      <c r="K453">
        <v>24</v>
      </c>
      <c r="L453" s="3">
        <v>1477</v>
      </c>
      <c r="M453" s="3">
        <v>1901</v>
      </c>
      <c r="N453" s="3">
        <v>1678</v>
      </c>
      <c r="O453" s="3">
        <v>272990</v>
      </c>
      <c r="P453" s="3">
        <v>307990</v>
      </c>
      <c r="Q453" s="3">
        <v>292656.6666</v>
      </c>
      <c r="S453">
        <v>32.807549000000002</v>
      </c>
      <c r="T453">
        <v>-111.68092</v>
      </c>
    </row>
    <row r="454" spans="2:20" x14ac:dyDescent="0.2">
      <c r="B454" t="s">
        <v>591</v>
      </c>
      <c r="C454" t="s">
        <v>47</v>
      </c>
      <c r="D454" t="s">
        <v>564</v>
      </c>
      <c r="E454" t="s">
        <v>21</v>
      </c>
      <c r="F454" t="s">
        <v>22</v>
      </c>
      <c r="G454" s="1">
        <v>6875</v>
      </c>
      <c r="H454" s="2">
        <v>55</v>
      </c>
      <c r="I454" s="5" t="str">
        <f>CONCATENATE(H454,"x",INT(G454/H454))</f>
        <v>55x125</v>
      </c>
      <c r="J454">
        <v>21</v>
      </c>
      <c r="K454">
        <v>24</v>
      </c>
      <c r="L454" s="3">
        <v>1589</v>
      </c>
      <c r="M454" s="3">
        <v>2146</v>
      </c>
      <c r="N454" s="3">
        <v>1881</v>
      </c>
      <c r="O454" s="3">
        <v>470900</v>
      </c>
      <c r="P454" s="3">
        <v>545900</v>
      </c>
      <c r="Q454" s="3">
        <v>504233.3333</v>
      </c>
      <c r="S454">
        <v>34.670830000000002</v>
      </c>
      <c r="T454">
        <v>-112.32903</v>
      </c>
    </row>
    <row r="455" spans="2:20" x14ac:dyDescent="0.2">
      <c r="B455" t="s">
        <v>730</v>
      </c>
      <c r="C455" t="s">
        <v>114</v>
      </c>
      <c r="D455" t="s">
        <v>731</v>
      </c>
      <c r="E455" t="s">
        <v>21</v>
      </c>
      <c r="F455" t="s">
        <v>22</v>
      </c>
      <c r="G455" s="1">
        <v>8125</v>
      </c>
      <c r="H455" s="2">
        <v>65</v>
      </c>
      <c r="I455" s="5" t="str">
        <f>CONCATENATE(H455,"x",INT(G455/H455))</f>
        <v>65x125</v>
      </c>
      <c r="J455">
        <v>53</v>
      </c>
      <c r="K455">
        <v>24</v>
      </c>
      <c r="L455" s="3">
        <v>1218</v>
      </c>
      <c r="M455" s="3">
        <v>1572</v>
      </c>
      <c r="N455" s="3">
        <v>1399</v>
      </c>
      <c r="O455" s="3">
        <v>290990</v>
      </c>
      <c r="P455" s="3">
        <v>322990</v>
      </c>
      <c r="Q455" s="3">
        <v>306740</v>
      </c>
      <c r="S455">
        <v>32.859305999999997</v>
      </c>
      <c r="T455">
        <v>-111.68092</v>
      </c>
    </row>
    <row r="456" spans="2:20" x14ac:dyDescent="0.2">
      <c r="B456" t="s">
        <v>821</v>
      </c>
      <c r="C456" t="s">
        <v>136</v>
      </c>
      <c r="E456" t="s">
        <v>21</v>
      </c>
      <c r="F456" t="s">
        <v>22</v>
      </c>
      <c r="G456" s="1">
        <v>12800</v>
      </c>
      <c r="H456" s="2">
        <v>75</v>
      </c>
      <c r="I456" s="5" t="str">
        <f>CONCATENATE(H456,"x",INT(G456/H456))</f>
        <v>75x170</v>
      </c>
      <c r="J456">
        <v>24</v>
      </c>
      <c r="K456">
        <v>24</v>
      </c>
      <c r="L456" s="3">
        <v>1690</v>
      </c>
      <c r="M456" s="3">
        <v>2040</v>
      </c>
      <c r="N456" s="3">
        <v>1844</v>
      </c>
      <c r="O456" s="3">
        <v>342990</v>
      </c>
      <c r="P456" s="3">
        <v>371990</v>
      </c>
      <c r="Q456" s="3">
        <v>356990</v>
      </c>
      <c r="S456">
        <v>32.867134</v>
      </c>
      <c r="T456">
        <v>-111.72449</v>
      </c>
    </row>
    <row r="457" spans="2:20" x14ac:dyDescent="0.2">
      <c r="B457" t="s">
        <v>101</v>
      </c>
      <c r="C457" t="s">
        <v>31</v>
      </c>
      <c r="E457" t="s">
        <v>21</v>
      </c>
      <c r="F457" t="s">
        <v>22</v>
      </c>
      <c r="G457" s="1">
        <v>43560</v>
      </c>
      <c r="H457" s="2">
        <v>195</v>
      </c>
      <c r="I457" s="5" t="str">
        <f>CONCATENATE(H457,"x",INT(G457/H457))</f>
        <v>195x223</v>
      </c>
      <c r="J457">
        <v>18</v>
      </c>
      <c r="K457">
        <v>24</v>
      </c>
      <c r="L457" s="3">
        <v>3236</v>
      </c>
      <c r="M457" s="3">
        <v>5002</v>
      </c>
      <c r="N457" s="3">
        <v>4007</v>
      </c>
      <c r="O457" s="3">
        <v>1859995</v>
      </c>
      <c r="P457" s="3">
        <v>2164995</v>
      </c>
      <c r="Q457" s="3">
        <v>2009828.3333000001</v>
      </c>
      <c r="S457">
        <v>33.717601999999999</v>
      </c>
      <c r="T457">
        <v>-111.8219</v>
      </c>
    </row>
    <row r="458" spans="2:20" x14ac:dyDescent="0.2">
      <c r="B458" t="s">
        <v>803</v>
      </c>
      <c r="C458" t="s">
        <v>29</v>
      </c>
      <c r="D458" t="s">
        <v>193</v>
      </c>
      <c r="E458" t="s">
        <v>21</v>
      </c>
      <c r="F458" t="s">
        <v>22</v>
      </c>
      <c r="G458" s="1">
        <v>9800</v>
      </c>
      <c r="H458" s="2">
        <v>70</v>
      </c>
      <c r="I458" s="5" t="str">
        <f>CONCATENATE(H458,"x",INT(G458/H458))</f>
        <v>70x140</v>
      </c>
      <c r="J458">
        <v>31</v>
      </c>
      <c r="K458">
        <v>23</v>
      </c>
      <c r="L458" s="3">
        <v>2566</v>
      </c>
      <c r="M458" s="3">
        <v>3253</v>
      </c>
      <c r="N458" s="3">
        <v>2999</v>
      </c>
      <c r="O458" s="3">
        <v>724990</v>
      </c>
      <c r="P458" s="3">
        <v>814990</v>
      </c>
      <c r="Q458" s="3">
        <v>774323.33330000006</v>
      </c>
      <c r="R458" t="s">
        <v>23</v>
      </c>
      <c r="S458">
        <v>33.506359000000003</v>
      </c>
      <c r="T458">
        <v>-112.52254000000001</v>
      </c>
    </row>
    <row r="459" spans="2:20" x14ac:dyDescent="0.2">
      <c r="B459" t="s">
        <v>156</v>
      </c>
      <c r="C459" t="s">
        <v>116</v>
      </c>
      <c r="E459" t="s">
        <v>21</v>
      </c>
      <c r="F459" t="s">
        <v>22</v>
      </c>
      <c r="G459" s="1">
        <v>4600</v>
      </c>
      <c r="H459" s="2">
        <v>40</v>
      </c>
      <c r="I459" s="5" t="str">
        <f>CONCATENATE(H459,"x",INT(G459/H459))</f>
        <v>40x115</v>
      </c>
      <c r="J459">
        <v>309</v>
      </c>
      <c r="K459">
        <v>23</v>
      </c>
      <c r="L459" s="3">
        <v>1262</v>
      </c>
      <c r="M459" s="3">
        <v>2685</v>
      </c>
      <c r="N459" s="3">
        <v>1948</v>
      </c>
      <c r="O459" s="3">
        <v>311990</v>
      </c>
      <c r="P459" s="3">
        <v>414990</v>
      </c>
      <c r="Q459" s="3">
        <v>365143.84610000002</v>
      </c>
      <c r="S459">
        <v>32.168488000000004</v>
      </c>
      <c r="T459">
        <v>-110.80607000000001</v>
      </c>
    </row>
    <row r="460" spans="2:20" x14ac:dyDescent="0.2">
      <c r="B460" t="s">
        <v>581</v>
      </c>
      <c r="C460" t="s">
        <v>144</v>
      </c>
      <c r="D460" t="s">
        <v>212</v>
      </c>
      <c r="E460" t="s">
        <v>21</v>
      </c>
      <c r="F460" t="s">
        <v>22</v>
      </c>
      <c r="G460" s="1">
        <v>6600</v>
      </c>
      <c r="H460" s="2">
        <v>55</v>
      </c>
      <c r="I460" s="5" t="str">
        <f>CONCATENATE(H460,"x",INT(G460/H460))</f>
        <v>55x120</v>
      </c>
      <c r="J460">
        <v>74</v>
      </c>
      <c r="K460">
        <v>23</v>
      </c>
      <c r="L460" s="3">
        <v>2274</v>
      </c>
      <c r="M460" s="3">
        <v>2649</v>
      </c>
      <c r="N460" s="3">
        <v>2455</v>
      </c>
      <c r="O460" s="3">
        <v>456990</v>
      </c>
      <c r="P460" s="3">
        <v>549990</v>
      </c>
      <c r="Q460" s="3">
        <v>496365</v>
      </c>
      <c r="S460">
        <v>33.395457999999998</v>
      </c>
      <c r="T460">
        <v>-112.11360000000001</v>
      </c>
    </row>
    <row r="461" spans="2:20" x14ac:dyDescent="0.2">
      <c r="B461" t="s">
        <v>157</v>
      </c>
      <c r="C461" t="s">
        <v>114</v>
      </c>
      <c r="D461" t="s">
        <v>158</v>
      </c>
      <c r="E461" t="s">
        <v>21</v>
      </c>
      <c r="F461" t="s">
        <v>22</v>
      </c>
      <c r="G461" s="1">
        <v>4600</v>
      </c>
      <c r="H461" s="2">
        <v>40</v>
      </c>
      <c r="I461" s="5" t="str">
        <f>CONCATENATE(H461,"x",INT(G461/H461))</f>
        <v>40x115</v>
      </c>
      <c r="J461">
        <v>131</v>
      </c>
      <c r="K461">
        <v>23</v>
      </c>
      <c r="L461" s="3">
        <v>1218</v>
      </c>
      <c r="M461" s="3">
        <v>1572</v>
      </c>
      <c r="N461" s="3">
        <v>1395</v>
      </c>
      <c r="O461" s="3">
        <v>314990</v>
      </c>
      <c r="P461" s="3">
        <v>346990</v>
      </c>
      <c r="Q461" s="3">
        <v>331240</v>
      </c>
      <c r="S461">
        <v>33.077643999999999</v>
      </c>
      <c r="T461">
        <v>-111.99952999999999</v>
      </c>
    </row>
    <row r="462" spans="2:20" x14ac:dyDescent="0.2">
      <c r="B462" t="s">
        <v>732</v>
      </c>
      <c r="C462" t="s">
        <v>114</v>
      </c>
      <c r="D462" t="s">
        <v>731</v>
      </c>
      <c r="E462" t="s">
        <v>21</v>
      </c>
      <c r="F462" t="s">
        <v>22</v>
      </c>
      <c r="G462" s="1">
        <v>8125</v>
      </c>
      <c r="H462" s="2">
        <v>65</v>
      </c>
      <c r="I462" s="5" t="str">
        <f>CONCATENATE(H462,"x",INT(G462/H462))</f>
        <v>65x125</v>
      </c>
      <c r="J462">
        <v>54</v>
      </c>
      <c r="K462">
        <v>23</v>
      </c>
      <c r="L462" s="3">
        <v>1529</v>
      </c>
      <c r="M462" s="3">
        <v>2528</v>
      </c>
      <c r="N462" s="3">
        <v>2096</v>
      </c>
      <c r="O462" s="3">
        <v>320990</v>
      </c>
      <c r="P462" s="3">
        <v>406990</v>
      </c>
      <c r="Q462" s="3">
        <v>361990</v>
      </c>
      <c r="S462">
        <v>32.859195999999997</v>
      </c>
      <c r="T462">
        <v>-111.67815</v>
      </c>
    </row>
    <row r="463" spans="2:20" x14ac:dyDescent="0.2">
      <c r="B463" t="s">
        <v>586</v>
      </c>
      <c r="C463" t="s">
        <v>272</v>
      </c>
      <c r="D463" t="s">
        <v>319</v>
      </c>
      <c r="E463" t="s">
        <v>21</v>
      </c>
      <c r="F463" t="s">
        <v>22</v>
      </c>
      <c r="G463" s="1">
        <v>6785</v>
      </c>
      <c r="H463" s="2">
        <v>55</v>
      </c>
      <c r="I463" s="5" t="str">
        <f>CONCATENATE(H463,"x",INT(G463/H463))</f>
        <v>55x123</v>
      </c>
      <c r="J463">
        <v>45</v>
      </c>
      <c r="K463">
        <v>22</v>
      </c>
      <c r="L463" s="3">
        <v>2119</v>
      </c>
      <c r="M463" s="3">
        <v>3913</v>
      </c>
      <c r="N463" s="3">
        <v>2783</v>
      </c>
      <c r="O463" s="3">
        <v>474990</v>
      </c>
      <c r="P463" s="3">
        <v>624990</v>
      </c>
      <c r="Q463" s="3">
        <v>532490</v>
      </c>
      <c r="S463">
        <v>33.211444999999998</v>
      </c>
      <c r="T463">
        <v>-111.59044</v>
      </c>
    </row>
    <row r="464" spans="2:20" x14ac:dyDescent="0.2">
      <c r="B464" t="s">
        <v>582</v>
      </c>
      <c r="C464" t="s">
        <v>114</v>
      </c>
      <c r="E464" t="s">
        <v>21</v>
      </c>
      <c r="F464" t="s">
        <v>22</v>
      </c>
      <c r="G464" s="1">
        <v>6600</v>
      </c>
      <c r="H464" s="2">
        <v>55</v>
      </c>
      <c r="I464" s="5" t="str">
        <f>CONCATENATE(H464,"x",INT(G464/H464))</f>
        <v>55x120</v>
      </c>
      <c r="J464">
        <v>58</v>
      </c>
      <c r="K464">
        <v>22</v>
      </c>
      <c r="L464" s="3">
        <v>1832</v>
      </c>
      <c r="M464" s="3">
        <v>2552</v>
      </c>
      <c r="N464" s="3">
        <v>2254</v>
      </c>
      <c r="O464" s="3">
        <v>361990</v>
      </c>
      <c r="P464" s="3">
        <v>422990</v>
      </c>
      <c r="Q464" s="3">
        <v>393823.3333</v>
      </c>
      <c r="S464">
        <v>33.053260999999999</v>
      </c>
      <c r="T464">
        <v>-111.9482</v>
      </c>
    </row>
    <row r="465" spans="2:20" x14ac:dyDescent="0.2">
      <c r="B465" t="s">
        <v>733</v>
      </c>
      <c r="C465" t="s">
        <v>114</v>
      </c>
      <c r="D465" t="s">
        <v>246</v>
      </c>
      <c r="E465" t="s">
        <v>21</v>
      </c>
      <c r="F465" t="s">
        <v>22</v>
      </c>
      <c r="G465" s="1">
        <v>8125</v>
      </c>
      <c r="H465" s="2">
        <v>65</v>
      </c>
      <c r="I465" s="5" t="str">
        <f>CONCATENATE(H465,"x",INT(G465/H465))</f>
        <v>65x125</v>
      </c>
      <c r="J465">
        <v>76</v>
      </c>
      <c r="K465">
        <v>22</v>
      </c>
      <c r="L465" s="3">
        <v>1327</v>
      </c>
      <c r="M465" s="3">
        <v>2530</v>
      </c>
      <c r="N465" s="3">
        <v>2135</v>
      </c>
      <c r="O465" s="3">
        <v>404990</v>
      </c>
      <c r="P465" s="3">
        <v>517990</v>
      </c>
      <c r="Q465" s="3">
        <v>458626.36359999998</v>
      </c>
      <c r="S465">
        <v>33.175007000000001</v>
      </c>
      <c r="T465">
        <v>-111.53088</v>
      </c>
    </row>
    <row r="466" spans="2:20" x14ac:dyDescent="0.2">
      <c r="B466" t="s">
        <v>825</v>
      </c>
      <c r="C466" t="s">
        <v>136</v>
      </c>
      <c r="D466" t="s">
        <v>826</v>
      </c>
      <c r="E466" t="s">
        <v>21</v>
      </c>
      <c r="F466" t="s">
        <v>22</v>
      </c>
      <c r="G466" s="1">
        <v>9600</v>
      </c>
      <c r="H466" s="2">
        <v>80</v>
      </c>
      <c r="I466" s="5" t="str">
        <f>CONCATENATE(H466,"x",INT(G466/H466))</f>
        <v>80x120</v>
      </c>
      <c r="J466">
        <v>31</v>
      </c>
      <c r="K466">
        <v>22</v>
      </c>
      <c r="L466" s="3">
        <v>2220</v>
      </c>
      <c r="M466" s="3">
        <v>2730</v>
      </c>
      <c r="N466" s="3">
        <v>2464</v>
      </c>
      <c r="O466" s="3">
        <v>510990</v>
      </c>
      <c r="P466" s="3">
        <v>572990</v>
      </c>
      <c r="Q466" s="3">
        <v>542590</v>
      </c>
      <c r="S466">
        <v>33.439399999999999</v>
      </c>
      <c r="T466">
        <v>-112.43669</v>
      </c>
    </row>
    <row r="467" spans="2:20" x14ac:dyDescent="0.2">
      <c r="B467" t="s">
        <v>682</v>
      </c>
      <c r="C467" t="s">
        <v>47</v>
      </c>
      <c r="D467" t="s">
        <v>683</v>
      </c>
      <c r="E467" t="s">
        <v>21</v>
      </c>
      <c r="F467" t="s">
        <v>22</v>
      </c>
      <c r="G467" s="1">
        <v>7500</v>
      </c>
      <c r="H467" s="2">
        <v>60</v>
      </c>
      <c r="I467" s="5" t="str">
        <f>CONCATENATE(H467,"x",INT(G467/H467))</f>
        <v>60x125</v>
      </c>
      <c r="J467">
        <v>8</v>
      </c>
      <c r="K467">
        <v>21</v>
      </c>
      <c r="L467" s="3">
        <v>2346</v>
      </c>
      <c r="M467" s="3">
        <v>2578</v>
      </c>
      <c r="N467" s="3">
        <v>2462</v>
      </c>
      <c r="O467" s="3">
        <v>579900</v>
      </c>
      <c r="P467" s="3">
        <v>615900</v>
      </c>
      <c r="Q467" s="3">
        <v>597900</v>
      </c>
      <c r="S467">
        <v>31.865508999999999</v>
      </c>
      <c r="T467">
        <v>-110.95807000000001</v>
      </c>
    </row>
    <row r="468" spans="2:20" x14ac:dyDescent="0.2">
      <c r="B468" t="s">
        <v>706</v>
      </c>
      <c r="C468" t="s">
        <v>136</v>
      </c>
      <c r="D468" t="s">
        <v>203</v>
      </c>
      <c r="E468" t="s">
        <v>21</v>
      </c>
      <c r="F468" t="s">
        <v>22</v>
      </c>
      <c r="G468" s="1">
        <v>7245</v>
      </c>
      <c r="H468" s="2">
        <v>63</v>
      </c>
      <c r="I468" s="5" t="str">
        <f>CONCATENATE(H468,"x",INT(G468/H468))</f>
        <v>63x115</v>
      </c>
      <c r="J468">
        <v>54</v>
      </c>
      <c r="K468">
        <v>21</v>
      </c>
      <c r="L468" s="3">
        <v>1590</v>
      </c>
      <c r="M468" s="3">
        <v>2630</v>
      </c>
      <c r="N468" s="3">
        <v>1921</v>
      </c>
      <c r="O468" s="3">
        <v>336990</v>
      </c>
      <c r="P468" s="3">
        <v>386990</v>
      </c>
      <c r="Q468" s="3">
        <v>362323.3333</v>
      </c>
      <c r="S468">
        <v>32.993347</v>
      </c>
      <c r="T468">
        <v>-111.54797000000001</v>
      </c>
    </row>
    <row r="469" spans="2:20" x14ac:dyDescent="0.2">
      <c r="B469" t="s">
        <v>921</v>
      </c>
      <c r="C469" t="s">
        <v>922</v>
      </c>
      <c r="E469" t="s">
        <v>872</v>
      </c>
      <c r="F469" t="s">
        <v>907</v>
      </c>
      <c r="G469" s="1">
        <v>0</v>
      </c>
      <c r="H469" s="1">
        <v>0</v>
      </c>
      <c r="I469" s="5" t="s">
        <v>908</v>
      </c>
      <c r="J469">
        <v>73</v>
      </c>
      <c r="K469">
        <v>21</v>
      </c>
      <c r="L469" s="3">
        <v>1600</v>
      </c>
      <c r="M469" s="3">
        <v>1818</v>
      </c>
      <c r="N469" s="3">
        <v>1701</v>
      </c>
      <c r="O469" s="3">
        <v>419950</v>
      </c>
      <c r="P469" s="3">
        <v>453950</v>
      </c>
      <c r="Q469" s="3">
        <v>434283.3333</v>
      </c>
      <c r="R469" t="s">
        <v>907</v>
      </c>
      <c r="S469">
        <v>35.238880000000002</v>
      </c>
      <c r="T469">
        <v>-111.81918</v>
      </c>
    </row>
    <row r="470" spans="2:20" x14ac:dyDescent="0.2">
      <c r="B470" t="s">
        <v>331</v>
      </c>
      <c r="C470" t="s">
        <v>38</v>
      </c>
      <c r="D470" t="s">
        <v>329</v>
      </c>
      <c r="E470" t="s">
        <v>21</v>
      </c>
      <c r="F470" t="s">
        <v>22</v>
      </c>
      <c r="G470" s="1">
        <v>5400</v>
      </c>
      <c r="H470" s="2">
        <v>45</v>
      </c>
      <c r="I470" s="5" t="str">
        <f>CONCATENATE(H470,"x",INT(G470/H470))</f>
        <v>45x120</v>
      </c>
      <c r="J470">
        <v>40</v>
      </c>
      <c r="K470">
        <v>21</v>
      </c>
      <c r="L470" s="3">
        <v>1715</v>
      </c>
      <c r="M470" s="3">
        <v>2757</v>
      </c>
      <c r="N470" s="3">
        <v>2124</v>
      </c>
      <c r="O470" s="3">
        <v>403990</v>
      </c>
      <c r="P470" s="3">
        <v>486990</v>
      </c>
      <c r="Q470" s="3">
        <v>436790</v>
      </c>
      <c r="S470">
        <v>33.591304999999998</v>
      </c>
      <c r="T470">
        <v>-112.42023</v>
      </c>
    </row>
    <row r="471" spans="2:20" x14ac:dyDescent="0.2">
      <c r="B471" t="s">
        <v>865</v>
      </c>
      <c r="C471" t="s">
        <v>31</v>
      </c>
      <c r="E471" t="s">
        <v>21</v>
      </c>
      <c r="F471" t="s">
        <v>22</v>
      </c>
      <c r="G471" s="1">
        <v>16250</v>
      </c>
      <c r="H471" s="2">
        <v>90</v>
      </c>
      <c r="I471" s="5" t="str">
        <f>CONCATENATE(H471,"x",INT(G471/H471))</f>
        <v>90x180</v>
      </c>
      <c r="J471">
        <v>95</v>
      </c>
      <c r="K471">
        <v>21</v>
      </c>
      <c r="L471" s="3">
        <v>2946</v>
      </c>
      <c r="M471" s="3">
        <v>4227</v>
      </c>
      <c r="N471" s="3">
        <v>3637</v>
      </c>
      <c r="O471" s="3">
        <v>975995</v>
      </c>
      <c r="P471" s="3">
        <v>1098995</v>
      </c>
      <c r="Q471" s="3">
        <v>1031828.3333000001</v>
      </c>
      <c r="R471" t="s">
        <v>23</v>
      </c>
      <c r="S471">
        <v>33.217906999999997</v>
      </c>
      <c r="T471">
        <v>-111.63817</v>
      </c>
    </row>
    <row r="472" spans="2:20" x14ac:dyDescent="0.2">
      <c r="B472" t="s">
        <v>696</v>
      </c>
      <c r="C472" t="s">
        <v>462</v>
      </c>
      <c r="D472" t="s">
        <v>127</v>
      </c>
      <c r="E472" t="s">
        <v>21</v>
      </c>
      <c r="F472" t="s">
        <v>22</v>
      </c>
      <c r="G472" s="1">
        <v>8100</v>
      </c>
      <c r="H472" s="2">
        <v>60</v>
      </c>
      <c r="I472" s="5" t="str">
        <f>CONCATENATE(H472,"x",INT(G472/H472))</f>
        <v>60x135</v>
      </c>
      <c r="J472">
        <v>25</v>
      </c>
      <c r="K472">
        <v>20</v>
      </c>
      <c r="L472" s="3">
        <v>2318</v>
      </c>
      <c r="M472" s="3">
        <v>4160</v>
      </c>
      <c r="N472" s="3">
        <v>3105</v>
      </c>
      <c r="O472" s="3">
        <v>723000</v>
      </c>
      <c r="P472" s="3">
        <v>925000</v>
      </c>
      <c r="Q472" s="3">
        <v>811310</v>
      </c>
      <c r="S472">
        <v>33.336936999999999</v>
      </c>
      <c r="T472">
        <v>-111.62499</v>
      </c>
    </row>
    <row r="473" spans="2:20" x14ac:dyDescent="0.2">
      <c r="B473" t="s">
        <v>604</v>
      </c>
      <c r="C473" t="s">
        <v>605</v>
      </c>
      <c r="D473" t="s">
        <v>606</v>
      </c>
      <c r="E473" t="s">
        <v>21</v>
      </c>
      <c r="F473" t="s">
        <v>22</v>
      </c>
      <c r="G473" s="1">
        <v>4950</v>
      </c>
      <c r="H473" s="2">
        <v>55</v>
      </c>
      <c r="I473" s="5" t="str">
        <f>CONCATENATE(H473,"x",INT(G473/H473))</f>
        <v>55x90</v>
      </c>
      <c r="J473">
        <v>148</v>
      </c>
      <c r="K473">
        <v>20</v>
      </c>
      <c r="L473" s="3">
        <v>1638</v>
      </c>
      <c r="M473" s="3">
        <v>2537</v>
      </c>
      <c r="N473" s="3">
        <v>2115</v>
      </c>
      <c r="O473" s="3">
        <v>458500</v>
      </c>
      <c r="P473" s="3">
        <v>590956</v>
      </c>
      <c r="Q473" s="3">
        <v>538423.4</v>
      </c>
      <c r="S473">
        <v>33.235599999999998</v>
      </c>
      <c r="T473">
        <v>-111.63002</v>
      </c>
    </row>
    <row r="474" spans="2:20" x14ac:dyDescent="0.2">
      <c r="B474" t="s">
        <v>734</v>
      </c>
      <c r="C474" t="s">
        <v>20</v>
      </c>
      <c r="D474" t="s">
        <v>735</v>
      </c>
      <c r="E474" t="s">
        <v>21</v>
      </c>
      <c r="F474" t="s">
        <v>22</v>
      </c>
      <c r="G474" s="1">
        <v>8150</v>
      </c>
      <c r="H474" s="2">
        <v>65</v>
      </c>
      <c r="I474" s="5" t="str">
        <f>CONCATENATE(H474,"x",INT(G474/H474))</f>
        <v>65x125</v>
      </c>
      <c r="J474">
        <v>13</v>
      </c>
      <c r="K474">
        <v>20</v>
      </c>
      <c r="L474" s="3">
        <v>3085</v>
      </c>
      <c r="M474" s="3">
        <v>4228</v>
      </c>
      <c r="N474" s="3">
        <v>3506</v>
      </c>
      <c r="O474" s="3">
        <v>2649156</v>
      </c>
      <c r="P474" s="3">
        <v>3340675</v>
      </c>
      <c r="Q474" s="3">
        <v>2897583.6</v>
      </c>
      <c r="R474" t="s">
        <v>736</v>
      </c>
      <c r="S474">
        <v>33.825164999999998</v>
      </c>
      <c r="T474">
        <v>-111.88609</v>
      </c>
    </row>
    <row r="475" spans="2:20" x14ac:dyDescent="0.2">
      <c r="B475" t="s">
        <v>837</v>
      </c>
      <c r="C475" t="s">
        <v>29</v>
      </c>
      <c r="D475" t="s">
        <v>193</v>
      </c>
      <c r="E475" t="s">
        <v>21</v>
      </c>
      <c r="F475" t="s">
        <v>22</v>
      </c>
      <c r="G475" s="1">
        <v>10400</v>
      </c>
      <c r="H475" s="2">
        <v>80</v>
      </c>
      <c r="I475" s="5" t="str">
        <f>CONCATENATE(H475,"x",INT(G475/H475))</f>
        <v>80x130</v>
      </c>
      <c r="J475">
        <v>225</v>
      </c>
      <c r="K475">
        <v>20</v>
      </c>
      <c r="L475" s="3">
        <v>2746</v>
      </c>
      <c r="M475" s="3">
        <v>3668</v>
      </c>
      <c r="N475" s="3">
        <v>3174</v>
      </c>
      <c r="O475" s="3">
        <v>904990</v>
      </c>
      <c r="P475" s="3">
        <v>1064990</v>
      </c>
      <c r="Q475" s="3">
        <v>994323.33330000006</v>
      </c>
      <c r="R475" t="s">
        <v>718</v>
      </c>
      <c r="S475">
        <v>33.508747</v>
      </c>
      <c r="T475">
        <v>-112.50997</v>
      </c>
    </row>
    <row r="476" spans="2:20" x14ac:dyDescent="0.2">
      <c r="B476" t="s">
        <v>692</v>
      </c>
      <c r="C476" t="s">
        <v>116</v>
      </c>
      <c r="E476" t="s">
        <v>21</v>
      </c>
      <c r="F476" t="s">
        <v>22</v>
      </c>
      <c r="G476" s="1">
        <v>7800</v>
      </c>
      <c r="H476" s="2">
        <v>60</v>
      </c>
      <c r="I476" s="5" t="str">
        <f>CONCATENATE(H476,"x",INT(G476/H476))</f>
        <v>60x130</v>
      </c>
      <c r="J476">
        <v>50</v>
      </c>
      <c r="K476">
        <v>20</v>
      </c>
      <c r="L476" s="3">
        <v>2148</v>
      </c>
      <c r="M476" s="3">
        <v>2913</v>
      </c>
      <c r="N476" s="3">
        <v>2504</v>
      </c>
      <c r="O476" s="3">
        <v>437990</v>
      </c>
      <c r="P476" s="3">
        <v>480990</v>
      </c>
      <c r="Q476" s="3">
        <v>458240</v>
      </c>
      <c r="R476" t="s">
        <v>23</v>
      </c>
      <c r="S476">
        <v>33.361004000000001</v>
      </c>
      <c r="T476">
        <v>-112.12466000000001</v>
      </c>
    </row>
    <row r="477" spans="2:20" x14ac:dyDescent="0.2">
      <c r="B477" t="s">
        <v>345</v>
      </c>
      <c r="C477" t="s">
        <v>144</v>
      </c>
      <c r="D477" t="s">
        <v>319</v>
      </c>
      <c r="E477" t="s">
        <v>21</v>
      </c>
      <c r="F477" t="s">
        <v>22</v>
      </c>
      <c r="G477" s="1">
        <v>5625</v>
      </c>
      <c r="H477" s="2">
        <v>45</v>
      </c>
      <c r="I477" s="5" t="str">
        <f>CONCATENATE(H477,"x",INT(G477/H477))</f>
        <v>45x125</v>
      </c>
      <c r="J477">
        <v>94</v>
      </c>
      <c r="K477">
        <v>20</v>
      </c>
      <c r="L477" s="3">
        <v>1816</v>
      </c>
      <c r="M477" s="3">
        <v>2765</v>
      </c>
      <c r="N477" s="3">
        <v>2335</v>
      </c>
      <c r="O477" s="3">
        <v>438490</v>
      </c>
      <c r="P477" s="3">
        <v>518990</v>
      </c>
      <c r="Q477" s="3">
        <v>480406.6666</v>
      </c>
      <c r="S477">
        <v>33.211781000000002</v>
      </c>
      <c r="T477">
        <v>-111.5861</v>
      </c>
    </row>
    <row r="478" spans="2:20" x14ac:dyDescent="0.2">
      <c r="B478" t="s">
        <v>624</v>
      </c>
      <c r="C478" t="s">
        <v>151</v>
      </c>
      <c r="D478" t="s">
        <v>458</v>
      </c>
      <c r="E478" t="s">
        <v>21</v>
      </c>
      <c r="F478" t="s">
        <v>22</v>
      </c>
      <c r="G478" s="1">
        <v>6960</v>
      </c>
      <c r="H478" s="2">
        <v>58</v>
      </c>
      <c r="I478" s="5" t="str">
        <f>CONCATENATE(H478,"x",INT(G478/H478))</f>
        <v>58x120</v>
      </c>
      <c r="J478">
        <v>18</v>
      </c>
      <c r="K478">
        <v>20</v>
      </c>
      <c r="L478" s="3">
        <v>2294</v>
      </c>
      <c r="M478" s="3">
        <v>3826</v>
      </c>
      <c r="N478" s="3">
        <v>3012</v>
      </c>
      <c r="O478" s="3">
        <v>630990</v>
      </c>
      <c r="P478" s="3">
        <v>764990</v>
      </c>
      <c r="Q478" s="3">
        <v>693590</v>
      </c>
      <c r="S478">
        <v>33.734982000000002</v>
      </c>
      <c r="T478">
        <v>-112.21366</v>
      </c>
    </row>
    <row r="479" spans="2:20" x14ac:dyDescent="0.2">
      <c r="B479" t="s">
        <v>332</v>
      </c>
      <c r="C479" t="s">
        <v>136</v>
      </c>
      <c r="D479" t="s">
        <v>193</v>
      </c>
      <c r="E479" t="s">
        <v>21</v>
      </c>
      <c r="F479" t="s">
        <v>22</v>
      </c>
      <c r="G479" s="1">
        <v>5400</v>
      </c>
      <c r="H479" s="2">
        <v>45</v>
      </c>
      <c r="I479" s="5" t="str">
        <f>CONCATENATE(H479,"x",INT(G479/H479))</f>
        <v>45x120</v>
      </c>
      <c r="J479">
        <v>50</v>
      </c>
      <c r="K479">
        <v>20</v>
      </c>
      <c r="L479" s="3">
        <v>1810</v>
      </c>
      <c r="M479" s="3">
        <v>2630</v>
      </c>
      <c r="N479" s="3">
        <v>2086</v>
      </c>
      <c r="O479" s="3">
        <v>400990</v>
      </c>
      <c r="P479" s="3">
        <v>465990</v>
      </c>
      <c r="Q479" s="3">
        <v>423190</v>
      </c>
      <c r="S479">
        <v>33.498745</v>
      </c>
      <c r="T479">
        <v>-112.49464</v>
      </c>
    </row>
    <row r="480" spans="2:20" x14ac:dyDescent="0.2">
      <c r="B480" t="s">
        <v>397</v>
      </c>
      <c r="C480" t="s">
        <v>136</v>
      </c>
      <c r="D480" t="s">
        <v>398</v>
      </c>
      <c r="E480" t="s">
        <v>21</v>
      </c>
      <c r="F480" t="s">
        <v>22</v>
      </c>
      <c r="G480" s="1">
        <v>5500</v>
      </c>
      <c r="H480" s="2">
        <v>50</v>
      </c>
      <c r="I480" s="5" t="str">
        <f>CONCATENATE(H480,"x",INT(G480/H480))</f>
        <v>50x110</v>
      </c>
      <c r="J480">
        <v>77</v>
      </c>
      <c r="K480">
        <v>20</v>
      </c>
      <c r="L480" s="3">
        <v>1590</v>
      </c>
      <c r="M480" s="3">
        <v>2090</v>
      </c>
      <c r="N480" s="3">
        <v>1878</v>
      </c>
      <c r="O480" s="3">
        <v>357990</v>
      </c>
      <c r="P480" s="3">
        <v>388990</v>
      </c>
      <c r="Q480" s="3">
        <v>373390</v>
      </c>
      <c r="S480">
        <v>32.902636999999999</v>
      </c>
      <c r="T480">
        <v>-111.73517</v>
      </c>
    </row>
    <row r="481" spans="2:20" x14ac:dyDescent="0.2">
      <c r="B481" t="s">
        <v>805</v>
      </c>
      <c r="C481" t="s">
        <v>38</v>
      </c>
      <c r="D481" t="s">
        <v>357</v>
      </c>
      <c r="E481" t="s">
        <v>21</v>
      </c>
      <c r="F481" t="s">
        <v>22</v>
      </c>
      <c r="G481" s="1">
        <v>8520</v>
      </c>
      <c r="H481" s="2">
        <v>71</v>
      </c>
      <c r="I481" s="5" t="str">
        <f>CONCATENATE(H481,"x",INT(G481/H481))</f>
        <v>71x120</v>
      </c>
      <c r="J481">
        <v>114</v>
      </c>
      <c r="K481">
        <v>20</v>
      </c>
      <c r="L481" s="3">
        <v>2184</v>
      </c>
      <c r="M481" s="3">
        <v>2981</v>
      </c>
      <c r="N481" s="3">
        <v>2602</v>
      </c>
      <c r="O481" s="3">
        <v>555990</v>
      </c>
      <c r="P481" s="3">
        <v>621990</v>
      </c>
      <c r="Q481" s="3">
        <v>595190</v>
      </c>
      <c r="S481">
        <v>33.717365000000001</v>
      </c>
      <c r="T481">
        <v>-112.36377</v>
      </c>
    </row>
    <row r="482" spans="2:20" x14ac:dyDescent="0.2">
      <c r="B482" t="s">
        <v>778</v>
      </c>
      <c r="C482" t="s">
        <v>469</v>
      </c>
      <c r="D482" t="s">
        <v>470</v>
      </c>
      <c r="E482" t="s">
        <v>21</v>
      </c>
      <c r="F482" t="s">
        <v>22</v>
      </c>
      <c r="G482" s="1">
        <v>8400</v>
      </c>
      <c r="H482" s="2">
        <v>70</v>
      </c>
      <c r="I482" s="5" t="str">
        <f>CONCATENATE(H482,"x",INT(G482/H482))</f>
        <v>70x120</v>
      </c>
      <c r="J482">
        <v>129</v>
      </c>
      <c r="K482">
        <v>19</v>
      </c>
      <c r="L482" s="3">
        <v>2134</v>
      </c>
      <c r="M482" s="3">
        <v>3147</v>
      </c>
      <c r="N482" s="3">
        <v>2669</v>
      </c>
      <c r="O482" s="3">
        <v>537950</v>
      </c>
      <c r="P482" s="3">
        <v>657950</v>
      </c>
      <c r="Q482" s="3">
        <v>600450</v>
      </c>
      <c r="S482">
        <v>33.554603999999998</v>
      </c>
      <c r="T482">
        <v>-112.4288</v>
      </c>
    </row>
    <row r="483" spans="2:20" x14ac:dyDescent="0.2">
      <c r="B483" t="s">
        <v>644</v>
      </c>
      <c r="C483" t="s">
        <v>114</v>
      </c>
      <c r="D483" t="s">
        <v>209</v>
      </c>
      <c r="E483" t="s">
        <v>21</v>
      </c>
      <c r="F483" t="s">
        <v>22</v>
      </c>
      <c r="G483" s="1">
        <v>6600</v>
      </c>
      <c r="H483" s="2">
        <v>60</v>
      </c>
      <c r="I483" s="5" t="str">
        <f>CONCATENATE(H483,"x",INT(G483/H483))</f>
        <v>60x110</v>
      </c>
      <c r="J483">
        <v>30</v>
      </c>
      <c r="K483">
        <v>19</v>
      </c>
      <c r="L483" s="3">
        <v>1562</v>
      </c>
      <c r="M483" s="3">
        <v>2552</v>
      </c>
      <c r="N483" s="3">
        <v>2111</v>
      </c>
      <c r="O483" s="3">
        <v>366990</v>
      </c>
      <c r="P483" s="3">
        <v>427990</v>
      </c>
      <c r="Q483" s="3">
        <v>398823.3333</v>
      </c>
      <c r="S483">
        <v>33.068480999999998</v>
      </c>
      <c r="T483">
        <v>-112.01497999999999</v>
      </c>
    </row>
    <row r="484" spans="2:20" x14ac:dyDescent="0.2">
      <c r="B484" t="s">
        <v>824</v>
      </c>
      <c r="C484" t="s">
        <v>121</v>
      </c>
      <c r="D484" t="s">
        <v>337</v>
      </c>
      <c r="E484" t="s">
        <v>21</v>
      </c>
      <c r="F484" t="s">
        <v>22</v>
      </c>
      <c r="G484" s="1">
        <v>9200</v>
      </c>
      <c r="H484" s="2">
        <v>80</v>
      </c>
      <c r="I484" s="5" t="str">
        <f>CONCATENATE(H484,"x",INT(G484/H484))</f>
        <v>80x115</v>
      </c>
      <c r="J484">
        <v>10</v>
      </c>
      <c r="K484">
        <v>19</v>
      </c>
      <c r="L484" s="3">
        <v>1651</v>
      </c>
      <c r="M484" s="3">
        <v>2397</v>
      </c>
      <c r="N484" s="3">
        <v>2089</v>
      </c>
      <c r="O484" s="3">
        <v>457900</v>
      </c>
      <c r="P484" s="3">
        <v>564900</v>
      </c>
      <c r="Q484" s="3">
        <v>522500</v>
      </c>
      <c r="S484">
        <v>32.071190000000001</v>
      </c>
      <c r="T484">
        <v>-110.71211</v>
      </c>
    </row>
    <row r="485" spans="2:20" x14ac:dyDescent="0.2">
      <c r="B485" t="s">
        <v>214</v>
      </c>
      <c r="C485" t="s">
        <v>144</v>
      </c>
      <c r="D485" t="s">
        <v>149</v>
      </c>
      <c r="E485" t="s">
        <v>21</v>
      </c>
      <c r="F485" t="s">
        <v>22</v>
      </c>
      <c r="G485" s="1">
        <v>4950</v>
      </c>
      <c r="H485" s="2">
        <v>45</v>
      </c>
      <c r="I485" s="5" t="str">
        <f>CONCATENATE(H485,"x",INT(G485/H485))</f>
        <v>45x110</v>
      </c>
      <c r="J485">
        <v>112</v>
      </c>
      <c r="K485">
        <v>18</v>
      </c>
      <c r="L485" s="3">
        <v>1391</v>
      </c>
      <c r="M485" s="3">
        <v>2685</v>
      </c>
      <c r="N485" s="3">
        <v>2029</v>
      </c>
      <c r="O485" s="3">
        <v>317990</v>
      </c>
      <c r="P485" s="3">
        <v>406990</v>
      </c>
      <c r="Q485" s="3">
        <v>354990</v>
      </c>
      <c r="S485">
        <v>32.110816999999997</v>
      </c>
      <c r="T485">
        <v>-111.11617</v>
      </c>
    </row>
    <row r="486" spans="2:20" x14ac:dyDescent="0.2">
      <c r="B486" t="s">
        <v>93</v>
      </c>
      <c r="C486" t="s">
        <v>94</v>
      </c>
      <c r="E486" t="s">
        <v>21</v>
      </c>
      <c r="F486" t="s">
        <v>22</v>
      </c>
      <c r="G486" s="1">
        <v>35000</v>
      </c>
      <c r="H486" s="2">
        <v>175</v>
      </c>
      <c r="I486" s="5" t="str">
        <f>CONCATENATE(H486,"x",INT(G486/H486))</f>
        <v>175x200</v>
      </c>
      <c r="J486">
        <v>13</v>
      </c>
      <c r="K486">
        <v>18</v>
      </c>
      <c r="L486" s="3">
        <v>2778</v>
      </c>
      <c r="M486" s="3">
        <v>3290</v>
      </c>
      <c r="N486" s="3">
        <v>2998</v>
      </c>
      <c r="O486" s="3">
        <v>749000</v>
      </c>
      <c r="P486" s="3">
        <v>810000</v>
      </c>
      <c r="Q486" s="3">
        <v>780750</v>
      </c>
      <c r="R486" t="s">
        <v>23</v>
      </c>
      <c r="S486">
        <v>32.432499</v>
      </c>
      <c r="T486">
        <v>-111.05</v>
      </c>
    </row>
    <row r="487" spans="2:20" x14ac:dyDescent="0.2">
      <c r="B487" t="s">
        <v>526</v>
      </c>
      <c r="C487" t="s">
        <v>136</v>
      </c>
      <c r="D487" t="s">
        <v>337</v>
      </c>
      <c r="E487" t="s">
        <v>21</v>
      </c>
      <c r="F487" t="s">
        <v>22</v>
      </c>
      <c r="G487" s="1">
        <v>5980</v>
      </c>
      <c r="H487" s="2">
        <v>52</v>
      </c>
      <c r="I487" s="5" t="str">
        <f>CONCATENATE(H487,"x",INT(G487/H487))</f>
        <v>52x115</v>
      </c>
      <c r="J487">
        <v>71</v>
      </c>
      <c r="K487">
        <v>18</v>
      </c>
      <c r="L487" s="3">
        <v>1860</v>
      </c>
      <c r="M487" s="3">
        <v>3030</v>
      </c>
      <c r="N487" s="3">
        <v>2335</v>
      </c>
      <c r="O487" s="3">
        <v>370990</v>
      </c>
      <c r="P487" s="3">
        <v>489990</v>
      </c>
      <c r="Q487" s="3">
        <v>424522.8333</v>
      </c>
      <c r="S487">
        <v>32.067318</v>
      </c>
      <c r="T487">
        <v>-110.71169</v>
      </c>
    </row>
    <row r="488" spans="2:20" x14ac:dyDescent="0.2">
      <c r="B488" t="s">
        <v>684</v>
      </c>
      <c r="C488" t="s">
        <v>38</v>
      </c>
      <c r="E488" t="s">
        <v>21</v>
      </c>
      <c r="F488" t="s">
        <v>22</v>
      </c>
      <c r="G488" s="1">
        <v>7500</v>
      </c>
      <c r="H488" s="2">
        <v>60</v>
      </c>
      <c r="I488" s="5" t="str">
        <f>CONCATENATE(H488,"x",INT(G488/H488))</f>
        <v>60x125</v>
      </c>
      <c r="J488">
        <v>89</v>
      </c>
      <c r="K488">
        <v>18</v>
      </c>
      <c r="L488" s="3">
        <v>2290</v>
      </c>
      <c r="M488" s="3">
        <v>3962</v>
      </c>
      <c r="N488" s="3">
        <v>3061</v>
      </c>
      <c r="O488" s="3">
        <v>575990</v>
      </c>
      <c r="P488" s="3">
        <v>721990</v>
      </c>
      <c r="Q488" s="3">
        <v>647823.33330000006</v>
      </c>
      <c r="S488">
        <v>33.308276999999997</v>
      </c>
      <c r="T488">
        <v>-111.59609</v>
      </c>
    </row>
    <row r="489" spans="2:20" x14ac:dyDescent="0.2">
      <c r="B489" t="s">
        <v>30</v>
      </c>
      <c r="C489" t="s">
        <v>31</v>
      </c>
      <c r="E489" t="s">
        <v>21</v>
      </c>
      <c r="F489" t="s">
        <v>22</v>
      </c>
      <c r="G489" s="1">
        <v>14500</v>
      </c>
      <c r="H489" s="2">
        <v>100</v>
      </c>
      <c r="I489" s="5" t="str">
        <f>CONCATENATE(H489,"x",INT(G489/H489))</f>
        <v>100x145</v>
      </c>
      <c r="J489">
        <v>6</v>
      </c>
      <c r="K489">
        <v>18</v>
      </c>
      <c r="L489" s="3">
        <v>2946</v>
      </c>
      <c r="M489" s="3">
        <v>4315</v>
      </c>
      <c r="N489" s="3">
        <v>3583</v>
      </c>
      <c r="O489" s="3">
        <v>1454995</v>
      </c>
      <c r="P489" s="3">
        <v>1717995</v>
      </c>
      <c r="Q489" s="3">
        <v>1575995</v>
      </c>
      <c r="R489" t="s">
        <v>23</v>
      </c>
      <c r="S489">
        <v>33.743031000000002</v>
      </c>
      <c r="T489">
        <v>-111.95309</v>
      </c>
    </row>
    <row r="490" spans="2:20" x14ac:dyDescent="0.2">
      <c r="B490" t="s">
        <v>560</v>
      </c>
      <c r="C490" t="s">
        <v>240</v>
      </c>
      <c r="E490" t="s">
        <v>21</v>
      </c>
      <c r="F490" t="s">
        <v>22</v>
      </c>
      <c r="G490" s="1">
        <v>6325</v>
      </c>
      <c r="H490" s="2">
        <v>55</v>
      </c>
      <c r="I490" s="5" t="str">
        <f>CONCATENATE(H490,"x",INT(G490/H490))</f>
        <v>55x115</v>
      </c>
      <c r="J490">
        <v>109</v>
      </c>
      <c r="K490">
        <v>17</v>
      </c>
      <c r="L490" s="3">
        <v>1808</v>
      </c>
      <c r="M490" s="3">
        <v>2389</v>
      </c>
      <c r="N490" s="3">
        <v>2119</v>
      </c>
      <c r="O490" s="3">
        <v>370990</v>
      </c>
      <c r="P490" s="3">
        <v>400900</v>
      </c>
      <c r="Q490" s="3">
        <v>386217.5</v>
      </c>
      <c r="S490">
        <v>33.045296</v>
      </c>
      <c r="T490">
        <v>-112.03771999999999</v>
      </c>
    </row>
    <row r="491" spans="2:20" x14ac:dyDescent="0.2">
      <c r="B491" t="s">
        <v>188</v>
      </c>
      <c r="C491" t="s">
        <v>144</v>
      </c>
      <c r="D491" t="s">
        <v>189</v>
      </c>
      <c r="E491" t="s">
        <v>21</v>
      </c>
      <c r="F491" t="s">
        <v>22</v>
      </c>
      <c r="G491" s="1">
        <v>3600</v>
      </c>
      <c r="H491" s="2">
        <v>40</v>
      </c>
      <c r="I491" s="5" t="str">
        <f>CONCATENATE(H491,"x",INT(G491/H491))</f>
        <v>40x90</v>
      </c>
      <c r="J491">
        <v>151</v>
      </c>
      <c r="K491">
        <v>17</v>
      </c>
      <c r="L491" s="3">
        <v>1238</v>
      </c>
      <c r="M491" s="3">
        <v>1459</v>
      </c>
      <c r="N491" s="3">
        <v>1374</v>
      </c>
      <c r="O491" s="3">
        <v>325990</v>
      </c>
      <c r="P491" s="3">
        <v>375990</v>
      </c>
      <c r="Q491" s="3">
        <v>355990</v>
      </c>
      <c r="R491" t="s">
        <v>190</v>
      </c>
      <c r="S491">
        <v>33.709015000000001</v>
      </c>
      <c r="T491">
        <v>-112.43217</v>
      </c>
    </row>
    <row r="492" spans="2:20" x14ac:dyDescent="0.2">
      <c r="B492" t="s">
        <v>645</v>
      </c>
      <c r="C492" t="s">
        <v>144</v>
      </c>
      <c r="E492" t="s">
        <v>21</v>
      </c>
      <c r="F492" t="s">
        <v>22</v>
      </c>
      <c r="G492" s="1">
        <v>6600</v>
      </c>
      <c r="H492" s="2">
        <v>60</v>
      </c>
      <c r="I492" s="5" t="str">
        <f>CONCATENATE(H492,"x",INT(G492/H492))</f>
        <v>60x110</v>
      </c>
      <c r="J492">
        <v>173</v>
      </c>
      <c r="K492">
        <v>17</v>
      </c>
      <c r="L492" s="3">
        <v>1924</v>
      </c>
      <c r="M492" s="3">
        <v>2958</v>
      </c>
      <c r="N492" s="3">
        <v>2452</v>
      </c>
      <c r="O492" s="3">
        <v>414990</v>
      </c>
      <c r="P492" s="3">
        <v>671990</v>
      </c>
      <c r="Q492" s="3">
        <v>523704.28570000001</v>
      </c>
      <c r="R492" t="s">
        <v>23</v>
      </c>
      <c r="S492">
        <v>32.403309</v>
      </c>
      <c r="T492">
        <v>-111.07761000000001</v>
      </c>
    </row>
    <row r="493" spans="2:20" x14ac:dyDescent="0.2">
      <c r="B493" t="s">
        <v>852</v>
      </c>
      <c r="C493" t="s">
        <v>384</v>
      </c>
      <c r="D493" t="s">
        <v>853</v>
      </c>
      <c r="E493" t="s">
        <v>21</v>
      </c>
      <c r="F493" t="s">
        <v>22</v>
      </c>
      <c r="G493" s="1">
        <v>9078</v>
      </c>
      <c r="H493" s="2">
        <v>89</v>
      </c>
      <c r="I493" s="5" t="str">
        <f>CONCATENATE(H493,"x",INT(G493/H493))</f>
        <v>89x102</v>
      </c>
      <c r="J493">
        <v>102</v>
      </c>
      <c r="K493">
        <v>17</v>
      </c>
      <c r="L493" s="3">
        <v>1295</v>
      </c>
      <c r="M493" s="3">
        <v>2264</v>
      </c>
      <c r="N493" s="3">
        <v>1779</v>
      </c>
      <c r="O493" s="3">
        <v>339900</v>
      </c>
      <c r="P493" s="3">
        <v>419400</v>
      </c>
      <c r="Q493" s="3">
        <v>378400</v>
      </c>
      <c r="R493" t="s">
        <v>190</v>
      </c>
      <c r="S493">
        <v>32.112617</v>
      </c>
      <c r="T493">
        <v>-110.70009</v>
      </c>
    </row>
    <row r="494" spans="2:20" x14ac:dyDescent="0.2">
      <c r="B494" t="s">
        <v>515</v>
      </c>
      <c r="C494" t="s">
        <v>516</v>
      </c>
      <c r="E494" t="s">
        <v>21</v>
      </c>
      <c r="F494" t="s">
        <v>22</v>
      </c>
      <c r="G494" s="1">
        <v>4000</v>
      </c>
      <c r="H494" s="2">
        <v>50</v>
      </c>
      <c r="I494" s="5" t="str">
        <f>CONCATENATE(H494,"x",INT(G494/H494))</f>
        <v>50x80</v>
      </c>
      <c r="J494">
        <v>27</v>
      </c>
      <c r="K494">
        <v>17</v>
      </c>
      <c r="L494" s="3">
        <v>1800</v>
      </c>
      <c r="M494" s="3">
        <v>2315</v>
      </c>
      <c r="N494" s="3">
        <v>2084</v>
      </c>
      <c r="O494" s="3">
        <v>775000</v>
      </c>
      <c r="P494" s="3">
        <v>972000</v>
      </c>
      <c r="Q494" s="3">
        <v>881800</v>
      </c>
      <c r="S494">
        <v>34.560237999999998</v>
      </c>
      <c r="T494">
        <v>-112.50960000000001</v>
      </c>
    </row>
    <row r="495" spans="2:20" x14ac:dyDescent="0.2">
      <c r="B495" t="s">
        <v>839</v>
      </c>
      <c r="C495" t="s">
        <v>65</v>
      </c>
      <c r="D495" t="s">
        <v>28</v>
      </c>
      <c r="E495" t="s">
        <v>21</v>
      </c>
      <c r="F495" t="s">
        <v>22</v>
      </c>
      <c r="G495" s="1">
        <v>12000</v>
      </c>
      <c r="H495" s="2">
        <v>80</v>
      </c>
      <c r="I495" s="5" t="str">
        <f>CONCATENATE(H495,"x",INT(G495/H495))</f>
        <v>80x150</v>
      </c>
      <c r="J495">
        <v>20</v>
      </c>
      <c r="K495">
        <v>17</v>
      </c>
      <c r="L495" s="3">
        <v>4034</v>
      </c>
      <c r="M495" s="3">
        <v>5042</v>
      </c>
      <c r="N495" s="3">
        <v>4612</v>
      </c>
      <c r="O495" s="3">
        <v>1939990</v>
      </c>
      <c r="P495" s="3">
        <v>2109990</v>
      </c>
      <c r="Q495" s="3">
        <v>2049990</v>
      </c>
      <c r="R495" t="s">
        <v>23</v>
      </c>
      <c r="S495">
        <v>33.70364</v>
      </c>
      <c r="T495">
        <v>-111.80206</v>
      </c>
    </row>
    <row r="496" spans="2:20" x14ac:dyDescent="0.2">
      <c r="B496" t="s">
        <v>671</v>
      </c>
      <c r="C496" t="s">
        <v>31</v>
      </c>
      <c r="D496" t="s">
        <v>52</v>
      </c>
      <c r="E496" t="s">
        <v>21</v>
      </c>
      <c r="F496" t="s">
        <v>22</v>
      </c>
      <c r="G496" s="1">
        <v>7200</v>
      </c>
      <c r="H496" s="2">
        <v>60</v>
      </c>
      <c r="I496" s="5" t="str">
        <f>CONCATENATE(H496,"x",INT(G496/H496))</f>
        <v>60x120</v>
      </c>
      <c r="J496">
        <v>39</v>
      </c>
      <c r="K496">
        <v>17</v>
      </c>
      <c r="L496" s="3">
        <v>2090</v>
      </c>
      <c r="M496" s="3">
        <v>2978</v>
      </c>
      <c r="N496" s="3">
        <v>2552</v>
      </c>
      <c r="O496" s="3">
        <v>1235995</v>
      </c>
      <c r="P496" s="3">
        <v>1341995</v>
      </c>
      <c r="Q496" s="3">
        <v>1305195</v>
      </c>
      <c r="R496" t="s">
        <v>23</v>
      </c>
      <c r="S496">
        <v>33.616546999999997</v>
      </c>
      <c r="T496">
        <v>-111.77701999999999</v>
      </c>
    </row>
    <row r="497" spans="2:20" x14ac:dyDescent="0.2">
      <c r="B497" t="s">
        <v>131</v>
      </c>
      <c r="C497" t="s">
        <v>36</v>
      </c>
      <c r="E497" t="s">
        <v>21</v>
      </c>
      <c r="F497" t="s">
        <v>22</v>
      </c>
      <c r="G497" s="1">
        <v>4200</v>
      </c>
      <c r="H497" s="2">
        <v>40</v>
      </c>
      <c r="I497" s="5" t="str">
        <f>CONCATENATE(H497,"x",INT(G497/H497))</f>
        <v>40x105</v>
      </c>
      <c r="J497">
        <v>89</v>
      </c>
      <c r="K497">
        <v>17</v>
      </c>
      <c r="L497" s="3">
        <v>1863</v>
      </c>
      <c r="M497" s="3">
        <v>2549</v>
      </c>
      <c r="N497" s="3">
        <v>2205</v>
      </c>
      <c r="O497" s="3">
        <v>519000</v>
      </c>
      <c r="P497" s="3">
        <v>581000</v>
      </c>
      <c r="Q497" s="3">
        <v>550000</v>
      </c>
      <c r="S497">
        <v>33.249332000000003</v>
      </c>
      <c r="T497">
        <v>-111.75901</v>
      </c>
    </row>
    <row r="498" spans="2:20" x14ac:dyDescent="0.2">
      <c r="B498" t="s">
        <v>215</v>
      </c>
      <c r="C498" t="s">
        <v>110</v>
      </c>
      <c r="E498" t="s">
        <v>21</v>
      </c>
      <c r="F498" t="s">
        <v>22</v>
      </c>
      <c r="G498" s="1">
        <v>4950</v>
      </c>
      <c r="H498" s="2">
        <v>45</v>
      </c>
      <c r="I498" s="5" t="str">
        <f>CONCATENATE(H498,"x",INT(G498/H498))</f>
        <v>45x110</v>
      </c>
      <c r="J498">
        <v>156</v>
      </c>
      <c r="K498">
        <v>17</v>
      </c>
      <c r="L498" s="3">
        <v>1485</v>
      </c>
      <c r="M498" s="3">
        <v>3053</v>
      </c>
      <c r="N498" s="3">
        <v>2104</v>
      </c>
      <c r="O498" s="3">
        <v>393990</v>
      </c>
      <c r="P498" s="3">
        <v>533990</v>
      </c>
      <c r="Q498" s="3">
        <v>447990</v>
      </c>
      <c r="S498">
        <v>33.413978999999998</v>
      </c>
      <c r="T498">
        <v>-112.18391</v>
      </c>
    </row>
    <row r="499" spans="2:20" x14ac:dyDescent="0.2">
      <c r="B499" t="s">
        <v>106</v>
      </c>
      <c r="C499" t="s">
        <v>98</v>
      </c>
      <c r="E499" t="s">
        <v>21</v>
      </c>
      <c r="F499" t="s">
        <v>22</v>
      </c>
      <c r="G499" s="1">
        <v>3450</v>
      </c>
      <c r="H499">
        <v>30</v>
      </c>
      <c r="I499" s="5" t="str">
        <f>CONCATENATE(H499,"x",INT(G499/H499))</f>
        <v>30x115</v>
      </c>
      <c r="J499">
        <v>11</v>
      </c>
      <c r="K499">
        <v>16</v>
      </c>
      <c r="L499" s="3">
        <v>1265</v>
      </c>
      <c r="M499" s="3">
        <v>2416</v>
      </c>
      <c r="N499" s="3">
        <v>1863</v>
      </c>
      <c r="O499" s="3">
        <v>349900</v>
      </c>
      <c r="P499" s="3">
        <v>417900</v>
      </c>
      <c r="Q499" s="3">
        <v>384150</v>
      </c>
      <c r="S499">
        <v>32.36694</v>
      </c>
      <c r="T499">
        <v>-111.12242000000001</v>
      </c>
    </row>
    <row r="500" spans="2:20" x14ac:dyDescent="0.2">
      <c r="B500" t="s">
        <v>83</v>
      </c>
      <c r="C500" t="s">
        <v>57</v>
      </c>
      <c r="E500" t="s">
        <v>21</v>
      </c>
      <c r="F500" t="s">
        <v>22</v>
      </c>
      <c r="G500" s="1">
        <v>90000</v>
      </c>
      <c r="H500" s="2">
        <v>150</v>
      </c>
      <c r="I500" s="5" t="str">
        <f>CONCATENATE(H500,"x",INT(G500/H500))</f>
        <v>150x600</v>
      </c>
      <c r="J500">
        <v>15</v>
      </c>
      <c r="K500">
        <v>16</v>
      </c>
      <c r="L500" s="3">
        <v>4190</v>
      </c>
      <c r="M500" s="3">
        <v>5932</v>
      </c>
      <c r="N500" s="3">
        <v>4872</v>
      </c>
      <c r="O500" s="3">
        <v>2749000</v>
      </c>
      <c r="P500" s="3">
        <v>3229900</v>
      </c>
      <c r="Q500" s="3">
        <v>2972933.3333000001</v>
      </c>
      <c r="S500">
        <v>33.703311999999997</v>
      </c>
      <c r="T500">
        <v>-111.80753</v>
      </c>
    </row>
    <row r="501" spans="2:20" x14ac:dyDescent="0.2">
      <c r="B501" t="s">
        <v>387</v>
      </c>
      <c r="C501" t="s">
        <v>173</v>
      </c>
      <c r="E501" t="s">
        <v>21</v>
      </c>
      <c r="F501" t="s">
        <v>22</v>
      </c>
      <c r="G501" s="1">
        <v>5000</v>
      </c>
      <c r="H501" s="2">
        <v>50</v>
      </c>
      <c r="I501" s="5" t="str">
        <f>CONCATENATE(H501,"x",INT(G501/H501))</f>
        <v>50x100</v>
      </c>
      <c r="J501">
        <v>22</v>
      </c>
      <c r="K501">
        <v>16</v>
      </c>
      <c r="L501" s="3">
        <v>1803</v>
      </c>
      <c r="M501" s="3">
        <v>3433</v>
      </c>
      <c r="N501" s="3">
        <v>2740</v>
      </c>
      <c r="O501" s="3">
        <v>895000</v>
      </c>
      <c r="P501" s="3">
        <v>1445999</v>
      </c>
      <c r="Q501" s="3">
        <v>1129585.6362999999</v>
      </c>
      <c r="S501">
        <v>35.166668000000001</v>
      </c>
      <c r="T501">
        <v>-111.64113999999999</v>
      </c>
    </row>
    <row r="502" spans="2:20" x14ac:dyDescent="0.2">
      <c r="B502" t="s">
        <v>924</v>
      </c>
      <c r="C502" t="s">
        <v>925</v>
      </c>
      <c r="E502" t="s">
        <v>872</v>
      </c>
      <c r="F502" t="s">
        <v>907</v>
      </c>
      <c r="G502" s="1">
        <v>0</v>
      </c>
      <c r="H502" s="1">
        <v>0</v>
      </c>
      <c r="I502" s="5" t="s">
        <v>908</v>
      </c>
      <c r="J502">
        <v>8</v>
      </c>
      <c r="K502">
        <v>16</v>
      </c>
      <c r="L502" s="3">
        <v>1881</v>
      </c>
      <c r="M502" s="3">
        <v>1967</v>
      </c>
      <c r="N502" s="3">
        <v>1924</v>
      </c>
      <c r="O502" s="3">
        <v>747250</v>
      </c>
      <c r="P502" s="3">
        <v>754000</v>
      </c>
      <c r="Q502" s="3">
        <v>750625</v>
      </c>
      <c r="R502" t="s">
        <v>907</v>
      </c>
      <c r="S502">
        <v>33.477642000000003</v>
      </c>
      <c r="T502">
        <v>-112.06565000000001</v>
      </c>
    </row>
    <row r="503" spans="2:20" x14ac:dyDescent="0.2">
      <c r="B503" t="s">
        <v>216</v>
      </c>
      <c r="C503" t="s">
        <v>114</v>
      </c>
      <c r="E503" t="s">
        <v>21</v>
      </c>
      <c r="F503" t="s">
        <v>22</v>
      </c>
      <c r="G503" s="1">
        <v>4950</v>
      </c>
      <c r="H503" s="2">
        <v>45</v>
      </c>
      <c r="I503" s="5" t="str">
        <f>CONCATENATE(H503,"x",INT(G503/H503))</f>
        <v>45x110</v>
      </c>
      <c r="J503">
        <v>101</v>
      </c>
      <c r="K503">
        <v>16</v>
      </c>
      <c r="L503" s="3">
        <v>1282</v>
      </c>
      <c r="M503" s="3">
        <v>2049</v>
      </c>
      <c r="N503" s="3">
        <v>1646</v>
      </c>
      <c r="O503" s="3">
        <v>380990</v>
      </c>
      <c r="P503" s="3">
        <v>433990</v>
      </c>
      <c r="Q503" s="3">
        <v>404790</v>
      </c>
      <c r="S503">
        <v>33.712958999999998</v>
      </c>
      <c r="T503">
        <v>-112.37209</v>
      </c>
    </row>
    <row r="504" spans="2:20" x14ac:dyDescent="0.2">
      <c r="B504" t="s">
        <v>923</v>
      </c>
      <c r="C504" t="s">
        <v>384</v>
      </c>
      <c r="E504" t="s">
        <v>872</v>
      </c>
      <c r="F504" t="s">
        <v>907</v>
      </c>
      <c r="G504" s="1">
        <v>0</v>
      </c>
      <c r="H504" s="1">
        <v>0</v>
      </c>
      <c r="I504" s="5" t="s">
        <v>908</v>
      </c>
      <c r="J504">
        <v>42</v>
      </c>
      <c r="K504">
        <v>16</v>
      </c>
      <c r="L504" s="3">
        <v>1642</v>
      </c>
      <c r="M504" s="3">
        <v>2300</v>
      </c>
      <c r="N504" s="3">
        <v>1905</v>
      </c>
      <c r="O504" s="3">
        <v>709900</v>
      </c>
      <c r="P504" s="3">
        <v>799900</v>
      </c>
      <c r="Q504" s="3">
        <v>752400</v>
      </c>
      <c r="R504" t="s">
        <v>907</v>
      </c>
      <c r="S504">
        <v>34.852535000000003</v>
      </c>
      <c r="T504">
        <v>-111.82487</v>
      </c>
    </row>
    <row r="505" spans="2:20" x14ac:dyDescent="0.2">
      <c r="B505" t="s">
        <v>755</v>
      </c>
      <c r="C505" t="s">
        <v>136</v>
      </c>
      <c r="E505" t="s">
        <v>21</v>
      </c>
      <c r="F505" t="s">
        <v>22</v>
      </c>
      <c r="G505" s="1">
        <v>7820</v>
      </c>
      <c r="H505" s="2">
        <v>68</v>
      </c>
      <c r="I505" s="5" t="str">
        <f>CONCATENATE(H505,"x",INT(G505/H505))</f>
        <v>68x115</v>
      </c>
      <c r="J505">
        <v>64</v>
      </c>
      <c r="K505">
        <v>16</v>
      </c>
      <c r="L505" s="3">
        <v>2220</v>
      </c>
      <c r="M505" s="3">
        <v>2830</v>
      </c>
      <c r="N505" s="3">
        <v>2415</v>
      </c>
      <c r="O505" s="3">
        <v>457990</v>
      </c>
      <c r="P505" s="3">
        <v>504990</v>
      </c>
      <c r="Q505" s="3">
        <v>485240</v>
      </c>
      <c r="S505">
        <v>33.440533000000002</v>
      </c>
      <c r="T505">
        <v>-112.29177</v>
      </c>
    </row>
    <row r="506" spans="2:20" x14ac:dyDescent="0.2">
      <c r="B506" t="s">
        <v>505</v>
      </c>
      <c r="C506" t="s">
        <v>110</v>
      </c>
      <c r="D506" t="s">
        <v>127</v>
      </c>
      <c r="E506" t="s">
        <v>21</v>
      </c>
      <c r="F506" t="s">
        <v>22</v>
      </c>
      <c r="G506" s="1">
        <v>6250</v>
      </c>
      <c r="H506" s="2">
        <v>50</v>
      </c>
      <c r="I506" s="5" t="str">
        <f>CONCATENATE(H506,"x",INT(G506/H506))</f>
        <v>50x125</v>
      </c>
      <c r="J506">
        <v>89</v>
      </c>
      <c r="K506">
        <v>16</v>
      </c>
      <c r="L506" s="3">
        <v>1622</v>
      </c>
      <c r="M506" s="3">
        <v>3336</v>
      </c>
      <c r="N506" s="3">
        <v>2439</v>
      </c>
      <c r="O506" s="3">
        <v>513990</v>
      </c>
      <c r="P506" s="3">
        <v>705990</v>
      </c>
      <c r="Q506" s="3">
        <v>607323.33330000006</v>
      </c>
      <c r="S506">
        <v>33.331982000000004</v>
      </c>
      <c r="T506">
        <v>-111.62173</v>
      </c>
    </row>
    <row r="507" spans="2:20" x14ac:dyDescent="0.2">
      <c r="B507" t="s">
        <v>848</v>
      </c>
      <c r="C507" t="s">
        <v>57</v>
      </c>
      <c r="E507" t="s">
        <v>21</v>
      </c>
      <c r="F507" t="s">
        <v>22</v>
      </c>
      <c r="G507" s="1">
        <v>11050</v>
      </c>
      <c r="H507" s="2">
        <v>85</v>
      </c>
      <c r="I507" s="5" t="str">
        <f>CONCATENATE(H507,"x",INT(G507/H507))</f>
        <v>85x130</v>
      </c>
      <c r="J507">
        <v>14</v>
      </c>
      <c r="K507">
        <v>15</v>
      </c>
      <c r="L507" s="3">
        <v>3094</v>
      </c>
      <c r="M507" s="3">
        <v>3693</v>
      </c>
      <c r="N507" s="3">
        <v>3504</v>
      </c>
      <c r="O507" s="3">
        <v>1255900</v>
      </c>
      <c r="P507" s="3">
        <v>1489900</v>
      </c>
      <c r="Q507" s="3">
        <v>1391300</v>
      </c>
      <c r="R507" t="s">
        <v>23</v>
      </c>
      <c r="S507">
        <v>33.246890999999998</v>
      </c>
      <c r="T507">
        <v>-111.70426</v>
      </c>
    </row>
    <row r="508" spans="2:20" x14ac:dyDescent="0.2">
      <c r="B508" t="s">
        <v>887</v>
      </c>
      <c r="C508" t="s">
        <v>888</v>
      </c>
      <c r="E508" t="s">
        <v>872</v>
      </c>
      <c r="F508" t="s">
        <v>873</v>
      </c>
      <c r="G508" s="1">
        <v>0</v>
      </c>
      <c r="H508" s="1">
        <v>0</v>
      </c>
      <c r="I508" s="5" t="s">
        <v>874</v>
      </c>
      <c r="J508">
        <v>17</v>
      </c>
      <c r="K508">
        <v>15</v>
      </c>
      <c r="L508" s="3">
        <v>2466</v>
      </c>
      <c r="M508" s="3">
        <v>6028</v>
      </c>
      <c r="N508" s="3">
        <v>3954</v>
      </c>
      <c r="O508" s="3">
        <v>1498095</v>
      </c>
      <c r="P508" s="3">
        <v>5463990</v>
      </c>
      <c r="Q508" s="3">
        <v>3192922</v>
      </c>
      <c r="R508" t="s">
        <v>889</v>
      </c>
      <c r="S508">
        <v>33.636425000000003</v>
      </c>
      <c r="T508">
        <v>-111.8832</v>
      </c>
    </row>
    <row r="509" spans="2:20" x14ac:dyDescent="0.2">
      <c r="B509" t="s">
        <v>177</v>
      </c>
      <c r="C509" t="s">
        <v>178</v>
      </c>
      <c r="D509" t="s">
        <v>179</v>
      </c>
      <c r="E509" t="s">
        <v>21</v>
      </c>
      <c r="F509" t="s">
        <v>22</v>
      </c>
      <c r="G509" s="1">
        <v>3400</v>
      </c>
      <c r="H509" s="2">
        <v>40</v>
      </c>
      <c r="I509" s="5" t="str">
        <f>CONCATENATE(H509,"x",INT(G509/H509))</f>
        <v>40x85</v>
      </c>
      <c r="J509">
        <v>270</v>
      </c>
      <c r="K509">
        <v>15</v>
      </c>
      <c r="L509" s="3">
        <v>1361</v>
      </c>
      <c r="M509" s="3">
        <v>2038</v>
      </c>
      <c r="N509" s="3">
        <v>1718</v>
      </c>
      <c r="O509" s="3">
        <v>339990</v>
      </c>
      <c r="P509" s="3">
        <v>384990</v>
      </c>
      <c r="Q509" s="3">
        <v>362990</v>
      </c>
      <c r="S509">
        <v>33.690638999999997</v>
      </c>
      <c r="T509">
        <v>-112.43253</v>
      </c>
    </row>
    <row r="510" spans="2:20" x14ac:dyDescent="0.2">
      <c r="B510" t="s">
        <v>868</v>
      </c>
      <c r="C510" t="s">
        <v>869</v>
      </c>
      <c r="E510" t="s">
        <v>21</v>
      </c>
      <c r="F510" t="s">
        <v>22</v>
      </c>
      <c r="G510" s="1">
        <v>13300</v>
      </c>
      <c r="H510" s="2">
        <v>95</v>
      </c>
      <c r="I510" s="5" t="str">
        <f>CONCATENATE(H510,"x",INT(G510/H510))</f>
        <v>95x140</v>
      </c>
      <c r="J510">
        <v>17</v>
      </c>
      <c r="K510">
        <v>15</v>
      </c>
      <c r="L510" s="3">
        <v>5480</v>
      </c>
      <c r="M510" s="3">
        <v>7875</v>
      </c>
      <c r="N510" s="3">
        <v>6519</v>
      </c>
      <c r="O510" s="3">
        <v>8995000</v>
      </c>
      <c r="P510" s="3">
        <v>16995000</v>
      </c>
      <c r="Q510" s="3">
        <v>11295000</v>
      </c>
      <c r="R510" t="s">
        <v>23</v>
      </c>
      <c r="S510">
        <v>33.532561999999999</v>
      </c>
      <c r="T510">
        <v>-111.93295000000001</v>
      </c>
    </row>
    <row r="511" spans="2:20" x14ac:dyDescent="0.2">
      <c r="B511" t="s">
        <v>484</v>
      </c>
      <c r="C511" t="s">
        <v>116</v>
      </c>
      <c r="E511" t="s">
        <v>21</v>
      </c>
      <c r="F511" t="s">
        <v>22</v>
      </c>
      <c r="G511" s="1">
        <v>6000</v>
      </c>
      <c r="H511" s="2">
        <v>50</v>
      </c>
      <c r="I511" s="5" t="str">
        <f>CONCATENATE(H511,"x",INT(G511/H511))</f>
        <v>50x120</v>
      </c>
      <c r="J511">
        <v>26</v>
      </c>
      <c r="K511">
        <v>15</v>
      </c>
      <c r="L511" s="3">
        <v>1576</v>
      </c>
      <c r="M511" s="3">
        <v>2314</v>
      </c>
      <c r="N511" s="3">
        <v>1900</v>
      </c>
      <c r="O511" s="3">
        <v>402990</v>
      </c>
      <c r="P511" s="3">
        <v>458990</v>
      </c>
      <c r="Q511" s="3">
        <v>428790</v>
      </c>
      <c r="S511">
        <v>32.377803999999998</v>
      </c>
      <c r="T511">
        <v>-111.01514</v>
      </c>
    </row>
    <row r="512" spans="2:20" x14ac:dyDescent="0.2">
      <c r="B512" t="s">
        <v>429</v>
      </c>
      <c r="C512" t="s">
        <v>55</v>
      </c>
      <c r="E512" t="s">
        <v>21</v>
      </c>
      <c r="F512" t="s">
        <v>22</v>
      </c>
      <c r="G512" s="1">
        <v>5750</v>
      </c>
      <c r="H512" s="2">
        <v>50</v>
      </c>
      <c r="I512" s="5" t="str">
        <f>CONCATENATE(H512,"x",INT(G512/H512))</f>
        <v>50x115</v>
      </c>
      <c r="J512">
        <v>48</v>
      </c>
      <c r="K512">
        <v>15</v>
      </c>
      <c r="L512" s="3">
        <v>1655</v>
      </c>
      <c r="M512" s="3">
        <v>1952</v>
      </c>
      <c r="N512" s="3">
        <v>1785</v>
      </c>
      <c r="O512" s="3">
        <v>399990</v>
      </c>
      <c r="P512" s="3">
        <v>429990</v>
      </c>
      <c r="Q512" s="3">
        <v>419990</v>
      </c>
      <c r="S512">
        <v>33.410758999999999</v>
      </c>
      <c r="T512">
        <v>-112.24071000000001</v>
      </c>
    </row>
    <row r="513" spans="2:20" x14ac:dyDescent="0.2">
      <c r="B513" t="s">
        <v>892</v>
      </c>
      <c r="C513" t="s">
        <v>57</v>
      </c>
      <c r="D513" t="s">
        <v>735</v>
      </c>
      <c r="E513" t="s">
        <v>872</v>
      </c>
      <c r="F513" t="s">
        <v>873</v>
      </c>
      <c r="G513" s="1">
        <v>0</v>
      </c>
      <c r="H513" s="1">
        <v>0</v>
      </c>
      <c r="I513" s="5" t="s">
        <v>874</v>
      </c>
      <c r="J513">
        <v>11</v>
      </c>
      <c r="K513">
        <v>14</v>
      </c>
      <c r="L513" s="3">
        <v>2489</v>
      </c>
      <c r="M513" s="3">
        <v>2489</v>
      </c>
      <c r="N513" s="3">
        <v>2489</v>
      </c>
      <c r="O513" s="3">
        <v>1854900</v>
      </c>
      <c r="P513" s="3">
        <v>2337900</v>
      </c>
      <c r="Q513" s="3">
        <v>2044650</v>
      </c>
      <c r="R513" t="s">
        <v>893</v>
      </c>
      <c r="S513">
        <v>33.822330000000001</v>
      </c>
      <c r="T513">
        <v>-111.88642</v>
      </c>
    </row>
    <row r="514" spans="2:20" x14ac:dyDescent="0.2">
      <c r="B514" t="s">
        <v>286</v>
      </c>
      <c r="C514" t="s">
        <v>240</v>
      </c>
      <c r="E514" t="s">
        <v>21</v>
      </c>
      <c r="F514" t="s">
        <v>22</v>
      </c>
      <c r="G514" s="1">
        <v>5175</v>
      </c>
      <c r="H514" s="2">
        <v>45</v>
      </c>
      <c r="I514" s="5" t="str">
        <f>CONCATENATE(H514,"x",INT(G514/H514))</f>
        <v>45x115</v>
      </c>
      <c r="J514">
        <v>211</v>
      </c>
      <c r="K514">
        <v>14</v>
      </c>
      <c r="L514" s="3">
        <v>1243</v>
      </c>
      <c r="M514" s="3">
        <v>2197</v>
      </c>
      <c r="N514" s="3">
        <v>1730</v>
      </c>
      <c r="O514" s="3">
        <v>336990</v>
      </c>
      <c r="P514" s="3">
        <v>382990</v>
      </c>
      <c r="Q514" s="3">
        <v>359990</v>
      </c>
      <c r="S514">
        <v>33.048023000000001</v>
      </c>
      <c r="T514">
        <v>-112.03779</v>
      </c>
    </row>
    <row r="515" spans="2:20" x14ac:dyDescent="0.2">
      <c r="B515" t="s">
        <v>72</v>
      </c>
      <c r="C515" t="s">
        <v>73</v>
      </c>
      <c r="E515" t="s">
        <v>21</v>
      </c>
      <c r="F515" t="s">
        <v>22</v>
      </c>
      <c r="G515" s="1">
        <v>28000</v>
      </c>
      <c r="H515" s="2">
        <v>140</v>
      </c>
      <c r="I515" s="5" t="str">
        <f>CONCATENATE(H515,"x",INT(G515/H515))</f>
        <v>140x200</v>
      </c>
      <c r="J515">
        <v>33</v>
      </c>
      <c r="K515">
        <v>14</v>
      </c>
      <c r="L515" s="3">
        <v>1812</v>
      </c>
      <c r="M515" s="3">
        <v>3194</v>
      </c>
      <c r="N515" s="3">
        <v>2509</v>
      </c>
      <c r="O515" s="3">
        <v>535900</v>
      </c>
      <c r="P515" s="3">
        <v>735900</v>
      </c>
      <c r="Q515" s="3">
        <v>620066.6666</v>
      </c>
      <c r="S515">
        <v>31.987342999999999</v>
      </c>
      <c r="T515">
        <v>-110.69054</v>
      </c>
    </row>
    <row r="516" spans="2:20" x14ac:dyDescent="0.2">
      <c r="B516" t="s">
        <v>598</v>
      </c>
      <c r="C516" t="s">
        <v>599</v>
      </c>
      <c r="E516" t="s">
        <v>21</v>
      </c>
      <c r="F516" t="s">
        <v>22</v>
      </c>
      <c r="G516" s="1">
        <v>3900</v>
      </c>
      <c r="H516" s="2">
        <v>55</v>
      </c>
      <c r="I516" s="5" t="str">
        <f>CONCATENATE(H516,"x",INT(G516/H516))</f>
        <v>55x70</v>
      </c>
      <c r="J516">
        <v>15</v>
      </c>
      <c r="K516">
        <v>14</v>
      </c>
      <c r="L516" s="3">
        <v>1952</v>
      </c>
      <c r="M516" s="3">
        <v>2178</v>
      </c>
      <c r="N516" s="3">
        <v>2077</v>
      </c>
      <c r="O516" s="3">
        <v>550000</v>
      </c>
      <c r="P516" s="3">
        <v>600000</v>
      </c>
      <c r="Q516" s="3">
        <v>576666.6666</v>
      </c>
      <c r="R516" t="s">
        <v>23</v>
      </c>
      <c r="S516">
        <v>33.283752</v>
      </c>
      <c r="T516">
        <v>-111.82159</v>
      </c>
    </row>
    <row r="517" spans="2:20" x14ac:dyDescent="0.2">
      <c r="B517" t="s">
        <v>86</v>
      </c>
      <c r="C517" t="s">
        <v>87</v>
      </c>
      <c r="E517" t="s">
        <v>21</v>
      </c>
      <c r="F517" t="s">
        <v>22</v>
      </c>
      <c r="G517" s="1">
        <v>46200</v>
      </c>
      <c r="H517" s="2">
        <v>154</v>
      </c>
      <c r="I517" s="5" t="str">
        <f>CONCATENATE(H517,"x",INT(G517/H517))</f>
        <v>154x300</v>
      </c>
      <c r="J517">
        <v>36</v>
      </c>
      <c r="K517">
        <v>14</v>
      </c>
      <c r="L517" s="3">
        <v>1886</v>
      </c>
      <c r="M517" s="3">
        <v>3198</v>
      </c>
      <c r="N517" s="3">
        <v>2593</v>
      </c>
      <c r="O517" s="3">
        <v>525000</v>
      </c>
      <c r="P517" s="3">
        <v>725000</v>
      </c>
      <c r="Q517" s="3">
        <v>635000</v>
      </c>
      <c r="S517">
        <v>33.752411000000002</v>
      </c>
      <c r="T517">
        <v>-112.54513</v>
      </c>
    </row>
    <row r="518" spans="2:20" x14ac:dyDescent="0.2">
      <c r="B518" t="s">
        <v>816</v>
      </c>
      <c r="C518" t="s">
        <v>29</v>
      </c>
      <c r="D518" t="s">
        <v>127</v>
      </c>
      <c r="E518" t="s">
        <v>21</v>
      </c>
      <c r="F518" t="s">
        <v>22</v>
      </c>
      <c r="G518" s="1">
        <v>10125</v>
      </c>
      <c r="H518" s="2">
        <v>75</v>
      </c>
      <c r="I518" s="5" t="str">
        <f>CONCATENATE(H518,"x",INT(G518/H518))</f>
        <v>75x135</v>
      </c>
      <c r="J518">
        <v>68</v>
      </c>
      <c r="K518">
        <v>14</v>
      </c>
      <c r="L518" s="3">
        <v>2247</v>
      </c>
      <c r="M518" s="3">
        <v>3320</v>
      </c>
      <c r="N518" s="3">
        <v>2856</v>
      </c>
      <c r="O518" s="3">
        <v>799990</v>
      </c>
      <c r="P518" s="3">
        <v>901990</v>
      </c>
      <c r="Q518" s="3">
        <v>854418.57140000002</v>
      </c>
      <c r="S518">
        <v>33.328468000000001</v>
      </c>
      <c r="T518">
        <v>-111.62600999999999</v>
      </c>
    </row>
    <row r="519" spans="2:20" x14ac:dyDescent="0.2">
      <c r="B519" t="s">
        <v>158</v>
      </c>
      <c r="C519" t="s">
        <v>130</v>
      </c>
      <c r="D519" t="s">
        <v>158</v>
      </c>
      <c r="E519" t="s">
        <v>21</v>
      </c>
      <c r="F519" t="s">
        <v>22</v>
      </c>
      <c r="G519" s="1">
        <v>6250</v>
      </c>
      <c r="H519" s="2">
        <v>50</v>
      </c>
      <c r="I519" s="5" t="str">
        <f>CONCATENATE(H519,"x",INT(G519/H519))</f>
        <v>50x125</v>
      </c>
      <c r="J519">
        <v>75</v>
      </c>
      <c r="K519">
        <v>14</v>
      </c>
      <c r="L519" s="3">
        <v>1808</v>
      </c>
      <c r="M519" s="3">
        <v>2548</v>
      </c>
      <c r="N519" s="3">
        <v>2127</v>
      </c>
      <c r="O519" s="3">
        <v>399990</v>
      </c>
      <c r="P519" s="3">
        <v>452990</v>
      </c>
      <c r="Q519" s="3">
        <v>426590</v>
      </c>
      <c r="S519">
        <v>33.080852999999998</v>
      </c>
      <c r="T519">
        <v>-112.00029000000001</v>
      </c>
    </row>
    <row r="520" spans="2:20" x14ac:dyDescent="0.2">
      <c r="B520" t="s">
        <v>926</v>
      </c>
      <c r="C520" t="s">
        <v>123</v>
      </c>
      <c r="D520" t="s">
        <v>193</v>
      </c>
      <c r="E520" t="s">
        <v>872</v>
      </c>
      <c r="F520" t="s">
        <v>907</v>
      </c>
      <c r="G520" s="1">
        <v>0</v>
      </c>
      <c r="H520" s="1">
        <v>0</v>
      </c>
      <c r="I520" s="5" t="s">
        <v>908</v>
      </c>
      <c r="J520">
        <v>74</v>
      </c>
      <c r="K520">
        <v>14</v>
      </c>
      <c r="L520" s="3">
        <v>1236</v>
      </c>
      <c r="M520" s="3">
        <v>1278</v>
      </c>
      <c r="N520" s="3">
        <v>1257</v>
      </c>
      <c r="O520" s="3">
        <v>359990</v>
      </c>
      <c r="P520" s="3">
        <v>359990</v>
      </c>
      <c r="Q520" s="3">
        <v>359990</v>
      </c>
      <c r="R520" t="s">
        <v>927</v>
      </c>
      <c r="S520">
        <v>33.514201999999997</v>
      </c>
      <c r="T520">
        <v>-112.49799</v>
      </c>
    </row>
    <row r="521" spans="2:20" x14ac:dyDescent="0.2">
      <c r="B521" t="s">
        <v>287</v>
      </c>
      <c r="C521" t="s">
        <v>144</v>
      </c>
      <c r="D521" t="s">
        <v>288</v>
      </c>
      <c r="E521" t="s">
        <v>21</v>
      </c>
      <c r="F521" t="s">
        <v>22</v>
      </c>
      <c r="G521" s="1">
        <v>5175</v>
      </c>
      <c r="H521" s="2">
        <v>45</v>
      </c>
      <c r="I521" s="5" t="str">
        <f>CONCATENATE(H521,"x",INT(G521/H521))</f>
        <v>45x115</v>
      </c>
      <c r="J521">
        <v>76</v>
      </c>
      <c r="K521">
        <v>14</v>
      </c>
      <c r="L521" s="3">
        <v>1797</v>
      </c>
      <c r="M521" s="3">
        <v>1953</v>
      </c>
      <c r="N521" s="3">
        <v>1897</v>
      </c>
      <c r="O521" s="3">
        <v>573990</v>
      </c>
      <c r="P521" s="3">
        <v>591990</v>
      </c>
      <c r="Q521" s="3">
        <v>585656.6666</v>
      </c>
      <c r="S521">
        <v>33.339314000000002</v>
      </c>
      <c r="T521">
        <v>-111.70119</v>
      </c>
    </row>
    <row r="522" spans="2:20" x14ac:dyDescent="0.2">
      <c r="B522" t="s">
        <v>583</v>
      </c>
      <c r="C522" t="s">
        <v>144</v>
      </c>
      <c r="D522" t="s">
        <v>246</v>
      </c>
      <c r="E522" t="s">
        <v>21</v>
      </c>
      <c r="F522" t="s">
        <v>22</v>
      </c>
      <c r="G522" s="1">
        <v>6600</v>
      </c>
      <c r="H522" s="2">
        <v>55</v>
      </c>
      <c r="I522" s="5" t="str">
        <f>CONCATENATE(H522,"x",INT(G522/H522))</f>
        <v>55x120</v>
      </c>
      <c r="J522">
        <v>65</v>
      </c>
      <c r="K522">
        <v>14</v>
      </c>
      <c r="L522" s="3">
        <v>2375</v>
      </c>
      <c r="M522" s="3">
        <v>2649</v>
      </c>
      <c r="N522" s="3">
        <v>2497</v>
      </c>
      <c r="O522" s="3">
        <v>458490</v>
      </c>
      <c r="P522" s="3">
        <v>505490</v>
      </c>
      <c r="Q522" s="3">
        <v>477156.6666</v>
      </c>
      <c r="S522">
        <v>33.175170999999999</v>
      </c>
      <c r="T522">
        <v>-111.53466</v>
      </c>
    </row>
    <row r="523" spans="2:20" x14ac:dyDescent="0.2">
      <c r="B523" t="s">
        <v>890</v>
      </c>
      <c r="C523" t="s">
        <v>59</v>
      </c>
      <c r="E523" t="s">
        <v>872</v>
      </c>
      <c r="F523" t="s">
        <v>873</v>
      </c>
      <c r="G523" s="1">
        <v>0</v>
      </c>
      <c r="H523" s="1">
        <v>0</v>
      </c>
      <c r="I523" s="5" t="s">
        <v>874</v>
      </c>
      <c r="J523">
        <v>46</v>
      </c>
      <c r="K523">
        <v>14</v>
      </c>
      <c r="L523" s="3">
        <v>1967</v>
      </c>
      <c r="M523" s="3">
        <v>1981</v>
      </c>
      <c r="N523" s="3">
        <v>1974</v>
      </c>
      <c r="O523" s="3">
        <v>1468000</v>
      </c>
      <c r="P523" s="3">
        <v>1650000</v>
      </c>
      <c r="Q523" s="3">
        <v>1559000</v>
      </c>
      <c r="R523" t="s">
        <v>891</v>
      </c>
      <c r="S523">
        <v>35.164406</v>
      </c>
      <c r="T523">
        <v>-111.64142</v>
      </c>
    </row>
    <row r="524" spans="2:20" x14ac:dyDescent="0.2">
      <c r="B524" t="s">
        <v>373</v>
      </c>
      <c r="C524" t="s">
        <v>178</v>
      </c>
      <c r="E524" t="s">
        <v>21</v>
      </c>
      <c r="F524" t="s">
        <v>22</v>
      </c>
      <c r="G524" s="1">
        <v>5760</v>
      </c>
      <c r="H524" s="2">
        <v>48</v>
      </c>
      <c r="I524" s="5" t="str">
        <f>CONCATENATE(H524,"x",INT(G524/H524))</f>
        <v>48x120</v>
      </c>
      <c r="J524">
        <v>36</v>
      </c>
      <c r="K524">
        <v>13</v>
      </c>
      <c r="L524" s="3">
        <v>1585</v>
      </c>
      <c r="M524" s="3">
        <v>1896</v>
      </c>
      <c r="N524" s="3">
        <v>1756</v>
      </c>
      <c r="O524" s="3">
        <v>347990</v>
      </c>
      <c r="P524" s="3">
        <v>365990</v>
      </c>
      <c r="Q524" s="3">
        <v>357323.3333</v>
      </c>
      <c r="S524">
        <v>33.43103</v>
      </c>
      <c r="T524">
        <v>-112.58008</v>
      </c>
    </row>
    <row r="525" spans="2:20" x14ac:dyDescent="0.2">
      <c r="B525" t="s">
        <v>168</v>
      </c>
      <c r="C525" t="s">
        <v>43</v>
      </c>
      <c r="E525" t="s">
        <v>21</v>
      </c>
      <c r="F525" t="s">
        <v>22</v>
      </c>
      <c r="G525" s="1">
        <v>4800</v>
      </c>
      <c r="H525" s="2">
        <v>40</v>
      </c>
      <c r="I525" s="5" t="str">
        <f>CONCATENATE(H525,"x",INT(G525/H525))</f>
        <v>40x120</v>
      </c>
      <c r="J525">
        <v>122</v>
      </c>
      <c r="K525">
        <v>13</v>
      </c>
      <c r="L525" s="3">
        <v>1331</v>
      </c>
      <c r="M525" s="3">
        <v>2492</v>
      </c>
      <c r="N525" s="3">
        <v>1935</v>
      </c>
      <c r="O525" s="3">
        <v>331990</v>
      </c>
      <c r="P525" s="3">
        <v>408990</v>
      </c>
      <c r="Q525" s="3">
        <v>368190</v>
      </c>
      <c r="S525">
        <v>32.050217000000004</v>
      </c>
      <c r="T525">
        <v>-110.72233</v>
      </c>
    </row>
    <row r="526" spans="2:20" x14ac:dyDescent="0.2">
      <c r="B526" t="s">
        <v>117</v>
      </c>
      <c r="C526" t="s">
        <v>118</v>
      </c>
      <c r="D526" t="s">
        <v>119</v>
      </c>
      <c r="E526" t="s">
        <v>21</v>
      </c>
      <c r="F526" t="s">
        <v>22</v>
      </c>
      <c r="G526" s="1">
        <v>4200</v>
      </c>
      <c r="H526" s="2">
        <v>35</v>
      </c>
      <c r="I526" s="5" t="str">
        <f>CONCATENATE(H526,"x",INT(G526/H526))</f>
        <v>35x120</v>
      </c>
      <c r="J526">
        <v>149</v>
      </c>
      <c r="K526">
        <v>13</v>
      </c>
      <c r="L526" s="3">
        <v>2043</v>
      </c>
      <c r="M526" s="3">
        <v>2287</v>
      </c>
      <c r="N526" s="3">
        <v>2144</v>
      </c>
      <c r="O526" s="3">
        <v>598873</v>
      </c>
      <c r="P526" s="3">
        <v>720733</v>
      </c>
      <c r="Q526" s="3">
        <v>636289</v>
      </c>
      <c r="S526">
        <v>33.304188000000003</v>
      </c>
      <c r="T526">
        <v>-111.69642</v>
      </c>
    </row>
    <row r="527" spans="2:20" x14ac:dyDescent="0.2">
      <c r="B527" t="s">
        <v>141</v>
      </c>
      <c r="C527" t="s">
        <v>116</v>
      </c>
      <c r="D527" t="s">
        <v>137</v>
      </c>
      <c r="E527" t="s">
        <v>21</v>
      </c>
      <c r="F527" t="s">
        <v>22</v>
      </c>
      <c r="G527" s="1">
        <v>4400</v>
      </c>
      <c r="H527" s="2">
        <v>40</v>
      </c>
      <c r="I527" s="5" t="str">
        <f>CONCATENATE(H527,"x",INT(G527/H527))</f>
        <v>40x110</v>
      </c>
      <c r="J527">
        <v>148</v>
      </c>
      <c r="K527">
        <v>13</v>
      </c>
      <c r="L527" s="3">
        <v>1262</v>
      </c>
      <c r="M527" s="3">
        <v>1728</v>
      </c>
      <c r="N527" s="3">
        <v>1491</v>
      </c>
      <c r="O527" s="3">
        <v>301990</v>
      </c>
      <c r="P527" s="3">
        <v>331285</v>
      </c>
      <c r="Q527" s="3">
        <v>314649</v>
      </c>
      <c r="S527">
        <v>31.967116999999998</v>
      </c>
      <c r="T527">
        <v>-110.98515999999999</v>
      </c>
    </row>
    <row r="528" spans="2:20" x14ac:dyDescent="0.2">
      <c r="B528" t="s">
        <v>174</v>
      </c>
      <c r="C528" t="s">
        <v>175</v>
      </c>
      <c r="E528" t="s">
        <v>21</v>
      </c>
      <c r="F528" t="s">
        <v>22</v>
      </c>
      <c r="G528" s="1">
        <v>3200</v>
      </c>
      <c r="H528" s="2">
        <v>40</v>
      </c>
      <c r="I528" s="5" t="str">
        <f>CONCATENATE(H528,"x",INT(G528/H528))</f>
        <v>40x80</v>
      </c>
      <c r="J528">
        <v>5</v>
      </c>
      <c r="K528">
        <v>13</v>
      </c>
      <c r="L528" s="3">
        <v>1523</v>
      </c>
      <c r="M528" s="3">
        <v>2012</v>
      </c>
      <c r="N528" s="3">
        <v>1743</v>
      </c>
      <c r="O528" s="3">
        <v>420990</v>
      </c>
      <c r="P528" s="3">
        <v>473990</v>
      </c>
      <c r="Q528" s="3">
        <v>445790</v>
      </c>
      <c r="S528">
        <v>33.402923999999999</v>
      </c>
      <c r="T528">
        <v>-111.59866</v>
      </c>
    </row>
    <row r="529" spans="2:20" x14ac:dyDescent="0.2">
      <c r="B529" t="s">
        <v>342</v>
      </c>
      <c r="C529" t="s">
        <v>151</v>
      </c>
      <c r="D529" t="s">
        <v>343</v>
      </c>
      <c r="E529" t="s">
        <v>21</v>
      </c>
      <c r="F529" t="s">
        <v>22</v>
      </c>
      <c r="G529" s="1">
        <v>6250</v>
      </c>
      <c r="H529" s="2">
        <v>50</v>
      </c>
      <c r="I529" s="5" t="str">
        <f>CONCATENATE(H529,"x",INT(G529/H529))</f>
        <v>50x125</v>
      </c>
      <c r="J529">
        <v>87</v>
      </c>
      <c r="K529">
        <v>13</v>
      </c>
      <c r="L529" s="3">
        <v>1841</v>
      </c>
      <c r="M529" s="3">
        <v>3567</v>
      </c>
      <c r="N529" s="3">
        <v>2671</v>
      </c>
      <c r="O529" s="3">
        <v>871990</v>
      </c>
      <c r="P529" s="3">
        <v>1047990</v>
      </c>
      <c r="Q529" s="3">
        <v>965490</v>
      </c>
      <c r="R529" t="s">
        <v>23</v>
      </c>
      <c r="S529">
        <v>33.683154999999999</v>
      </c>
      <c r="T529">
        <v>-111.95184999999999</v>
      </c>
    </row>
    <row r="530" spans="2:20" x14ac:dyDescent="0.2">
      <c r="B530" t="s">
        <v>378</v>
      </c>
      <c r="C530" t="s">
        <v>31</v>
      </c>
      <c r="D530" t="s">
        <v>379</v>
      </c>
      <c r="E530" t="s">
        <v>21</v>
      </c>
      <c r="F530" t="s">
        <v>22</v>
      </c>
      <c r="G530" s="1">
        <v>6000</v>
      </c>
      <c r="H530" s="2">
        <v>48</v>
      </c>
      <c r="I530" s="5" t="str">
        <f>CONCATENATE(H530,"x",INT(G530/H530))</f>
        <v>48x125</v>
      </c>
      <c r="J530">
        <v>119</v>
      </c>
      <c r="K530">
        <v>13</v>
      </c>
      <c r="L530" s="3">
        <v>1944</v>
      </c>
      <c r="M530" s="3">
        <v>3043</v>
      </c>
      <c r="N530" s="3">
        <v>2369</v>
      </c>
      <c r="O530" s="3">
        <v>624995</v>
      </c>
      <c r="P530" s="3">
        <v>699995</v>
      </c>
      <c r="Q530" s="3">
        <v>667161.6666</v>
      </c>
      <c r="S530">
        <v>33.312939</v>
      </c>
      <c r="T530">
        <v>-111.6165</v>
      </c>
    </row>
    <row r="531" spans="2:20" x14ac:dyDescent="0.2">
      <c r="B531" t="s">
        <v>672</v>
      </c>
      <c r="C531" t="s">
        <v>36</v>
      </c>
      <c r="D531" t="s">
        <v>460</v>
      </c>
      <c r="E531" t="s">
        <v>21</v>
      </c>
      <c r="F531" t="s">
        <v>22</v>
      </c>
      <c r="G531" s="1">
        <v>7200</v>
      </c>
      <c r="H531" s="2">
        <v>60</v>
      </c>
      <c r="I531" s="5" t="str">
        <f>CONCATENATE(H531,"x",INT(G531/H531))</f>
        <v>60x120</v>
      </c>
      <c r="J531">
        <v>57</v>
      </c>
      <c r="K531">
        <v>13</v>
      </c>
      <c r="L531" s="3">
        <v>2410</v>
      </c>
      <c r="M531" s="3">
        <v>4039</v>
      </c>
      <c r="N531" s="3">
        <v>3128</v>
      </c>
      <c r="O531" s="3">
        <v>593000</v>
      </c>
      <c r="P531" s="3">
        <v>692000</v>
      </c>
      <c r="Q531" s="3">
        <v>636600</v>
      </c>
      <c r="S531">
        <v>33.258591000000003</v>
      </c>
      <c r="T531">
        <v>-111.59814</v>
      </c>
    </row>
    <row r="532" spans="2:20" x14ac:dyDescent="0.2">
      <c r="B532" t="s">
        <v>693</v>
      </c>
      <c r="C532" t="s">
        <v>350</v>
      </c>
      <c r="E532" t="s">
        <v>21</v>
      </c>
      <c r="F532" t="s">
        <v>22</v>
      </c>
      <c r="G532" s="1">
        <v>7800</v>
      </c>
      <c r="H532" s="2">
        <v>60</v>
      </c>
      <c r="I532" s="5" t="str">
        <f>CONCATENATE(H532,"x",INT(G532/H532))</f>
        <v>60x130</v>
      </c>
      <c r="J532">
        <v>58</v>
      </c>
      <c r="K532">
        <v>12</v>
      </c>
      <c r="L532" s="3">
        <v>2279</v>
      </c>
      <c r="M532" s="3">
        <v>2788</v>
      </c>
      <c r="N532" s="3">
        <v>2471</v>
      </c>
      <c r="O532" s="3">
        <v>699950</v>
      </c>
      <c r="P532" s="3">
        <v>782950</v>
      </c>
      <c r="Q532" s="3">
        <v>745700</v>
      </c>
      <c r="R532" t="s">
        <v>23</v>
      </c>
      <c r="S532">
        <v>33.449627</v>
      </c>
      <c r="T532">
        <v>-111.65631999999999</v>
      </c>
    </row>
    <row r="533" spans="2:20" x14ac:dyDescent="0.2">
      <c r="B533" t="s">
        <v>95</v>
      </c>
      <c r="C533" t="s">
        <v>102</v>
      </c>
      <c r="E533" t="s">
        <v>21</v>
      </c>
      <c r="F533" t="s">
        <v>22</v>
      </c>
      <c r="G533" s="1">
        <v>44100</v>
      </c>
      <c r="H533" s="2">
        <v>195</v>
      </c>
      <c r="I533" s="5" t="str">
        <f>CONCATENATE(H533,"x",INT(G533/H533))</f>
        <v>195x226</v>
      </c>
      <c r="J533">
        <v>35</v>
      </c>
      <c r="K533">
        <v>12</v>
      </c>
      <c r="L533" s="3">
        <v>2076</v>
      </c>
      <c r="M533" s="3">
        <v>2844</v>
      </c>
      <c r="N533" s="3">
        <v>2410</v>
      </c>
      <c r="O533" s="3">
        <v>644990</v>
      </c>
      <c r="P533" s="3">
        <v>799990</v>
      </c>
      <c r="Q533" s="3">
        <v>718990</v>
      </c>
      <c r="S533">
        <v>34.787227999999999</v>
      </c>
      <c r="T533">
        <v>-112.47153</v>
      </c>
    </row>
    <row r="534" spans="2:20" x14ac:dyDescent="0.2">
      <c r="B534" t="s">
        <v>78</v>
      </c>
      <c r="C534" t="s">
        <v>33</v>
      </c>
      <c r="E534" t="s">
        <v>21</v>
      </c>
      <c r="F534" t="s">
        <v>22</v>
      </c>
      <c r="G534" s="1">
        <v>43560</v>
      </c>
      <c r="H534" s="2">
        <v>150</v>
      </c>
      <c r="I534" s="5" t="str">
        <f>CONCATENATE(H534,"x",INT(G534/H534))</f>
        <v>150x290</v>
      </c>
      <c r="J534">
        <v>0</v>
      </c>
      <c r="K534">
        <v>12</v>
      </c>
      <c r="L534" s="3">
        <v>2746</v>
      </c>
      <c r="M534" s="3">
        <v>3770</v>
      </c>
      <c r="N534" s="3">
        <v>3195</v>
      </c>
      <c r="O534" s="3">
        <v>865000</v>
      </c>
      <c r="P534" s="3">
        <v>980000</v>
      </c>
      <c r="Q534" s="3">
        <v>917000</v>
      </c>
      <c r="S534">
        <v>32.304909000000002</v>
      </c>
      <c r="T534">
        <v>-110.97551</v>
      </c>
    </row>
    <row r="535" spans="2:20" x14ac:dyDescent="0.2">
      <c r="B535" t="s">
        <v>79</v>
      </c>
      <c r="C535" t="s">
        <v>33</v>
      </c>
      <c r="E535" t="s">
        <v>21</v>
      </c>
      <c r="F535" t="s">
        <v>22</v>
      </c>
      <c r="G535" s="1">
        <v>45000</v>
      </c>
      <c r="H535" s="2">
        <v>150</v>
      </c>
      <c r="I535" s="5" t="str">
        <f>CONCATENATE(H535,"x",INT(G535/H535))</f>
        <v>150x300</v>
      </c>
      <c r="J535">
        <v>4</v>
      </c>
      <c r="K535">
        <v>12</v>
      </c>
      <c r="L535" s="3">
        <v>2746</v>
      </c>
      <c r="M535" s="3">
        <v>3770</v>
      </c>
      <c r="N535" s="3">
        <v>3195</v>
      </c>
      <c r="O535" s="3">
        <v>1000000</v>
      </c>
      <c r="P535" s="3">
        <v>1120000</v>
      </c>
      <c r="Q535" s="3">
        <v>1060000</v>
      </c>
      <c r="R535" t="s">
        <v>23</v>
      </c>
      <c r="S535">
        <v>32.352581000000001</v>
      </c>
      <c r="T535">
        <v>-111.01621</v>
      </c>
    </row>
    <row r="536" spans="2:20" x14ac:dyDescent="0.2">
      <c r="B536" t="s">
        <v>333</v>
      </c>
      <c r="C536" t="s">
        <v>144</v>
      </c>
      <c r="D536" t="s">
        <v>212</v>
      </c>
      <c r="E536" t="s">
        <v>21</v>
      </c>
      <c r="F536" t="s">
        <v>22</v>
      </c>
      <c r="G536" s="1">
        <v>5400</v>
      </c>
      <c r="H536" s="2">
        <v>45</v>
      </c>
      <c r="I536" s="5" t="str">
        <f>CONCATENATE(H536,"x",INT(G536/H536))</f>
        <v>45x120</v>
      </c>
      <c r="J536">
        <v>64</v>
      </c>
      <c r="K536">
        <v>12</v>
      </c>
      <c r="L536" s="3">
        <v>1797</v>
      </c>
      <c r="M536" s="3">
        <v>1953</v>
      </c>
      <c r="N536" s="3">
        <v>1897</v>
      </c>
      <c r="O536" s="3">
        <v>392990</v>
      </c>
      <c r="P536" s="3">
        <v>420990</v>
      </c>
      <c r="Q536" s="3">
        <v>406656.6666</v>
      </c>
      <c r="S536">
        <v>33.393481999999999</v>
      </c>
      <c r="T536">
        <v>-112.11439</v>
      </c>
    </row>
    <row r="537" spans="2:20" x14ac:dyDescent="0.2">
      <c r="B537" t="s">
        <v>348</v>
      </c>
      <c r="C537" t="s">
        <v>144</v>
      </c>
      <c r="D537" t="s">
        <v>349</v>
      </c>
      <c r="E537" t="s">
        <v>21</v>
      </c>
      <c r="F537" t="s">
        <v>22</v>
      </c>
      <c r="G537" s="1">
        <v>5850</v>
      </c>
      <c r="H537" s="2">
        <v>45</v>
      </c>
      <c r="I537" s="5" t="str">
        <f>CONCATENATE(H537,"x",INT(G537/H537))</f>
        <v>45x130</v>
      </c>
      <c r="J537">
        <v>141</v>
      </c>
      <c r="K537">
        <v>12</v>
      </c>
      <c r="L537" s="3">
        <v>1834</v>
      </c>
      <c r="M537" s="3">
        <v>2897</v>
      </c>
      <c r="N537" s="3">
        <v>2266</v>
      </c>
      <c r="O537" s="3">
        <v>364990</v>
      </c>
      <c r="P537" s="3">
        <v>420990</v>
      </c>
      <c r="Q537" s="3">
        <v>380740</v>
      </c>
      <c r="R537" t="s">
        <v>23</v>
      </c>
      <c r="S537">
        <v>32.107104999999997</v>
      </c>
      <c r="T537">
        <v>-110.71245</v>
      </c>
    </row>
    <row r="538" spans="2:20" x14ac:dyDescent="0.2">
      <c r="B538" t="s">
        <v>54</v>
      </c>
      <c r="C538" t="s">
        <v>55</v>
      </c>
      <c r="E538" t="s">
        <v>21</v>
      </c>
      <c r="F538" t="s">
        <v>22</v>
      </c>
      <c r="G538" s="1">
        <v>15104</v>
      </c>
      <c r="H538" s="2">
        <v>118</v>
      </c>
      <c r="I538" s="5" t="str">
        <f>CONCATENATE(H538,"x",INT(G538/H538))</f>
        <v>118x128</v>
      </c>
      <c r="J538">
        <v>6</v>
      </c>
      <c r="K538">
        <v>12</v>
      </c>
      <c r="L538" s="3">
        <v>3478</v>
      </c>
      <c r="M538" s="3">
        <v>4234</v>
      </c>
      <c r="N538" s="3">
        <v>3856</v>
      </c>
      <c r="O538" s="3">
        <v>1365000</v>
      </c>
      <c r="P538" s="3">
        <v>1428000</v>
      </c>
      <c r="Q538" s="3">
        <v>1396500</v>
      </c>
      <c r="S538">
        <v>33.462184999999998</v>
      </c>
      <c r="T538">
        <v>-111.7944</v>
      </c>
    </row>
    <row r="539" spans="2:20" x14ac:dyDescent="0.2">
      <c r="B539" t="s">
        <v>289</v>
      </c>
      <c r="C539" t="s">
        <v>136</v>
      </c>
      <c r="E539" t="s">
        <v>21</v>
      </c>
      <c r="F539" t="s">
        <v>22</v>
      </c>
      <c r="G539" s="1">
        <v>5175</v>
      </c>
      <c r="H539" s="2">
        <v>45</v>
      </c>
      <c r="I539" s="5" t="str">
        <f>CONCATENATE(H539,"x",INT(G539/H539))</f>
        <v>45x115</v>
      </c>
      <c r="J539">
        <v>109</v>
      </c>
      <c r="K539">
        <v>12</v>
      </c>
      <c r="L539" s="3">
        <v>1590</v>
      </c>
      <c r="M539" s="3">
        <v>2630</v>
      </c>
      <c r="N539" s="3">
        <v>1941</v>
      </c>
      <c r="O539" s="3">
        <v>390990</v>
      </c>
      <c r="P539" s="3">
        <v>495990</v>
      </c>
      <c r="Q539" s="3">
        <v>438615</v>
      </c>
      <c r="S539">
        <v>33.528655999999998</v>
      </c>
      <c r="T539">
        <v>-112.32592</v>
      </c>
    </row>
    <row r="540" spans="2:20" x14ac:dyDescent="0.2">
      <c r="B540" t="s">
        <v>673</v>
      </c>
      <c r="C540" t="s">
        <v>136</v>
      </c>
      <c r="E540" t="s">
        <v>21</v>
      </c>
      <c r="F540" t="s">
        <v>22</v>
      </c>
      <c r="G540" s="1">
        <v>7200</v>
      </c>
      <c r="H540" s="2">
        <v>60</v>
      </c>
      <c r="I540" s="5" t="str">
        <f>CONCATENATE(H540,"x",INT(G540/H540))</f>
        <v>60x120</v>
      </c>
      <c r="J540">
        <v>148</v>
      </c>
      <c r="K540">
        <v>12</v>
      </c>
      <c r="L540" s="3">
        <v>1810</v>
      </c>
      <c r="M540" s="3">
        <v>2630</v>
      </c>
      <c r="N540" s="3">
        <v>2086</v>
      </c>
      <c r="O540" s="3">
        <v>416990</v>
      </c>
      <c r="P540" s="3">
        <v>459990</v>
      </c>
      <c r="Q540" s="3">
        <v>433590</v>
      </c>
      <c r="S540">
        <v>33.426605000000002</v>
      </c>
      <c r="T540">
        <v>-112.44652000000001</v>
      </c>
    </row>
    <row r="541" spans="2:20" x14ac:dyDescent="0.2">
      <c r="B541" t="s">
        <v>806</v>
      </c>
      <c r="C541" t="s">
        <v>38</v>
      </c>
      <c r="D541" t="s">
        <v>357</v>
      </c>
      <c r="E541" t="s">
        <v>21</v>
      </c>
      <c r="F541" t="s">
        <v>22</v>
      </c>
      <c r="G541" s="1">
        <v>8520</v>
      </c>
      <c r="H541" s="2">
        <v>71</v>
      </c>
      <c r="I541" s="5" t="str">
        <f>CONCATENATE(H541,"x",INT(G541/H541))</f>
        <v>71x120</v>
      </c>
      <c r="J541">
        <v>101</v>
      </c>
      <c r="K541">
        <v>12</v>
      </c>
      <c r="L541" s="3">
        <v>3093</v>
      </c>
      <c r="M541" s="3">
        <v>4737</v>
      </c>
      <c r="N541" s="3">
        <v>3735</v>
      </c>
      <c r="O541" s="3">
        <v>609990</v>
      </c>
      <c r="P541" s="3">
        <v>711990</v>
      </c>
      <c r="Q541" s="3">
        <v>646390</v>
      </c>
      <c r="S541">
        <v>33.712814000000002</v>
      </c>
      <c r="T541">
        <v>-112.36327</v>
      </c>
    </row>
    <row r="542" spans="2:20" x14ac:dyDescent="0.2">
      <c r="B542" t="s">
        <v>548</v>
      </c>
      <c r="C542" t="s">
        <v>36</v>
      </c>
      <c r="E542" t="s">
        <v>21</v>
      </c>
      <c r="F542" t="s">
        <v>22</v>
      </c>
      <c r="G542" s="1">
        <v>6050</v>
      </c>
      <c r="H542" s="2">
        <v>55</v>
      </c>
      <c r="I542" s="5" t="str">
        <f>CONCATENATE(H542,"x",INT(G542/H542))</f>
        <v>55x110</v>
      </c>
      <c r="J542">
        <v>82</v>
      </c>
      <c r="K542">
        <v>12</v>
      </c>
      <c r="L542" s="3">
        <v>2584</v>
      </c>
      <c r="M542" s="3">
        <v>3173</v>
      </c>
      <c r="N542" s="3">
        <v>2919</v>
      </c>
      <c r="O542" s="3">
        <v>629000</v>
      </c>
      <c r="P542" s="3">
        <v>690000</v>
      </c>
      <c r="Q542" s="3">
        <v>661500</v>
      </c>
      <c r="S542">
        <v>33.253261999999999</v>
      </c>
      <c r="T542">
        <v>-111.75694</v>
      </c>
    </row>
    <row r="543" spans="2:20" x14ac:dyDescent="0.2">
      <c r="B543" t="s">
        <v>111</v>
      </c>
      <c r="C543" t="s">
        <v>110</v>
      </c>
      <c r="E543" t="s">
        <v>21</v>
      </c>
      <c r="F543" t="s">
        <v>22</v>
      </c>
      <c r="G543" s="1">
        <v>2240</v>
      </c>
      <c r="H543">
        <v>32</v>
      </c>
      <c r="I543" s="5" t="str">
        <f>CONCATENATE(H543,"x",INT(G543/H543))</f>
        <v>32x70</v>
      </c>
      <c r="J543">
        <v>226</v>
      </c>
      <c r="K543">
        <v>12</v>
      </c>
      <c r="L543" s="3">
        <v>1463</v>
      </c>
      <c r="M543" s="3">
        <v>2050</v>
      </c>
      <c r="N543" s="3">
        <v>1759</v>
      </c>
      <c r="O543" s="3">
        <v>371990</v>
      </c>
      <c r="P543" s="3">
        <v>409990</v>
      </c>
      <c r="Q543" s="3">
        <v>392656.6666</v>
      </c>
      <c r="S543">
        <v>33.409592000000004</v>
      </c>
      <c r="T543">
        <v>-112.18436</v>
      </c>
    </row>
    <row r="544" spans="2:20" x14ac:dyDescent="0.2">
      <c r="B544" t="s">
        <v>487</v>
      </c>
      <c r="C544" t="s">
        <v>272</v>
      </c>
      <c r="D544" t="s">
        <v>249</v>
      </c>
      <c r="E544" t="s">
        <v>21</v>
      </c>
      <c r="F544" t="s">
        <v>22</v>
      </c>
      <c r="G544" s="1">
        <v>6000</v>
      </c>
      <c r="H544" s="2">
        <v>50</v>
      </c>
      <c r="I544" s="5" t="str">
        <f>CONCATENATE(H544,"x",INT(G544/H544))</f>
        <v>50x120</v>
      </c>
      <c r="J544">
        <v>109</v>
      </c>
      <c r="K544">
        <v>11</v>
      </c>
      <c r="L544" s="3">
        <v>1896</v>
      </c>
      <c r="M544" s="3">
        <v>3199</v>
      </c>
      <c r="N544" s="3">
        <v>2384</v>
      </c>
      <c r="O544" s="3">
        <v>397990</v>
      </c>
      <c r="P544" s="3">
        <v>497500</v>
      </c>
      <c r="Q544" s="3">
        <v>439092</v>
      </c>
      <c r="S544">
        <v>33.403041999999999</v>
      </c>
      <c r="T544">
        <v>-112.30918</v>
      </c>
    </row>
    <row r="545" spans="2:20" x14ac:dyDescent="0.2">
      <c r="B545" t="s">
        <v>846</v>
      </c>
      <c r="C545" t="s">
        <v>218</v>
      </c>
      <c r="E545" t="s">
        <v>21</v>
      </c>
      <c r="F545" t="s">
        <v>22</v>
      </c>
      <c r="G545" s="1">
        <v>8925</v>
      </c>
      <c r="H545" s="2">
        <v>85</v>
      </c>
      <c r="I545" s="5" t="str">
        <f>CONCATENATE(H545,"x",INT(G545/H545))</f>
        <v>85x105</v>
      </c>
      <c r="J545">
        <v>22</v>
      </c>
      <c r="K545">
        <v>11</v>
      </c>
      <c r="L545" s="3">
        <v>1560</v>
      </c>
      <c r="M545" s="3">
        <v>2490</v>
      </c>
      <c r="N545" s="3">
        <v>2087</v>
      </c>
      <c r="O545" s="3">
        <v>349900</v>
      </c>
      <c r="P545" s="3">
        <v>424900</v>
      </c>
      <c r="Q545" s="3">
        <v>387900</v>
      </c>
      <c r="S545">
        <v>32.976081999999998</v>
      </c>
      <c r="T545">
        <v>-111.75193</v>
      </c>
    </row>
    <row r="546" spans="2:20" x14ac:dyDescent="0.2">
      <c r="B546" t="s">
        <v>290</v>
      </c>
      <c r="C546" t="s">
        <v>114</v>
      </c>
      <c r="D546" t="s">
        <v>246</v>
      </c>
      <c r="E546" t="s">
        <v>21</v>
      </c>
      <c r="F546" t="s">
        <v>22</v>
      </c>
      <c r="G546" s="1">
        <v>5175</v>
      </c>
      <c r="H546" s="2">
        <v>45</v>
      </c>
      <c r="I546" s="5" t="str">
        <f>CONCATENATE(H546,"x",INT(G546/H546))</f>
        <v>45x115</v>
      </c>
      <c r="J546">
        <v>77</v>
      </c>
      <c r="K546">
        <v>11</v>
      </c>
      <c r="L546" s="3">
        <v>1282</v>
      </c>
      <c r="M546" s="3">
        <v>1967</v>
      </c>
      <c r="N546" s="3">
        <v>1662</v>
      </c>
      <c r="O546" s="3">
        <v>357990</v>
      </c>
      <c r="P546" s="3">
        <v>412990</v>
      </c>
      <c r="Q546" s="3">
        <v>385490</v>
      </c>
      <c r="S546">
        <v>33.171824999999998</v>
      </c>
      <c r="T546">
        <v>-111.53504</v>
      </c>
    </row>
    <row r="547" spans="2:20" x14ac:dyDescent="0.2">
      <c r="B547" t="s">
        <v>608</v>
      </c>
      <c r="C547" t="s">
        <v>609</v>
      </c>
      <c r="E547" t="s">
        <v>21</v>
      </c>
      <c r="F547" t="s">
        <v>22</v>
      </c>
      <c r="G547" s="1">
        <v>5800</v>
      </c>
      <c r="H547" s="2">
        <v>58</v>
      </c>
      <c r="I547" s="5" t="str">
        <f>CONCATENATE(H547,"x",INT(G547/H547))</f>
        <v>58x100</v>
      </c>
      <c r="J547">
        <v>8</v>
      </c>
      <c r="K547">
        <v>11</v>
      </c>
      <c r="L547" s="3">
        <v>1901</v>
      </c>
      <c r="M547" s="3">
        <v>3130</v>
      </c>
      <c r="N547" s="3">
        <v>2572</v>
      </c>
      <c r="O547" s="3">
        <v>564000</v>
      </c>
      <c r="P547" s="3">
        <v>642000</v>
      </c>
      <c r="Q547" s="3">
        <v>604000</v>
      </c>
      <c r="R547" t="s">
        <v>23</v>
      </c>
      <c r="S547">
        <v>33.371234999999999</v>
      </c>
      <c r="T547">
        <v>-112.01509</v>
      </c>
    </row>
    <row r="548" spans="2:20" x14ac:dyDescent="0.2">
      <c r="B548" t="s">
        <v>485</v>
      </c>
      <c r="C548" t="s">
        <v>136</v>
      </c>
      <c r="D548" t="s">
        <v>486</v>
      </c>
      <c r="E548" t="s">
        <v>21</v>
      </c>
      <c r="F548" t="s">
        <v>22</v>
      </c>
      <c r="G548" s="1">
        <v>6000</v>
      </c>
      <c r="H548" s="2">
        <v>50</v>
      </c>
      <c r="I548" s="5" t="str">
        <f>CONCATENATE(H548,"x",INT(G548/H548))</f>
        <v>50x120</v>
      </c>
      <c r="J548">
        <v>84</v>
      </c>
      <c r="K548">
        <v>11</v>
      </c>
      <c r="L548" s="3">
        <v>1810</v>
      </c>
      <c r="M548" s="3">
        <v>2630</v>
      </c>
      <c r="N548" s="3">
        <v>2140</v>
      </c>
      <c r="O548" s="3">
        <v>420990</v>
      </c>
      <c r="P548" s="3">
        <v>479990</v>
      </c>
      <c r="Q548" s="3">
        <v>445590</v>
      </c>
      <c r="S548">
        <v>33.564895999999997</v>
      </c>
      <c r="T548">
        <v>-112.44625000000001</v>
      </c>
    </row>
    <row r="549" spans="2:20" x14ac:dyDescent="0.2">
      <c r="B549" t="s">
        <v>819</v>
      </c>
      <c r="C549" t="s">
        <v>820</v>
      </c>
      <c r="E549" t="s">
        <v>21</v>
      </c>
      <c r="F549" t="s">
        <v>22</v>
      </c>
      <c r="G549" s="1">
        <v>11250</v>
      </c>
      <c r="H549" s="2">
        <v>75</v>
      </c>
      <c r="I549" s="5" t="str">
        <f>CONCATENATE(H549,"x",INT(G549/H549))</f>
        <v>75x150</v>
      </c>
      <c r="J549">
        <v>12</v>
      </c>
      <c r="K549">
        <v>11</v>
      </c>
      <c r="L549" s="3">
        <v>2417</v>
      </c>
      <c r="M549" s="3">
        <v>3420</v>
      </c>
      <c r="N549" s="3">
        <v>2793</v>
      </c>
      <c r="O549" s="3">
        <v>1015000</v>
      </c>
      <c r="P549" s="3">
        <v>1495000</v>
      </c>
      <c r="Q549" s="3">
        <v>1178333.3333000001</v>
      </c>
      <c r="R549" t="s">
        <v>23</v>
      </c>
      <c r="S549">
        <v>34.586131999999999</v>
      </c>
      <c r="T549">
        <v>-112.45278</v>
      </c>
    </row>
    <row r="550" spans="2:20" x14ac:dyDescent="0.2">
      <c r="B550" t="s">
        <v>103</v>
      </c>
      <c r="C550" t="s">
        <v>31</v>
      </c>
      <c r="E550" t="s">
        <v>21</v>
      </c>
      <c r="F550" t="s">
        <v>22</v>
      </c>
      <c r="G550" s="1">
        <v>66000</v>
      </c>
      <c r="H550" s="2">
        <v>220</v>
      </c>
      <c r="I550" s="5" t="str">
        <f>CONCATENATE(H550,"x",INT(G550/H550))</f>
        <v>220x300</v>
      </c>
      <c r="J550">
        <v>83</v>
      </c>
      <c r="K550">
        <v>11</v>
      </c>
      <c r="L550" s="3">
        <v>3627</v>
      </c>
      <c r="M550" s="3">
        <v>5006</v>
      </c>
      <c r="N550" s="3">
        <v>4268</v>
      </c>
      <c r="O550" s="3">
        <v>2615995</v>
      </c>
      <c r="P550" s="3">
        <v>2929995</v>
      </c>
      <c r="Q550" s="3">
        <v>2395106.6666000001</v>
      </c>
      <c r="R550" t="s">
        <v>23</v>
      </c>
      <c r="S550">
        <v>33.701832000000003</v>
      </c>
      <c r="T550">
        <v>-111.81236</v>
      </c>
    </row>
    <row r="551" spans="2:20" x14ac:dyDescent="0.2">
      <c r="B551" t="s">
        <v>630</v>
      </c>
      <c r="C551" t="s">
        <v>31</v>
      </c>
      <c r="D551" t="s">
        <v>379</v>
      </c>
      <c r="E551" t="s">
        <v>21</v>
      </c>
      <c r="F551" t="s">
        <v>22</v>
      </c>
      <c r="G551" s="1">
        <v>7250</v>
      </c>
      <c r="H551" s="2">
        <v>58</v>
      </c>
      <c r="I551" s="5" t="str">
        <f>CONCATENATE(H551,"x",INT(G551/H551))</f>
        <v>58x125</v>
      </c>
      <c r="J551">
        <v>107</v>
      </c>
      <c r="K551">
        <v>11</v>
      </c>
      <c r="L551" s="3">
        <v>2631</v>
      </c>
      <c r="M551" s="3">
        <v>3582</v>
      </c>
      <c r="N551" s="3">
        <v>3038</v>
      </c>
      <c r="O551" s="3">
        <v>691995</v>
      </c>
      <c r="P551" s="3">
        <v>859995</v>
      </c>
      <c r="Q551" s="3">
        <v>764394</v>
      </c>
      <c r="S551">
        <v>33.313079999999999</v>
      </c>
      <c r="T551">
        <v>-111.61465</v>
      </c>
    </row>
    <row r="552" spans="2:20" x14ac:dyDescent="0.2">
      <c r="B552" t="s">
        <v>749</v>
      </c>
      <c r="C552" t="s">
        <v>57</v>
      </c>
      <c r="E552" t="s">
        <v>21</v>
      </c>
      <c r="F552" t="s">
        <v>22</v>
      </c>
      <c r="G552" s="1">
        <v>9100</v>
      </c>
      <c r="H552" s="2">
        <v>65</v>
      </c>
      <c r="I552" s="5" t="str">
        <f>CONCATENATE(H552,"x",INT(G552/H552))</f>
        <v>65x140</v>
      </c>
      <c r="J552">
        <v>2</v>
      </c>
      <c r="K552">
        <v>10</v>
      </c>
      <c r="L552" s="3">
        <v>3034</v>
      </c>
      <c r="M552" s="3">
        <v>3228</v>
      </c>
      <c r="N552" s="3">
        <v>3131</v>
      </c>
      <c r="O552" s="3">
        <v>1839900</v>
      </c>
      <c r="P552" s="3">
        <v>1845900</v>
      </c>
      <c r="Q552" s="3">
        <v>1842900</v>
      </c>
      <c r="R552" t="s">
        <v>23</v>
      </c>
      <c r="S552">
        <v>33.582062000000001</v>
      </c>
      <c r="T552">
        <v>-111.80396</v>
      </c>
    </row>
    <row r="553" spans="2:20" x14ac:dyDescent="0.2">
      <c r="B553" t="s">
        <v>561</v>
      </c>
      <c r="C553" t="s">
        <v>520</v>
      </c>
      <c r="D553" t="s">
        <v>396</v>
      </c>
      <c r="E553" t="s">
        <v>21</v>
      </c>
      <c r="F553" t="s">
        <v>22</v>
      </c>
      <c r="G553" s="1">
        <v>6325</v>
      </c>
      <c r="H553" s="2">
        <v>55</v>
      </c>
      <c r="I553" s="5" t="str">
        <f>CONCATENATE(H553,"x",INT(G553/H553))</f>
        <v>55x115</v>
      </c>
      <c r="J553">
        <v>86</v>
      </c>
      <c r="K553">
        <v>10</v>
      </c>
      <c r="L553" s="3">
        <v>1231</v>
      </c>
      <c r="M553" s="3">
        <v>1634</v>
      </c>
      <c r="N553" s="3">
        <v>1416</v>
      </c>
      <c r="O553" s="3">
        <v>470775</v>
      </c>
      <c r="P553" s="3">
        <v>578501</v>
      </c>
      <c r="Q553" s="3">
        <v>505025.5</v>
      </c>
      <c r="S553">
        <v>34.608424999999997</v>
      </c>
      <c r="T553">
        <v>-112.36275000000001</v>
      </c>
    </row>
    <row r="554" spans="2:20" x14ac:dyDescent="0.2">
      <c r="B554" t="s">
        <v>549</v>
      </c>
      <c r="C554" t="s">
        <v>550</v>
      </c>
      <c r="E554" t="s">
        <v>21</v>
      </c>
      <c r="F554" t="s">
        <v>22</v>
      </c>
      <c r="G554" s="1">
        <v>6050</v>
      </c>
      <c r="H554" s="2">
        <v>55</v>
      </c>
      <c r="I554" s="5" t="str">
        <f>CONCATENATE(H554,"x",INT(G554/H554))</f>
        <v>55x110</v>
      </c>
      <c r="J554">
        <v>8</v>
      </c>
      <c r="K554">
        <v>10</v>
      </c>
      <c r="L554" s="3">
        <v>2260</v>
      </c>
      <c r="M554" s="3">
        <v>3592</v>
      </c>
      <c r="N554" s="3">
        <v>2600</v>
      </c>
      <c r="O554" s="3">
        <v>679990</v>
      </c>
      <c r="P554" s="3">
        <v>759990</v>
      </c>
      <c r="Q554" s="3">
        <v>701490</v>
      </c>
      <c r="S554">
        <v>33.320328000000003</v>
      </c>
      <c r="T554">
        <v>-111.76379</v>
      </c>
    </row>
    <row r="555" spans="2:20" x14ac:dyDescent="0.2">
      <c r="B555" t="s">
        <v>64</v>
      </c>
      <c r="C555" t="s">
        <v>65</v>
      </c>
      <c r="D555" t="s">
        <v>28</v>
      </c>
      <c r="E555" t="s">
        <v>21</v>
      </c>
      <c r="F555" t="s">
        <v>22</v>
      </c>
      <c r="G555" s="1">
        <v>17290</v>
      </c>
      <c r="H555" s="2">
        <v>130</v>
      </c>
      <c r="I555" s="5" t="str">
        <f>CONCATENATE(H555,"x",INT(G555/H555))</f>
        <v>130x133</v>
      </c>
      <c r="J555">
        <v>9</v>
      </c>
      <c r="K555">
        <v>10</v>
      </c>
      <c r="L555" s="3">
        <v>3654</v>
      </c>
      <c r="M555" s="3">
        <v>4209</v>
      </c>
      <c r="N555" s="3">
        <v>4003</v>
      </c>
      <c r="O555" s="3">
        <v>1699990</v>
      </c>
      <c r="P555" s="3">
        <v>1889990</v>
      </c>
      <c r="Q555" s="3">
        <v>1786240</v>
      </c>
      <c r="R555" t="s">
        <v>23</v>
      </c>
      <c r="S555">
        <v>33.712189000000002</v>
      </c>
      <c r="T555">
        <v>-111.79469</v>
      </c>
    </row>
    <row r="556" spans="2:20" x14ac:dyDescent="0.2">
      <c r="B556" t="s">
        <v>291</v>
      </c>
      <c r="C556" t="s">
        <v>68</v>
      </c>
      <c r="D556" t="s">
        <v>249</v>
      </c>
      <c r="E556" t="s">
        <v>21</v>
      </c>
      <c r="F556" t="s">
        <v>22</v>
      </c>
      <c r="G556" s="1">
        <v>5175</v>
      </c>
      <c r="H556" s="2">
        <v>45</v>
      </c>
      <c r="I556" s="5" t="str">
        <f>CONCATENATE(H556,"x",INT(G556/H556))</f>
        <v>45x115</v>
      </c>
      <c r="J556">
        <v>72</v>
      </c>
      <c r="K556">
        <v>10</v>
      </c>
      <c r="L556" s="3">
        <v>1746</v>
      </c>
      <c r="M556" s="3">
        <v>2648</v>
      </c>
      <c r="N556" s="3">
        <v>2106</v>
      </c>
      <c r="O556" s="3">
        <v>420490</v>
      </c>
      <c r="P556" s="3">
        <v>492490</v>
      </c>
      <c r="Q556" s="3">
        <v>454490</v>
      </c>
      <c r="S556">
        <v>33.405768999999999</v>
      </c>
      <c r="T556">
        <v>-112.30928</v>
      </c>
    </row>
    <row r="557" spans="2:20" x14ac:dyDescent="0.2">
      <c r="B557" t="s">
        <v>809</v>
      </c>
      <c r="C557" t="s">
        <v>38</v>
      </c>
      <c r="D557" t="s">
        <v>552</v>
      </c>
      <c r="E557" t="s">
        <v>21</v>
      </c>
      <c r="F557" t="s">
        <v>22</v>
      </c>
      <c r="G557" s="1">
        <v>7875</v>
      </c>
      <c r="H557" s="2">
        <v>75</v>
      </c>
      <c r="I557" s="5" t="str">
        <f>CONCATENATE(H557,"x",INT(G557/H557))</f>
        <v>75x105</v>
      </c>
      <c r="J557">
        <v>147</v>
      </c>
      <c r="K557">
        <v>10</v>
      </c>
      <c r="L557" s="3">
        <v>2337</v>
      </c>
      <c r="M557" s="3">
        <v>2499</v>
      </c>
      <c r="N557" s="3">
        <v>2425</v>
      </c>
      <c r="O557" s="3">
        <v>548990</v>
      </c>
      <c r="P557" s="3">
        <v>568990</v>
      </c>
      <c r="Q557" s="3">
        <v>560323.33330000006</v>
      </c>
      <c r="R557" t="s">
        <v>190</v>
      </c>
      <c r="S557">
        <v>33.243834999999997</v>
      </c>
      <c r="T557">
        <v>-111.58128000000001</v>
      </c>
    </row>
    <row r="558" spans="2:20" x14ac:dyDescent="0.2">
      <c r="B558" t="s">
        <v>857</v>
      </c>
      <c r="C558" t="s">
        <v>38</v>
      </c>
      <c r="D558" t="s">
        <v>28</v>
      </c>
      <c r="E558" t="s">
        <v>21</v>
      </c>
      <c r="F558" t="s">
        <v>22</v>
      </c>
      <c r="G558" s="1">
        <v>11700</v>
      </c>
      <c r="H558" s="2">
        <v>90</v>
      </c>
      <c r="I558" s="5" t="str">
        <f>CONCATENATE(H558,"x",INT(G558/H558))</f>
        <v>90x130</v>
      </c>
      <c r="J558">
        <v>27</v>
      </c>
      <c r="K558">
        <v>10</v>
      </c>
      <c r="L558" s="3">
        <v>4082</v>
      </c>
      <c r="M558" s="3">
        <v>4333</v>
      </c>
      <c r="N558" s="3">
        <v>4207</v>
      </c>
      <c r="O558" s="3">
        <v>1462990</v>
      </c>
      <c r="P558" s="3">
        <v>1479990</v>
      </c>
      <c r="Q558" s="3">
        <v>1471490</v>
      </c>
      <c r="S558">
        <v>33.707141999999997</v>
      </c>
      <c r="T558">
        <v>-111.79752000000001</v>
      </c>
    </row>
    <row r="559" spans="2:20" x14ac:dyDescent="0.2">
      <c r="B559" t="s">
        <v>342</v>
      </c>
      <c r="C559" t="s">
        <v>350</v>
      </c>
      <c r="D559" t="s">
        <v>343</v>
      </c>
      <c r="E559" t="s">
        <v>21</v>
      </c>
      <c r="F559" t="s">
        <v>22</v>
      </c>
      <c r="G559" s="1">
        <v>6000</v>
      </c>
      <c r="H559" s="2">
        <v>45</v>
      </c>
      <c r="I559" s="5" t="str">
        <f>CONCATENATE(H559,"x",INT(G559/H559))</f>
        <v>45x133</v>
      </c>
      <c r="J559">
        <v>71</v>
      </c>
      <c r="K559">
        <v>9</v>
      </c>
      <c r="L559" s="3">
        <v>1715</v>
      </c>
      <c r="M559" s="3">
        <v>2936</v>
      </c>
      <c r="N559" s="3">
        <v>2273</v>
      </c>
      <c r="O559" s="3">
        <v>804950</v>
      </c>
      <c r="P559" s="3">
        <v>937950</v>
      </c>
      <c r="Q559" s="3">
        <v>868200</v>
      </c>
      <c r="R559" t="s">
        <v>23</v>
      </c>
      <c r="S559">
        <v>33.683318999999997</v>
      </c>
      <c r="T559">
        <v>-111.95313</v>
      </c>
    </row>
    <row r="560" spans="2:20" x14ac:dyDescent="0.2">
      <c r="B560" t="s">
        <v>334</v>
      </c>
      <c r="C560" t="s">
        <v>272</v>
      </c>
      <c r="E560" t="s">
        <v>21</v>
      </c>
      <c r="F560" t="s">
        <v>22</v>
      </c>
      <c r="G560" s="1">
        <v>5400</v>
      </c>
      <c r="H560" s="2">
        <v>45</v>
      </c>
      <c r="I560" s="5" t="str">
        <f>CONCATENATE(H560,"x",INT(G560/H560))</f>
        <v>45x120</v>
      </c>
      <c r="J560">
        <v>76</v>
      </c>
      <c r="K560">
        <v>9</v>
      </c>
      <c r="L560" s="3">
        <v>1486</v>
      </c>
      <c r="M560" s="3">
        <v>2593</v>
      </c>
      <c r="N560" s="3">
        <v>1994</v>
      </c>
      <c r="O560" s="3">
        <v>370990</v>
      </c>
      <c r="P560" s="3">
        <v>459990</v>
      </c>
      <c r="Q560" s="3">
        <v>408990</v>
      </c>
      <c r="S560">
        <v>33.597178999999997</v>
      </c>
      <c r="T560">
        <v>-112.43487</v>
      </c>
    </row>
    <row r="561" spans="2:20" x14ac:dyDescent="0.2">
      <c r="B561" t="s">
        <v>787</v>
      </c>
      <c r="C561" t="s">
        <v>29</v>
      </c>
      <c r="D561" t="s">
        <v>265</v>
      </c>
      <c r="E561" t="s">
        <v>21</v>
      </c>
      <c r="F561" t="s">
        <v>22</v>
      </c>
      <c r="G561" s="1">
        <v>8750</v>
      </c>
      <c r="H561" s="2">
        <v>70</v>
      </c>
      <c r="I561" s="5" t="str">
        <f>CONCATENATE(H561,"x",INT(G561/H561))</f>
        <v>70x125</v>
      </c>
      <c r="J561">
        <v>51</v>
      </c>
      <c r="K561">
        <v>9</v>
      </c>
      <c r="L561" s="3">
        <v>2497</v>
      </c>
      <c r="M561" s="3">
        <v>3297</v>
      </c>
      <c r="N561" s="3">
        <v>2948</v>
      </c>
      <c r="O561" s="3">
        <v>830990</v>
      </c>
      <c r="P561" s="3">
        <v>891990</v>
      </c>
      <c r="Q561" s="3">
        <v>864490</v>
      </c>
      <c r="S561">
        <v>33.779881000000003</v>
      </c>
      <c r="T561">
        <v>-112.34647</v>
      </c>
    </row>
    <row r="562" spans="2:20" x14ac:dyDescent="0.2">
      <c r="B562" t="s">
        <v>615</v>
      </c>
      <c r="C562" t="s">
        <v>123</v>
      </c>
      <c r="D562" t="s">
        <v>179</v>
      </c>
      <c r="E562" t="s">
        <v>21</v>
      </c>
      <c r="F562" t="s">
        <v>22</v>
      </c>
      <c r="G562" s="1">
        <v>6670</v>
      </c>
      <c r="H562" s="2">
        <v>58</v>
      </c>
      <c r="I562" s="5" t="str">
        <f>CONCATENATE(H562,"x",INT(G562/H562))</f>
        <v>58x115</v>
      </c>
      <c r="J562">
        <v>33</v>
      </c>
      <c r="K562">
        <v>9</v>
      </c>
      <c r="L562" s="3">
        <v>2088</v>
      </c>
      <c r="M562" s="3">
        <v>3240</v>
      </c>
      <c r="N562" s="3">
        <v>2574</v>
      </c>
      <c r="O562" s="3">
        <v>404990</v>
      </c>
      <c r="P562" s="3">
        <v>474990</v>
      </c>
      <c r="Q562" s="3">
        <v>437990</v>
      </c>
      <c r="S562">
        <v>33.690444999999997</v>
      </c>
      <c r="T562">
        <v>-112.45565999999999</v>
      </c>
    </row>
    <row r="563" spans="2:20" x14ac:dyDescent="0.2">
      <c r="B563" t="s">
        <v>625</v>
      </c>
      <c r="C563" t="s">
        <v>151</v>
      </c>
      <c r="E563" t="s">
        <v>21</v>
      </c>
      <c r="F563" t="s">
        <v>22</v>
      </c>
      <c r="G563" s="1">
        <v>6960</v>
      </c>
      <c r="H563" s="2">
        <v>58</v>
      </c>
      <c r="I563" s="5" t="str">
        <f>CONCATENATE(H563,"x",INT(G563/H563))</f>
        <v>58x120</v>
      </c>
      <c r="J563">
        <v>58</v>
      </c>
      <c r="K563">
        <v>9</v>
      </c>
      <c r="L563" s="3">
        <v>2172</v>
      </c>
      <c r="M563" s="3">
        <v>2821</v>
      </c>
      <c r="N563" s="3">
        <v>2441</v>
      </c>
      <c r="O563" s="3">
        <v>407990</v>
      </c>
      <c r="P563" s="3">
        <v>450990</v>
      </c>
      <c r="Q563" s="3">
        <v>424990</v>
      </c>
      <c r="S563">
        <v>33.424847</v>
      </c>
      <c r="T563">
        <v>-112.57973</v>
      </c>
    </row>
    <row r="564" spans="2:20" x14ac:dyDescent="0.2">
      <c r="B564" t="s">
        <v>399</v>
      </c>
      <c r="C564" t="s">
        <v>136</v>
      </c>
      <c r="D564" t="s">
        <v>203</v>
      </c>
      <c r="E564" t="s">
        <v>21</v>
      </c>
      <c r="F564" t="s">
        <v>22</v>
      </c>
      <c r="G564" s="1">
        <v>5500</v>
      </c>
      <c r="H564" s="2">
        <v>50</v>
      </c>
      <c r="I564" s="5" t="str">
        <f>CONCATENATE(H564,"x",INT(G564/H564))</f>
        <v>50x110</v>
      </c>
      <c r="J564">
        <v>75</v>
      </c>
      <c r="K564">
        <v>9</v>
      </c>
      <c r="L564" s="3">
        <v>1560</v>
      </c>
      <c r="M564" s="3">
        <v>2630</v>
      </c>
      <c r="N564" s="3">
        <v>1915</v>
      </c>
      <c r="O564" s="3">
        <v>293990</v>
      </c>
      <c r="P564" s="3">
        <v>341990</v>
      </c>
      <c r="Q564" s="3">
        <v>312990</v>
      </c>
      <c r="S564">
        <v>32.988498999999997</v>
      </c>
      <c r="T564">
        <v>-111.54777</v>
      </c>
    </row>
    <row r="565" spans="2:20" x14ac:dyDescent="0.2">
      <c r="B565" t="s">
        <v>789</v>
      </c>
      <c r="C565" t="s">
        <v>70</v>
      </c>
      <c r="E565" t="s">
        <v>21</v>
      </c>
      <c r="F565" t="s">
        <v>22</v>
      </c>
      <c r="G565" s="1">
        <v>8820</v>
      </c>
      <c r="H565" s="2">
        <v>70</v>
      </c>
      <c r="I565" s="5" t="str">
        <f>CONCATENATE(H565,"x",INT(G565/H565))</f>
        <v>70x126</v>
      </c>
      <c r="J565">
        <v>15</v>
      </c>
      <c r="K565">
        <v>8</v>
      </c>
      <c r="L565" s="3">
        <v>2882</v>
      </c>
      <c r="M565" s="3">
        <v>3264</v>
      </c>
      <c r="N565" s="3">
        <v>3101</v>
      </c>
      <c r="O565" s="3">
        <v>905000</v>
      </c>
      <c r="P565" s="3">
        <v>995000</v>
      </c>
      <c r="Q565" s="3">
        <v>958333.33330000006</v>
      </c>
      <c r="S565">
        <v>33.749313000000001</v>
      </c>
      <c r="T565">
        <v>-111.99024</v>
      </c>
    </row>
    <row r="566" spans="2:20" x14ac:dyDescent="0.2">
      <c r="B566" t="s">
        <v>840</v>
      </c>
      <c r="C566" t="s">
        <v>57</v>
      </c>
      <c r="E566" t="s">
        <v>21</v>
      </c>
      <c r="F566" t="s">
        <v>22</v>
      </c>
      <c r="G566" s="1">
        <v>12000</v>
      </c>
      <c r="H566" s="2">
        <v>80</v>
      </c>
      <c r="I566" s="5" t="str">
        <f>CONCATENATE(H566,"x",INT(G566/H566))</f>
        <v>80x150</v>
      </c>
      <c r="J566">
        <v>6</v>
      </c>
      <c r="K566">
        <v>8</v>
      </c>
      <c r="L566" s="3">
        <v>3094</v>
      </c>
      <c r="M566" s="3">
        <v>3693</v>
      </c>
      <c r="N566" s="3">
        <v>3504</v>
      </c>
      <c r="O566" s="3">
        <v>1509900</v>
      </c>
      <c r="P566" s="3">
        <v>1659900</v>
      </c>
      <c r="Q566" s="3">
        <v>1604900</v>
      </c>
      <c r="R566" t="s">
        <v>23</v>
      </c>
      <c r="S566">
        <v>33.547604</v>
      </c>
      <c r="T566">
        <v>-112.09171000000001</v>
      </c>
    </row>
    <row r="567" spans="2:20" x14ac:dyDescent="0.2">
      <c r="B567" t="s">
        <v>80</v>
      </c>
      <c r="C567" t="s">
        <v>33</v>
      </c>
      <c r="E567" t="s">
        <v>21</v>
      </c>
      <c r="F567" t="s">
        <v>22</v>
      </c>
      <c r="G567" s="1">
        <v>45000</v>
      </c>
      <c r="H567" s="2">
        <v>150</v>
      </c>
      <c r="I567" s="5" t="str">
        <f>CONCATENATE(H567,"x",INT(G567/H567))</f>
        <v>150x300</v>
      </c>
      <c r="J567">
        <v>14</v>
      </c>
      <c r="K567">
        <v>8</v>
      </c>
      <c r="L567" s="3">
        <v>2202</v>
      </c>
      <c r="M567" s="3">
        <v>3770</v>
      </c>
      <c r="N567" s="3">
        <v>3050</v>
      </c>
      <c r="O567" s="3">
        <v>785900</v>
      </c>
      <c r="P567" s="3">
        <v>985900</v>
      </c>
      <c r="Q567" s="3">
        <v>898900</v>
      </c>
      <c r="S567">
        <v>32.437069000000001</v>
      </c>
      <c r="T567">
        <v>-111.05981</v>
      </c>
    </row>
    <row r="568" spans="2:20" x14ac:dyDescent="0.2">
      <c r="B568" t="s">
        <v>626</v>
      </c>
      <c r="C568" t="s">
        <v>181</v>
      </c>
      <c r="D568" t="s">
        <v>182</v>
      </c>
      <c r="E568" t="s">
        <v>21</v>
      </c>
      <c r="F568" t="s">
        <v>22</v>
      </c>
      <c r="G568" s="1">
        <v>6960</v>
      </c>
      <c r="H568" s="2">
        <v>58</v>
      </c>
      <c r="I568" s="5" t="str">
        <f>CONCATENATE(H568,"x",INT(G568/H568))</f>
        <v>58x120</v>
      </c>
      <c r="J568">
        <v>122</v>
      </c>
      <c r="K568">
        <v>8</v>
      </c>
      <c r="L568" s="3">
        <v>1909</v>
      </c>
      <c r="M568" s="3">
        <v>3474</v>
      </c>
      <c r="N568" s="3">
        <v>2581</v>
      </c>
      <c r="O568" s="3">
        <v>528235</v>
      </c>
      <c r="P568" s="3">
        <v>649554</v>
      </c>
      <c r="Q568" s="3">
        <v>583716.19999999995</v>
      </c>
      <c r="S568">
        <v>33.607177999999998</v>
      </c>
      <c r="T568">
        <v>-112.37367</v>
      </c>
    </row>
    <row r="569" spans="2:20" x14ac:dyDescent="0.2">
      <c r="B569" t="s">
        <v>374</v>
      </c>
      <c r="C569" t="s">
        <v>218</v>
      </c>
      <c r="E569" t="s">
        <v>21</v>
      </c>
      <c r="F569" t="s">
        <v>22</v>
      </c>
      <c r="G569" s="1">
        <v>5760</v>
      </c>
      <c r="H569" s="2">
        <v>48</v>
      </c>
      <c r="I569" s="5" t="str">
        <f>CONCATENATE(H569,"x",INT(G569/H569))</f>
        <v>48x120</v>
      </c>
      <c r="J569">
        <v>148</v>
      </c>
      <c r="K569">
        <v>8</v>
      </c>
      <c r="L569" s="3">
        <v>1540</v>
      </c>
      <c r="M569" s="3">
        <v>2488</v>
      </c>
      <c r="N569" s="3">
        <v>1999</v>
      </c>
      <c r="O569" s="3">
        <v>354900</v>
      </c>
      <c r="P569" s="3">
        <v>422900</v>
      </c>
      <c r="Q569" s="3">
        <v>385150</v>
      </c>
      <c r="S569">
        <v>33.368465</v>
      </c>
      <c r="T569">
        <v>-112.60630999999999</v>
      </c>
    </row>
    <row r="570" spans="2:20" x14ac:dyDescent="0.2">
      <c r="B570" t="s">
        <v>292</v>
      </c>
      <c r="C570" t="s">
        <v>114</v>
      </c>
      <c r="D570" t="s">
        <v>293</v>
      </c>
      <c r="E570" t="s">
        <v>21</v>
      </c>
      <c r="F570" t="s">
        <v>22</v>
      </c>
      <c r="G570" s="1">
        <v>5175</v>
      </c>
      <c r="H570" s="2">
        <v>45</v>
      </c>
      <c r="I570" s="5" t="str">
        <f>CONCATENATE(H570,"x",INT(G570/H570))</f>
        <v>45x115</v>
      </c>
      <c r="J570">
        <v>114</v>
      </c>
      <c r="K570">
        <v>8</v>
      </c>
      <c r="L570" s="3">
        <v>1568</v>
      </c>
      <c r="M570" s="3">
        <v>2049</v>
      </c>
      <c r="N570" s="3">
        <v>1816</v>
      </c>
      <c r="O570" s="3">
        <v>412990</v>
      </c>
      <c r="P570" s="3">
        <v>448990</v>
      </c>
      <c r="Q570" s="3">
        <v>429990</v>
      </c>
      <c r="S570">
        <v>33.365977999999998</v>
      </c>
      <c r="T570">
        <v>-112.20487</v>
      </c>
    </row>
    <row r="571" spans="2:20" x14ac:dyDescent="0.2">
      <c r="B571" t="s">
        <v>336</v>
      </c>
      <c r="C571" t="s">
        <v>114</v>
      </c>
      <c r="D571" t="s">
        <v>337</v>
      </c>
      <c r="E571" t="s">
        <v>21</v>
      </c>
      <c r="F571" t="s">
        <v>22</v>
      </c>
      <c r="G571" s="1">
        <v>5400</v>
      </c>
      <c r="H571" s="2">
        <v>45</v>
      </c>
      <c r="I571" s="5" t="str">
        <f>CONCATENATE(H571,"x",INT(G571/H571))</f>
        <v>45x120</v>
      </c>
      <c r="J571">
        <v>68</v>
      </c>
      <c r="K571">
        <v>8</v>
      </c>
      <c r="L571" s="3">
        <v>1967</v>
      </c>
      <c r="M571" s="3">
        <v>2917</v>
      </c>
      <c r="N571" s="3">
        <v>2432</v>
      </c>
      <c r="O571" s="3">
        <v>368990</v>
      </c>
      <c r="P571" s="3">
        <v>412990</v>
      </c>
      <c r="Q571" s="3">
        <v>388390</v>
      </c>
      <c r="S571">
        <v>32.052162000000003</v>
      </c>
      <c r="T571">
        <v>-110.69576000000001</v>
      </c>
    </row>
    <row r="572" spans="2:20" x14ac:dyDescent="0.2">
      <c r="B572" t="s">
        <v>335</v>
      </c>
      <c r="C572" t="s">
        <v>151</v>
      </c>
      <c r="D572" t="s">
        <v>293</v>
      </c>
      <c r="E572" t="s">
        <v>21</v>
      </c>
      <c r="F572" t="s">
        <v>22</v>
      </c>
      <c r="G572" s="1">
        <v>5400</v>
      </c>
      <c r="H572" s="2">
        <v>45</v>
      </c>
      <c r="I572" s="5" t="str">
        <f>CONCATENATE(H572,"x",INT(G572/H572))</f>
        <v>45x120</v>
      </c>
      <c r="J572">
        <v>111</v>
      </c>
      <c r="K572">
        <v>8</v>
      </c>
      <c r="L572" s="3">
        <v>1480</v>
      </c>
      <c r="M572" s="3">
        <v>2592</v>
      </c>
      <c r="N572" s="3">
        <v>2044</v>
      </c>
      <c r="O572" s="3">
        <v>382990</v>
      </c>
      <c r="P572" s="3">
        <v>458990</v>
      </c>
      <c r="Q572" s="3">
        <v>417823.3333</v>
      </c>
      <c r="S572">
        <v>33.365101000000003</v>
      </c>
      <c r="T572">
        <v>-112.20829999999999</v>
      </c>
    </row>
    <row r="573" spans="2:20" x14ac:dyDescent="0.2">
      <c r="B573" t="s">
        <v>488</v>
      </c>
      <c r="C573" t="s">
        <v>136</v>
      </c>
      <c r="D573" t="s">
        <v>475</v>
      </c>
      <c r="E573" t="s">
        <v>21</v>
      </c>
      <c r="F573" t="s">
        <v>22</v>
      </c>
      <c r="G573" s="1">
        <v>6000</v>
      </c>
      <c r="H573" s="2">
        <v>50</v>
      </c>
      <c r="I573" s="5" t="str">
        <f>CONCATENATE(H573,"x",INT(G573/H573))</f>
        <v>50x120</v>
      </c>
      <c r="J573">
        <v>106</v>
      </c>
      <c r="K573">
        <v>8</v>
      </c>
      <c r="L573" s="3">
        <v>2090</v>
      </c>
      <c r="M573" s="3">
        <v>2090</v>
      </c>
      <c r="N573" s="3">
        <v>2090</v>
      </c>
      <c r="O573" s="3">
        <v>393990</v>
      </c>
      <c r="P573" s="3">
        <v>393990</v>
      </c>
      <c r="Q573" s="3">
        <v>393990</v>
      </c>
      <c r="S573">
        <v>33.729362000000002</v>
      </c>
      <c r="T573">
        <v>-112.44423999999999</v>
      </c>
    </row>
    <row r="574" spans="2:20" x14ac:dyDescent="0.2">
      <c r="B574" t="s">
        <v>707</v>
      </c>
      <c r="C574" t="s">
        <v>136</v>
      </c>
      <c r="D574" t="s">
        <v>203</v>
      </c>
      <c r="E574" t="s">
        <v>21</v>
      </c>
      <c r="F574" t="s">
        <v>22</v>
      </c>
      <c r="G574" s="1">
        <v>7245</v>
      </c>
      <c r="H574" s="2">
        <v>63</v>
      </c>
      <c r="I574" s="5" t="str">
        <f>CONCATENATE(H574,"x",INT(G574/H574))</f>
        <v>63x115</v>
      </c>
      <c r="J574">
        <v>2</v>
      </c>
      <c r="K574">
        <v>8</v>
      </c>
      <c r="L574" s="3">
        <v>1738</v>
      </c>
      <c r="M574" s="3">
        <v>2078</v>
      </c>
      <c r="N574" s="3">
        <v>1880</v>
      </c>
      <c r="O574" s="3">
        <v>346990</v>
      </c>
      <c r="P574" s="3">
        <v>378990</v>
      </c>
      <c r="Q574" s="3">
        <v>364323.3333</v>
      </c>
      <c r="S574">
        <v>32.991840000000003</v>
      </c>
      <c r="T574">
        <v>-111.54774</v>
      </c>
    </row>
    <row r="575" spans="2:20" x14ac:dyDescent="0.2">
      <c r="B575" t="s">
        <v>827</v>
      </c>
      <c r="C575" t="s">
        <v>136</v>
      </c>
      <c r="D575" t="s">
        <v>158</v>
      </c>
      <c r="E575" t="s">
        <v>21</v>
      </c>
      <c r="F575" t="s">
        <v>22</v>
      </c>
      <c r="G575" s="1">
        <v>9600</v>
      </c>
      <c r="H575" s="2">
        <v>80</v>
      </c>
      <c r="I575" s="5" t="str">
        <f>CONCATENATE(H575,"x",INT(G575/H575))</f>
        <v>80x120</v>
      </c>
      <c r="J575">
        <v>114</v>
      </c>
      <c r="K575">
        <v>8</v>
      </c>
      <c r="L575" s="3">
        <v>1690</v>
      </c>
      <c r="M575" s="3">
        <v>2646</v>
      </c>
      <c r="N575" s="3">
        <v>2266</v>
      </c>
      <c r="O575" s="3">
        <v>473990</v>
      </c>
      <c r="P575" s="3">
        <v>534990</v>
      </c>
      <c r="Q575" s="3">
        <v>502847.14279999997</v>
      </c>
      <c r="S575">
        <v>33.082932</v>
      </c>
      <c r="T575">
        <v>-111.99965</v>
      </c>
    </row>
    <row r="576" spans="2:20" x14ac:dyDescent="0.2">
      <c r="B576" t="s">
        <v>894</v>
      </c>
      <c r="C576" t="s">
        <v>871</v>
      </c>
      <c r="D576" t="s">
        <v>895</v>
      </c>
      <c r="E576" t="s">
        <v>872</v>
      </c>
      <c r="F576" t="s">
        <v>873</v>
      </c>
      <c r="G576" s="1">
        <v>0</v>
      </c>
      <c r="H576" s="1">
        <v>0</v>
      </c>
      <c r="I576" s="5" t="s">
        <v>874</v>
      </c>
      <c r="J576">
        <v>270</v>
      </c>
      <c r="K576">
        <v>8</v>
      </c>
      <c r="L576" s="3">
        <v>862</v>
      </c>
      <c r="M576" s="3">
        <v>1348</v>
      </c>
      <c r="N576" s="3">
        <v>1105</v>
      </c>
      <c r="O576" s="3">
        <v>385000</v>
      </c>
      <c r="P576" s="3">
        <v>520000</v>
      </c>
      <c r="Q576" s="3">
        <v>452500</v>
      </c>
      <c r="R576" t="s">
        <v>873</v>
      </c>
      <c r="S576">
        <v>33.260520999999997</v>
      </c>
      <c r="T576">
        <v>-111.88446999999999</v>
      </c>
    </row>
    <row r="577" spans="2:20" x14ac:dyDescent="0.2">
      <c r="B577" t="s">
        <v>66</v>
      </c>
      <c r="C577" t="s">
        <v>31</v>
      </c>
      <c r="E577" t="s">
        <v>21</v>
      </c>
      <c r="F577" t="s">
        <v>22</v>
      </c>
      <c r="G577" s="1">
        <v>18120</v>
      </c>
      <c r="H577" s="2">
        <v>130</v>
      </c>
      <c r="I577" s="5" t="str">
        <f>CONCATENATE(H577,"x",INT(G577/H577))</f>
        <v>130x139</v>
      </c>
      <c r="J577">
        <v>120</v>
      </c>
      <c r="K577">
        <v>8</v>
      </c>
      <c r="L577" s="3">
        <v>3464</v>
      </c>
      <c r="M577" s="3">
        <v>4898</v>
      </c>
      <c r="N577" s="3">
        <v>4057</v>
      </c>
      <c r="O577" s="3">
        <v>1093995</v>
      </c>
      <c r="P577" s="3">
        <v>1949995</v>
      </c>
      <c r="Q577" s="3">
        <v>1353495</v>
      </c>
      <c r="R577" t="s">
        <v>23</v>
      </c>
      <c r="S577">
        <v>33.221519000000001</v>
      </c>
      <c r="T577">
        <v>-111.65479000000001</v>
      </c>
    </row>
    <row r="578" spans="2:20" x14ac:dyDescent="0.2">
      <c r="B578" t="s">
        <v>750</v>
      </c>
      <c r="C578" t="s">
        <v>350</v>
      </c>
      <c r="E578" t="s">
        <v>21</v>
      </c>
      <c r="F578" t="s">
        <v>22</v>
      </c>
      <c r="G578" s="1">
        <v>9100</v>
      </c>
      <c r="H578" s="2">
        <v>65</v>
      </c>
      <c r="I578" s="5" t="str">
        <f>CONCATENATE(H578,"x",INT(G578/H578))</f>
        <v>65x140</v>
      </c>
      <c r="J578">
        <v>31</v>
      </c>
      <c r="K578">
        <v>7</v>
      </c>
      <c r="L578" s="3">
        <v>2357</v>
      </c>
      <c r="M578" s="3">
        <v>3177</v>
      </c>
      <c r="N578" s="3">
        <v>2745</v>
      </c>
      <c r="O578" s="3">
        <v>815950</v>
      </c>
      <c r="P578" s="3">
        <v>906950</v>
      </c>
      <c r="Q578" s="3">
        <v>852450</v>
      </c>
      <c r="R578" t="s">
        <v>23</v>
      </c>
      <c r="S578">
        <v>33.449627</v>
      </c>
      <c r="T578">
        <v>-111.65631999999999</v>
      </c>
    </row>
    <row r="579" spans="2:20" x14ac:dyDescent="0.2">
      <c r="B579" t="s">
        <v>56</v>
      </c>
      <c r="C579" t="s">
        <v>57</v>
      </c>
      <c r="E579" t="s">
        <v>21</v>
      </c>
      <c r="F579" t="s">
        <v>22</v>
      </c>
      <c r="G579" s="1">
        <v>18500</v>
      </c>
      <c r="H579" s="2">
        <v>120</v>
      </c>
      <c r="I579" s="5" t="str">
        <f>CONCATENATE(H579,"x",INT(G579/H579))</f>
        <v>120x154</v>
      </c>
      <c r="J579">
        <v>1</v>
      </c>
      <c r="K579">
        <v>7</v>
      </c>
      <c r="L579" s="3">
        <v>4047</v>
      </c>
      <c r="M579" s="3">
        <v>4289</v>
      </c>
      <c r="N579" s="3">
        <v>4168</v>
      </c>
      <c r="O579" s="3">
        <v>3799900</v>
      </c>
      <c r="P579" s="3">
        <v>3849900</v>
      </c>
      <c r="Q579" s="3">
        <v>3824900</v>
      </c>
      <c r="R579" t="s">
        <v>23</v>
      </c>
      <c r="S579">
        <v>33.519027999999999</v>
      </c>
      <c r="T579">
        <v>-111.91956999999999</v>
      </c>
    </row>
    <row r="580" spans="2:20" x14ac:dyDescent="0.2">
      <c r="B580" t="s">
        <v>430</v>
      </c>
      <c r="C580" t="s">
        <v>118</v>
      </c>
      <c r="D580" t="s">
        <v>431</v>
      </c>
      <c r="E580" t="s">
        <v>21</v>
      </c>
      <c r="F580" t="s">
        <v>22</v>
      </c>
      <c r="G580" s="1">
        <v>5750</v>
      </c>
      <c r="H580" s="2">
        <v>50</v>
      </c>
      <c r="I580" s="5" t="str">
        <f>CONCATENATE(H580,"x",INT(G580/H580))</f>
        <v>50x115</v>
      </c>
      <c r="J580">
        <v>294</v>
      </c>
      <c r="K580">
        <v>7</v>
      </c>
      <c r="L580" s="3">
        <v>1898</v>
      </c>
      <c r="M580" s="3">
        <v>1917</v>
      </c>
      <c r="N580" s="3">
        <v>1907</v>
      </c>
      <c r="O580" s="3">
        <v>546368</v>
      </c>
      <c r="P580" s="3">
        <v>561104</v>
      </c>
      <c r="Q580" s="3">
        <v>553736</v>
      </c>
      <c r="S580">
        <v>33.453983000000001</v>
      </c>
      <c r="T580">
        <v>-112.38491</v>
      </c>
    </row>
    <row r="581" spans="2:20" x14ac:dyDescent="0.2">
      <c r="B581" t="s">
        <v>88</v>
      </c>
      <c r="C581" t="s">
        <v>89</v>
      </c>
      <c r="E581" t="s">
        <v>21</v>
      </c>
      <c r="F581" t="s">
        <v>22</v>
      </c>
      <c r="G581" s="1">
        <v>38750</v>
      </c>
      <c r="H581" s="2">
        <v>155</v>
      </c>
      <c r="I581" s="5" t="str">
        <f>CONCATENATE(H581,"x",INT(G581/H581))</f>
        <v>155x250</v>
      </c>
      <c r="J581">
        <v>14</v>
      </c>
      <c r="K581">
        <v>7</v>
      </c>
      <c r="L581" s="3">
        <v>2322</v>
      </c>
      <c r="M581" s="3">
        <v>3585</v>
      </c>
      <c r="N581" s="3">
        <v>3010</v>
      </c>
      <c r="O581" s="3">
        <v>850000</v>
      </c>
      <c r="P581" s="3">
        <v>2000000</v>
      </c>
      <c r="Q581" s="3">
        <v>1425300</v>
      </c>
      <c r="S581">
        <v>32.422558000000002</v>
      </c>
      <c r="T581">
        <v>-111.02075000000001</v>
      </c>
    </row>
    <row r="582" spans="2:20" x14ac:dyDescent="0.2">
      <c r="B582" t="s">
        <v>388</v>
      </c>
      <c r="C582" t="s">
        <v>123</v>
      </c>
      <c r="D582" t="s">
        <v>124</v>
      </c>
      <c r="E582" t="s">
        <v>21</v>
      </c>
      <c r="F582" t="s">
        <v>22</v>
      </c>
      <c r="G582" s="1">
        <v>5000</v>
      </c>
      <c r="H582" s="2">
        <v>50</v>
      </c>
      <c r="I582" s="5" t="str">
        <f>CONCATENATE(H582,"x",INT(G582/H582))</f>
        <v>50x100</v>
      </c>
      <c r="J582">
        <v>85</v>
      </c>
      <c r="K582">
        <v>7</v>
      </c>
      <c r="L582" s="3">
        <v>1886</v>
      </c>
      <c r="M582" s="3">
        <v>2303</v>
      </c>
      <c r="N582" s="3">
        <v>2104</v>
      </c>
      <c r="O582" s="3">
        <v>466662</v>
      </c>
      <c r="P582" s="3">
        <v>511685</v>
      </c>
      <c r="Q582" s="3">
        <v>486306</v>
      </c>
      <c r="S582">
        <v>33.310355999999999</v>
      </c>
      <c r="T582">
        <v>-112.43556</v>
      </c>
    </row>
    <row r="583" spans="2:20" x14ac:dyDescent="0.2">
      <c r="B583" t="s">
        <v>634</v>
      </c>
      <c r="C583" t="s">
        <v>635</v>
      </c>
      <c r="E583" t="s">
        <v>21</v>
      </c>
      <c r="F583" t="s">
        <v>22</v>
      </c>
      <c r="G583" s="1">
        <v>6000</v>
      </c>
      <c r="H583" s="2">
        <v>60</v>
      </c>
      <c r="I583" s="5" t="str">
        <f>CONCATENATE(H583,"x",INT(G583/H583))</f>
        <v>60x100</v>
      </c>
      <c r="J583">
        <v>14</v>
      </c>
      <c r="K583">
        <v>7</v>
      </c>
      <c r="L583" s="3">
        <v>1488</v>
      </c>
      <c r="M583" s="3">
        <v>2046</v>
      </c>
      <c r="N583" s="3">
        <v>1788</v>
      </c>
      <c r="O583" s="3">
        <v>469900</v>
      </c>
      <c r="P583" s="3">
        <v>529900</v>
      </c>
      <c r="Q583" s="3">
        <v>499900</v>
      </c>
      <c r="S583">
        <v>33.644947000000002</v>
      </c>
      <c r="T583">
        <v>-112.20007</v>
      </c>
    </row>
    <row r="584" spans="2:20" x14ac:dyDescent="0.2">
      <c r="B584" t="s">
        <v>703</v>
      </c>
      <c r="C584" t="s">
        <v>144</v>
      </c>
      <c r="D584" t="s">
        <v>288</v>
      </c>
      <c r="E584" t="s">
        <v>21</v>
      </c>
      <c r="F584" t="s">
        <v>22</v>
      </c>
      <c r="G584" s="1">
        <v>3780</v>
      </c>
      <c r="H584" s="2">
        <v>60</v>
      </c>
      <c r="I584" s="5" t="str">
        <f>CONCATENATE(H584,"x",INT(G584/H584))</f>
        <v>60x63</v>
      </c>
      <c r="J584">
        <v>68</v>
      </c>
      <c r="K584">
        <v>7</v>
      </c>
      <c r="L584" s="3">
        <v>2097</v>
      </c>
      <c r="M584" s="3">
        <v>2608</v>
      </c>
      <c r="N584" s="3">
        <v>2317</v>
      </c>
      <c r="O584" s="3">
        <v>532990</v>
      </c>
      <c r="P584" s="3">
        <v>565990</v>
      </c>
      <c r="Q584" s="3">
        <v>551656.6666</v>
      </c>
      <c r="R584" t="s">
        <v>704</v>
      </c>
      <c r="S584">
        <v>33.338614999999997</v>
      </c>
      <c r="T584">
        <v>-111.69781</v>
      </c>
    </row>
    <row r="585" spans="2:20" x14ac:dyDescent="0.2">
      <c r="B585" t="s">
        <v>928</v>
      </c>
      <c r="C585" t="s">
        <v>929</v>
      </c>
      <c r="E585" t="s">
        <v>872</v>
      </c>
      <c r="F585" t="s">
        <v>907</v>
      </c>
      <c r="G585" s="1">
        <v>0</v>
      </c>
      <c r="H585" s="1">
        <v>0</v>
      </c>
      <c r="I585" s="5" t="s">
        <v>908</v>
      </c>
      <c r="J585">
        <v>23</v>
      </c>
      <c r="K585">
        <v>7</v>
      </c>
      <c r="L585" s="3">
        <v>1847</v>
      </c>
      <c r="M585" s="3">
        <v>2283</v>
      </c>
      <c r="N585" s="3">
        <v>2042</v>
      </c>
      <c r="O585" s="3">
        <v>718000</v>
      </c>
      <c r="P585" s="3">
        <v>946900</v>
      </c>
      <c r="Q585" s="3">
        <v>819188.75</v>
      </c>
      <c r="R585" t="s">
        <v>907</v>
      </c>
      <c r="S585">
        <v>33.82291</v>
      </c>
      <c r="T585">
        <v>-111.92203000000001</v>
      </c>
    </row>
    <row r="586" spans="2:20" x14ac:dyDescent="0.2">
      <c r="B586" t="s">
        <v>674</v>
      </c>
      <c r="C586" t="s">
        <v>136</v>
      </c>
      <c r="E586" t="s">
        <v>21</v>
      </c>
      <c r="F586" t="s">
        <v>22</v>
      </c>
      <c r="G586" s="1">
        <v>7200</v>
      </c>
      <c r="H586" s="2">
        <v>60</v>
      </c>
      <c r="I586" s="5" t="str">
        <f>CONCATENATE(H586,"x",INT(G586/H586))</f>
        <v>60x120</v>
      </c>
      <c r="J586">
        <v>99</v>
      </c>
      <c r="K586">
        <v>7</v>
      </c>
      <c r="L586" s="3">
        <v>2050</v>
      </c>
      <c r="M586" s="3">
        <v>2910</v>
      </c>
      <c r="N586" s="3">
        <v>2390</v>
      </c>
      <c r="O586" s="3">
        <v>450990</v>
      </c>
      <c r="P586" s="3">
        <v>501990</v>
      </c>
      <c r="Q586" s="3">
        <v>472656.6666</v>
      </c>
      <c r="S586">
        <v>33.445770000000003</v>
      </c>
      <c r="T586">
        <v>-112.39648</v>
      </c>
    </row>
    <row r="587" spans="2:20" x14ac:dyDescent="0.2">
      <c r="B587" t="s">
        <v>741</v>
      </c>
      <c r="C587" t="s">
        <v>136</v>
      </c>
      <c r="E587" t="s">
        <v>21</v>
      </c>
      <c r="F587" t="s">
        <v>22</v>
      </c>
      <c r="G587" s="1">
        <v>8450</v>
      </c>
      <c r="H587" s="2">
        <v>65</v>
      </c>
      <c r="I587" s="5" t="str">
        <f>CONCATENATE(H587,"x",INT(G587/H587))</f>
        <v>65x130</v>
      </c>
      <c r="J587">
        <v>76</v>
      </c>
      <c r="K587">
        <v>7</v>
      </c>
      <c r="L587" s="3">
        <v>1940</v>
      </c>
      <c r="M587" s="3">
        <v>2840</v>
      </c>
      <c r="N587" s="3">
        <v>2438</v>
      </c>
      <c r="O587" s="3">
        <v>505990</v>
      </c>
      <c r="P587" s="3">
        <v>603995</v>
      </c>
      <c r="Q587" s="3">
        <v>555324.1666</v>
      </c>
      <c r="S587">
        <v>33.529743000000003</v>
      </c>
      <c r="T587">
        <v>-112.33638999999999</v>
      </c>
    </row>
    <row r="588" spans="2:20" x14ac:dyDescent="0.2">
      <c r="B588" t="s">
        <v>486</v>
      </c>
      <c r="C588" t="s">
        <v>136</v>
      </c>
      <c r="D588" t="s">
        <v>486</v>
      </c>
      <c r="E588" t="s">
        <v>21</v>
      </c>
      <c r="F588" t="s">
        <v>22</v>
      </c>
      <c r="G588" s="1">
        <v>10500</v>
      </c>
      <c r="H588" s="2">
        <v>70</v>
      </c>
      <c r="I588" s="5" t="str">
        <f>CONCATENATE(H588,"x",INT(G588/H588))</f>
        <v>70x150</v>
      </c>
      <c r="J588">
        <v>80</v>
      </c>
      <c r="K588">
        <v>7</v>
      </c>
      <c r="L588" s="3">
        <v>2390</v>
      </c>
      <c r="M588" s="3">
        <v>2980</v>
      </c>
      <c r="N588" s="3">
        <v>2623</v>
      </c>
      <c r="O588" s="3">
        <v>553990</v>
      </c>
      <c r="P588" s="3">
        <v>617990</v>
      </c>
      <c r="Q588" s="3">
        <v>581656.6666</v>
      </c>
      <c r="S588">
        <v>33.559176999999998</v>
      </c>
      <c r="T588">
        <v>-112.45912</v>
      </c>
    </row>
    <row r="589" spans="2:20" x14ac:dyDescent="0.2">
      <c r="B589" t="s">
        <v>633</v>
      </c>
      <c r="C589" t="s">
        <v>38</v>
      </c>
      <c r="D589" t="s">
        <v>249</v>
      </c>
      <c r="E589" t="s">
        <v>21</v>
      </c>
      <c r="F589" t="s">
        <v>22</v>
      </c>
      <c r="G589" s="1">
        <v>6000</v>
      </c>
      <c r="H589" s="2">
        <v>60</v>
      </c>
      <c r="I589" s="5" t="str">
        <f>CONCATENATE(H589,"x",INT(G589/H589))</f>
        <v>60x100</v>
      </c>
      <c r="J589">
        <v>45</v>
      </c>
      <c r="K589">
        <v>7</v>
      </c>
      <c r="L589" s="3">
        <v>1952</v>
      </c>
      <c r="M589" s="3">
        <v>3540</v>
      </c>
      <c r="N589" s="3">
        <v>2591</v>
      </c>
      <c r="O589" s="3">
        <v>472990</v>
      </c>
      <c r="P589" s="3">
        <v>585990</v>
      </c>
      <c r="Q589" s="3">
        <v>526323.33330000006</v>
      </c>
      <c r="S589">
        <v>33.403927000000003</v>
      </c>
      <c r="T589">
        <v>-112.30804000000001</v>
      </c>
    </row>
    <row r="590" spans="2:20" x14ac:dyDescent="0.2">
      <c r="B590" t="s">
        <v>497</v>
      </c>
      <c r="C590" t="s">
        <v>36</v>
      </c>
      <c r="E590" t="s">
        <v>21</v>
      </c>
      <c r="F590" t="s">
        <v>22</v>
      </c>
      <c r="G590" s="1">
        <v>6150</v>
      </c>
      <c r="H590" s="2">
        <v>50</v>
      </c>
      <c r="I590" s="5" t="str">
        <f>CONCATENATE(H590,"x",INT(G590/H590))</f>
        <v>50x123</v>
      </c>
      <c r="J590">
        <v>68</v>
      </c>
      <c r="K590">
        <v>7</v>
      </c>
      <c r="L590" s="3">
        <v>1836</v>
      </c>
      <c r="M590" s="3">
        <v>2774</v>
      </c>
      <c r="N590" s="3">
        <v>2256</v>
      </c>
      <c r="O590" s="3">
        <v>553000</v>
      </c>
      <c r="P590" s="3">
        <v>639000</v>
      </c>
      <c r="Q590" s="3">
        <v>589500</v>
      </c>
      <c r="S590">
        <v>33.250774</v>
      </c>
      <c r="T590">
        <v>-111.75706</v>
      </c>
    </row>
    <row r="591" spans="2:20" x14ac:dyDescent="0.2">
      <c r="B591" t="s">
        <v>694</v>
      </c>
      <c r="C591" t="s">
        <v>36</v>
      </c>
      <c r="E591" t="s">
        <v>21</v>
      </c>
      <c r="F591" t="s">
        <v>22</v>
      </c>
      <c r="G591" s="1">
        <v>7980</v>
      </c>
      <c r="H591" s="2">
        <v>60</v>
      </c>
      <c r="I591" s="5" t="str">
        <f>CONCATENATE(H591,"x",INT(G591/H591))</f>
        <v>60x133</v>
      </c>
      <c r="J591">
        <v>61</v>
      </c>
      <c r="K591">
        <v>7</v>
      </c>
      <c r="L591" s="3">
        <v>2563</v>
      </c>
      <c r="M591" s="3">
        <v>3979</v>
      </c>
      <c r="N591" s="3">
        <v>3203</v>
      </c>
      <c r="O591" s="3">
        <v>761000</v>
      </c>
      <c r="P591" s="3">
        <v>867000</v>
      </c>
      <c r="Q591" s="3">
        <v>812500</v>
      </c>
      <c r="S591">
        <v>33.251530000000002</v>
      </c>
      <c r="T591">
        <v>-111.76197000000001</v>
      </c>
    </row>
    <row r="592" spans="2:20" x14ac:dyDescent="0.2">
      <c r="B592" t="s">
        <v>818</v>
      </c>
      <c r="C592" t="s">
        <v>36</v>
      </c>
      <c r="E592" t="s">
        <v>21</v>
      </c>
      <c r="F592" t="s">
        <v>22</v>
      </c>
      <c r="G592" s="1">
        <v>10500</v>
      </c>
      <c r="H592" s="2">
        <v>75</v>
      </c>
      <c r="I592" s="5" t="str">
        <f>CONCATENATE(H592,"x",INT(G592/H592))</f>
        <v>75x140</v>
      </c>
      <c r="J592">
        <v>68</v>
      </c>
      <c r="K592">
        <v>7</v>
      </c>
      <c r="L592" s="3">
        <v>2988</v>
      </c>
      <c r="M592" s="3">
        <v>3462</v>
      </c>
      <c r="N592" s="3">
        <v>3182</v>
      </c>
      <c r="O592" s="3">
        <v>895000</v>
      </c>
      <c r="P592" s="3">
        <v>929000</v>
      </c>
      <c r="Q592" s="3">
        <v>910500</v>
      </c>
      <c r="S592">
        <v>33.253627999999999</v>
      </c>
      <c r="T592">
        <v>-111.76259</v>
      </c>
    </row>
    <row r="593" spans="2:20" x14ac:dyDescent="0.2">
      <c r="B593" t="s">
        <v>862</v>
      </c>
      <c r="C593" t="s">
        <v>36</v>
      </c>
      <c r="D593" t="s">
        <v>863</v>
      </c>
      <c r="E593" t="s">
        <v>21</v>
      </c>
      <c r="F593" t="s">
        <v>22</v>
      </c>
      <c r="G593" s="1">
        <v>12600</v>
      </c>
      <c r="H593" s="2">
        <v>90</v>
      </c>
      <c r="I593" s="5" t="str">
        <f>CONCATENATE(H593,"x",INT(G593/H593))</f>
        <v>90x140</v>
      </c>
      <c r="J593">
        <v>68</v>
      </c>
      <c r="K593">
        <v>7</v>
      </c>
      <c r="L593" s="3">
        <v>2695</v>
      </c>
      <c r="M593" s="3">
        <v>4347</v>
      </c>
      <c r="N593" s="3">
        <v>3371</v>
      </c>
      <c r="O593" s="3">
        <v>799223</v>
      </c>
      <c r="P593" s="3">
        <v>974928</v>
      </c>
      <c r="Q593" s="3">
        <v>889331.5</v>
      </c>
      <c r="R593" t="s">
        <v>23</v>
      </c>
      <c r="S593">
        <v>33.503540000000001</v>
      </c>
      <c r="T593">
        <v>-112.45026</v>
      </c>
    </row>
    <row r="594" spans="2:20" x14ac:dyDescent="0.2">
      <c r="B594" t="s">
        <v>814</v>
      </c>
      <c r="C594" t="s">
        <v>139</v>
      </c>
      <c r="D594" t="s">
        <v>140</v>
      </c>
      <c r="E594" t="s">
        <v>21</v>
      </c>
      <c r="F594" t="s">
        <v>22</v>
      </c>
      <c r="G594" s="1">
        <v>9750</v>
      </c>
      <c r="H594" s="2">
        <v>75</v>
      </c>
      <c r="I594" s="5" t="str">
        <f>CONCATENATE(H594,"x",INT(G594/H594))</f>
        <v>75x130</v>
      </c>
      <c r="J594">
        <v>78</v>
      </c>
      <c r="K594">
        <v>7</v>
      </c>
      <c r="L594" s="3">
        <v>2058</v>
      </c>
      <c r="M594" s="3">
        <v>2665</v>
      </c>
      <c r="N594" s="3">
        <v>2435</v>
      </c>
      <c r="O594" s="3">
        <v>587900</v>
      </c>
      <c r="P594" s="3">
        <v>702900</v>
      </c>
      <c r="Q594" s="3">
        <v>657500</v>
      </c>
      <c r="S594">
        <v>34.614212000000002</v>
      </c>
      <c r="T594">
        <v>-112.35643</v>
      </c>
    </row>
    <row r="595" spans="2:20" x14ac:dyDescent="0.2">
      <c r="B595" t="s">
        <v>81</v>
      </c>
      <c r="C595" t="s">
        <v>82</v>
      </c>
      <c r="E595" t="s">
        <v>21</v>
      </c>
      <c r="F595" t="s">
        <v>22</v>
      </c>
      <c r="G595" s="1">
        <v>45000</v>
      </c>
      <c r="H595" s="2">
        <v>150</v>
      </c>
      <c r="I595" s="5" t="str">
        <f>CONCATENATE(H595,"x",INT(G595/H595))</f>
        <v>150x300</v>
      </c>
      <c r="J595">
        <v>16</v>
      </c>
      <c r="K595">
        <v>6</v>
      </c>
      <c r="L595" s="3">
        <v>2300</v>
      </c>
      <c r="M595" s="3">
        <v>2650</v>
      </c>
      <c r="N595" s="3">
        <v>2516</v>
      </c>
      <c r="O595" s="3">
        <v>899000</v>
      </c>
      <c r="P595" s="3">
        <v>995000</v>
      </c>
      <c r="Q595" s="3">
        <v>963000</v>
      </c>
      <c r="R595" t="s">
        <v>23</v>
      </c>
      <c r="S595">
        <v>33.421776000000001</v>
      </c>
      <c r="T595">
        <v>-111.49312999999999</v>
      </c>
    </row>
    <row r="596" spans="2:20" x14ac:dyDescent="0.2">
      <c r="B596" t="s">
        <v>182</v>
      </c>
      <c r="C596" t="s">
        <v>462</v>
      </c>
      <c r="D596" t="s">
        <v>182</v>
      </c>
      <c r="E596" t="s">
        <v>21</v>
      </c>
      <c r="F596" t="s">
        <v>22</v>
      </c>
      <c r="G596" s="1">
        <v>13500</v>
      </c>
      <c r="H596" s="2">
        <v>90</v>
      </c>
      <c r="I596" s="5" t="str">
        <f>CONCATENATE(H596,"x",INT(G596/H596))</f>
        <v>90x150</v>
      </c>
      <c r="J596">
        <v>1</v>
      </c>
      <c r="K596">
        <v>6</v>
      </c>
      <c r="L596" s="3">
        <v>2945</v>
      </c>
      <c r="M596" s="3">
        <v>4150</v>
      </c>
      <c r="N596" s="3">
        <v>3465</v>
      </c>
      <c r="O596" s="3">
        <v>769999</v>
      </c>
      <c r="P596" s="3">
        <v>899999</v>
      </c>
      <c r="Q596" s="3">
        <v>823332.33330000006</v>
      </c>
      <c r="S596">
        <v>33.600783999999997</v>
      </c>
      <c r="T596">
        <v>-112.38925</v>
      </c>
    </row>
    <row r="597" spans="2:20" x14ac:dyDescent="0.2">
      <c r="B597" t="s">
        <v>760</v>
      </c>
      <c r="C597" t="s">
        <v>118</v>
      </c>
      <c r="D597" t="s">
        <v>367</v>
      </c>
      <c r="E597" t="s">
        <v>21</v>
      </c>
      <c r="F597" t="s">
        <v>22</v>
      </c>
      <c r="G597" s="1">
        <v>8500</v>
      </c>
      <c r="H597" s="2">
        <v>68</v>
      </c>
      <c r="I597" s="5" t="str">
        <f>CONCATENATE(H597,"x",INT(G597/H597))</f>
        <v>68x125</v>
      </c>
      <c r="J597">
        <v>91</v>
      </c>
      <c r="K597">
        <v>6</v>
      </c>
      <c r="L597" s="3">
        <v>2357</v>
      </c>
      <c r="M597" s="3">
        <v>2357</v>
      </c>
      <c r="N597" s="3">
        <v>2357</v>
      </c>
      <c r="O597" s="3">
        <v>644900</v>
      </c>
      <c r="P597" s="3">
        <v>644900</v>
      </c>
      <c r="Q597" s="3">
        <v>644900</v>
      </c>
      <c r="S597">
        <v>33.200252999999996</v>
      </c>
      <c r="T597">
        <v>-111.59715</v>
      </c>
    </row>
    <row r="598" spans="2:20" x14ac:dyDescent="0.2">
      <c r="B598" t="s">
        <v>194</v>
      </c>
      <c r="C598" t="s">
        <v>130</v>
      </c>
      <c r="E598" t="s">
        <v>21</v>
      </c>
      <c r="F598" t="s">
        <v>22</v>
      </c>
      <c r="G598" s="1">
        <v>4850</v>
      </c>
      <c r="H598" s="2">
        <v>44</v>
      </c>
      <c r="I598" s="5" t="str">
        <f>CONCATENATE(H598,"x",INT(G598/H598))</f>
        <v>44x110</v>
      </c>
      <c r="J598">
        <v>106</v>
      </c>
      <c r="K598">
        <v>6</v>
      </c>
      <c r="L598" s="3">
        <v>2090</v>
      </c>
      <c r="M598" s="3">
        <v>2294</v>
      </c>
      <c r="N598" s="3">
        <v>2160</v>
      </c>
      <c r="O598" s="3">
        <v>873990</v>
      </c>
      <c r="P598" s="3">
        <v>1005620</v>
      </c>
      <c r="Q598" s="3">
        <v>919897.5</v>
      </c>
      <c r="R598" t="s">
        <v>195</v>
      </c>
      <c r="S598">
        <v>33.783436000000002</v>
      </c>
      <c r="T598">
        <v>-111.92477</v>
      </c>
    </row>
    <row r="599" spans="2:20" x14ac:dyDescent="0.2">
      <c r="B599" t="s">
        <v>489</v>
      </c>
      <c r="C599" t="s">
        <v>144</v>
      </c>
      <c r="D599" t="s">
        <v>246</v>
      </c>
      <c r="E599" t="s">
        <v>21</v>
      </c>
      <c r="F599" t="s">
        <v>22</v>
      </c>
      <c r="G599" s="1">
        <v>6000</v>
      </c>
      <c r="H599" s="2">
        <v>50</v>
      </c>
      <c r="I599" s="5" t="str">
        <f>CONCATENATE(H599,"x",INT(G599/H599))</f>
        <v>50x120</v>
      </c>
      <c r="J599">
        <v>49</v>
      </c>
      <c r="K599">
        <v>6</v>
      </c>
      <c r="L599" s="3">
        <v>2192</v>
      </c>
      <c r="M599" s="3">
        <v>2524</v>
      </c>
      <c r="N599" s="3">
        <v>2330</v>
      </c>
      <c r="O599" s="3">
        <v>427490</v>
      </c>
      <c r="P599" s="3">
        <v>461490</v>
      </c>
      <c r="Q599" s="3">
        <v>441490</v>
      </c>
      <c r="S599">
        <v>33.172542999999997</v>
      </c>
      <c r="T599">
        <v>-111.53156</v>
      </c>
    </row>
    <row r="600" spans="2:20" x14ac:dyDescent="0.2">
      <c r="B600" t="s">
        <v>780</v>
      </c>
      <c r="C600" t="s">
        <v>781</v>
      </c>
      <c r="E600" t="s">
        <v>21</v>
      </c>
      <c r="F600" t="s">
        <v>22</v>
      </c>
      <c r="G600" s="1">
        <v>8540</v>
      </c>
      <c r="H600" s="2">
        <v>70</v>
      </c>
      <c r="I600" s="5" t="str">
        <f>CONCATENATE(H600,"x",INT(G600/H600))</f>
        <v>70x122</v>
      </c>
      <c r="J600">
        <v>18</v>
      </c>
      <c r="K600">
        <v>6</v>
      </c>
      <c r="L600" s="3">
        <v>2871</v>
      </c>
      <c r="M600" s="3">
        <v>3588</v>
      </c>
      <c r="N600" s="3">
        <v>3177</v>
      </c>
      <c r="O600" s="3">
        <v>829000</v>
      </c>
      <c r="P600" s="3">
        <v>919000</v>
      </c>
      <c r="Q600" s="3">
        <v>875000</v>
      </c>
      <c r="S600">
        <v>33.369961000000004</v>
      </c>
      <c r="T600">
        <v>-112.08662</v>
      </c>
    </row>
    <row r="601" spans="2:20" x14ac:dyDescent="0.2">
      <c r="B601" t="s">
        <v>294</v>
      </c>
      <c r="C601" t="s">
        <v>114</v>
      </c>
      <c r="E601" t="s">
        <v>21</v>
      </c>
      <c r="F601" t="s">
        <v>22</v>
      </c>
      <c r="G601" s="1">
        <v>5175</v>
      </c>
      <c r="H601" s="2">
        <v>45</v>
      </c>
      <c r="I601" s="5" t="str">
        <f>CONCATENATE(H601,"x",INT(G601/H601))</f>
        <v>45x115</v>
      </c>
      <c r="J601">
        <v>117</v>
      </c>
      <c r="K601">
        <v>6</v>
      </c>
      <c r="L601" s="3">
        <v>1568</v>
      </c>
      <c r="M601" s="3">
        <v>2575</v>
      </c>
      <c r="N601" s="3">
        <v>2085</v>
      </c>
      <c r="O601" s="3">
        <v>436990</v>
      </c>
      <c r="P601" s="3">
        <v>515990</v>
      </c>
      <c r="Q601" s="3">
        <v>476990</v>
      </c>
      <c r="S601">
        <v>33.691456000000002</v>
      </c>
      <c r="T601">
        <v>-112.33237</v>
      </c>
    </row>
    <row r="602" spans="2:20" x14ac:dyDescent="0.2">
      <c r="B602" t="s">
        <v>296</v>
      </c>
      <c r="C602" t="s">
        <v>151</v>
      </c>
      <c r="D602" t="s">
        <v>234</v>
      </c>
      <c r="E602" t="s">
        <v>21</v>
      </c>
      <c r="F602" t="s">
        <v>22</v>
      </c>
      <c r="G602" s="1">
        <v>5175</v>
      </c>
      <c r="H602" s="2">
        <v>45</v>
      </c>
      <c r="I602" s="5" t="str">
        <f>CONCATENATE(H602,"x",INT(G602/H602))</f>
        <v>45x115</v>
      </c>
      <c r="J602">
        <v>211</v>
      </c>
      <c r="K602">
        <v>6</v>
      </c>
      <c r="L602" s="3">
        <v>1730</v>
      </c>
      <c r="M602" s="3">
        <v>2446</v>
      </c>
      <c r="N602" s="3">
        <v>2053</v>
      </c>
      <c r="O602" s="3">
        <v>434990</v>
      </c>
      <c r="P602" s="3">
        <v>480990</v>
      </c>
      <c r="Q602" s="3">
        <v>453740</v>
      </c>
      <c r="S602">
        <v>33.517463999999997</v>
      </c>
      <c r="T602">
        <v>-112.24986</v>
      </c>
    </row>
    <row r="603" spans="2:20" x14ac:dyDescent="0.2">
      <c r="B603" t="s">
        <v>295</v>
      </c>
      <c r="C603" t="s">
        <v>136</v>
      </c>
      <c r="E603" t="s">
        <v>21</v>
      </c>
      <c r="F603" t="s">
        <v>22</v>
      </c>
      <c r="G603" s="1">
        <v>5175</v>
      </c>
      <c r="H603" s="2">
        <v>45</v>
      </c>
      <c r="I603" s="5" t="str">
        <f>CONCATENATE(H603,"x",INT(G603/H603))</f>
        <v>45x115</v>
      </c>
      <c r="J603">
        <v>55</v>
      </c>
      <c r="K603">
        <v>6</v>
      </c>
      <c r="L603" s="3">
        <v>1380</v>
      </c>
      <c r="M603" s="3">
        <v>2090</v>
      </c>
      <c r="N603" s="3">
        <v>1785</v>
      </c>
      <c r="O603" s="3">
        <v>469990</v>
      </c>
      <c r="P603" s="3">
        <v>508995</v>
      </c>
      <c r="Q603" s="3">
        <v>483491.6666</v>
      </c>
      <c r="S603">
        <v>33.359589</v>
      </c>
      <c r="T603">
        <v>-112.06949</v>
      </c>
    </row>
    <row r="604" spans="2:20" x14ac:dyDescent="0.2">
      <c r="B604" t="s">
        <v>58</v>
      </c>
      <c r="C604" t="s">
        <v>59</v>
      </c>
      <c r="D604" t="s">
        <v>60</v>
      </c>
      <c r="E604" t="s">
        <v>21</v>
      </c>
      <c r="F604" t="s">
        <v>22</v>
      </c>
      <c r="G604" s="1">
        <v>21175</v>
      </c>
      <c r="H604" s="2">
        <v>121</v>
      </c>
      <c r="I604" s="5" t="str">
        <f>CONCATENATE(H604,"x",INT(G604/H604))</f>
        <v>121x175</v>
      </c>
      <c r="J604">
        <v>26</v>
      </c>
      <c r="K604">
        <v>6</v>
      </c>
      <c r="L604" s="3">
        <v>2637</v>
      </c>
      <c r="M604" s="3">
        <v>3190</v>
      </c>
      <c r="N604" s="3">
        <v>2913</v>
      </c>
      <c r="O604" s="3">
        <v>2248000</v>
      </c>
      <c r="P604" s="3">
        <v>2368000</v>
      </c>
      <c r="Q604" s="3">
        <v>2308000</v>
      </c>
      <c r="S604">
        <v>35.167278000000003</v>
      </c>
      <c r="T604">
        <v>-111.63076</v>
      </c>
    </row>
    <row r="605" spans="2:20" x14ac:dyDescent="0.2">
      <c r="B605" t="s">
        <v>595</v>
      </c>
      <c r="C605" t="s">
        <v>36</v>
      </c>
      <c r="E605" t="s">
        <v>21</v>
      </c>
      <c r="F605" t="s">
        <v>22</v>
      </c>
      <c r="G605" s="1">
        <v>7150</v>
      </c>
      <c r="H605" s="2">
        <v>55</v>
      </c>
      <c r="I605" s="5" t="str">
        <f>CONCATENATE(H605,"x",INT(G605/H605))</f>
        <v>55x130</v>
      </c>
      <c r="J605">
        <v>61</v>
      </c>
      <c r="K605">
        <v>6</v>
      </c>
      <c r="L605" s="3">
        <v>1880</v>
      </c>
      <c r="M605" s="3">
        <v>3267</v>
      </c>
      <c r="N605" s="3">
        <v>2481</v>
      </c>
      <c r="O605" s="3">
        <v>614000</v>
      </c>
      <c r="P605" s="3">
        <v>741000</v>
      </c>
      <c r="Q605" s="3">
        <v>673600</v>
      </c>
      <c r="S605">
        <v>33.255001</v>
      </c>
      <c r="T605">
        <v>-111.75922</v>
      </c>
    </row>
    <row r="606" spans="2:20" x14ac:dyDescent="0.2">
      <c r="B606" t="s">
        <v>864</v>
      </c>
      <c r="C606" t="s">
        <v>102</v>
      </c>
      <c r="E606" t="s">
        <v>21</v>
      </c>
      <c r="F606" t="s">
        <v>22</v>
      </c>
      <c r="G606" s="1">
        <v>12600</v>
      </c>
      <c r="H606" s="2">
        <v>90</v>
      </c>
      <c r="I606" s="5" t="str">
        <f>CONCATENATE(H606,"x",INT(G606/H606))</f>
        <v>90x140</v>
      </c>
      <c r="J606">
        <v>71</v>
      </c>
      <c r="K606">
        <v>5</v>
      </c>
      <c r="L606" s="3">
        <v>1792</v>
      </c>
      <c r="M606" s="3">
        <v>2218</v>
      </c>
      <c r="N606" s="3">
        <v>2041</v>
      </c>
      <c r="O606" s="3">
        <v>499000</v>
      </c>
      <c r="P606" s="3">
        <v>599577</v>
      </c>
      <c r="Q606" s="3">
        <v>569139.25</v>
      </c>
      <c r="R606" t="s">
        <v>23</v>
      </c>
      <c r="S606">
        <v>34.658768000000002</v>
      </c>
      <c r="T606">
        <v>-111.78373999999999</v>
      </c>
    </row>
    <row r="607" spans="2:20" x14ac:dyDescent="0.2">
      <c r="B607" t="s">
        <v>69</v>
      </c>
      <c r="C607" t="s">
        <v>70</v>
      </c>
      <c r="E607" t="s">
        <v>21</v>
      </c>
      <c r="F607" t="s">
        <v>22</v>
      </c>
      <c r="G607" s="1">
        <v>37800</v>
      </c>
      <c r="H607" s="2">
        <v>135</v>
      </c>
      <c r="I607" s="5" t="str">
        <f>CONCATENATE(H607,"x",INT(G607/H607))</f>
        <v>135x280</v>
      </c>
      <c r="J607">
        <v>2</v>
      </c>
      <c r="K607">
        <v>5</v>
      </c>
      <c r="L607" s="3">
        <v>4166</v>
      </c>
      <c r="M607" s="3">
        <v>4552</v>
      </c>
      <c r="N607" s="3">
        <v>4359</v>
      </c>
      <c r="O607" s="3">
        <v>3315000</v>
      </c>
      <c r="P607" s="3">
        <v>3398000</v>
      </c>
      <c r="Q607" s="3">
        <v>3356500</v>
      </c>
      <c r="R607" t="s">
        <v>71</v>
      </c>
      <c r="S607">
        <v>33.578533</v>
      </c>
      <c r="T607">
        <v>-111.81488</v>
      </c>
    </row>
    <row r="608" spans="2:20" x14ac:dyDescent="0.2">
      <c r="B608" t="s">
        <v>529</v>
      </c>
      <c r="C608" t="s">
        <v>57</v>
      </c>
      <c r="D608" t="s">
        <v>530</v>
      </c>
      <c r="E608" t="s">
        <v>21</v>
      </c>
      <c r="F608" t="s">
        <v>22</v>
      </c>
      <c r="G608" s="1">
        <v>6500</v>
      </c>
      <c r="H608" s="2">
        <v>52</v>
      </c>
      <c r="I608" s="5" t="str">
        <f>CONCATENATE(H608,"x",INT(G608/H608))</f>
        <v>52x125</v>
      </c>
      <c r="J608">
        <v>4</v>
      </c>
      <c r="K608">
        <v>5</v>
      </c>
      <c r="L608" s="3">
        <v>2797</v>
      </c>
      <c r="M608" s="3">
        <v>3425</v>
      </c>
      <c r="N608" s="3">
        <v>3111</v>
      </c>
      <c r="O608" s="3">
        <v>2039900</v>
      </c>
      <c r="P608" s="3">
        <v>2249900</v>
      </c>
      <c r="Q608" s="3">
        <v>2144900</v>
      </c>
      <c r="S608">
        <v>33.653992000000002</v>
      </c>
      <c r="T608">
        <v>-111.88216</v>
      </c>
    </row>
    <row r="609" spans="2:20" x14ac:dyDescent="0.2">
      <c r="B609" t="s">
        <v>860</v>
      </c>
      <c r="C609" t="s">
        <v>173</v>
      </c>
      <c r="D609" t="s">
        <v>396</v>
      </c>
      <c r="E609" t="s">
        <v>21</v>
      </c>
      <c r="F609" t="s">
        <v>22</v>
      </c>
      <c r="G609" s="1">
        <v>12150</v>
      </c>
      <c r="H609" s="2">
        <v>90</v>
      </c>
      <c r="I609" s="5" t="str">
        <f>CONCATENATE(H609,"x",INT(G609/H609))</f>
        <v>90x135</v>
      </c>
      <c r="J609">
        <v>49</v>
      </c>
      <c r="K609">
        <v>5</v>
      </c>
      <c r="L609" s="3">
        <v>2189</v>
      </c>
      <c r="M609" s="3">
        <v>3760</v>
      </c>
      <c r="N609" s="3">
        <v>2751</v>
      </c>
      <c r="O609" s="3">
        <v>729900</v>
      </c>
      <c r="P609" s="3">
        <v>999900</v>
      </c>
      <c r="Q609" s="3">
        <v>841185.71420000005</v>
      </c>
      <c r="S609">
        <v>34.609959000000003</v>
      </c>
      <c r="T609">
        <v>-112.36884000000001</v>
      </c>
    </row>
    <row r="610" spans="2:20" x14ac:dyDescent="0.2">
      <c r="B610" t="s">
        <v>169</v>
      </c>
      <c r="C610" t="s">
        <v>118</v>
      </c>
      <c r="D610" t="s">
        <v>119</v>
      </c>
      <c r="E610" t="s">
        <v>21</v>
      </c>
      <c r="F610" t="s">
        <v>22</v>
      </c>
      <c r="G610" s="1">
        <v>4800</v>
      </c>
      <c r="H610" s="2">
        <v>40</v>
      </c>
      <c r="I610" s="5" t="str">
        <f>CONCATENATE(H610,"x",INT(G610/H610))</f>
        <v>40x120</v>
      </c>
      <c r="J610">
        <v>91</v>
      </c>
      <c r="K610">
        <v>5</v>
      </c>
      <c r="L610" s="3">
        <v>2150</v>
      </c>
      <c r="M610" s="3">
        <v>2512</v>
      </c>
      <c r="N610" s="3">
        <v>2354</v>
      </c>
      <c r="O610" s="3">
        <v>701095</v>
      </c>
      <c r="P610" s="3">
        <v>834250</v>
      </c>
      <c r="Q610" s="3">
        <v>775234.6666</v>
      </c>
      <c r="S610">
        <v>33.305495999999998</v>
      </c>
      <c r="T610">
        <v>-111.69840000000001</v>
      </c>
    </row>
    <row r="611" spans="2:20" x14ac:dyDescent="0.2">
      <c r="B611" t="s">
        <v>896</v>
      </c>
      <c r="C611" t="s">
        <v>897</v>
      </c>
      <c r="D611" t="s">
        <v>530</v>
      </c>
      <c r="E611" t="s">
        <v>872</v>
      </c>
      <c r="F611" t="s">
        <v>873</v>
      </c>
      <c r="G611" s="1">
        <v>0</v>
      </c>
      <c r="H611" s="1">
        <v>0</v>
      </c>
      <c r="I611" s="5" t="s">
        <v>874</v>
      </c>
      <c r="J611">
        <v>43</v>
      </c>
      <c r="K611">
        <v>5</v>
      </c>
      <c r="L611" s="3">
        <v>2752</v>
      </c>
      <c r="M611" s="3">
        <v>5534</v>
      </c>
      <c r="N611" s="3">
        <v>3814</v>
      </c>
      <c r="O611" s="3">
        <v>2495000</v>
      </c>
      <c r="P611" s="3">
        <v>5400000</v>
      </c>
      <c r="Q611" s="3">
        <v>3630000</v>
      </c>
      <c r="R611" t="s">
        <v>898</v>
      </c>
      <c r="S611">
        <v>33.656570000000002</v>
      </c>
      <c r="T611">
        <v>-111.86465</v>
      </c>
    </row>
    <row r="612" spans="2:20" x14ac:dyDescent="0.2">
      <c r="B612" t="s">
        <v>432</v>
      </c>
      <c r="C612" t="s">
        <v>116</v>
      </c>
      <c r="E612" t="s">
        <v>21</v>
      </c>
      <c r="F612" t="s">
        <v>22</v>
      </c>
      <c r="G612" s="1">
        <v>5750</v>
      </c>
      <c r="H612" s="2">
        <v>50</v>
      </c>
      <c r="I612" s="5" t="str">
        <f>CONCATENATE(H612,"x",INT(G612/H612))</f>
        <v>50x115</v>
      </c>
      <c r="J612">
        <v>96</v>
      </c>
      <c r="K612">
        <v>5</v>
      </c>
      <c r="L612" s="3">
        <v>1638</v>
      </c>
      <c r="M612" s="3">
        <v>1994</v>
      </c>
      <c r="N612" s="3">
        <v>1816</v>
      </c>
      <c r="O612" s="3">
        <v>389990</v>
      </c>
      <c r="P612" s="3">
        <v>454990</v>
      </c>
      <c r="Q612" s="3">
        <v>422490</v>
      </c>
      <c r="S612">
        <v>33.314053000000001</v>
      </c>
      <c r="T612">
        <v>-111.36655</v>
      </c>
    </row>
    <row r="613" spans="2:20" x14ac:dyDescent="0.2">
      <c r="B613" t="s">
        <v>788</v>
      </c>
      <c r="C613" t="s">
        <v>144</v>
      </c>
      <c r="D613" t="s">
        <v>189</v>
      </c>
      <c r="E613" t="s">
        <v>21</v>
      </c>
      <c r="F613" t="s">
        <v>22</v>
      </c>
      <c r="G613" s="1">
        <v>8750</v>
      </c>
      <c r="H613" s="2">
        <v>70</v>
      </c>
      <c r="I613" s="5" t="str">
        <f>CONCATENATE(H613,"x",INT(G613/H613))</f>
        <v>70x125</v>
      </c>
      <c r="J613">
        <v>72</v>
      </c>
      <c r="K613">
        <v>5</v>
      </c>
      <c r="L613" s="3">
        <v>2231</v>
      </c>
      <c r="M613" s="3">
        <v>2584</v>
      </c>
      <c r="N613" s="3">
        <v>2407</v>
      </c>
      <c r="O613" s="3">
        <v>614990</v>
      </c>
      <c r="P613" s="3">
        <v>660990</v>
      </c>
      <c r="Q613" s="3">
        <v>635323.33330000006</v>
      </c>
      <c r="S613">
        <v>33.710132999999999</v>
      </c>
      <c r="T613">
        <v>-112.43752000000001</v>
      </c>
    </row>
    <row r="614" spans="2:20" x14ac:dyDescent="0.2">
      <c r="B614" t="s">
        <v>490</v>
      </c>
      <c r="C614" t="s">
        <v>94</v>
      </c>
      <c r="E614" t="s">
        <v>21</v>
      </c>
      <c r="F614" t="s">
        <v>22</v>
      </c>
      <c r="G614" s="1">
        <v>6000</v>
      </c>
      <c r="H614" s="2">
        <v>50</v>
      </c>
      <c r="I614" s="5" t="str">
        <f>CONCATENATE(H614,"x",INT(G614/H614))</f>
        <v>50x120</v>
      </c>
      <c r="J614">
        <v>134</v>
      </c>
      <c r="K614">
        <v>5</v>
      </c>
      <c r="L614" s="3">
        <v>1785</v>
      </c>
      <c r="M614" s="3">
        <v>2894</v>
      </c>
      <c r="N614" s="3">
        <v>2323</v>
      </c>
      <c r="O614" s="3">
        <v>405990</v>
      </c>
      <c r="P614" s="3">
        <v>552990</v>
      </c>
      <c r="Q614" s="3">
        <v>473615</v>
      </c>
      <c r="S614">
        <v>33.604294000000003</v>
      </c>
      <c r="T614">
        <v>-112.4323</v>
      </c>
    </row>
    <row r="615" spans="2:20" x14ac:dyDescent="0.2">
      <c r="B615" t="s">
        <v>899</v>
      </c>
      <c r="C615" t="s">
        <v>384</v>
      </c>
      <c r="E615" t="s">
        <v>872</v>
      </c>
      <c r="F615" t="s">
        <v>873</v>
      </c>
      <c r="G615" s="1">
        <v>0</v>
      </c>
      <c r="H615" s="1">
        <v>0</v>
      </c>
      <c r="I615" s="5" t="s">
        <v>874</v>
      </c>
      <c r="J615">
        <v>27</v>
      </c>
      <c r="K615">
        <v>5</v>
      </c>
      <c r="L615" s="3">
        <v>800</v>
      </c>
      <c r="M615" s="3">
        <v>1153</v>
      </c>
      <c r="N615" s="3">
        <v>892</v>
      </c>
      <c r="O615" s="3">
        <v>489600</v>
      </c>
      <c r="P615" s="3">
        <v>588400</v>
      </c>
      <c r="Q615" s="3">
        <v>521777.5</v>
      </c>
      <c r="R615" t="s">
        <v>900</v>
      </c>
      <c r="S615">
        <v>35.194617999999998</v>
      </c>
      <c r="T615">
        <v>-111.65194</v>
      </c>
    </row>
    <row r="616" spans="2:20" x14ac:dyDescent="0.2">
      <c r="B616" t="s">
        <v>763</v>
      </c>
      <c r="C616" t="s">
        <v>764</v>
      </c>
      <c r="E616" t="s">
        <v>21</v>
      </c>
      <c r="F616" t="s">
        <v>22</v>
      </c>
      <c r="G616" s="1">
        <v>7700</v>
      </c>
      <c r="H616" s="2">
        <v>70</v>
      </c>
      <c r="I616" s="5" t="str">
        <f>CONCATENATE(H616,"x",INT(G616/H616))</f>
        <v>70x110</v>
      </c>
      <c r="J616">
        <v>35</v>
      </c>
      <c r="K616">
        <v>5</v>
      </c>
      <c r="L616" s="3">
        <v>1730</v>
      </c>
      <c r="M616" s="3">
        <v>2450</v>
      </c>
      <c r="N616" s="3">
        <v>2001</v>
      </c>
      <c r="O616" s="3">
        <v>439000</v>
      </c>
      <c r="P616" s="3">
        <v>795000</v>
      </c>
      <c r="Q616" s="3">
        <v>560333.33330000006</v>
      </c>
      <c r="S616">
        <v>34.747458999999999</v>
      </c>
      <c r="T616">
        <v>-112.03417</v>
      </c>
    </row>
    <row r="617" spans="2:20" x14ac:dyDescent="0.2">
      <c r="B617" t="s">
        <v>810</v>
      </c>
      <c r="C617" t="s">
        <v>151</v>
      </c>
      <c r="E617" t="s">
        <v>21</v>
      </c>
      <c r="F617" t="s">
        <v>22</v>
      </c>
      <c r="G617" s="1">
        <v>9000</v>
      </c>
      <c r="H617" s="2">
        <v>75</v>
      </c>
      <c r="I617" s="5" t="str">
        <f>CONCATENATE(H617,"x",INT(G617/H617))</f>
        <v>75x120</v>
      </c>
      <c r="J617">
        <v>35</v>
      </c>
      <c r="K617">
        <v>5</v>
      </c>
      <c r="L617" s="3">
        <v>3142</v>
      </c>
      <c r="M617" s="3">
        <v>4767</v>
      </c>
      <c r="N617" s="3">
        <v>3752</v>
      </c>
      <c r="O617" s="3">
        <v>1619990</v>
      </c>
      <c r="P617" s="3">
        <v>2003990</v>
      </c>
      <c r="Q617" s="3">
        <v>1762323.3333000001</v>
      </c>
      <c r="S617">
        <v>33.599068000000003</v>
      </c>
      <c r="T617">
        <v>-111.8797</v>
      </c>
    </row>
    <row r="618" spans="2:20" x14ac:dyDescent="0.2">
      <c r="B618" t="s">
        <v>433</v>
      </c>
      <c r="C618" t="s">
        <v>136</v>
      </c>
      <c r="E618" t="s">
        <v>21</v>
      </c>
      <c r="F618" t="s">
        <v>22</v>
      </c>
      <c r="G618" s="1">
        <v>5750</v>
      </c>
      <c r="H618" s="2">
        <v>50</v>
      </c>
      <c r="I618" s="5" t="str">
        <f>CONCATENATE(H618,"x",INT(G618/H618))</f>
        <v>50x115</v>
      </c>
      <c r="J618">
        <v>55</v>
      </c>
      <c r="K618">
        <v>5</v>
      </c>
      <c r="L618" s="3">
        <v>1386</v>
      </c>
      <c r="M618" s="3">
        <v>2353</v>
      </c>
      <c r="N618" s="3">
        <v>1830</v>
      </c>
      <c r="O618" s="3">
        <v>361990</v>
      </c>
      <c r="P618" s="3">
        <v>417990</v>
      </c>
      <c r="Q618" s="3">
        <v>387190</v>
      </c>
      <c r="S618">
        <v>33.424294000000003</v>
      </c>
      <c r="T618">
        <v>-112.44580999999999</v>
      </c>
    </row>
    <row r="619" spans="2:20" x14ac:dyDescent="0.2">
      <c r="B619" t="s">
        <v>930</v>
      </c>
      <c r="C619" t="s">
        <v>931</v>
      </c>
      <c r="E619" t="s">
        <v>872</v>
      </c>
      <c r="F619" t="s">
        <v>907</v>
      </c>
      <c r="G619" s="1">
        <v>0</v>
      </c>
      <c r="H619" s="1">
        <v>0</v>
      </c>
      <c r="I619" s="5" t="s">
        <v>908</v>
      </c>
      <c r="J619">
        <v>19</v>
      </c>
      <c r="K619">
        <v>5</v>
      </c>
      <c r="L619" s="3">
        <v>1932</v>
      </c>
      <c r="M619" s="3">
        <v>2470</v>
      </c>
      <c r="N619" s="3">
        <v>2203</v>
      </c>
      <c r="O619" s="3">
        <v>900000</v>
      </c>
      <c r="P619" s="3">
        <v>1249000</v>
      </c>
      <c r="Q619" s="3">
        <v>1137000</v>
      </c>
      <c r="R619" t="s">
        <v>907</v>
      </c>
      <c r="S619">
        <v>33.493313000000001</v>
      </c>
      <c r="T619">
        <v>-111.91428000000001</v>
      </c>
    </row>
    <row r="620" spans="2:20" x14ac:dyDescent="0.2">
      <c r="B620" t="s">
        <v>742</v>
      </c>
      <c r="C620" t="s">
        <v>68</v>
      </c>
      <c r="D620" t="s">
        <v>343</v>
      </c>
      <c r="E620" t="s">
        <v>21</v>
      </c>
      <c r="F620" t="s">
        <v>22</v>
      </c>
      <c r="G620" s="1">
        <v>8450</v>
      </c>
      <c r="H620" s="2">
        <v>65</v>
      </c>
      <c r="I620" s="5" t="str">
        <f>CONCATENATE(H620,"x",INT(G620/H620))</f>
        <v>65x130</v>
      </c>
      <c r="J620">
        <v>136</v>
      </c>
      <c r="K620">
        <v>5</v>
      </c>
      <c r="L620" s="3">
        <v>2770</v>
      </c>
      <c r="M620" s="3">
        <v>3505</v>
      </c>
      <c r="N620" s="3">
        <v>3137</v>
      </c>
      <c r="O620" s="3">
        <v>1037990</v>
      </c>
      <c r="P620" s="3">
        <v>1111990</v>
      </c>
      <c r="Q620" s="3">
        <v>1074990</v>
      </c>
      <c r="R620" t="s">
        <v>23</v>
      </c>
      <c r="S620">
        <v>33.686768000000001</v>
      </c>
      <c r="T620">
        <v>-111.9502</v>
      </c>
    </row>
    <row r="621" spans="2:20" x14ac:dyDescent="0.2">
      <c r="B621" t="s">
        <v>107</v>
      </c>
      <c r="C621" t="s">
        <v>108</v>
      </c>
      <c r="E621" t="s">
        <v>21</v>
      </c>
      <c r="F621" t="s">
        <v>22</v>
      </c>
      <c r="G621" s="1">
        <v>1650</v>
      </c>
      <c r="H621">
        <v>30</v>
      </c>
      <c r="I621" s="5" t="str">
        <f>CONCATENATE(H621,"x",INT(G621/H621))</f>
        <v>30x55</v>
      </c>
      <c r="J621">
        <v>6</v>
      </c>
      <c r="K621">
        <v>5</v>
      </c>
      <c r="L621" s="3">
        <v>1510</v>
      </c>
      <c r="M621" s="3">
        <v>1947</v>
      </c>
      <c r="N621" s="3">
        <v>1693</v>
      </c>
      <c r="O621" s="3">
        <v>449995</v>
      </c>
      <c r="P621" s="3">
        <v>675000</v>
      </c>
      <c r="Q621" s="3">
        <v>594644.33330000006</v>
      </c>
      <c r="S621">
        <v>32.216330999999997</v>
      </c>
      <c r="T621">
        <v>-110.99329</v>
      </c>
    </row>
    <row r="622" spans="2:20" x14ac:dyDescent="0.2">
      <c r="B622" t="s">
        <v>74</v>
      </c>
      <c r="C622" t="s">
        <v>31</v>
      </c>
      <c r="E622" t="s">
        <v>21</v>
      </c>
      <c r="F622" t="s">
        <v>22</v>
      </c>
      <c r="G622" s="1">
        <v>32350</v>
      </c>
      <c r="H622" s="2">
        <v>150</v>
      </c>
      <c r="I622" s="5" t="str">
        <f>CONCATENATE(H622,"x",INT(G622/H622))</f>
        <v>150x215</v>
      </c>
      <c r="J622">
        <v>24</v>
      </c>
      <c r="K622">
        <v>5</v>
      </c>
      <c r="L622" s="3">
        <v>3236</v>
      </c>
      <c r="M622" s="3">
        <v>4209</v>
      </c>
      <c r="N622" s="3">
        <v>3690</v>
      </c>
      <c r="O622" s="3">
        <v>2899995</v>
      </c>
      <c r="P622" s="3">
        <v>3839995</v>
      </c>
      <c r="Q622" s="3">
        <v>3395537.6666000001</v>
      </c>
      <c r="R622" t="s">
        <v>23</v>
      </c>
      <c r="S622">
        <v>33.801558999999997</v>
      </c>
      <c r="T622">
        <v>-111.90204</v>
      </c>
    </row>
    <row r="623" spans="2:20" x14ac:dyDescent="0.2">
      <c r="B623" t="s">
        <v>84</v>
      </c>
      <c r="C623" t="s">
        <v>85</v>
      </c>
      <c r="E623" t="s">
        <v>21</v>
      </c>
      <c r="F623" t="s">
        <v>22</v>
      </c>
      <c r="G623" s="1">
        <v>43428</v>
      </c>
      <c r="H623" s="2">
        <v>154</v>
      </c>
      <c r="I623" s="5" t="str">
        <f>CONCATENATE(H623,"x",INT(G623/H623))</f>
        <v>154x282</v>
      </c>
      <c r="J623">
        <v>11</v>
      </c>
      <c r="K623">
        <v>5</v>
      </c>
      <c r="L623" s="3">
        <v>2680</v>
      </c>
      <c r="M623" s="3">
        <v>3905</v>
      </c>
      <c r="N623" s="3">
        <v>3354</v>
      </c>
      <c r="O623" s="3">
        <v>1357400</v>
      </c>
      <c r="P623" s="3">
        <v>1599400</v>
      </c>
      <c r="Q623" s="3">
        <v>1445400</v>
      </c>
      <c r="S623">
        <v>33.220627</v>
      </c>
      <c r="T623">
        <v>-111.67628000000001</v>
      </c>
    </row>
    <row r="624" spans="2:20" x14ac:dyDescent="0.2">
      <c r="B624" t="s">
        <v>697</v>
      </c>
      <c r="C624" t="s">
        <v>110</v>
      </c>
      <c r="D624" t="s">
        <v>127</v>
      </c>
      <c r="E624" t="s">
        <v>21</v>
      </c>
      <c r="F624" t="s">
        <v>22</v>
      </c>
      <c r="G624" s="1">
        <v>8100</v>
      </c>
      <c r="H624" s="2">
        <v>60</v>
      </c>
      <c r="I624" s="5" t="str">
        <f>CONCATENATE(H624,"x",INT(G624/H624))</f>
        <v>60x135</v>
      </c>
      <c r="J624">
        <v>181</v>
      </c>
      <c r="K624">
        <v>5</v>
      </c>
      <c r="L624" s="3">
        <v>2545</v>
      </c>
      <c r="M624" s="3">
        <v>2950</v>
      </c>
      <c r="N624" s="3">
        <v>2711</v>
      </c>
      <c r="O624" s="3">
        <v>707990</v>
      </c>
      <c r="P624" s="3">
        <v>761990</v>
      </c>
      <c r="Q624" s="3">
        <v>740323.33330000006</v>
      </c>
      <c r="S624">
        <v>33.338031999999998</v>
      </c>
      <c r="T624">
        <v>-111.62169</v>
      </c>
    </row>
    <row r="625" spans="2:20" x14ac:dyDescent="0.2">
      <c r="B625" t="s">
        <v>97</v>
      </c>
      <c r="C625" t="s">
        <v>98</v>
      </c>
      <c r="E625" t="s">
        <v>21</v>
      </c>
      <c r="F625" t="s">
        <v>22</v>
      </c>
      <c r="G625" s="1">
        <v>43560</v>
      </c>
      <c r="H625" s="2">
        <v>175</v>
      </c>
      <c r="I625" s="5" t="str">
        <f>CONCATENATE(H625,"x",INT(G625/H625))</f>
        <v>175x248</v>
      </c>
      <c r="J625">
        <v>4</v>
      </c>
      <c r="K625">
        <v>4</v>
      </c>
      <c r="L625" s="3">
        <v>2131</v>
      </c>
      <c r="M625" s="3">
        <v>2894</v>
      </c>
      <c r="N625" s="3">
        <v>2473</v>
      </c>
      <c r="O625" s="3">
        <v>619900</v>
      </c>
      <c r="P625" s="3">
        <v>744900</v>
      </c>
      <c r="Q625" s="3">
        <v>678233.33330000006</v>
      </c>
      <c r="S625">
        <v>32.301738999999998</v>
      </c>
      <c r="T625">
        <v>-110.97629999999999</v>
      </c>
    </row>
    <row r="626" spans="2:20" x14ac:dyDescent="0.2">
      <c r="B626" t="s">
        <v>698</v>
      </c>
      <c r="C626" t="s">
        <v>699</v>
      </c>
      <c r="D626" t="s">
        <v>700</v>
      </c>
      <c r="E626" t="s">
        <v>21</v>
      </c>
      <c r="F626" t="s">
        <v>22</v>
      </c>
      <c r="G626" s="1">
        <v>8100</v>
      </c>
      <c r="H626" s="2">
        <v>60</v>
      </c>
      <c r="I626" s="5" t="str">
        <f>CONCATENATE(H626,"x",INT(G626/H626))</f>
        <v>60x135</v>
      </c>
      <c r="J626">
        <v>25</v>
      </c>
      <c r="K626">
        <v>4</v>
      </c>
      <c r="L626" s="3">
        <v>2264</v>
      </c>
      <c r="M626" s="3">
        <v>2615</v>
      </c>
      <c r="N626" s="3">
        <v>2439</v>
      </c>
      <c r="O626" s="3">
        <v>1129600</v>
      </c>
      <c r="P626" s="3">
        <v>1159900</v>
      </c>
      <c r="Q626" s="3">
        <v>1144750</v>
      </c>
      <c r="R626" t="s">
        <v>701</v>
      </c>
      <c r="S626">
        <v>33.385497999999998</v>
      </c>
      <c r="T626">
        <v>-111.45741</v>
      </c>
    </row>
    <row r="627" spans="2:20" x14ac:dyDescent="0.2">
      <c r="B627" t="s">
        <v>42</v>
      </c>
      <c r="C627" t="s">
        <v>43</v>
      </c>
      <c r="E627" t="s">
        <v>21</v>
      </c>
      <c r="F627" t="s">
        <v>22</v>
      </c>
      <c r="G627" s="1">
        <v>39500</v>
      </c>
      <c r="H627" s="2">
        <v>100</v>
      </c>
      <c r="I627" s="5" t="str">
        <f>CONCATENATE(H627,"x",INT(G627/H627))</f>
        <v>100x395</v>
      </c>
      <c r="J627">
        <v>1</v>
      </c>
      <c r="K627">
        <v>4</v>
      </c>
      <c r="L627" s="3">
        <v>2051</v>
      </c>
      <c r="M627" s="3">
        <v>2051</v>
      </c>
      <c r="N627" s="3">
        <v>2051</v>
      </c>
      <c r="O627" s="3">
        <v>473900</v>
      </c>
      <c r="P627" s="3">
        <v>473900</v>
      </c>
      <c r="Q627" s="3">
        <v>473900</v>
      </c>
      <c r="S627">
        <v>32.033222000000002</v>
      </c>
      <c r="T627">
        <v>-110.70151</v>
      </c>
    </row>
    <row r="628" spans="2:20" x14ac:dyDescent="0.2">
      <c r="B628" t="s">
        <v>191</v>
      </c>
      <c r="C628" t="s">
        <v>43</v>
      </c>
      <c r="E628" t="s">
        <v>21</v>
      </c>
      <c r="F628" t="s">
        <v>22</v>
      </c>
      <c r="G628" s="1">
        <v>3600</v>
      </c>
      <c r="H628" s="2">
        <v>40</v>
      </c>
      <c r="I628" s="5" t="str">
        <f>CONCATENATE(H628,"x",INT(G628/H628))</f>
        <v>40x90</v>
      </c>
      <c r="J628">
        <v>42</v>
      </c>
      <c r="K628">
        <v>4</v>
      </c>
      <c r="L628" s="3">
        <v>1401</v>
      </c>
      <c r="M628" s="3">
        <v>2522</v>
      </c>
      <c r="N628" s="3">
        <v>1865</v>
      </c>
      <c r="O628" s="3">
        <v>373900</v>
      </c>
      <c r="P628" s="3">
        <v>445900</v>
      </c>
      <c r="Q628" s="3">
        <v>401566.6666</v>
      </c>
      <c r="S628">
        <v>32.271197999999998</v>
      </c>
      <c r="T628">
        <v>-111.0248</v>
      </c>
    </row>
    <row r="629" spans="2:20" x14ac:dyDescent="0.2">
      <c r="B629" t="s">
        <v>299</v>
      </c>
      <c r="C629" t="s">
        <v>43</v>
      </c>
      <c r="D629" t="s">
        <v>300</v>
      </c>
      <c r="E629" t="s">
        <v>21</v>
      </c>
      <c r="F629" t="s">
        <v>22</v>
      </c>
      <c r="G629" s="1">
        <v>5175</v>
      </c>
      <c r="H629" s="2">
        <v>45</v>
      </c>
      <c r="I629" s="5" t="str">
        <f>CONCATENATE(H629,"x",INT(G629/H629))</f>
        <v>45x115</v>
      </c>
      <c r="J629">
        <v>245</v>
      </c>
      <c r="K629">
        <v>4</v>
      </c>
      <c r="L629" s="3">
        <v>1317</v>
      </c>
      <c r="M629" s="3">
        <v>1881</v>
      </c>
      <c r="N629" s="3">
        <v>1587</v>
      </c>
      <c r="O629" s="3">
        <v>310990</v>
      </c>
      <c r="P629" s="3">
        <v>341990</v>
      </c>
      <c r="Q629" s="3">
        <v>326767.77769999998</v>
      </c>
      <c r="S629">
        <v>33.103358999999998</v>
      </c>
      <c r="T629">
        <v>-111.46387</v>
      </c>
    </row>
    <row r="630" spans="2:20" x14ac:dyDescent="0.2">
      <c r="B630" t="s">
        <v>676</v>
      </c>
      <c r="C630" t="s">
        <v>469</v>
      </c>
      <c r="D630" t="s">
        <v>470</v>
      </c>
      <c r="E630" t="s">
        <v>21</v>
      </c>
      <c r="F630" t="s">
        <v>22</v>
      </c>
      <c r="G630" s="1">
        <v>7200</v>
      </c>
      <c r="H630" s="2">
        <v>60</v>
      </c>
      <c r="I630" s="5" t="str">
        <f>CONCATENATE(H630,"x",INT(G630/H630))</f>
        <v>60x120</v>
      </c>
      <c r="J630">
        <v>187</v>
      </c>
      <c r="K630">
        <v>4</v>
      </c>
      <c r="L630" s="3">
        <v>2016</v>
      </c>
      <c r="M630" s="3">
        <v>3028</v>
      </c>
      <c r="N630" s="3">
        <v>2456</v>
      </c>
      <c r="O630" s="3">
        <v>436950</v>
      </c>
      <c r="P630" s="3">
        <v>545950</v>
      </c>
      <c r="Q630" s="3">
        <v>482283.3333</v>
      </c>
      <c r="S630">
        <v>33.560242000000002</v>
      </c>
      <c r="T630">
        <v>-112.43137</v>
      </c>
    </row>
    <row r="631" spans="2:20" x14ac:dyDescent="0.2">
      <c r="B631" t="s">
        <v>99</v>
      </c>
      <c r="C631" t="s">
        <v>33</v>
      </c>
      <c r="E631" t="s">
        <v>21</v>
      </c>
      <c r="F631" t="s">
        <v>22</v>
      </c>
      <c r="G631" s="1">
        <v>40700</v>
      </c>
      <c r="H631" s="2">
        <v>185</v>
      </c>
      <c r="I631" s="5" t="str">
        <f>CONCATENATE(H631,"x",INT(G631/H631))</f>
        <v>185x220</v>
      </c>
      <c r="J631">
        <v>2</v>
      </c>
      <c r="K631">
        <v>4</v>
      </c>
      <c r="L631" s="3">
        <v>2746</v>
      </c>
      <c r="M631" s="3">
        <v>3390</v>
      </c>
      <c r="N631" s="3">
        <v>3146</v>
      </c>
      <c r="O631" s="3">
        <v>1000000</v>
      </c>
      <c r="P631" s="3">
        <v>1442630</v>
      </c>
      <c r="Q631" s="3">
        <v>1287203.3333000001</v>
      </c>
      <c r="S631">
        <v>32.271084000000002</v>
      </c>
      <c r="T631">
        <v>-110.86559</v>
      </c>
    </row>
    <row r="632" spans="2:20" x14ac:dyDescent="0.2">
      <c r="B632" t="s">
        <v>811</v>
      </c>
      <c r="C632" t="s">
        <v>130</v>
      </c>
      <c r="E632" t="s">
        <v>21</v>
      </c>
      <c r="F632" t="s">
        <v>22</v>
      </c>
      <c r="G632" s="1">
        <v>9000</v>
      </c>
      <c r="H632" s="2">
        <v>75</v>
      </c>
      <c r="I632" s="5" t="str">
        <f>CONCATENATE(H632,"x",INT(G632/H632))</f>
        <v>75x120</v>
      </c>
      <c r="J632">
        <v>47</v>
      </c>
      <c r="K632">
        <v>4</v>
      </c>
      <c r="L632" s="3">
        <v>2291</v>
      </c>
      <c r="M632" s="3">
        <v>3240</v>
      </c>
      <c r="N632" s="3">
        <v>2737</v>
      </c>
      <c r="O632" s="3">
        <v>559990</v>
      </c>
      <c r="P632" s="3">
        <v>651990</v>
      </c>
      <c r="Q632" s="3">
        <v>604240</v>
      </c>
      <c r="S632">
        <v>33.543480000000002</v>
      </c>
      <c r="T632">
        <v>-112.23211999999999</v>
      </c>
    </row>
    <row r="633" spans="2:20" x14ac:dyDescent="0.2">
      <c r="B633" t="s">
        <v>828</v>
      </c>
      <c r="C633" t="s">
        <v>130</v>
      </c>
      <c r="E633" t="s">
        <v>21</v>
      </c>
      <c r="F633" t="s">
        <v>22</v>
      </c>
      <c r="G633" s="1">
        <v>9600</v>
      </c>
      <c r="H633" s="2">
        <v>80</v>
      </c>
      <c r="I633" s="5" t="str">
        <f>CONCATENATE(H633,"x",INT(G633/H633))</f>
        <v>80x120</v>
      </c>
      <c r="J633">
        <v>39</v>
      </c>
      <c r="K633">
        <v>4</v>
      </c>
      <c r="L633" s="3">
        <v>2291</v>
      </c>
      <c r="M633" s="3">
        <v>3240</v>
      </c>
      <c r="N633" s="3">
        <v>2737</v>
      </c>
      <c r="O633" s="3">
        <v>559990</v>
      </c>
      <c r="P633" s="3">
        <v>651990</v>
      </c>
      <c r="Q633" s="3">
        <v>604240</v>
      </c>
      <c r="S633">
        <v>33.545689000000003</v>
      </c>
      <c r="T633">
        <v>-112.24055</v>
      </c>
    </row>
    <row r="634" spans="2:20" x14ac:dyDescent="0.2">
      <c r="B634" t="s">
        <v>338</v>
      </c>
      <c r="C634" t="s">
        <v>144</v>
      </c>
      <c r="D634" t="s">
        <v>171</v>
      </c>
      <c r="E634" t="s">
        <v>21</v>
      </c>
      <c r="F634" t="s">
        <v>22</v>
      </c>
      <c r="G634" s="1">
        <v>5400</v>
      </c>
      <c r="H634" s="2">
        <v>45</v>
      </c>
      <c r="I634" s="5" t="str">
        <f>CONCATENATE(H634,"x",INT(G634/H634))</f>
        <v>45x120</v>
      </c>
      <c r="J634">
        <v>86</v>
      </c>
      <c r="K634">
        <v>4</v>
      </c>
      <c r="L634" s="3">
        <v>1764</v>
      </c>
      <c r="M634" s="3">
        <v>2546</v>
      </c>
      <c r="N634" s="3">
        <v>2162</v>
      </c>
      <c r="O634" s="3">
        <v>434990</v>
      </c>
      <c r="P634" s="3">
        <v>504990</v>
      </c>
      <c r="Q634" s="3">
        <v>471240</v>
      </c>
      <c r="S634">
        <v>33.499073000000003</v>
      </c>
      <c r="T634">
        <v>-112.2559</v>
      </c>
    </row>
    <row r="635" spans="2:20" x14ac:dyDescent="0.2">
      <c r="B635" t="s">
        <v>675</v>
      </c>
      <c r="C635" t="s">
        <v>144</v>
      </c>
      <c r="D635" t="s">
        <v>328</v>
      </c>
      <c r="E635" t="s">
        <v>21</v>
      </c>
      <c r="F635" t="s">
        <v>22</v>
      </c>
      <c r="G635" s="1">
        <v>7200</v>
      </c>
      <c r="H635" s="2">
        <v>60</v>
      </c>
      <c r="I635" s="5" t="str">
        <f>CONCATENATE(H635,"x",INT(G635/H635))</f>
        <v>60x120</v>
      </c>
      <c r="J635">
        <v>54</v>
      </c>
      <c r="K635">
        <v>4</v>
      </c>
      <c r="L635" s="3">
        <v>2598</v>
      </c>
      <c r="M635" s="3">
        <v>3024</v>
      </c>
      <c r="N635" s="3">
        <v>2819</v>
      </c>
      <c r="O635" s="3">
        <v>727990</v>
      </c>
      <c r="P635" s="3">
        <v>842990</v>
      </c>
      <c r="Q635" s="3">
        <v>792990</v>
      </c>
      <c r="S635">
        <v>33.781241999999999</v>
      </c>
      <c r="T635">
        <v>-112.10589</v>
      </c>
    </row>
    <row r="636" spans="2:20" x14ac:dyDescent="0.2">
      <c r="B636" t="s">
        <v>297</v>
      </c>
      <c r="C636" t="s">
        <v>114</v>
      </c>
      <c r="D636" t="s">
        <v>298</v>
      </c>
      <c r="E636" t="s">
        <v>21</v>
      </c>
      <c r="F636" t="s">
        <v>22</v>
      </c>
      <c r="G636" s="1">
        <v>5175</v>
      </c>
      <c r="H636" s="2">
        <v>45</v>
      </c>
      <c r="I636" s="5" t="str">
        <f>CONCATENATE(H636,"x",INT(G636/H636))</f>
        <v>45x115</v>
      </c>
      <c r="J636">
        <v>94</v>
      </c>
      <c r="K636">
        <v>4</v>
      </c>
      <c r="L636" s="3">
        <v>1239</v>
      </c>
      <c r="M636" s="3">
        <v>2049</v>
      </c>
      <c r="N636" s="3">
        <v>1622</v>
      </c>
      <c r="O636" s="3">
        <v>373990</v>
      </c>
      <c r="P636" s="3">
        <v>424990</v>
      </c>
      <c r="Q636" s="3">
        <v>395190</v>
      </c>
      <c r="S636">
        <v>33.522587000000001</v>
      </c>
      <c r="T636">
        <v>-112.47965000000001</v>
      </c>
    </row>
    <row r="637" spans="2:20" x14ac:dyDescent="0.2">
      <c r="B637" t="s">
        <v>531</v>
      </c>
      <c r="C637" t="s">
        <v>114</v>
      </c>
      <c r="E637" t="s">
        <v>21</v>
      </c>
      <c r="F637" t="s">
        <v>22</v>
      </c>
      <c r="G637" s="1">
        <v>6500</v>
      </c>
      <c r="H637" s="2">
        <v>52</v>
      </c>
      <c r="I637" s="5" t="str">
        <f>CONCATENATE(H637,"x",INT(G637/H637))</f>
        <v>52x125</v>
      </c>
      <c r="J637">
        <v>169</v>
      </c>
      <c r="K637">
        <v>4</v>
      </c>
      <c r="L637" s="3">
        <v>2308</v>
      </c>
      <c r="M637" s="3">
        <v>2563</v>
      </c>
      <c r="N637" s="3">
        <v>2404</v>
      </c>
      <c r="O637" s="3">
        <v>603330</v>
      </c>
      <c r="P637" s="3">
        <v>617430</v>
      </c>
      <c r="Q637" s="3">
        <v>611916.6666</v>
      </c>
      <c r="S637">
        <v>32.411715999999998</v>
      </c>
      <c r="T637">
        <v>-111.01646</v>
      </c>
    </row>
    <row r="638" spans="2:20" x14ac:dyDescent="0.2">
      <c r="B638" t="s">
        <v>754</v>
      </c>
      <c r="C638" t="s">
        <v>114</v>
      </c>
      <c r="D638" t="s">
        <v>683</v>
      </c>
      <c r="E638" t="s">
        <v>21</v>
      </c>
      <c r="F638" t="s">
        <v>22</v>
      </c>
      <c r="G638" s="1">
        <v>8710</v>
      </c>
      <c r="H638" s="2">
        <v>67</v>
      </c>
      <c r="I638" s="5" t="str">
        <f>CONCATENATE(H638,"x",INT(G638/H638))</f>
        <v>67x130</v>
      </c>
      <c r="J638">
        <v>67</v>
      </c>
      <c r="K638">
        <v>4</v>
      </c>
      <c r="L638" s="3">
        <v>2083</v>
      </c>
      <c r="M638" s="3">
        <v>3045</v>
      </c>
      <c r="N638" s="3">
        <v>2560</v>
      </c>
      <c r="O638" s="3">
        <v>410990</v>
      </c>
      <c r="P638" s="3">
        <v>462990</v>
      </c>
      <c r="Q638" s="3">
        <v>435990</v>
      </c>
      <c r="S638">
        <v>31.879843000000001</v>
      </c>
      <c r="T638">
        <v>-110.95829999999999</v>
      </c>
    </row>
    <row r="639" spans="2:20" x14ac:dyDescent="0.2">
      <c r="B639" t="s">
        <v>434</v>
      </c>
      <c r="C639" t="s">
        <v>136</v>
      </c>
      <c r="E639" t="s">
        <v>21</v>
      </c>
      <c r="F639" t="s">
        <v>22</v>
      </c>
      <c r="G639" s="1">
        <v>5750</v>
      </c>
      <c r="H639" s="2">
        <v>50</v>
      </c>
      <c r="I639" s="5" t="str">
        <f>CONCATENATE(H639,"x",INT(G639/H639))</f>
        <v>50x115</v>
      </c>
      <c r="J639">
        <v>140</v>
      </c>
      <c r="K639">
        <v>4</v>
      </c>
      <c r="L639" s="3">
        <v>1590</v>
      </c>
      <c r="M639" s="3">
        <v>2630</v>
      </c>
      <c r="N639" s="3">
        <v>2003</v>
      </c>
      <c r="O639" s="3">
        <v>405990</v>
      </c>
      <c r="P639" s="3">
        <v>471990</v>
      </c>
      <c r="Q639" s="3">
        <v>428990</v>
      </c>
      <c r="S639">
        <v>33.444068999999999</v>
      </c>
      <c r="T639">
        <v>-112.39643</v>
      </c>
    </row>
    <row r="640" spans="2:20" x14ac:dyDescent="0.2">
      <c r="B640" t="s">
        <v>858</v>
      </c>
      <c r="C640" t="s">
        <v>38</v>
      </c>
      <c r="D640" t="s">
        <v>28</v>
      </c>
      <c r="E640" t="s">
        <v>21</v>
      </c>
      <c r="F640" t="s">
        <v>22</v>
      </c>
      <c r="G640" s="1">
        <v>11700</v>
      </c>
      <c r="H640" s="2">
        <v>90</v>
      </c>
      <c r="I640" s="5" t="str">
        <f>CONCATENATE(H640,"x",INT(G640/H640))</f>
        <v>90x130</v>
      </c>
      <c r="J640">
        <v>55</v>
      </c>
      <c r="K640">
        <v>4</v>
      </c>
      <c r="L640" s="3">
        <v>2764</v>
      </c>
      <c r="M640" s="3">
        <v>3904</v>
      </c>
      <c r="N640" s="3">
        <v>3298</v>
      </c>
      <c r="O640" s="3">
        <v>1235990</v>
      </c>
      <c r="P640" s="3">
        <v>1393990</v>
      </c>
      <c r="Q640" s="3">
        <v>1304990</v>
      </c>
      <c r="S640">
        <v>33.706802000000003</v>
      </c>
      <c r="T640">
        <v>-111.79498</v>
      </c>
    </row>
    <row r="641" spans="2:20" x14ac:dyDescent="0.2">
      <c r="B641" t="s">
        <v>849</v>
      </c>
      <c r="C641" t="s">
        <v>31</v>
      </c>
      <c r="D641" t="s">
        <v>850</v>
      </c>
      <c r="E641" t="s">
        <v>21</v>
      </c>
      <c r="F641" t="s">
        <v>22</v>
      </c>
      <c r="G641" s="1">
        <v>11050</v>
      </c>
      <c r="H641" s="2">
        <v>85</v>
      </c>
      <c r="I641" s="5" t="str">
        <f>CONCATENATE(H641,"x",INT(G641/H641))</f>
        <v>85x130</v>
      </c>
      <c r="J641">
        <v>63</v>
      </c>
      <c r="K641">
        <v>4</v>
      </c>
      <c r="L641" s="3">
        <v>2955</v>
      </c>
      <c r="M641" s="3">
        <v>3579</v>
      </c>
      <c r="N641" s="3">
        <v>3267</v>
      </c>
      <c r="O641" s="3">
        <v>1379995</v>
      </c>
      <c r="P641" s="3">
        <v>1660995</v>
      </c>
      <c r="Q641" s="3">
        <v>1520495</v>
      </c>
      <c r="S641">
        <v>33.339858999999997</v>
      </c>
      <c r="T641">
        <v>-111.70426999999999</v>
      </c>
    </row>
    <row r="642" spans="2:20" x14ac:dyDescent="0.2">
      <c r="B642" t="s">
        <v>100</v>
      </c>
      <c r="C642" t="s">
        <v>98</v>
      </c>
      <c r="E642" t="s">
        <v>21</v>
      </c>
      <c r="F642" t="s">
        <v>22</v>
      </c>
      <c r="G642" s="1">
        <v>39500</v>
      </c>
      <c r="H642" s="2">
        <v>195</v>
      </c>
      <c r="I642" s="5" t="str">
        <f>CONCATENATE(H642,"x",INT(G642/H642))</f>
        <v>195x202</v>
      </c>
      <c r="J642">
        <v>11</v>
      </c>
      <c r="K642">
        <v>3</v>
      </c>
      <c r="L642" s="3">
        <v>2131</v>
      </c>
      <c r="M642" s="3">
        <v>3292</v>
      </c>
      <c r="N642" s="3">
        <v>2684</v>
      </c>
      <c r="O642" s="3">
        <v>669900</v>
      </c>
      <c r="P642" s="3">
        <v>809900</v>
      </c>
      <c r="Q642" s="3">
        <v>743100</v>
      </c>
      <c r="S642">
        <v>32.265704999999997</v>
      </c>
      <c r="T642">
        <v>-110.80373</v>
      </c>
    </row>
    <row r="643" spans="2:20" x14ac:dyDescent="0.2">
      <c r="B643" t="s">
        <v>339</v>
      </c>
      <c r="C643" t="s">
        <v>187</v>
      </c>
      <c r="D643" t="s">
        <v>323</v>
      </c>
      <c r="E643" t="s">
        <v>21</v>
      </c>
      <c r="F643" t="s">
        <v>22</v>
      </c>
      <c r="G643" s="1">
        <v>5400</v>
      </c>
      <c r="H643" s="2">
        <v>45</v>
      </c>
      <c r="I643" s="5" t="str">
        <f>CONCATENATE(H643,"x",INT(G643/H643))</f>
        <v>45x120</v>
      </c>
      <c r="J643">
        <v>69</v>
      </c>
      <c r="K643">
        <v>3</v>
      </c>
      <c r="L643" s="3">
        <v>1494</v>
      </c>
      <c r="M643" s="3">
        <v>2941</v>
      </c>
      <c r="N643" s="3">
        <v>2109</v>
      </c>
      <c r="O643" s="3">
        <v>335990</v>
      </c>
      <c r="P643" s="3">
        <v>438990</v>
      </c>
      <c r="Q643" s="3">
        <v>377790</v>
      </c>
      <c r="S643">
        <v>33.050758000000002</v>
      </c>
      <c r="T643">
        <v>-111.95618</v>
      </c>
    </row>
    <row r="644" spans="2:20" x14ac:dyDescent="0.2">
      <c r="B644" t="s">
        <v>104</v>
      </c>
      <c r="C644" t="s">
        <v>105</v>
      </c>
      <c r="E644" t="s">
        <v>21</v>
      </c>
      <c r="F644" t="s">
        <v>22</v>
      </c>
      <c r="G644" s="1">
        <v>875</v>
      </c>
      <c r="H644">
        <v>25</v>
      </c>
      <c r="I644" s="5" t="str">
        <f>CONCATENATE(H644,"x",INT(G644/H644))</f>
        <v>25x35</v>
      </c>
      <c r="J644">
        <v>47</v>
      </c>
      <c r="K644">
        <v>3</v>
      </c>
      <c r="L644" s="3">
        <v>1085</v>
      </c>
      <c r="M644" s="3">
        <v>1098</v>
      </c>
      <c r="N644" s="3">
        <v>1089</v>
      </c>
      <c r="O644" s="3">
        <v>422900</v>
      </c>
      <c r="P644" s="3">
        <v>427900</v>
      </c>
      <c r="Q644" s="3">
        <v>424566.6666</v>
      </c>
      <c r="S644">
        <v>35.193550000000002</v>
      </c>
      <c r="T644">
        <v>-111.61382</v>
      </c>
    </row>
    <row r="645" spans="2:20" x14ac:dyDescent="0.2">
      <c r="B645" t="s">
        <v>61</v>
      </c>
      <c r="C645" t="s">
        <v>57</v>
      </c>
      <c r="E645" t="s">
        <v>21</v>
      </c>
      <c r="F645" t="s">
        <v>22</v>
      </c>
      <c r="G645" s="1">
        <v>26199</v>
      </c>
      <c r="H645" s="2">
        <v>123</v>
      </c>
      <c r="I645" s="5" t="str">
        <f>CONCATENATE(H645,"x",INT(G645/H645))</f>
        <v>123x213</v>
      </c>
      <c r="J645">
        <v>18</v>
      </c>
      <c r="K645">
        <v>3</v>
      </c>
      <c r="L645" s="3">
        <v>4495</v>
      </c>
      <c r="M645" s="3">
        <v>5932</v>
      </c>
      <c r="N645" s="3">
        <v>5213</v>
      </c>
      <c r="O645" s="3">
        <v>3439900</v>
      </c>
      <c r="P645" s="3">
        <v>3749900</v>
      </c>
      <c r="Q645" s="3">
        <v>3594900</v>
      </c>
      <c r="R645" t="s">
        <v>23</v>
      </c>
      <c r="S645">
        <v>33.710948999999999</v>
      </c>
      <c r="T645">
        <v>-111.85877000000001</v>
      </c>
    </row>
    <row r="646" spans="2:20" x14ac:dyDescent="0.2">
      <c r="B646" t="s">
        <v>518</v>
      </c>
      <c r="C646" t="s">
        <v>173</v>
      </c>
      <c r="D646" t="s">
        <v>519</v>
      </c>
      <c r="E646" t="s">
        <v>21</v>
      </c>
      <c r="F646" t="s">
        <v>22</v>
      </c>
      <c r="G646" s="1">
        <v>4500</v>
      </c>
      <c r="H646" s="2">
        <v>50</v>
      </c>
      <c r="I646" s="5" t="str">
        <f>CONCATENATE(H646,"x",INT(G646/H646))</f>
        <v>50x90</v>
      </c>
      <c r="J646">
        <v>12</v>
      </c>
      <c r="K646">
        <v>3</v>
      </c>
      <c r="L646" s="3">
        <v>1793</v>
      </c>
      <c r="M646" s="3">
        <v>1985</v>
      </c>
      <c r="N646" s="3">
        <v>1889</v>
      </c>
      <c r="O646" s="3">
        <v>684900</v>
      </c>
      <c r="P646" s="3">
        <v>714900</v>
      </c>
      <c r="Q646" s="3">
        <v>699900</v>
      </c>
      <c r="S646">
        <v>35.185692000000003</v>
      </c>
      <c r="T646">
        <v>-111.69543</v>
      </c>
    </row>
    <row r="647" spans="2:20" x14ac:dyDescent="0.2">
      <c r="B647" t="s">
        <v>375</v>
      </c>
      <c r="C647" t="s">
        <v>376</v>
      </c>
      <c r="E647" t="s">
        <v>21</v>
      </c>
      <c r="F647" t="s">
        <v>22</v>
      </c>
      <c r="G647" s="1">
        <v>5760</v>
      </c>
      <c r="H647" s="2">
        <v>48</v>
      </c>
      <c r="I647" s="5" t="str">
        <f>CONCATENATE(H647,"x",INT(G647/H647))</f>
        <v>48x120</v>
      </c>
      <c r="J647">
        <v>73</v>
      </c>
      <c r="K647">
        <v>3</v>
      </c>
      <c r="L647" s="3">
        <v>1376</v>
      </c>
      <c r="M647" s="3">
        <v>1815</v>
      </c>
      <c r="N647" s="3">
        <v>1613</v>
      </c>
      <c r="O647" s="3">
        <v>336490</v>
      </c>
      <c r="P647" s="3">
        <v>361490</v>
      </c>
      <c r="Q647" s="3">
        <v>349823.3333</v>
      </c>
      <c r="S647">
        <v>33.432152000000002</v>
      </c>
      <c r="T647">
        <v>-112.57977</v>
      </c>
    </row>
    <row r="648" spans="2:20" x14ac:dyDescent="0.2">
      <c r="B648" t="s">
        <v>41</v>
      </c>
      <c r="C648" t="s">
        <v>20</v>
      </c>
      <c r="E648" t="s">
        <v>21</v>
      </c>
      <c r="F648" t="s">
        <v>22</v>
      </c>
      <c r="G648" s="1">
        <v>16000</v>
      </c>
      <c r="H648" s="2">
        <v>100</v>
      </c>
      <c r="I648" s="5" t="str">
        <f>CONCATENATE(H648,"x",INT(G648/H648))</f>
        <v>100x160</v>
      </c>
      <c r="J648">
        <v>5</v>
      </c>
      <c r="K648">
        <v>3</v>
      </c>
      <c r="L648" s="3">
        <v>3500</v>
      </c>
      <c r="M648" s="3">
        <v>4334</v>
      </c>
      <c r="N648" s="3">
        <v>3978</v>
      </c>
      <c r="O648" s="3">
        <v>4165680</v>
      </c>
      <c r="P648" s="3">
        <v>5972400</v>
      </c>
      <c r="Q648" s="3">
        <v>4937480</v>
      </c>
      <c r="R648" t="s">
        <v>23</v>
      </c>
      <c r="S648">
        <v>33.553576999999997</v>
      </c>
      <c r="T648">
        <v>-111.92695000000001</v>
      </c>
    </row>
    <row r="649" spans="2:20" x14ac:dyDescent="0.2">
      <c r="B649" t="s">
        <v>901</v>
      </c>
      <c r="C649" t="s">
        <v>902</v>
      </c>
      <c r="E649" t="s">
        <v>872</v>
      </c>
      <c r="F649" t="s">
        <v>873</v>
      </c>
      <c r="G649" s="1">
        <v>0</v>
      </c>
      <c r="H649" s="1">
        <v>0</v>
      </c>
      <c r="I649" s="5" t="s">
        <v>874</v>
      </c>
      <c r="J649">
        <v>59</v>
      </c>
      <c r="K649">
        <v>3</v>
      </c>
      <c r="L649" s="3">
        <v>500</v>
      </c>
      <c r="M649" s="3">
        <v>1380</v>
      </c>
      <c r="N649" s="3">
        <v>953</v>
      </c>
      <c r="O649" s="3">
        <v>277100</v>
      </c>
      <c r="P649" s="3">
        <v>513000</v>
      </c>
      <c r="Q649" s="3">
        <v>416533.3333</v>
      </c>
      <c r="R649" t="s">
        <v>873</v>
      </c>
      <c r="S649">
        <v>33.373466000000001</v>
      </c>
      <c r="T649">
        <v>-111.97186000000001</v>
      </c>
    </row>
    <row r="650" spans="2:20" x14ac:dyDescent="0.2">
      <c r="B650" t="s">
        <v>62</v>
      </c>
      <c r="C650" t="s">
        <v>63</v>
      </c>
      <c r="E650" t="s">
        <v>21</v>
      </c>
      <c r="F650" t="s">
        <v>22</v>
      </c>
      <c r="G650" s="1">
        <v>32500</v>
      </c>
      <c r="H650" s="2">
        <v>125</v>
      </c>
      <c r="I650" s="5" t="str">
        <f>CONCATENATE(H650,"x",INT(G650/H650))</f>
        <v>125x260</v>
      </c>
      <c r="J650">
        <v>37</v>
      </c>
      <c r="K650">
        <v>3</v>
      </c>
      <c r="L650" s="3">
        <v>2556</v>
      </c>
      <c r="M650" s="3">
        <v>3414</v>
      </c>
      <c r="N650" s="3">
        <v>2977</v>
      </c>
      <c r="O650" s="3">
        <v>811900</v>
      </c>
      <c r="P650" s="3">
        <v>924900</v>
      </c>
      <c r="Q650" s="3">
        <v>871614.28570000001</v>
      </c>
      <c r="S650">
        <v>32.427864</v>
      </c>
      <c r="T650">
        <v>-111.05105</v>
      </c>
    </row>
    <row r="651" spans="2:20" x14ac:dyDescent="0.2">
      <c r="B651" t="s">
        <v>823</v>
      </c>
      <c r="C651" t="s">
        <v>130</v>
      </c>
      <c r="E651" t="s">
        <v>21</v>
      </c>
      <c r="F651" t="s">
        <v>22</v>
      </c>
      <c r="G651" s="1">
        <v>9750</v>
      </c>
      <c r="H651" s="2">
        <v>78</v>
      </c>
      <c r="I651" s="5" t="str">
        <f>CONCATENATE(H651,"x",INT(G651/H651))</f>
        <v>78x125</v>
      </c>
      <c r="J651">
        <v>32</v>
      </c>
      <c r="K651">
        <v>3</v>
      </c>
      <c r="L651" s="3">
        <v>2652</v>
      </c>
      <c r="M651" s="3">
        <v>2765</v>
      </c>
      <c r="N651" s="3">
        <v>2708</v>
      </c>
      <c r="O651" s="3">
        <v>794990</v>
      </c>
      <c r="P651" s="3">
        <v>816990</v>
      </c>
      <c r="Q651" s="3">
        <v>805990</v>
      </c>
      <c r="S651">
        <v>33.706153999999998</v>
      </c>
      <c r="T651">
        <v>-112.15617</v>
      </c>
    </row>
    <row r="652" spans="2:20" x14ac:dyDescent="0.2">
      <c r="B652" t="s">
        <v>435</v>
      </c>
      <c r="C652" t="s">
        <v>116</v>
      </c>
      <c r="E652" t="s">
        <v>21</v>
      </c>
      <c r="F652" t="s">
        <v>22</v>
      </c>
      <c r="G652" s="1">
        <v>5750</v>
      </c>
      <c r="H652" s="2">
        <v>50</v>
      </c>
      <c r="I652" s="5" t="str">
        <f>CONCATENATE(H652,"x",INT(G652/H652))</f>
        <v>50x115</v>
      </c>
      <c r="J652">
        <v>56</v>
      </c>
      <c r="K652">
        <v>3</v>
      </c>
      <c r="L652" s="3">
        <v>1439</v>
      </c>
      <c r="M652" s="3">
        <v>1859</v>
      </c>
      <c r="N652" s="3">
        <v>1656</v>
      </c>
      <c r="O652" s="3">
        <v>306990</v>
      </c>
      <c r="P652" s="3">
        <v>349990</v>
      </c>
      <c r="Q652" s="3">
        <v>332323.3333</v>
      </c>
      <c r="S652">
        <v>32.941887000000001</v>
      </c>
      <c r="T652">
        <v>-111.71114</v>
      </c>
    </row>
    <row r="653" spans="2:20" x14ac:dyDescent="0.2">
      <c r="B653" t="s">
        <v>192</v>
      </c>
      <c r="C653" t="s">
        <v>123</v>
      </c>
      <c r="D653" t="s">
        <v>193</v>
      </c>
      <c r="E653" t="s">
        <v>21</v>
      </c>
      <c r="F653" t="s">
        <v>22</v>
      </c>
      <c r="G653" s="1">
        <v>3600</v>
      </c>
      <c r="H653" s="2">
        <v>40</v>
      </c>
      <c r="I653" s="5" t="str">
        <f>CONCATENATE(H653,"x",INT(G653/H653))</f>
        <v>40x90</v>
      </c>
      <c r="J653">
        <v>120</v>
      </c>
      <c r="K653">
        <v>3</v>
      </c>
      <c r="L653" s="3">
        <v>1819</v>
      </c>
      <c r="M653" s="3">
        <v>2065</v>
      </c>
      <c r="N653" s="3">
        <v>1942</v>
      </c>
      <c r="O653" s="3">
        <v>431903</v>
      </c>
      <c r="P653" s="3">
        <v>456589</v>
      </c>
      <c r="Q653" s="3">
        <v>444246</v>
      </c>
      <c r="S653">
        <v>33.469864000000001</v>
      </c>
      <c r="T653">
        <v>-112.50968</v>
      </c>
    </row>
    <row r="654" spans="2:20" x14ac:dyDescent="0.2">
      <c r="B654" t="s">
        <v>340</v>
      </c>
      <c r="C654" t="s">
        <v>144</v>
      </c>
      <c r="D654" t="s">
        <v>171</v>
      </c>
      <c r="E654" t="s">
        <v>21</v>
      </c>
      <c r="F654" t="s">
        <v>22</v>
      </c>
      <c r="G654" s="1">
        <v>5400</v>
      </c>
      <c r="H654" s="2">
        <v>45</v>
      </c>
      <c r="I654" s="5" t="str">
        <f>CONCATENATE(H654,"x",INT(G654/H654))</f>
        <v>45x120</v>
      </c>
      <c r="J654">
        <v>93</v>
      </c>
      <c r="K654">
        <v>3</v>
      </c>
      <c r="L654" s="3">
        <v>1797</v>
      </c>
      <c r="M654" s="3">
        <v>1953</v>
      </c>
      <c r="N654" s="3">
        <v>1901</v>
      </c>
      <c r="O654" s="3">
        <v>432990</v>
      </c>
      <c r="P654" s="3">
        <v>452990</v>
      </c>
      <c r="Q654" s="3">
        <v>444656.6666</v>
      </c>
      <c r="S654">
        <v>33.499599000000003</v>
      </c>
      <c r="T654">
        <v>-112.25961</v>
      </c>
    </row>
    <row r="655" spans="2:20" x14ac:dyDescent="0.2">
      <c r="B655" t="s">
        <v>492</v>
      </c>
      <c r="C655" t="s">
        <v>144</v>
      </c>
      <c r="D655" t="s">
        <v>285</v>
      </c>
      <c r="E655" t="s">
        <v>21</v>
      </c>
      <c r="F655" t="s">
        <v>22</v>
      </c>
      <c r="G655" s="1">
        <v>6000</v>
      </c>
      <c r="H655" s="2">
        <v>50</v>
      </c>
      <c r="I655" s="5" t="str">
        <f>CONCATENATE(H655,"x",INT(G655/H655))</f>
        <v>50x120</v>
      </c>
      <c r="J655">
        <v>49</v>
      </c>
      <c r="K655">
        <v>3</v>
      </c>
      <c r="L655" s="3">
        <v>2274</v>
      </c>
      <c r="M655" s="3">
        <v>2524</v>
      </c>
      <c r="N655" s="3">
        <v>2399</v>
      </c>
      <c r="O655" s="3">
        <v>436990</v>
      </c>
      <c r="P655" s="3">
        <v>451990</v>
      </c>
      <c r="Q655" s="3">
        <v>444490</v>
      </c>
      <c r="S655">
        <v>33.408951000000002</v>
      </c>
      <c r="T655">
        <v>-112.26033</v>
      </c>
    </row>
    <row r="656" spans="2:20" x14ac:dyDescent="0.2">
      <c r="B656" t="s">
        <v>767</v>
      </c>
      <c r="C656" t="s">
        <v>144</v>
      </c>
      <c r="D656" t="s">
        <v>768</v>
      </c>
      <c r="E656" t="s">
        <v>21</v>
      </c>
      <c r="F656" t="s">
        <v>22</v>
      </c>
      <c r="G656" s="1">
        <v>8050</v>
      </c>
      <c r="H656" s="2">
        <v>70</v>
      </c>
      <c r="I656" s="5" t="str">
        <f>CONCATENATE(H656,"x",INT(G656/H656))</f>
        <v>70x115</v>
      </c>
      <c r="J656">
        <v>112</v>
      </c>
      <c r="K656">
        <v>3</v>
      </c>
      <c r="L656" s="3">
        <v>2274</v>
      </c>
      <c r="M656" s="3">
        <v>2524</v>
      </c>
      <c r="N656" s="3">
        <v>2399</v>
      </c>
      <c r="O656" s="3">
        <v>381490</v>
      </c>
      <c r="P656" s="3">
        <v>416490</v>
      </c>
      <c r="Q656" s="3">
        <v>398990</v>
      </c>
      <c r="S656">
        <v>32.928500999999997</v>
      </c>
      <c r="T656">
        <v>-111.74625</v>
      </c>
    </row>
    <row r="657" spans="2:20" x14ac:dyDescent="0.2">
      <c r="B657" t="s">
        <v>801</v>
      </c>
      <c r="C657" t="s">
        <v>520</v>
      </c>
      <c r="D657" t="s">
        <v>396</v>
      </c>
      <c r="E657" t="s">
        <v>21</v>
      </c>
      <c r="F657" t="s">
        <v>22</v>
      </c>
      <c r="G657" s="1">
        <v>9450</v>
      </c>
      <c r="H657" s="2">
        <v>70</v>
      </c>
      <c r="I657" s="5" t="str">
        <f>CONCATENATE(H657,"x",INT(G657/H657))</f>
        <v>70x135</v>
      </c>
      <c r="J657">
        <v>209</v>
      </c>
      <c r="K657">
        <v>3</v>
      </c>
      <c r="L657" s="3">
        <v>1664</v>
      </c>
      <c r="M657" s="3">
        <v>2531</v>
      </c>
      <c r="N657" s="3">
        <v>2069</v>
      </c>
      <c r="O657" s="3">
        <v>539890</v>
      </c>
      <c r="P657" s="3">
        <v>684890</v>
      </c>
      <c r="Q657" s="3">
        <v>613390</v>
      </c>
      <c r="S657">
        <v>34.615070000000003</v>
      </c>
      <c r="T657">
        <v>-112.36356000000001</v>
      </c>
    </row>
    <row r="658" spans="2:20" x14ac:dyDescent="0.2">
      <c r="B658" t="s">
        <v>536</v>
      </c>
      <c r="C658" t="s">
        <v>151</v>
      </c>
      <c r="D658" t="s">
        <v>265</v>
      </c>
      <c r="E658" t="s">
        <v>21</v>
      </c>
      <c r="F658" t="s">
        <v>22</v>
      </c>
      <c r="G658" s="1">
        <v>6095</v>
      </c>
      <c r="H658" s="2">
        <v>53</v>
      </c>
      <c r="I658" s="5" t="str">
        <f>CONCATENATE(H658,"x",INT(G658/H658))</f>
        <v>53x115</v>
      </c>
      <c r="J658">
        <v>80</v>
      </c>
      <c r="K658">
        <v>3</v>
      </c>
      <c r="L658" s="3">
        <v>2249</v>
      </c>
      <c r="M658" s="3">
        <v>2249</v>
      </c>
      <c r="N658" s="3">
        <v>2249</v>
      </c>
      <c r="O658" s="3">
        <v>547990</v>
      </c>
      <c r="P658" s="3">
        <v>547990</v>
      </c>
      <c r="Q658" s="3">
        <v>547990</v>
      </c>
      <c r="S658">
        <v>33.777534000000003</v>
      </c>
      <c r="T658">
        <v>-112.34573</v>
      </c>
    </row>
    <row r="659" spans="2:20" x14ac:dyDescent="0.2">
      <c r="B659" t="s">
        <v>685</v>
      </c>
      <c r="C659" t="s">
        <v>136</v>
      </c>
      <c r="E659" t="s">
        <v>21</v>
      </c>
      <c r="F659" t="s">
        <v>22</v>
      </c>
      <c r="G659" s="1">
        <v>7500</v>
      </c>
      <c r="H659" s="2">
        <v>60</v>
      </c>
      <c r="I659" s="5" t="str">
        <f>CONCATENATE(H659,"x",INT(G659/H659))</f>
        <v>60x125</v>
      </c>
      <c r="J659">
        <v>45</v>
      </c>
      <c r="K659">
        <v>3</v>
      </c>
      <c r="L659" s="3">
        <v>2110</v>
      </c>
      <c r="M659" s="3">
        <v>2630</v>
      </c>
      <c r="N659" s="3">
        <v>2420</v>
      </c>
      <c r="O659" s="3">
        <v>514990</v>
      </c>
      <c r="P659" s="3">
        <v>564990</v>
      </c>
      <c r="Q659" s="3">
        <v>542490</v>
      </c>
      <c r="S659">
        <v>32.404926000000003</v>
      </c>
      <c r="T659">
        <v>-111.02029</v>
      </c>
    </row>
    <row r="660" spans="2:20" x14ac:dyDescent="0.2">
      <c r="B660" t="s">
        <v>844</v>
      </c>
      <c r="C660" t="s">
        <v>845</v>
      </c>
      <c r="E660" t="s">
        <v>21</v>
      </c>
      <c r="F660" t="s">
        <v>22</v>
      </c>
      <c r="G660" s="1">
        <v>6804</v>
      </c>
      <c r="H660" s="2">
        <v>80</v>
      </c>
      <c r="I660" s="5" t="str">
        <f>CONCATENATE(H660,"x",INT(G660/H660))</f>
        <v>80x85</v>
      </c>
      <c r="J660">
        <v>2</v>
      </c>
      <c r="K660">
        <v>3</v>
      </c>
      <c r="L660" s="3">
        <v>3065</v>
      </c>
      <c r="M660" s="3">
        <v>3397</v>
      </c>
      <c r="N660" s="3">
        <v>3231</v>
      </c>
      <c r="O660" s="3">
        <v>1265000</v>
      </c>
      <c r="P660" s="3">
        <v>1325000</v>
      </c>
      <c r="Q660" s="3">
        <v>1295000</v>
      </c>
      <c r="S660">
        <v>33.543078999999999</v>
      </c>
      <c r="T660">
        <v>-112.08974000000001</v>
      </c>
    </row>
    <row r="661" spans="2:20" x14ac:dyDescent="0.2">
      <c r="B661" t="s">
        <v>491</v>
      </c>
      <c r="C661" t="s">
        <v>38</v>
      </c>
      <c r="D661" t="s">
        <v>249</v>
      </c>
      <c r="E661" t="s">
        <v>21</v>
      </c>
      <c r="F661" t="s">
        <v>22</v>
      </c>
      <c r="G661" s="1">
        <v>6000</v>
      </c>
      <c r="H661" s="2">
        <v>50</v>
      </c>
      <c r="I661" s="5" t="str">
        <f>CONCATENATE(H661,"x",INT(G661/H661))</f>
        <v>50x120</v>
      </c>
      <c r="J661">
        <v>79</v>
      </c>
      <c r="K661">
        <v>3</v>
      </c>
      <c r="L661" s="3">
        <v>1952</v>
      </c>
      <c r="M661" s="3">
        <v>3540</v>
      </c>
      <c r="N661" s="3">
        <v>2591</v>
      </c>
      <c r="O661" s="3">
        <v>472990</v>
      </c>
      <c r="P661" s="3">
        <v>585990</v>
      </c>
      <c r="Q661" s="3">
        <v>526323.33330000006</v>
      </c>
      <c r="R661" t="s">
        <v>71</v>
      </c>
      <c r="S661">
        <v>33.403927000000003</v>
      </c>
      <c r="T661">
        <v>-112.30804000000001</v>
      </c>
    </row>
    <row r="662" spans="2:20" x14ac:dyDescent="0.2">
      <c r="B662" t="s">
        <v>551</v>
      </c>
      <c r="C662" t="s">
        <v>38</v>
      </c>
      <c r="D662" t="s">
        <v>552</v>
      </c>
      <c r="E662" t="s">
        <v>21</v>
      </c>
      <c r="F662" t="s">
        <v>22</v>
      </c>
      <c r="G662" s="1">
        <v>6050</v>
      </c>
      <c r="H662" s="2">
        <v>55</v>
      </c>
      <c r="I662" s="5" t="str">
        <f>CONCATENATE(H662,"x",INT(G662/H662))</f>
        <v>55x110</v>
      </c>
      <c r="J662">
        <v>209</v>
      </c>
      <c r="K662">
        <v>3</v>
      </c>
      <c r="L662" s="3">
        <v>2379</v>
      </c>
      <c r="M662" s="3">
        <v>2379</v>
      </c>
      <c r="N662" s="3">
        <v>2379</v>
      </c>
      <c r="O662" s="3">
        <v>485990</v>
      </c>
      <c r="P662" s="3">
        <v>485990</v>
      </c>
      <c r="Q662" s="3">
        <v>485990</v>
      </c>
      <c r="S662">
        <v>33.236530000000002</v>
      </c>
      <c r="T662">
        <v>-111.58976</v>
      </c>
    </row>
    <row r="663" spans="2:20" x14ac:dyDescent="0.2">
      <c r="B663" t="s">
        <v>838</v>
      </c>
      <c r="C663" t="s">
        <v>38</v>
      </c>
      <c r="D663" t="s">
        <v>40</v>
      </c>
      <c r="E663" t="s">
        <v>21</v>
      </c>
      <c r="F663" t="s">
        <v>22</v>
      </c>
      <c r="G663" s="1">
        <v>10400</v>
      </c>
      <c r="H663" s="2">
        <v>80</v>
      </c>
      <c r="I663" s="5" t="str">
        <f>CONCATENATE(H663,"x",INT(G663/H663))</f>
        <v>80x130</v>
      </c>
      <c r="J663">
        <v>71</v>
      </c>
      <c r="K663">
        <v>3</v>
      </c>
      <c r="L663" s="3">
        <v>2764</v>
      </c>
      <c r="M663" s="3">
        <v>3130</v>
      </c>
      <c r="N663" s="3">
        <v>2947</v>
      </c>
      <c r="O663" s="3">
        <v>866690</v>
      </c>
      <c r="P663" s="3">
        <v>880150</v>
      </c>
      <c r="Q663" s="3">
        <v>873420</v>
      </c>
      <c r="S663">
        <v>33.261702999999997</v>
      </c>
      <c r="T663">
        <v>-111.67606000000001</v>
      </c>
    </row>
    <row r="664" spans="2:20" x14ac:dyDescent="0.2">
      <c r="B664" t="s">
        <v>616</v>
      </c>
      <c r="C664" t="s">
        <v>43</v>
      </c>
      <c r="D664" t="s">
        <v>617</v>
      </c>
      <c r="E664" t="s">
        <v>21</v>
      </c>
      <c r="F664" t="s">
        <v>22</v>
      </c>
      <c r="G664" s="1">
        <v>6670</v>
      </c>
      <c r="H664" s="2">
        <v>58</v>
      </c>
      <c r="I664" s="5" t="str">
        <f>CONCATENATE(H664,"x",INT(G664/H664))</f>
        <v>58x115</v>
      </c>
      <c r="J664">
        <v>164</v>
      </c>
      <c r="K664">
        <v>2</v>
      </c>
      <c r="L664" s="3">
        <v>1601</v>
      </c>
      <c r="M664" s="3">
        <v>2295</v>
      </c>
      <c r="N664" s="3">
        <v>1958</v>
      </c>
      <c r="O664" s="3">
        <v>400990</v>
      </c>
      <c r="P664" s="3">
        <v>465990</v>
      </c>
      <c r="Q664" s="3">
        <v>434561.42849999998</v>
      </c>
      <c r="R664" t="s">
        <v>23</v>
      </c>
      <c r="S664">
        <v>33.211021000000002</v>
      </c>
      <c r="T664">
        <v>-111.57697</v>
      </c>
    </row>
    <row r="665" spans="2:20" x14ac:dyDescent="0.2">
      <c r="B665" t="s">
        <v>92</v>
      </c>
      <c r="C665" t="s">
        <v>76</v>
      </c>
      <c r="E665" t="s">
        <v>21</v>
      </c>
      <c r="F665" t="s">
        <v>22</v>
      </c>
      <c r="G665" s="1">
        <v>36000</v>
      </c>
      <c r="H665" s="2">
        <v>160</v>
      </c>
      <c r="I665" s="5" t="str">
        <f>CONCATENATE(H665,"x",INT(G665/H665))</f>
        <v>160x225</v>
      </c>
      <c r="J665">
        <v>23</v>
      </c>
      <c r="K665">
        <v>2</v>
      </c>
      <c r="L665" s="3">
        <v>2873</v>
      </c>
      <c r="M665" s="3">
        <v>2873</v>
      </c>
      <c r="N665" s="3">
        <v>2873</v>
      </c>
      <c r="O665" s="3">
        <v>683900</v>
      </c>
      <c r="P665" s="3">
        <v>683900</v>
      </c>
      <c r="Q665" s="3">
        <v>683900</v>
      </c>
      <c r="S665">
        <v>31.998647999999999</v>
      </c>
      <c r="T665">
        <v>-110.6863</v>
      </c>
    </row>
    <row r="666" spans="2:20" x14ac:dyDescent="0.2">
      <c r="B666" t="s">
        <v>32</v>
      </c>
      <c r="C666" t="s">
        <v>33</v>
      </c>
      <c r="D666" t="s">
        <v>34</v>
      </c>
      <c r="E666" t="s">
        <v>21</v>
      </c>
      <c r="F666" t="s">
        <v>22</v>
      </c>
      <c r="G666" s="1">
        <v>14500</v>
      </c>
      <c r="H666" s="2">
        <v>100</v>
      </c>
      <c r="I666" s="5" t="str">
        <f>CONCATENATE(H666,"x",INT(G666/H666))</f>
        <v>100x145</v>
      </c>
      <c r="J666">
        <v>27</v>
      </c>
      <c r="K666">
        <v>2</v>
      </c>
      <c r="L666" s="3">
        <v>2746</v>
      </c>
      <c r="M666" s="3">
        <v>3244</v>
      </c>
      <c r="N666" s="3">
        <v>2995</v>
      </c>
      <c r="O666" s="3">
        <v>1110000</v>
      </c>
      <c r="P666" s="3">
        <v>1190494</v>
      </c>
      <c r="Q666" s="3">
        <v>1150247</v>
      </c>
      <c r="S666">
        <v>32.444831999999998</v>
      </c>
      <c r="T666">
        <v>-110.99451000000001</v>
      </c>
    </row>
    <row r="667" spans="2:20" x14ac:dyDescent="0.2">
      <c r="B667" t="s">
        <v>842</v>
      </c>
      <c r="C667" t="s">
        <v>33</v>
      </c>
      <c r="D667" t="s">
        <v>843</v>
      </c>
      <c r="E667" t="s">
        <v>21</v>
      </c>
      <c r="F667" t="s">
        <v>22</v>
      </c>
      <c r="G667" s="1">
        <v>14000</v>
      </c>
      <c r="H667" s="2">
        <v>80</v>
      </c>
      <c r="I667" s="5" t="str">
        <f>CONCATENATE(H667,"x",INT(G667/H667))</f>
        <v>80x175</v>
      </c>
      <c r="J667">
        <v>22</v>
      </c>
      <c r="K667">
        <v>2</v>
      </c>
      <c r="L667" s="3">
        <v>2307</v>
      </c>
      <c r="M667" s="3">
        <v>2692</v>
      </c>
      <c r="N667" s="3">
        <v>2499</v>
      </c>
      <c r="O667" s="3">
        <v>1375500</v>
      </c>
      <c r="P667" s="3">
        <v>1545000</v>
      </c>
      <c r="Q667" s="3">
        <v>1460250</v>
      </c>
      <c r="R667" t="s">
        <v>50</v>
      </c>
      <c r="S667">
        <v>32.461342000000002</v>
      </c>
      <c r="T667">
        <v>-110.97651</v>
      </c>
    </row>
    <row r="668" spans="2:20" x14ac:dyDescent="0.2">
      <c r="B668" t="s">
        <v>903</v>
      </c>
      <c r="C668" t="s">
        <v>181</v>
      </c>
      <c r="E668" t="s">
        <v>872</v>
      </c>
      <c r="F668" t="s">
        <v>873</v>
      </c>
      <c r="G668" s="1">
        <v>0</v>
      </c>
      <c r="H668" s="1">
        <v>0</v>
      </c>
      <c r="I668" s="5" t="s">
        <v>874</v>
      </c>
      <c r="J668">
        <v>148</v>
      </c>
      <c r="K668">
        <v>2</v>
      </c>
      <c r="L668" s="3">
        <v>1781</v>
      </c>
      <c r="M668" s="3">
        <v>2072</v>
      </c>
      <c r="N668" s="3">
        <v>1938</v>
      </c>
      <c r="O668" s="3">
        <v>499990</v>
      </c>
      <c r="P668" s="3">
        <v>549990</v>
      </c>
      <c r="Q668" s="3">
        <v>526240</v>
      </c>
      <c r="R668" t="s">
        <v>873</v>
      </c>
      <c r="S668">
        <v>33.783768000000002</v>
      </c>
      <c r="T668">
        <v>-111.97121</v>
      </c>
    </row>
    <row r="669" spans="2:20" x14ac:dyDescent="0.2">
      <c r="B669" t="s">
        <v>353</v>
      </c>
      <c r="C669" t="s">
        <v>123</v>
      </c>
      <c r="E669" t="s">
        <v>21</v>
      </c>
      <c r="F669" t="s">
        <v>22</v>
      </c>
      <c r="G669" s="1">
        <v>3600</v>
      </c>
      <c r="H669" s="2">
        <v>45</v>
      </c>
      <c r="I669" s="5" t="str">
        <f>CONCATENATE(H669,"x",INT(G669/H669))</f>
        <v>45x80</v>
      </c>
      <c r="J669">
        <v>38</v>
      </c>
      <c r="K669">
        <v>2</v>
      </c>
      <c r="L669" s="3">
        <v>2245</v>
      </c>
      <c r="M669" s="3">
        <v>2400</v>
      </c>
      <c r="N669" s="3">
        <v>2322</v>
      </c>
      <c r="O669" s="3">
        <v>749900</v>
      </c>
      <c r="P669" s="3">
        <v>779900</v>
      </c>
      <c r="Q669" s="3">
        <v>764900</v>
      </c>
      <c r="S669">
        <v>33.530482999999997</v>
      </c>
      <c r="T669">
        <v>-112.04456</v>
      </c>
    </row>
    <row r="670" spans="2:20" x14ac:dyDescent="0.2">
      <c r="B670" t="s">
        <v>493</v>
      </c>
      <c r="C670" t="s">
        <v>144</v>
      </c>
      <c r="D670" t="s">
        <v>285</v>
      </c>
      <c r="E670" t="s">
        <v>21</v>
      </c>
      <c r="F670" t="s">
        <v>22</v>
      </c>
      <c r="G670" s="1">
        <v>6000</v>
      </c>
      <c r="H670" s="2">
        <v>50</v>
      </c>
      <c r="I670" s="5" t="str">
        <f>CONCATENATE(H670,"x",INT(G670/H670))</f>
        <v>50x120</v>
      </c>
      <c r="J670">
        <v>78</v>
      </c>
      <c r="K670">
        <v>2</v>
      </c>
      <c r="L670" s="3">
        <v>1797</v>
      </c>
      <c r="M670" s="3">
        <v>1953</v>
      </c>
      <c r="N670" s="3">
        <v>1875</v>
      </c>
      <c r="O670" s="3">
        <v>395990</v>
      </c>
      <c r="P670" s="3">
        <v>415990</v>
      </c>
      <c r="Q670" s="3">
        <v>405990</v>
      </c>
      <c r="S670">
        <v>33.406967000000002</v>
      </c>
      <c r="T670">
        <v>-112.26257</v>
      </c>
    </row>
    <row r="671" spans="2:20" x14ac:dyDescent="0.2">
      <c r="B671" t="s">
        <v>518</v>
      </c>
      <c r="C671" t="s">
        <v>520</v>
      </c>
      <c r="D671" t="s">
        <v>519</v>
      </c>
      <c r="E671" t="s">
        <v>21</v>
      </c>
      <c r="F671" t="s">
        <v>22</v>
      </c>
      <c r="G671" s="1">
        <v>4500</v>
      </c>
      <c r="H671" s="2">
        <v>50</v>
      </c>
      <c r="I671" s="5" t="str">
        <f>CONCATENATE(H671,"x",INT(G671/H671))</f>
        <v>50x90</v>
      </c>
      <c r="J671">
        <v>18</v>
      </c>
      <c r="K671">
        <v>2</v>
      </c>
      <c r="L671" s="3">
        <v>1664</v>
      </c>
      <c r="M671" s="3">
        <v>1806</v>
      </c>
      <c r="N671" s="3">
        <v>1735</v>
      </c>
      <c r="O671" s="3">
        <v>600000</v>
      </c>
      <c r="P671" s="3">
        <v>735000</v>
      </c>
      <c r="Q671" s="3">
        <v>667500</v>
      </c>
      <c r="S671">
        <v>35.185969999999998</v>
      </c>
      <c r="T671">
        <v>-111.69738</v>
      </c>
    </row>
    <row r="672" spans="2:20" x14ac:dyDescent="0.2">
      <c r="B672" t="s">
        <v>494</v>
      </c>
      <c r="C672" t="s">
        <v>114</v>
      </c>
      <c r="D672" t="s">
        <v>261</v>
      </c>
      <c r="E672" t="s">
        <v>21</v>
      </c>
      <c r="F672" t="s">
        <v>22</v>
      </c>
      <c r="G672" s="1">
        <v>6000</v>
      </c>
      <c r="H672" s="2">
        <v>50</v>
      </c>
      <c r="I672" s="5" t="str">
        <f>CONCATENATE(H672,"x",INT(G672/H672))</f>
        <v>50x120</v>
      </c>
      <c r="J672">
        <v>111</v>
      </c>
      <c r="K672">
        <v>2</v>
      </c>
      <c r="L672" s="3">
        <v>1568</v>
      </c>
      <c r="M672" s="3">
        <v>1568</v>
      </c>
      <c r="N672" s="3">
        <v>1568</v>
      </c>
      <c r="O672" s="3">
        <v>399990</v>
      </c>
      <c r="P672" s="3">
        <v>399990</v>
      </c>
      <c r="Q672" s="3">
        <v>399990</v>
      </c>
      <c r="S672">
        <v>33.404327000000002</v>
      </c>
      <c r="T672">
        <v>-112.29631000000001</v>
      </c>
    </row>
    <row r="673" spans="2:20" x14ac:dyDescent="0.2">
      <c r="B673" t="s">
        <v>562</v>
      </c>
      <c r="C673" t="s">
        <v>563</v>
      </c>
      <c r="D673" t="s">
        <v>564</v>
      </c>
      <c r="E673" t="s">
        <v>21</v>
      </c>
      <c r="F673" t="s">
        <v>22</v>
      </c>
      <c r="G673" s="1">
        <v>6325</v>
      </c>
      <c r="H673" s="2">
        <v>55</v>
      </c>
      <c r="I673" s="5" t="str">
        <f>CONCATENATE(H673,"x",INT(G673/H673))</f>
        <v>55x115</v>
      </c>
      <c r="J673">
        <v>15</v>
      </c>
      <c r="K673">
        <v>2</v>
      </c>
      <c r="L673" s="3">
        <v>1755</v>
      </c>
      <c r="M673" s="3">
        <v>1755</v>
      </c>
      <c r="N673" s="3">
        <v>1755</v>
      </c>
      <c r="O673" s="3">
        <v>605000</v>
      </c>
      <c r="P673" s="3">
        <v>605000</v>
      </c>
      <c r="Q673" s="3">
        <v>605000</v>
      </c>
      <c r="S673">
        <v>34.644275999999998</v>
      </c>
      <c r="T673">
        <v>-112.32519000000001</v>
      </c>
    </row>
    <row r="674" spans="2:20" x14ac:dyDescent="0.2">
      <c r="B674" t="s">
        <v>532</v>
      </c>
      <c r="C674" t="s">
        <v>151</v>
      </c>
      <c r="D674" t="s">
        <v>319</v>
      </c>
      <c r="E674" t="s">
        <v>21</v>
      </c>
      <c r="F674" t="s">
        <v>22</v>
      </c>
      <c r="G674" s="1">
        <v>6500</v>
      </c>
      <c r="H674" s="2">
        <v>52</v>
      </c>
      <c r="I674" s="5" t="str">
        <f>CONCATENATE(H674,"x",INT(G674/H674))</f>
        <v>52x125</v>
      </c>
      <c r="J674">
        <v>193</v>
      </c>
      <c r="K674">
        <v>2</v>
      </c>
      <c r="L674" s="3">
        <v>1992</v>
      </c>
      <c r="M674" s="3">
        <v>3333</v>
      </c>
      <c r="N674" s="3">
        <v>2600</v>
      </c>
      <c r="O674" s="3">
        <v>466990</v>
      </c>
      <c r="P674" s="3">
        <v>572990</v>
      </c>
      <c r="Q674" s="3">
        <v>519590</v>
      </c>
      <c r="S674">
        <v>33.217075000000001</v>
      </c>
      <c r="T674">
        <v>-111.58562000000001</v>
      </c>
    </row>
    <row r="675" spans="2:20" x14ac:dyDescent="0.2">
      <c r="B675" t="s">
        <v>677</v>
      </c>
      <c r="C675" t="s">
        <v>151</v>
      </c>
      <c r="D675" t="s">
        <v>265</v>
      </c>
      <c r="E675" t="s">
        <v>21</v>
      </c>
      <c r="F675" t="s">
        <v>22</v>
      </c>
      <c r="G675" s="1">
        <v>7200</v>
      </c>
      <c r="H675" s="2">
        <v>60</v>
      </c>
      <c r="I675" s="5" t="str">
        <f>CONCATENATE(H675,"x",INT(G675/H675))</f>
        <v>60x120</v>
      </c>
      <c r="J675">
        <v>95</v>
      </c>
      <c r="K675">
        <v>2</v>
      </c>
      <c r="L675" s="3">
        <v>2503</v>
      </c>
      <c r="M675" s="3">
        <v>2569</v>
      </c>
      <c r="N675" s="3">
        <v>2536</v>
      </c>
      <c r="O675" s="3">
        <v>585990</v>
      </c>
      <c r="P675" s="3">
        <v>598990</v>
      </c>
      <c r="Q675" s="3">
        <v>592490</v>
      </c>
      <c r="S675">
        <v>33.775871000000002</v>
      </c>
      <c r="T675">
        <v>-112.34788</v>
      </c>
    </row>
    <row r="676" spans="2:20" x14ac:dyDescent="0.2">
      <c r="B676" t="s">
        <v>584</v>
      </c>
      <c r="C676" t="s">
        <v>136</v>
      </c>
      <c r="D676" t="s">
        <v>158</v>
      </c>
      <c r="E676" t="s">
        <v>21</v>
      </c>
      <c r="F676" t="s">
        <v>22</v>
      </c>
      <c r="G676" s="1">
        <v>6600</v>
      </c>
      <c r="H676" s="2">
        <v>55</v>
      </c>
      <c r="I676" s="5" t="str">
        <f>CONCATENATE(H676,"x",INT(G676/H676))</f>
        <v>55x120</v>
      </c>
      <c r="J676">
        <v>86</v>
      </c>
      <c r="K676">
        <v>2</v>
      </c>
      <c r="L676" s="3">
        <v>2020</v>
      </c>
      <c r="M676" s="3">
        <v>2090</v>
      </c>
      <c r="N676" s="3">
        <v>2055</v>
      </c>
      <c r="O676" s="3">
        <v>413990</v>
      </c>
      <c r="P676" s="3">
        <v>434995</v>
      </c>
      <c r="Q676" s="3">
        <v>424492.5</v>
      </c>
      <c r="S676">
        <v>33.084201999999998</v>
      </c>
      <c r="T676">
        <v>-112.00198</v>
      </c>
    </row>
    <row r="677" spans="2:20" x14ac:dyDescent="0.2">
      <c r="B677" t="s">
        <v>436</v>
      </c>
      <c r="C677" t="s">
        <v>68</v>
      </c>
      <c r="E677" t="s">
        <v>21</v>
      </c>
      <c r="F677" t="s">
        <v>22</v>
      </c>
      <c r="G677" s="1">
        <v>5750</v>
      </c>
      <c r="H677" s="2">
        <v>50</v>
      </c>
      <c r="I677" s="5" t="str">
        <f>CONCATENATE(H677,"x",INT(G677/H677))</f>
        <v>50x115</v>
      </c>
      <c r="J677">
        <v>32</v>
      </c>
      <c r="K677">
        <v>2</v>
      </c>
      <c r="L677" s="3">
        <v>2263</v>
      </c>
      <c r="M677" s="3">
        <v>3980</v>
      </c>
      <c r="N677" s="3">
        <v>3121</v>
      </c>
      <c r="O677" s="3">
        <v>3283331</v>
      </c>
      <c r="P677" s="3">
        <v>4500000</v>
      </c>
      <c r="Q677" s="3">
        <v>3891665.5</v>
      </c>
      <c r="R677" t="s">
        <v>23</v>
      </c>
      <c r="S677">
        <v>33.504069999999999</v>
      </c>
      <c r="T677">
        <v>-111.94814</v>
      </c>
    </row>
    <row r="678" spans="2:20" x14ac:dyDescent="0.2">
      <c r="B678" t="s">
        <v>301</v>
      </c>
      <c r="C678" t="s">
        <v>38</v>
      </c>
      <c r="D678" t="s">
        <v>255</v>
      </c>
      <c r="E678" t="s">
        <v>21</v>
      </c>
      <c r="F678" t="s">
        <v>22</v>
      </c>
      <c r="G678" s="1">
        <v>5175</v>
      </c>
      <c r="H678" s="2">
        <v>45</v>
      </c>
      <c r="I678" s="5" t="str">
        <f>CONCATENATE(H678,"x",INT(G678/H678))</f>
        <v>45x115</v>
      </c>
      <c r="J678">
        <v>104</v>
      </c>
      <c r="K678">
        <v>2</v>
      </c>
      <c r="L678" s="3">
        <v>1579</v>
      </c>
      <c r="M678" s="3">
        <v>2974</v>
      </c>
      <c r="N678" s="3">
        <v>2238</v>
      </c>
      <c r="O678" s="3">
        <v>440990</v>
      </c>
      <c r="P678" s="3">
        <v>542990</v>
      </c>
      <c r="Q678" s="3">
        <v>489990</v>
      </c>
      <c r="S678">
        <v>33.772717</v>
      </c>
      <c r="T678">
        <v>-112.32774000000001</v>
      </c>
    </row>
    <row r="679" spans="2:20" x14ac:dyDescent="0.2">
      <c r="B679" t="s">
        <v>744</v>
      </c>
      <c r="C679" t="s">
        <v>745</v>
      </c>
      <c r="D679" t="s">
        <v>746</v>
      </c>
      <c r="E679" t="s">
        <v>21</v>
      </c>
      <c r="F679" t="s">
        <v>22</v>
      </c>
      <c r="G679" s="1">
        <v>8775</v>
      </c>
      <c r="H679" s="2">
        <v>65</v>
      </c>
      <c r="I679" s="5" t="str">
        <f>CONCATENATE(H679,"x",INT(G679/H679))</f>
        <v>65x135</v>
      </c>
      <c r="J679">
        <v>23</v>
      </c>
      <c r="K679">
        <v>2</v>
      </c>
      <c r="L679" s="3">
        <v>2070</v>
      </c>
      <c r="M679" s="3">
        <v>2335</v>
      </c>
      <c r="N679" s="3">
        <v>2202</v>
      </c>
      <c r="O679" s="3">
        <v>1055000</v>
      </c>
      <c r="P679" s="3">
        <v>1245000</v>
      </c>
      <c r="Q679" s="3">
        <v>1150000</v>
      </c>
      <c r="S679">
        <v>34.762073999999998</v>
      </c>
      <c r="T679">
        <v>-112.56598</v>
      </c>
    </row>
    <row r="680" spans="2:20" x14ac:dyDescent="0.2">
      <c r="B680" t="s">
        <v>932</v>
      </c>
      <c r="C680" t="s">
        <v>31</v>
      </c>
      <c r="D680" t="s">
        <v>52</v>
      </c>
      <c r="E680" t="s">
        <v>872</v>
      </c>
      <c r="F680" t="s">
        <v>907</v>
      </c>
      <c r="G680" s="1">
        <v>0</v>
      </c>
      <c r="H680" s="1">
        <v>0</v>
      </c>
      <c r="I680" s="5" t="s">
        <v>908</v>
      </c>
      <c r="J680">
        <v>28</v>
      </c>
      <c r="K680">
        <v>2</v>
      </c>
      <c r="L680" s="3">
        <v>2149</v>
      </c>
      <c r="M680" s="3">
        <v>2208</v>
      </c>
      <c r="N680" s="3">
        <v>2178</v>
      </c>
      <c r="O680" s="3">
        <v>1139995</v>
      </c>
      <c r="P680" s="3">
        <v>1699995</v>
      </c>
      <c r="Q680" s="3">
        <v>1419995</v>
      </c>
      <c r="R680" t="s">
        <v>916</v>
      </c>
      <c r="S680">
        <v>33.617752000000003</v>
      </c>
      <c r="T680">
        <v>-111.77410999999999</v>
      </c>
    </row>
    <row r="681" spans="2:20" x14ac:dyDescent="0.2">
      <c r="B681" t="s">
        <v>506</v>
      </c>
      <c r="C681" t="s">
        <v>45</v>
      </c>
      <c r="D681" t="s">
        <v>127</v>
      </c>
      <c r="E681" t="s">
        <v>21</v>
      </c>
      <c r="F681" t="s">
        <v>22</v>
      </c>
      <c r="G681" s="1">
        <v>6250</v>
      </c>
      <c r="H681" s="2">
        <v>50</v>
      </c>
      <c r="I681" s="5" t="str">
        <f>CONCATENATE(H681,"x",INT(G681/H681))</f>
        <v>50x125</v>
      </c>
      <c r="J681">
        <v>54</v>
      </c>
      <c r="K681">
        <v>2</v>
      </c>
      <c r="L681" s="3">
        <v>1901</v>
      </c>
      <c r="M681" s="3">
        <v>2686</v>
      </c>
      <c r="N681" s="3">
        <v>2197</v>
      </c>
      <c r="O681" s="3">
        <v>585867</v>
      </c>
      <c r="P681" s="3">
        <v>649316</v>
      </c>
      <c r="Q681" s="3">
        <v>610126.33330000006</v>
      </c>
      <c r="S681">
        <v>33.335628999999997</v>
      </c>
      <c r="T681">
        <v>-111.62851999999999</v>
      </c>
    </row>
    <row r="682" spans="2:20" x14ac:dyDescent="0.2">
      <c r="B682" t="s">
        <v>507</v>
      </c>
      <c r="C682" t="s">
        <v>187</v>
      </c>
      <c r="D682" t="s">
        <v>127</v>
      </c>
      <c r="E682" t="s">
        <v>21</v>
      </c>
      <c r="F682" t="s">
        <v>22</v>
      </c>
      <c r="G682" s="1">
        <v>6250</v>
      </c>
      <c r="H682" s="2">
        <v>50</v>
      </c>
      <c r="I682" s="5" t="str">
        <f>CONCATENATE(H682,"x",INT(G682/H682))</f>
        <v>50x125</v>
      </c>
      <c r="J682">
        <v>110</v>
      </c>
      <c r="K682">
        <v>1</v>
      </c>
      <c r="L682" s="3">
        <v>1567</v>
      </c>
      <c r="M682" s="3">
        <v>3020</v>
      </c>
      <c r="N682" s="3">
        <v>2093</v>
      </c>
      <c r="O682" s="3">
        <v>500990</v>
      </c>
      <c r="P682" s="3">
        <v>619990</v>
      </c>
      <c r="Q682" s="3">
        <v>539990</v>
      </c>
      <c r="S682">
        <v>33.331223000000001</v>
      </c>
      <c r="T682">
        <v>-111.62336999999999</v>
      </c>
    </row>
    <row r="683" spans="2:20" x14ac:dyDescent="0.2">
      <c r="B683" t="s">
        <v>523</v>
      </c>
      <c r="C683" t="s">
        <v>524</v>
      </c>
      <c r="E683" t="s">
        <v>21</v>
      </c>
      <c r="F683" t="s">
        <v>22</v>
      </c>
      <c r="G683" s="1">
        <v>4335</v>
      </c>
      <c r="H683" s="2">
        <v>51</v>
      </c>
      <c r="I683" s="5" t="str">
        <f>CONCATENATE(H683,"x",INT(G683/H683))</f>
        <v>51x85</v>
      </c>
      <c r="J683">
        <v>10</v>
      </c>
      <c r="K683">
        <v>1</v>
      </c>
      <c r="L683" s="3">
        <v>2609</v>
      </c>
      <c r="M683" s="3">
        <v>2609</v>
      </c>
      <c r="N683" s="3">
        <v>2609</v>
      </c>
      <c r="O683" s="3">
        <v>1499000</v>
      </c>
      <c r="P683" s="3">
        <v>1499000</v>
      </c>
      <c r="Q683" s="3">
        <v>1499000</v>
      </c>
      <c r="S683">
        <v>33.523457000000001</v>
      </c>
      <c r="T683">
        <v>-112.05247</v>
      </c>
    </row>
    <row r="684" spans="2:20" x14ac:dyDescent="0.2">
      <c r="B684" t="s">
        <v>747</v>
      </c>
      <c r="C684" t="s">
        <v>272</v>
      </c>
      <c r="D684" t="s">
        <v>748</v>
      </c>
      <c r="E684" t="s">
        <v>21</v>
      </c>
      <c r="F684" t="s">
        <v>22</v>
      </c>
      <c r="G684" s="1">
        <v>8775</v>
      </c>
      <c r="H684" s="2">
        <v>65</v>
      </c>
      <c r="I684" s="5" t="str">
        <f>CONCATENATE(H684,"x",INT(G684/H684))</f>
        <v>65x135</v>
      </c>
      <c r="J684">
        <v>34</v>
      </c>
      <c r="K684">
        <v>1</v>
      </c>
      <c r="L684" s="3">
        <v>2713</v>
      </c>
      <c r="M684" s="3">
        <v>2713</v>
      </c>
      <c r="N684" s="3">
        <v>2713</v>
      </c>
      <c r="O684" s="3">
        <v>639990</v>
      </c>
      <c r="P684" s="3">
        <v>639990</v>
      </c>
      <c r="Q684" s="3">
        <v>639990</v>
      </c>
      <c r="S684">
        <v>33.348300999999999</v>
      </c>
      <c r="T684">
        <v>-111.43926999999999</v>
      </c>
    </row>
    <row r="685" spans="2:20" x14ac:dyDescent="0.2">
      <c r="B685" t="s">
        <v>508</v>
      </c>
      <c r="C685" t="s">
        <v>57</v>
      </c>
      <c r="E685" t="s">
        <v>21</v>
      </c>
      <c r="F685" t="s">
        <v>22</v>
      </c>
      <c r="G685" s="1">
        <v>6250</v>
      </c>
      <c r="H685" s="2">
        <v>50</v>
      </c>
      <c r="I685" s="5" t="str">
        <f>CONCATENATE(H685,"x",INT(G685/H685))</f>
        <v>50x125</v>
      </c>
      <c r="J685">
        <v>11</v>
      </c>
      <c r="K685">
        <v>1</v>
      </c>
      <c r="L685" s="3">
        <v>3424</v>
      </c>
      <c r="M685" s="3">
        <v>3424</v>
      </c>
      <c r="N685" s="3">
        <v>3424</v>
      </c>
      <c r="O685" s="3">
        <v>1825000</v>
      </c>
      <c r="P685" s="3">
        <v>1825000</v>
      </c>
      <c r="Q685" s="3">
        <v>1825000</v>
      </c>
      <c r="R685" t="s">
        <v>23</v>
      </c>
      <c r="S685">
        <v>33.617077000000002</v>
      </c>
      <c r="T685">
        <v>-112.04504</v>
      </c>
    </row>
    <row r="686" spans="2:20" x14ac:dyDescent="0.2">
      <c r="B686" t="s">
        <v>19</v>
      </c>
      <c r="C686" t="s">
        <v>20</v>
      </c>
      <c r="E686" t="s">
        <v>21</v>
      </c>
      <c r="F686" t="s">
        <v>22</v>
      </c>
      <c r="G686" s="1">
        <v>10000</v>
      </c>
      <c r="H686" s="2">
        <v>100</v>
      </c>
      <c r="I686" s="5" t="str">
        <f>CONCATENATE(H686,"x",INT(G686/H686))</f>
        <v>100x100</v>
      </c>
      <c r="J686">
        <v>31</v>
      </c>
      <c r="K686">
        <v>1</v>
      </c>
      <c r="L686" s="3">
        <v>3857</v>
      </c>
      <c r="M686" s="3">
        <v>3857</v>
      </c>
      <c r="N686" s="3">
        <v>3857</v>
      </c>
      <c r="O686" s="3">
        <v>9500000</v>
      </c>
      <c r="P686" s="3">
        <v>9500000</v>
      </c>
      <c r="Q686" s="3">
        <v>9500000</v>
      </c>
      <c r="R686" t="s">
        <v>23</v>
      </c>
      <c r="S686">
        <v>33.533138000000001</v>
      </c>
      <c r="T686">
        <v>-111.99674</v>
      </c>
    </row>
    <row r="687" spans="2:20" x14ac:dyDescent="0.2">
      <c r="B687" t="s">
        <v>737</v>
      </c>
      <c r="C687" t="s">
        <v>43</v>
      </c>
      <c r="D687" t="s">
        <v>300</v>
      </c>
      <c r="E687" t="s">
        <v>21</v>
      </c>
      <c r="F687" t="s">
        <v>22</v>
      </c>
      <c r="G687" s="1">
        <v>8150</v>
      </c>
      <c r="H687" s="2">
        <v>65</v>
      </c>
      <c r="I687" s="5" t="str">
        <f>CONCATENATE(H687,"x",INT(G687/H687))</f>
        <v>65x125</v>
      </c>
      <c r="J687">
        <v>60</v>
      </c>
      <c r="K687">
        <v>1</v>
      </c>
      <c r="L687" s="3">
        <v>1317</v>
      </c>
      <c r="M687" s="3">
        <v>1881</v>
      </c>
      <c r="N687" s="3">
        <v>1574</v>
      </c>
      <c r="O687" s="3">
        <v>310990</v>
      </c>
      <c r="P687" s="3">
        <v>346990</v>
      </c>
      <c r="Q687" s="3">
        <v>329878.88880000002</v>
      </c>
      <c r="S687">
        <v>33.103358999999998</v>
      </c>
      <c r="T687">
        <v>-111.46387</v>
      </c>
    </row>
    <row r="688" spans="2:20" x14ac:dyDescent="0.2">
      <c r="B688" t="s">
        <v>75</v>
      </c>
      <c r="C688" t="s">
        <v>76</v>
      </c>
      <c r="E688" t="s">
        <v>21</v>
      </c>
      <c r="F688" t="s">
        <v>22</v>
      </c>
      <c r="G688" s="1">
        <v>34500</v>
      </c>
      <c r="H688" s="2">
        <v>150</v>
      </c>
      <c r="I688" s="5" t="str">
        <f>CONCATENATE(H688,"x",INT(G688/H688))</f>
        <v>150x230</v>
      </c>
      <c r="J688">
        <v>55</v>
      </c>
      <c r="K688">
        <v>1</v>
      </c>
      <c r="L688" s="3">
        <v>2178</v>
      </c>
      <c r="M688" s="3">
        <v>2178</v>
      </c>
      <c r="N688" s="3">
        <v>2178</v>
      </c>
      <c r="O688" s="3">
        <v>598000</v>
      </c>
      <c r="P688" s="3">
        <v>598000</v>
      </c>
      <c r="Q688" s="3">
        <v>598000</v>
      </c>
      <c r="S688">
        <v>32.097262999999998</v>
      </c>
      <c r="T688">
        <v>-110.68478</v>
      </c>
    </row>
    <row r="689" spans="2:20" x14ac:dyDescent="0.2">
      <c r="B689" t="s">
        <v>751</v>
      </c>
      <c r="C689" t="s">
        <v>752</v>
      </c>
      <c r="E689" t="s">
        <v>21</v>
      </c>
      <c r="F689" t="s">
        <v>22</v>
      </c>
      <c r="G689" s="1">
        <v>9750</v>
      </c>
      <c r="H689" s="2">
        <v>65</v>
      </c>
      <c r="I689" s="5" t="str">
        <f>CONCATENATE(H689,"x",INT(G689/H689))</f>
        <v>65x150</v>
      </c>
      <c r="J689">
        <v>13</v>
      </c>
      <c r="K689">
        <v>1</v>
      </c>
      <c r="L689" s="3">
        <v>4561</v>
      </c>
      <c r="M689" s="3">
        <v>4561</v>
      </c>
      <c r="N689" s="3">
        <v>4561</v>
      </c>
      <c r="O689" s="3">
        <v>984050</v>
      </c>
      <c r="P689" s="3">
        <v>984050</v>
      </c>
      <c r="Q689" s="3">
        <v>984050</v>
      </c>
      <c r="S689">
        <v>33.297733000000001</v>
      </c>
      <c r="T689">
        <v>-111.76241</v>
      </c>
    </row>
    <row r="690" spans="2:20" x14ac:dyDescent="0.2">
      <c r="B690" t="s">
        <v>904</v>
      </c>
      <c r="C690" t="s">
        <v>905</v>
      </c>
      <c r="E690" t="s">
        <v>872</v>
      </c>
      <c r="F690" t="s">
        <v>873</v>
      </c>
      <c r="G690" s="1">
        <v>0</v>
      </c>
      <c r="H690" s="1">
        <v>0</v>
      </c>
      <c r="I690" s="5" t="s">
        <v>874</v>
      </c>
      <c r="J690">
        <v>51</v>
      </c>
      <c r="K690">
        <v>1</v>
      </c>
      <c r="L690" s="3">
        <v>2020</v>
      </c>
      <c r="M690" s="3">
        <v>2020</v>
      </c>
      <c r="N690" s="3">
        <v>2020</v>
      </c>
      <c r="O690" s="3">
        <v>1149000</v>
      </c>
      <c r="P690" s="3">
        <v>1149000</v>
      </c>
      <c r="Q690" s="3">
        <v>1149000</v>
      </c>
      <c r="R690" t="s">
        <v>898</v>
      </c>
      <c r="S690">
        <v>33.591759000000003</v>
      </c>
      <c r="T690">
        <v>-111.78719</v>
      </c>
    </row>
    <row r="691" spans="2:20" x14ac:dyDescent="0.2">
      <c r="B691" t="s">
        <v>90</v>
      </c>
      <c r="C691" t="s">
        <v>91</v>
      </c>
      <c r="E691" t="s">
        <v>21</v>
      </c>
      <c r="F691" t="s">
        <v>22</v>
      </c>
      <c r="G691" s="1">
        <v>28000</v>
      </c>
      <c r="H691" s="2">
        <v>160</v>
      </c>
      <c r="I691" s="5" t="str">
        <f>CONCATENATE(H691,"x",INT(G691/H691))</f>
        <v>160x175</v>
      </c>
      <c r="J691">
        <v>5</v>
      </c>
      <c r="K691">
        <v>1</v>
      </c>
      <c r="L691" s="3">
        <v>4006</v>
      </c>
      <c r="M691" s="3">
        <v>4112</v>
      </c>
      <c r="N691" s="3">
        <v>4059</v>
      </c>
      <c r="O691" s="3">
        <v>2475000</v>
      </c>
      <c r="P691" s="3">
        <v>2600000</v>
      </c>
      <c r="Q691" s="3">
        <v>2537500</v>
      </c>
      <c r="S691">
        <v>33.729115</v>
      </c>
      <c r="T691">
        <v>-111.94204000000001</v>
      </c>
    </row>
    <row r="692" spans="2:20" x14ac:dyDescent="0.2">
      <c r="B692" t="s">
        <v>170</v>
      </c>
      <c r="C692" t="s">
        <v>144</v>
      </c>
      <c r="D692" t="s">
        <v>171</v>
      </c>
      <c r="E692" t="s">
        <v>21</v>
      </c>
      <c r="F692" t="s">
        <v>22</v>
      </c>
      <c r="G692" s="1">
        <v>4800</v>
      </c>
      <c r="H692" s="2">
        <v>40</v>
      </c>
      <c r="I692" s="5" t="str">
        <f>CONCATENATE(H692,"x",INT(G692/H692))</f>
        <v>40x120</v>
      </c>
      <c r="J692">
        <v>165</v>
      </c>
      <c r="K692">
        <v>1</v>
      </c>
      <c r="L692" s="3">
        <v>1397</v>
      </c>
      <c r="M692" s="3">
        <v>2580</v>
      </c>
      <c r="N692" s="3">
        <v>2007</v>
      </c>
      <c r="O692" s="3">
        <v>369990</v>
      </c>
      <c r="P692" s="3">
        <v>467990</v>
      </c>
      <c r="Q692" s="3">
        <v>416490</v>
      </c>
      <c r="S692">
        <v>33.500312999999998</v>
      </c>
      <c r="T692">
        <v>-112.25654</v>
      </c>
    </row>
    <row r="693" spans="2:20" x14ac:dyDescent="0.2">
      <c r="B693" t="s">
        <v>302</v>
      </c>
      <c r="C693" t="s">
        <v>144</v>
      </c>
      <c r="D693" t="s">
        <v>246</v>
      </c>
      <c r="E693" t="s">
        <v>21</v>
      </c>
      <c r="F693" t="s">
        <v>22</v>
      </c>
      <c r="G693" s="1">
        <v>5175</v>
      </c>
      <c r="H693" s="2">
        <v>45</v>
      </c>
      <c r="I693" s="5" t="str">
        <f>CONCATENATE(H693,"x",INT(G693/H693))</f>
        <v>45x115</v>
      </c>
      <c r="J693">
        <v>47</v>
      </c>
      <c r="K693">
        <v>1</v>
      </c>
      <c r="L693" s="3">
        <v>1400</v>
      </c>
      <c r="M693" s="3">
        <v>1953</v>
      </c>
      <c r="N693" s="3">
        <v>1774</v>
      </c>
      <c r="O693" s="3">
        <v>355990</v>
      </c>
      <c r="P693" s="3">
        <v>400990</v>
      </c>
      <c r="Q693" s="3">
        <v>382990</v>
      </c>
      <c r="S693">
        <v>33.171284</v>
      </c>
      <c r="T693">
        <v>-111.52867999999999</v>
      </c>
    </row>
    <row r="694" spans="2:20" x14ac:dyDescent="0.2">
      <c r="B694" t="s">
        <v>377</v>
      </c>
      <c r="C694" t="s">
        <v>144</v>
      </c>
      <c r="D694" t="s">
        <v>189</v>
      </c>
      <c r="E694" t="s">
        <v>21</v>
      </c>
      <c r="F694" t="s">
        <v>22</v>
      </c>
      <c r="G694" s="1">
        <v>5760</v>
      </c>
      <c r="H694" s="2">
        <v>48</v>
      </c>
      <c r="I694" s="5" t="str">
        <f>CONCATENATE(H694,"x",INT(G694/H694))</f>
        <v>48x120</v>
      </c>
      <c r="J694">
        <v>122</v>
      </c>
      <c r="K694">
        <v>1</v>
      </c>
      <c r="L694" s="3">
        <v>1939</v>
      </c>
      <c r="M694" s="3">
        <v>1939</v>
      </c>
      <c r="N694" s="3">
        <v>1939</v>
      </c>
      <c r="O694" s="3">
        <v>443990</v>
      </c>
      <c r="P694" s="3">
        <v>443990</v>
      </c>
      <c r="Q694" s="3">
        <v>443990</v>
      </c>
      <c r="S694">
        <v>33.703625000000002</v>
      </c>
      <c r="T694">
        <v>-112.41401999999999</v>
      </c>
    </row>
    <row r="695" spans="2:20" x14ac:dyDescent="0.2">
      <c r="B695" t="s">
        <v>496</v>
      </c>
      <c r="C695" t="s">
        <v>144</v>
      </c>
      <c r="D695" t="s">
        <v>171</v>
      </c>
      <c r="E695" t="s">
        <v>21</v>
      </c>
      <c r="F695" t="s">
        <v>22</v>
      </c>
      <c r="G695" s="1">
        <v>6000</v>
      </c>
      <c r="H695" s="2">
        <v>50</v>
      </c>
      <c r="I695" s="5" t="str">
        <f>CONCATENATE(H695,"x",INT(G695/H695))</f>
        <v>50x120</v>
      </c>
      <c r="J695">
        <v>99</v>
      </c>
      <c r="K695">
        <v>1</v>
      </c>
      <c r="L695" s="3">
        <v>2274</v>
      </c>
      <c r="M695" s="3">
        <v>2649</v>
      </c>
      <c r="N695" s="3">
        <v>2440</v>
      </c>
      <c r="O695" s="3">
        <v>496990</v>
      </c>
      <c r="P695" s="3">
        <v>546990</v>
      </c>
      <c r="Q695" s="3">
        <v>521990</v>
      </c>
      <c r="S695">
        <v>33.498772000000002</v>
      </c>
      <c r="T695">
        <v>-112.25865</v>
      </c>
    </row>
    <row r="696" spans="2:20" x14ac:dyDescent="0.2">
      <c r="B696" t="s">
        <v>585</v>
      </c>
      <c r="C696" t="s">
        <v>144</v>
      </c>
      <c r="D696" t="s">
        <v>328</v>
      </c>
      <c r="E696" t="s">
        <v>21</v>
      </c>
      <c r="F696" t="s">
        <v>22</v>
      </c>
      <c r="G696" s="1">
        <v>6600</v>
      </c>
      <c r="H696" s="2">
        <v>55</v>
      </c>
      <c r="I696" s="5" t="str">
        <f>CONCATENATE(H696,"x",INT(G696/H696))</f>
        <v>55x120</v>
      </c>
      <c r="J696">
        <v>79</v>
      </c>
      <c r="K696">
        <v>1</v>
      </c>
      <c r="L696" s="3">
        <v>2274</v>
      </c>
      <c r="M696" s="3">
        <v>2649</v>
      </c>
      <c r="N696" s="3">
        <v>2478</v>
      </c>
      <c r="O696" s="3">
        <v>656990</v>
      </c>
      <c r="P696" s="3">
        <v>741990</v>
      </c>
      <c r="Q696" s="3">
        <v>699740</v>
      </c>
      <c r="S696">
        <v>33.777988000000001</v>
      </c>
      <c r="T696">
        <v>-112.10335000000001</v>
      </c>
    </row>
    <row r="697" spans="2:20" x14ac:dyDescent="0.2">
      <c r="B697" t="s">
        <v>592</v>
      </c>
      <c r="C697" t="s">
        <v>144</v>
      </c>
      <c r="E697" t="s">
        <v>21</v>
      </c>
      <c r="F697" t="s">
        <v>22</v>
      </c>
      <c r="G697" s="1">
        <v>6875</v>
      </c>
      <c r="H697" s="2">
        <v>55</v>
      </c>
      <c r="I697" s="5" t="str">
        <f>CONCATENATE(H697,"x",INT(G697/H697))</f>
        <v>55x125</v>
      </c>
      <c r="J697">
        <v>77</v>
      </c>
      <c r="K697">
        <v>1</v>
      </c>
      <c r="L697" s="3">
        <v>2131</v>
      </c>
      <c r="M697" s="3">
        <v>2131</v>
      </c>
      <c r="N697" s="3">
        <v>2131</v>
      </c>
      <c r="O697" s="3">
        <v>459990</v>
      </c>
      <c r="P697" s="3">
        <v>459990</v>
      </c>
      <c r="Q697" s="3">
        <v>459990</v>
      </c>
      <c r="S697">
        <v>33.507195000000003</v>
      </c>
      <c r="T697">
        <v>-112.47848</v>
      </c>
    </row>
    <row r="698" spans="2:20" x14ac:dyDescent="0.2">
      <c r="B698" t="s">
        <v>495</v>
      </c>
      <c r="C698" t="s">
        <v>114</v>
      </c>
      <c r="E698" t="s">
        <v>21</v>
      </c>
      <c r="F698" t="s">
        <v>22</v>
      </c>
      <c r="G698" s="1">
        <v>6000</v>
      </c>
      <c r="H698" s="2">
        <v>50</v>
      </c>
      <c r="I698" s="5" t="str">
        <f>CONCATENATE(H698,"x",INT(G698/H698))</f>
        <v>50x120</v>
      </c>
      <c r="J698">
        <v>61</v>
      </c>
      <c r="K698">
        <v>1</v>
      </c>
      <c r="L698" s="3">
        <v>2083</v>
      </c>
      <c r="M698" s="3">
        <v>3045</v>
      </c>
      <c r="N698" s="3">
        <v>2474</v>
      </c>
      <c r="O698" s="3">
        <v>499380</v>
      </c>
      <c r="P698" s="3">
        <v>640030</v>
      </c>
      <c r="Q698" s="3">
        <v>536920</v>
      </c>
      <c r="S698">
        <v>32.397705000000002</v>
      </c>
      <c r="T698">
        <v>-111.08329000000001</v>
      </c>
    </row>
    <row r="699" spans="2:20" x14ac:dyDescent="0.2">
      <c r="B699" t="s">
        <v>509</v>
      </c>
      <c r="C699" t="s">
        <v>114</v>
      </c>
      <c r="D699" t="s">
        <v>475</v>
      </c>
      <c r="E699" t="s">
        <v>21</v>
      </c>
      <c r="F699" t="s">
        <v>22</v>
      </c>
      <c r="G699" s="1">
        <v>6250</v>
      </c>
      <c r="H699" s="2">
        <v>50</v>
      </c>
      <c r="I699" s="5" t="str">
        <f>CONCATENATE(H699,"x",INT(G699/H699))</f>
        <v>50x125</v>
      </c>
      <c r="J699">
        <v>93</v>
      </c>
      <c r="K699">
        <v>1</v>
      </c>
      <c r="L699" s="3">
        <v>1568</v>
      </c>
      <c r="M699" s="3">
        <v>2406</v>
      </c>
      <c r="N699" s="3">
        <v>2039</v>
      </c>
      <c r="O699" s="3">
        <v>381990</v>
      </c>
      <c r="P699" s="3">
        <v>450990</v>
      </c>
      <c r="Q699" s="3">
        <v>418190</v>
      </c>
      <c r="S699">
        <v>33.737164</v>
      </c>
      <c r="T699">
        <v>-112.43801000000001</v>
      </c>
    </row>
    <row r="700" spans="2:20" x14ac:dyDescent="0.2">
      <c r="B700" t="s">
        <v>936</v>
      </c>
      <c r="C700" t="s">
        <v>384</v>
      </c>
      <c r="E700" t="s">
        <v>872</v>
      </c>
      <c r="F700" t="s">
        <v>907</v>
      </c>
      <c r="G700" s="1">
        <v>0</v>
      </c>
      <c r="H700" s="1">
        <v>0</v>
      </c>
      <c r="I700" s="5" t="s">
        <v>908</v>
      </c>
      <c r="J700">
        <v>12</v>
      </c>
      <c r="K700">
        <v>1</v>
      </c>
      <c r="L700" s="3">
        <v>1706</v>
      </c>
      <c r="M700" s="3">
        <v>1706</v>
      </c>
      <c r="N700" s="3">
        <v>1706</v>
      </c>
      <c r="O700" s="3">
        <v>710765</v>
      </c>
      <c r="P700" s="3">
        <v>710765</v>
      </c>
      <c r="Q700" s="3">
        <v>710765</v>
      </c>
      <c r="R700" t="s">
        <v>907</v>
      </c>
      <c r="S700">
        <v>32.215457999999998</v>
      </c>
      <c r="T700">
        <v>-110.97333</v>
      </c>
    </row>
    <row r="701" spans="2:20" x14ac:dyDescent="0.2">
      <c r="B701" t="s">
        <v>475</v>
      </c>
      <c r="C701" t="s">
        <v>151</v>
      </c>
      <c r="D701" t="s">
        <v>475</v>
      </c>
      <c r="E701" t="s">
        <v>21</v>
      </c>
      <c r="F701" t="s">
        <v>22</v>
      </c>
      <c r="G701" s="1">
        <v>7500</v>
      </c>
      <c r="H701" s="2">
        <v>75</v>
      </c>
      <c r="I701" s="5" t="str">
        <f>CONCATENATE(H701,"x",INT(G701/H701))</f>
        <v>75x100</v>
      </c>
      <c r="J701">
        <v>604</v>
      </c>
      <c r="K701">
        <v>1</v>
      </c>
      <c r="L701" s="3">
        <v>1841</v>
      </c>
      <c r="M701" s="3">
        <v>1841</v>
      </c>
      <c r="N701" s="3">
        <v>1841</v>
      </c>
      <c r="O701" s="3">
        <v>491990</v>
      </c>
      <c r="P701" s="3">
        <v>491990</v>
      </c>
      <c r="Q701" s="3">
        <v>491990</v>
      </c>
      <c r="S701">
        <v>33.72871</v>
      </c>
      <c r="T701">
        <v>-112.43937</v>
      </c>
    </row>
    <row r="702" spans="2:20" x14ac:dyDescent="0.2">
      <c r="B702" t="s">
        <v>636</v>
      </c>
      <c r="C702" t="s">
        <v>136</v>
      </c>
      <c r="D702" t="s">
        <v>637</v>
      </c>
      <c r="E702" t="s">
        <v>21</v>
      </c>
      <c r="F702" t="s">
        <v>22</v>
      </c>
      <c r="G702" s="1">
        <v>6000</v>
      </c>
      <c r="H702" s="2">
        <v>60</v>
      </c>
      <c r="I702" s="5" t="str">
        <f>CONCATENATE(H702,"x",INT(G702/H702))</f>
        <v>60x100</v>
      </c>
      <c r="J702">
        <v>76</v>
      </c>
      <c r="K702">
        <v>1</v>
      </c>
      <c r="L702" s="3">
        <v>2090</v>
      </c>
      <c r="M702" s="3">
        <v>2090</v>
      </c>
      <c r="N702" s="3">
        <v>2090</v>
      </c>
      <c r="O702" s="3">
        <v>380990</v>
      </c>
      <c r="P702" s="3">
        <v>380990</v>
      </c>
      <c r="Q702" s="3">
        <v>380990</v>
      </c>
      <c r="S702">
        <v>32.941132000000003</v>
      </c>
      <c r="T702">
        <v>-111.74815</v>
      </c>
    </row>
    <row r="703" spans="2:20" x14ac:dyDescent="0.2">
      <c r="B703" t="s">
        <v>933</v>
      </c>
      <c r="C703" t="s">
        <v>934</v>
      </c>
      <c r="E703" t="s">
        <v>872</v>
      </c>
      <c r="F703" t="s">
        <v>907</v>
      </c>
      <c r="G703" s="1">
        <v>0</v>
      </c>
      <c r="H703" s="1">
        <v>0</v>
      </c>
      <c r="I703" s="5" t="s">
        <v>908</v>
      </c>
      <c r="J703">
        <v>11</v>
      </c>
      <c r="K703">
        <v>1</v>
      </c>
      <c r="L703" s="3">
        <v>1553</v>
      </c>
      <c r="M703" s="3">
        <v>1553</v>
      </c>
      <c r="N703" s="3">
        <v>1553</v>
      </c>
      <c r="O703" s="3">
        <v>575000</v>
      </c>
      <c r="P703" s="3">
        <v>575000</v>
      </c>
      <c r="Q703" s="3">
        <v>575000</v>
      </c>
      <c r="R703" t="s">
        <v>935</v>
      </c>
      <c r="S703">
        <v>33.457889999999999</v>
      </c>
      <c r="T703">
        <v>-112.08450999999999</v>
      </c>
    </row>
    <row r="704" spans="2:20" x14ac:dyDescent="0.2">
      <c r="B704" t="s">
        <v>199</v>
      </c>
      <c r="C704" t="s">
        <v>200</v>
      </c>
      <c r="E704" t="s">
        <v>21</v>
      </c>
      <c r="F704" t="s">
        <v>22</v>
      </c>
      <c r="G704" s="1">
        <v>4500</v>
      </c>
      <c r="H704" s="2">
        <v>45</v>
      </c>
      <c r="I704" s="5" t="str">
        <f>CONCATENATE(H704,"x",INT(G704/H704))</f>
        <v>45x100</v>
      </c>
      <c r="J704">
        <v>38</v>
      </c>
      <c r="K704">
        <v>1</v>
      </c>
      <c r="L704" s="3">
        <v>1360</v>
      </c>
      <c r="M704" s="3">
        <v>3225</v>
      </c>
      <c r="N704" s="3">
        <v>2252</v>
      </c>
      <c r="O704" s="3">
        <v>188500</v>
      </c>
      <c r="P704" s="3">
        <v>359900</v>
      </c>
      <c r="Q704" s="3">
        <v>263800</v>
      </c>
      <c r="R704" t="s">
        <v>23</v>
      </c>
      <c r="S704">
        <v>33.374409</v>
      </c>
      <c r="T704">
        <v>-112.08068</v>
      </c>
    </row>
    <row r="705" spans="2:20" x14ac:dyDescent="0.2">
      <c r="B705" t="s">
        <v>829</v>
      </c>
      <c r="C705" t="s">
        <v>68</v>
      </c>
      <c r="D705" t="s">
        <v>830</v>
      </c>
      <c r="E705" t="s">
        <v>21</v>
      </c>
      <c r="F705" t="s">
        <v>22</v>
      </c>
      <c r="G705" s="1">
        <v>10000</v>
      </c>
      <c r="H705" s="2">
        <v>80</v>
      </c>
      <c r="I705" s="5" t="str">
        <f>CONCATENATE(H705,"x",INT(G705/H705))</f>
        <v>80x125</v>
      </c>
      <c r="J705">
        <v>65</v>
      </c>
      <c r="K705">
        <v>1</v>
      </c>
      <c r="L705" s="3">
        <v>5108</v>
      </c>
      <c r="M705" s="3">
        <v>5108</v>
      </c>
      <c r="N705" s="3">
        <v>5108</v>
      </c>
      <c r="O705" s="3">
        <v>5975106</v>
      </c>
      <c r="P705" s="3">
        <v>5975106</v>
      </c>
      <c r="Q705" s="3">
        <v>5975106</v>
      </c>
      <c r="R705" t="s">
        <v>831</v>
      </c>
      <c r="S705">
        <v>33.537739000000002</v>
      </c>
      <c r="T705">
        <v>-111.93285</v>
      </c>
    </row>
    <row r="706" spans="2:20" x14ac:dyDescent="0.2">
      <c r="B706" t="s">
        <v>779</v>
      </c>
      <c r="C706" t="s">
        <v>38</v>
      </c>
      <c r="D706" t="s">
        <v>450</v>
      </c>
      <c r="E706" t="s">
        <v>21</v>
      </c>
      <c r="F706" t="s">
        <v>22</v>
      </c>
      <c r="G706" s="1">
        <v>8400</v>
      </c>
      <c r="H706" s="2">
        <v>70</v>
      </c>
      <c r="I706" s="5" t="str">
        <f>CONCATENATE(H706,"x",INT(G706/H706))</f>
        <v>70x120</v>
      </c>
      <c r="J706">
        <v>61</v>
      </c>
      <c r="K706">
        <v>1</v>
      </c>
      <c r="L706" s="3">
        <v>2456</v>
      </c>
      <c r="M706" s="3">
        <v>2739</v>
      </c>
      <c r="N706" s="3">
        <v>2597</v>
      </c>
      <c r="O706" s="3">
        <v>581990</v>
      </c>
      <c r="P706" s="3">
        <v>595990</v>
      </c>
      <c r="Q706" s="3">
        <v>588990</v>
      </c>
      <c r="S706">
        <v>33.477299000000002</v>
      </c>
      <c r="T706">
        <v>-112.51712999999999</v>
      </c>
    </row>
    <row r="707" spans="2:20" x14ac:dyDescent="0.2">
      <c r="B707" t="s">
        <v>193</v>
      </c>
      <c r="C707" t="s">
        <v>85</v>
      </c>
      <c r="D707" t="s">
        <v>193</v>
      </c>
      <c r="E707" t="s">
        <v>21</v>
      </c>
      <c r="F707" t="s">
        <v>22</v>
      </c>
      <c r="G707" s="1">
        <v>13200</v>
      </c>
      <c r="H707" s="2">
        <v>88</v>
      </c>
      <c r="I707" s="5" t="str">
        <f>CONCATENATE(H707,"x",INT(G707/H707))</f>
        <v>88x150</v>
      </c>
      <c r="J707">
        <v>14</v>
      </c>
      <c r="K707">
        <v>1</v>
      </c>
      <c r="L707" s="3">
        <v>3725</v>
      </c>
      <c r="M707" s="3">
        <v>3725</v>
      </c>
      <c r="N707" s="3">
        <v>3725</v>
      </c>
      <c r="O707" s="3">
        <v>1720000</v>
      </c>
      <c r="P707" s="3">
        <v>1720000</v>
      </c>
      <c r="Q707" s="3">
        <v>1720000</v>
      </c>
      <c r="S707">
        <v>33.498905000000001</v>
      </c>
      <c r="T707">
        <v>-112.51685999999999</v>
      </c>
    </row>
    <row r="711" spans="2:20" x14ac:dyDescent="0.2">
      <c r="C711" t="str" cm="1">
        <f t="array" ref="C711:C806">_xlfn.UNIQUE(Table1[Builder])</f>
        <v>Robson Resort Communities</v>
      </c>
      <c r="D711" cm="1">
        <f t="array" ref="D711:D806">COUNTIF(Table1[Builder],_xlfn.ANCHORARRAY(C711))</f>
        <v>5</v>
      </c>
    </row>
    <row r="712" spans="2:20" x14ac:dyDescent="0.2">
      <c r="C712" t="str">
        <v>Del Webb</v>
      </c>
      <c r="D712">
        <v>2</v>
      </c>
    </row>
    <row r="713" spans="2:20" x14ac:dyDescent="0.2">
      <c r="C713" t="str">
        <v>Pulte Homes</v>
      </c>
      <c r="D713">
        <v>30</v>
      </c>
    </row>
    <row r="714" spans="2:20" x14ac:dyDescent="0.2">
      <c r="C714" t="str">
        <v>Fulton Homes</v>
      </c>
      <c r="D714">
        <v>15</v>
      </c>
    </row>
    <row r="715" spans="2:20" x14ac:dyDescent="0.2">
      <c r="C715" t="str">
        <v>D.R. Horton</v>
      </c>
      <c r="D715">
        <v>32</v>
      </c>
    </row>
    <row r="716" spans="2:20" x14ac:dyDescent="0.2">
      <c r="C716" t="str">
        <v>Meritage Homes</v>
      </c>
      <c r="D716">
        <v>45</v>
      </c>
    </row>
    <row r="717" spans="2:20" x14ac:dyDescent="0.2">
      <c r="C717" t="str">
        <v>Taylor Morrison</v>
      </c>
      <c r="D717">
        <v>56</v>
      </c>
    </row>
    <row r="718" spans="2:20" x14ac:dyDescent="0.2">
      <c r="C718" t="str">
        <v>Toll Brothers</v>
      </c>
      <c r="D718">
        <v>30</v>
      </c>
    </row>
    <row r="719" spans="2:20" x14ac:dyDescent="0.2">
      <c r="C719" t="str">
        <v>LGI Homes</v>
      </c>
      <c r="D719">
        <v>6</v>
      </c>
    </row>
    <row r="720" spans="2:20" x14ac:dyDescent="0.2">
      <c r="C720" t="str">
        <v>Starlight Homes</v>
      </c>
      <c r="D720">
        <v>9</v>
      </c>
    </row>
    <row r="721" spans="3:4" x14ac:dyDescent="0.2">
      <c r="C721" t="str">
        <v>Shea Homes</v>
      </c>
      <c r="D721">
        <v>16</v>
      </c>
    </row>
    <row r="722" spans="3:4" x14ac:dyDescent="0.2">
      <c r="C722" t="str">
        <v>Mattamy Homes</v>
      </c>
      <c r="D722">
        <v>16</v>
      </c>
    </row>
    <row r="723" spans="3:4" x14ac:dyDescent="0.2">
      <c r="C723" t="str">
        <v>Lennar</v>
      </c>
      <c r="D723">
        <v>71</v>
      </c>
    </row>
    <row r="724" spans="3:4" x14ac:dyDescent="0.2">
      <c r="C724" t="str">
        <v>Oakwood Homes</v>
      </c>
      <c r="D724">
        <v>2</v>
      </c>
    </row>
    <row r="725" spans="3:4" x14ac:dyDescent="0.2">
      <c r="C725" t="str">
        <v>Landsea Homes</v>
      </c>
      <c r="D725">
        <v>23</v>
      </c>
    </row>
    <row r="726" spans="3:4" x14ac:dyDescent="0.2">
      <c r="C726" t="str">
        <v>Scott Communities</v>
      </c>
      <c r="D726">
        <v>3</v>
      </c>
    </row>
    <row r="727" spans="3:4" x14ac:dyDescent="0.2">
      <c r="C727" t="str">
        <v>KB Home</v>
      </c>
      <c r="D727">
        <v>28</v>
      </c>
    </row>
    <row r="728" spans="3:4" x14ac:dyDescent="0.2">
      <c r="C728" t="str">
        <v>Ashton Woods Homes</v>
      </c>
      <c r="D728">
        <v>17</v>
      </c>
    </row>
    <row r="729" spans="3:4" x14ac:dyDescent="0.2">
      <c r="C729" t="str">
        <v>Fairfield Homes</v>
      </c>
      <c r="D729">
        <v>9</v>
      </c>
    </row>
    <row r="730" spans="3:4" x14ac:dyDescent="0.2">
      <c r="C730" t="str">
        <v>Homes by Towne</v>
      </c>
      <c r="D730">
        <v>6</v>
      </c>
    </row>
    <row r="731" spans="3:4" x14ac:dyDescent="0.2">
      <c r="C731" t="str">
        <v>Brightland Homes</v>
      </c>
      <c r="D731">
        <v>12</v>
      </c>
    </row>
    <row r="732" spans="3:4" x14ac:dyDescent="0.2">
      <c r="C732" t="str">
        <v>Mandalay Homes</v>
      </c>
      <c r="D732">
        <v>5</v>
      </c>
    </row>
    <row r="733" spans="3:4" x14ac:dyDescent="0.2">
      <c r="C733" t="str">
        <v>Century Communities</v>
      </c>
      <c r="D733">
        <v>11</v>
      </c>
    </row>
    <row r="734" spans="3:4" x14ac:dyDescent="0.2">
      <c r="C734" t="str">
        <v>Costa Verde Homes</v>
      </c>
      <c r="D734">
        <v>2</v>
      </c>
    </row>
    <row r="735" spans="3:4" x14ac:dyDescent="0.2">
      <c r="C735" t="str">
        <v>Statesman Corporation Inc.</v>
      </c>
      <c r="D735">
        <v>2</v>
      </c>
    </row>
    <row r="736" spans="3:4" x14ac:dyDescent="0.2">
      <c r="C736" t="str">
        <v>Richmond American Homes</v>
      </c>
      <c r="D736">
        <v>53</v>
      </c>
    </row>
    <row r="737" spans="3:4" x14ac:dyDescent="0.2">
      <c r="C737" t="str">
        <v>Woodside Homes</v>
      </c>
      <c r="D737">
        <v>16</v>
      </c>
    </row>
    <row r="738" spans="3:4" x14ac:dyDescent="0.2">
      <c r="C738" t="str">
        <v>William Ryan Homes</v>
      </c>
      <c r="D738">
        <v>7</v>
      </c>
    </row>
    <row r="739" spans="3:4" x14ac:dyDescent="0.2">
      <c r="C739" t="str">
        <v>K. Hovnanian Homes</v>
      </c>
      <c r="D739">
        <v>11</v>
      </c>
    </row>
    <row r="740" spans="3:4" x14ac:dyDescent="0.2">
      <c r="C740" t="str">
        <v>Centex Homes</v>
      </c>
      <c r="D740">
        <v>10</v>
      </c>
    </row>
    <row r="741" spans="3:4" x14ac:dyDescent="0.2">
      <c r="C741" t="str">
        <v>Miramonte Homes</v>
      </c>
      <c r="D741">
        <v>6</v>
      </c>
    </row>
    <row r="742" spans="3:4" x14ac:dyDescent="0.2">
      <c r="C742" t="str">
        <v>Brookfield Residential</v>
      </c>
      <c r="D742">
        <v>2</v>
      </c>
    </row>
    <row r="743" spans="3:4" x14ac:dyDescent="0.2">
      <c r="C743" t="str">
        <v>Cachet Homes</v>
      </c>
      <c r="D743">
        <v>4</v>
      </c>
    </row>
    <row r="744" spans="3:4" x14ac:dyDescent="0.2">
      <c r="C744" t="str">
        <v>TRI Pointe Homes</v>
      </c>
      <c r="D744">
        <v>16</v>
      </c>
    </row>
    <row r="745" spans="3:4" x14ac:dyDescent="0.2">
      <c r="C745" t="str">
        <v>Beazer Homes</v>
      </c>
      <c r="D745">
        <v>6</v>
      </c>
    </row>
    <row r="746" spans="3:4" x14ac:dyDescent="0.2">
      <c r="C746" t="str">
        <v>Capital West Homes</v>
      </c>
      <c r="D746">
        <v>5</v>
      </c>
    </row>
    <row r="747" spans="3:4" x14ac:dyDescent="0.2">
      <c r="C747" t="str">
        <v>Capstone Homes (AZ)</v>
      </c>
      <c r="D747">
        <v>6</v>
      </c>
    </row>
    <row r="748" spans="3:4" x14ac:dyDescent="0.2">
      <c r="C748" t="str">
        <v>David Weekley Homes</v>
      </c>
      <c r="D748">
        <v>13</v>
      </c>
    </row>
    <row r="749" spans="3:4" x14ac:dyDescent="0.2">
      <c r="C749" t="str">
        <v>Evermore Homes</v>
      </c>
      <c r="D749">
        <v>5</v>
      </c>
    </row>
    <row r="750" spans="3:4" x14ac:dyDescent="0.2">
      <c r="C750" t="str">
        <v>Elliott Homes</v>
      </c>
      <c r="D750">
        <v>4</v>
      </c>
    </row>
    <row r="751" spans="3:4" x14ac:dyDescent="0.2">
      <c r="C751" t="str">
        <v>Century Complete</v>
      </c>
      <c r="D751">
        <v>4</v>
      </c>
    </row>
    <row r="752" spans="3:4" x14ac:dyDescent="0.2">
      <c r="C752" t="str">
        <v>New Home Co.</v>
      </c>
      <c r="D752">
        <v>1</v>
      </c>
    </row>
    <row r="753" spans="3:4" x14ac:dyDescent="0.2">
      <c r="C753" t="str">
        <v>Universal Homes</v>
      </c>
      <c r="D753">
        <v>3</v>
      </c>
    </row>
    <row r="754" spans="3:4" x14ac:dyDescent="0.2">
      <c r="C754" t="str">
        <v>Blandford Homes</v>
      </c>
      <c r="D754">
        <v>6</v>
      </c>
    </row>
    <row r="755" spans="3:4" x14ac:dyDescent="0.2">
      <c r="C755" t="str">
        <v>Lawler Construction, Inc.</v>
      </c>
      <c r="D755">
        <v>1</v>
      </c>
    </row>
    <row r="756" spans="3:4" x14ac:dyDescent="0.2">
      <c r="C756" t="str">
        <v>Dove Mountain Investors LLC</v>
      </c>
      <c r="D756">
        <v>1</v>
      </c>
    </row>
    <row r="757" spans="3:4" x14ac:dyDescent="0.2">
      <c r="C757" t="str">
        <v>Cullum Homes</v>
      </c>
      <c r="D757">
        <v>4</v>
      </c>
    </row>
    <row r="758" spans="3:4" x14ac:dyDescent="0.2">
      <c r="C758" t="str">
        <v>Bela Flor Communities</v>
      </c>
      <c r="D758">
        <v>2</v>
      </c>
    </row>
    <row r="759" spans="3:4" x14ac:dyDescent="0.2">
      <c r="C759" t="str">
        <v>Belgravia Group Ltd</v>
      </c>
      <c r="D759">
        <v>1</v>
      </c>
    </row>
    <row r="760" spans="3:4" x14ac:dyDescent="0.2">
      <c r="C760" t="str">
        <v>CastleRock Communities</v>
      </c>
      <c r="D760">
        <v>1</v>
      </c>
    </row>
    <row r="761" spans="3:4" x14ac:dyDescent="0.2">
      <c r="C761" t="str">
        <v>Pepper-Viner Homes</v>
      </c>
      <c r="D761">
        <v>2</v>
      </c>
    </row>
    <row r="762" spans="3:4" x14ac:dyDescent="0.2">
      <c r="C762" t="str">
        <v>KLMR Homes</v>
      </c>
      <c r="D762">
        <v>1</v>
      </c>
    </row>
    <row r="763" spans="3:4" x14ac:dyDescent="0.2">
      <c r="C763" t="str">
        <v>Catclar Investments LLC</v>
      </c>
      <c r="D763">
        <v>2</v>
      </c>
    </row>
    <row r="764" spans="3:4" x14ac:dyDescent="0.2">
      <c r="C764" t="str">
        <v>Hillstone Homes</v>
      </c>
      <c r="D764">
        <v>1</v>
      </c>
    </row>
    <row r="765" spans="3:4" x14ac:dyDescent="0.2">
      <c r="C765" t="str">
        <v>Lantana Homes</v>
      </c>
      <c r="D765">
        <v>2</v>
      </c>
    </row>
    <row r="766" spans="3:4" x14ac:dyDescent="0.2">
      <c r="C766" t="str">
        <v>Replay Destinations</v>
      </c>
      <c r="D766">
        <v>1</v>
      </c>
    </row>
    <row r="767" spans="3:4" x14ac:dyDescent="0.2">
      <c r="C767" t="str">
        <v>Tannin Developments</v>
      </c>
      <c r="D767">
        <v>1</v>
      </c>
    </row>
    <row r="768" spans="3:4" x14ac:dyDescent="0.2">
      <c r="C768" t="str">
        <v>Solid Homes</v>
      </c>
      <c r="D768">
        <v>1</v>
      </c>
    </row>
    <row r="769" spans="3:4" x14ac:dyDescent="0.2">
      <c r="C769" t="str">
        <v>Cresleigh Homes</v>
      </c>
      <c r="D769">
        <v>1</v>
      </c>
    </row>
    <row r="770" spans="3:4" x14ac:dyDescent="0.2">
      <c r="C770" t="str">
        <v>Northstar Builders, LLC</v>
      </c>
      <c r="D770">
        <v>1</v>
      </c>
    </row>
    <row r="771" spans="3:4" x14ac:dyDescent="0.2">
      <c r="C771" t="str">
        <v>Rosewood Homes</v>
      </c>
      <c r="D771">
        <v>2</v>
      </c>
    </row>
    <row r="772" spans="3:4" x14ac:dyDescent="0.2">
      <c r="C772" t="str">
        <v>A.F. Sterling Homes</v>
      </c>
      <c r="D772">
        <v>3</v>
      </c>
    </row>
    <row r="773" spans="3:4" x14ac:dyDescent="0.2">
      <c r="C773" t="str">
        <v>Camelot Homes</v>
      </c>
      <c r="D773">
        <v>9</v>
      </c>
    </row>
    <row r="774" spans="3:4" x14ac:dyDescent="0.2">
      <c r="C774" t="str">
        <v>Identity Development Group</v>
      </c>
      <c r="D774">
        <v>1</v>
      </c>
    </row>
    <row r="775" spans="3:4" x14ac:dyDescent="0.2">
      <c r="C775" t="str">
        <v>Five Star Development</v>
      </c>
      <c r="D775">
        <v>1</v>
      </c>
    </row>
    <row r="776" spans="3:4" x14ac:dyDescent="0.2">
      <c r="C776" t="str">
        <v>Providence Homes</v>
      </c>
      <c r="D776">
        <v>2</v>
      </c>
    </row>
    <row r="777" spans="3:4" x14ac:dyDescent="0.2">
      <c r="C777" t="str">
        <v>Cornerstone Homes</v>
      </c>
      <c r="D777">
        <v>1</v>
      </c>
    </row>
    <row r="778" spans="3:4" x14ac:dyDescent="0.2">
      <c r="C778" t="str">
        <v>Courtland Communities</v>
      </c>
      <c r="D778">
        <v>1</v>
      </c>
    </row>
    <row r="779" spans="3:4" x14ac:dyDescent="0.2">
      <c r="C779" t="str">
        <v>The True Life Companies</v>
      </c>
      <c r="D779">
        <v>2</v>
      </c>
    </row>
    <row r="780" spans="3:4" x14ac:dyDescent="0.2">
      <c r="C780" t="str">
        <v>Newmark Homes</v>
      </c>
      <c r="D780">
        <v>1</v>
      </c>
    </row>
    <row r="781" spans="3:4" x14ac:dyDescent="0.2">
      <c r="C781" t="str">
        <v>Brown Homes</v>
      </c>
      <c r="D781">
        <v>2</v>
      </c>
    </row>
    <row r="782" spans="3:4" x14ac:dyDescent="0.2">
      <c r="C782" t="str">
        <v>Porchlight Homes</v>
      </c>
      <c r="D782">
        <v>1</v>
      </c>
    </row>
    <row r="783" spans="3:4" x14ac:dyDescent="0.2">
      <c r="C783" t="str">
        <v>Southwest Sunset Homes</v>
      </c>
      <c r="D783">
        <v>1</v>
      </c>
    </row>
    <row r="784" spans="3:4" x14ac:dyDescent="0.2">
      <c r="C784" t="str">
        <v>New Village Homes</v>
      </c>
      <c r="D784">
        <v>1</v>
      </c>
    </row>
    <row r="785" spans="3:4" x14ac:dyDescent="0.2">
      <c r="C785" t="str">
        <v>Homes by Copper Canyon</v>
      </c>
      <c r="D785">
        <v>1</v>
      </c>
    </row>
    <row r="786" spans="3:4" x14ac:dyDescent="0.2">
      <c r="C786" t="str">
        <v>Paseo Homes</v>
      </c>
      <c r="D786">
        <v>1</v>
      </c>
    </row>
    <row r="787" spans="3:4" x14ac:dyDescent="0.2">
      <c r="C787" t="str">
        <v>MAK Construction</v>
      </c>
      <c r="D787">
        <v>1</v>
      </c>
    </row>
    <row r="788" spans="3:4" x14ac:dyDescent="0.2">
      <c r="C788" t="str">
        <v>Icon at Silverleaf Development Co, Inc.</v>
      </c>
      <c r="D788">
        <v>1</v>
      </c>
    </row>
    <row r="789" spans="3:4" x14ac:dyDescent="0.2">
      <c r="C789" t="str">
        <v>Noble Heritage Builders, Inc.</v>
      </c>
      <c r="D789">
        <v>1</v>
      </c>
    </row>
    <row r="790" spans="3:4" x14ac:dyDescent="0.2">
      <c r="C790" t="str">
        <v>Seneca Luxury Condominiums, LLC</v>
      </c>
      <c r="D790">
        <v>1</v>
      </c>
    </row>
    <row r="791" spans="3:4" x14ac:dyDescent="0.2">
      <c r="C791" t="str">
        <v>The Builders Studio</v>
      </c>
      <c r="D791">
        <v>1</v>
      </c>
    </row>
    <row r="792" spans="3:4" x14ac:dyDescent="0.2">
      <c r="C792" t="str">
        <v>VIP Homes</v>
      </c>
      <c r="D792">
        <v>2</v>
      </c>
    </row>
    <row r="793" spans="3:4" x14ac:dyDescent="0.2">
      <c r="C793" t="str">
        <v>Bellago Homes</v>
      </c>
      <c r="D793">
        <v>1</v>
      </c>
    </row>
    <row r="794" spans="3:4" x14ac:dyDescent="0.2">
      <c r="C794" t="str">
        <v>Brookfield Communities</v>
      </c>
      <c r="D794">
        <v>1</v>
      </c>
    </row>
    <row r="795" spans="3:4" x14ac:dyDescent="0.2">
      <c r="C795" t="str">
        <v>Desert Jewel Homes LLC</v>
      </c>
      <c r="D795">
        <v>1</v>
      </c>
    </row>
    <row r="796" spans="3:4" x14ac:dyDescent="0.2">
      <c r="C796" t="str">
        <v>Insight Homes</v>
      </c>
      <c r="D796">
        <v>1</v>
      </c>
    </row>
    <row r="797" spans="3:4" x14ac:dyDescent="0.2">
      <c r="C797" t="str">
        <v>Richter Homes</v>
      </c>
      <c r="D797">
        <v>1</v>
      </c>
    </row>
    <row r="798" spans="3:4" x14ac:dyDescent="0.2">
      <c r="C798" t="str">
        <v>Dell Mar Homes</v>
      </c>
      <c r="D798">
        <v>2</v>
      </c>
    </row>
    <row r="799" spans="3:4" x14ac:dyDescent="0.2">
      <c r="C799" t="str">
        <v>Pronghorn Homes</v>
      </c>
      <c r="D799">
        <v>1</v>
      </c>
    </row>
    <row r="800" spans="3:4" x14ac:dyDescent="0.2">
      <c r="C800" t="str">
        <v>TDLC Development</v>
      </c>
      <c r="D800">
        <v>1</v>
      </c>
    </row>
    <row r="801" spans="3:4" x14ac:dyDescent="0.2">
      <c r="C801" t="str">
        <v>Boyer Vertical</v>
      </c>
      <c r="D801">
        <v>1</v>
      </c>
    </row>
    <row r="802" spans="3:4" x14ac:dyDescent="0.2">
      <c r="C802" t="str">
        <v>Desert Viking Builders</v>
      </c>
      <c r="D802">
        <v>1</v>
      </c>
    </row>
    <row r="803" spans="3:4" x14ac:dyDescent="0.2">
      <c r="C803" t="str">
        <v>Family Development</v>
      </c>
      <c r="D803">
        <v>1</v>
      </c>
    </row>
    <row r="804" spans="3:4" x14ac:dyDescent="0.2">
      <c r="C804" t="str">
        <v>J.P. Kush and Associates, LLC</v>
      </c>
      <c r="D804">
        <v>1</v>
      </c>
    </row>
    <row r="805" spans="3:4" x14ac:dyDescent="0.2">
      <c r="C805" t="str">
        <v>Sasquatch Development Group</v>
      </c>
      <c r="D805">
        <v>1</v>
      </c>
    </row>
    <row r="806" spans="3:4" x14ac:dyDescent="0.2">
      <c r="C806" t="str">
        <v>SC Homes</v>
      </c>
      <c r="D80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Zonda-Macro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 Wolin</dc:creator>
  <cp:lastModifiedBy>Gregg Wolin</cp:lastModifiedBy>
  <dcterms:created xsi:type="dcterms:W3CDTF">2025-12-02T21:37:47Z</dcterms:created>
  <dcterms:modified xsi:type="dcterms:W3CDTF">2025-12-03T03:08:18Z</dcterms:modified>
</cp:coreProperties>
</file>