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tnorigins.sharepoint.com/sites/MTNO/Shared Documents/MTN O - PREDEV/`WEYYAKIN Phase IV_DEV/01 - BUDGETS &amp; BILLINGS/00 - PROFORMA/"/>
    </mc:Choice>
  </mc:AlternateContent>
  <xr:revisionPtr revIDLastSave="510" documentId="8_{E1C50A4A-DFBE-E144-B4C8-4EFF9ACB87EB}" xr6:coauthVersionLast="47" xr6:coauthVersionMax="47" xr10:uidLastSave="{0C070E13-5698-494C-9B78-D90733AA02C5}"/>
  <bookViews>
    <workbookView xWindow="-24980" yWindow="-28200" windowWidth="46160" windowHeight="28200" tabRatio="817" xr2:uid="{A2330339-FB89-A041-9A59-BFA60DBA12F0}"/>
  </bookViews>
  <sheets>
    <sheet name="Proforma (PreSales)" sheetId="23" r:id="rId1"/>
    <sheet name="Returns (PreSales)" sheetId="24" r:id="rId2"/>
    <sheet name="Proforma Amenity Ops" sheetId="5" state="hidden" r:id="rId3"/>
    <sheet name="Amenity Dashboard" sheetId="14" state="hidden" r:id="rId4"/>
    <sheet name="Amenity CashFlow" sheetId="15" state="hidden" r:id="rId5"/>
    <sheet name="Amenity Annual CF" sheetId="16" state="hidden" r:id="rId6"/>
  </sheets>
  <definedNames>
    <definedName name="_xleta.SUMPRODUCT" hidden="1" xlm="1">#NAME?</definedName>
    <definedName name="_xlnm.Print_Area" localSheetId="0">'Proforma (PreSales)'!$A$1:$AC$258</definedName>
    <definedName name="_xlnm.Print_Area" localSheetId="2">'Proforma Amenity Ops'!$B$1:$R$112</definedName>
    <definedName name="_xlnm.Print_Area" localSheetId="1">'Returns (PreSales)'!$B$2:$M$88</definedName>
    <definedName name="_xlnm.Print_Titles" localSheetId="0">'Proforma (PreSales)'!$2:$21</definedName>
    <definedName name="_xlnm.Print_Titles" localSheetId="2">'Proforma Amenity Ops'!$2:$5</definedName>
    <definedName name="_xlnm.Print_Titles" localSheetId="1">'Returns (PreSales)'!$2:$6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279" i="23" l="1"/>
  <c r="E279" i="23"/>
  <c r="F279" i="23"/>
  <c r="G279" i="23"/>
  <c r="H279" i="23"/>
  <c r="I279" i="23"/>
  <c r="J279" i="23"/>
  <c r="K279" i="23"/>
  <c r="L279" i="23"/>
  <c r="M279" i="23"/>
  <c r="N279" i="23"/>
  <c r="O279" i="23"/>
  <c r="P279" i="23"/>
  <c r="Q279" i="23"/>
  <c r="R279" i="23"/>
  <c r="AB90" i="23"/>
  <c r="C306" i="23"/>
  <c r="I251" i="23"/>
  <c r="H162" i="23"/>
  <c r="G162" i="23"/>
  <c r="F162" i="23"/>
  <c r="H161" i="23"/>
  <c r="G161" i="23"/>
  <c r="F161" i="23"/>
  <c r="G160" i="23"/>
  <c r="F160" i="23"/>
  <c r="G46" i="24"/>
  <c r="H46" i="24"/>
  <c r="H16" i="24" s="1"/>
  <c r="I46" i="24"/>
  <c r="I16" i="24" s="1"/>
  <c r="J46" i="24"/>
  <c r="J16" i="24" s="1"/>
  <c r="K46" i="24"/>
  <c r="L46" i="24"/>
  <c r="L16" i="24" s="1"/>
  <c r="M46" i="24"/>
  <c r="M16" i="24" s="1"/>
  <c r="N46" i="24"/>
  <c r="N16" i="24" s="1"/>
  <c r="O46" i="24"/>
  <c r="O16" i="24" s="1"/>
  <c r="P46" i="24"/>
  <c r="P16" i="24" s="1"/>
  <c r="Q46" i="24"/>
  <c r="Q16" i="24" s="1"/>
  <c r="R46" i="24"/>
  <c r="R16" i="24" s="1"/>
  <c r="S46" i="24"/>
  <c r="T46" i="24"/>
  <c r="U46" i="24"/>
  <c r="V46" i="24"/>
  <c r="V16" i="24" s="1"/>
  <c r="W46" i="24"/>
  <c r="W16" i="24" s="1"/>
  <c r="X46" i="24"/>
  <c r="X16" i="24" s="1"/>
  <c r="Y46" i="24"/>
  <c r="Y16" i="24" s="1"/>
  <c r="Z46" i="24"/>
  <c r="Z16" i="24" s="1"/>
  <c r="AA46" i="24"/>
  <c r="AA16" i="24" s="1"/>
  <c r="AB46" i="24"/>
  <c r="AB16" i="24" s="1"/>
  <c r="G16" i="24"/>
  <c r="K16" i="24"/>
  <c r="S16" i="24"/>
  <c r="T16" i="24"/>
  <c r="U16" i="24"/>
  <c r="G15" i="24"/>
  <c r="H15" i="24"/>
  <c r="I15" i="24"/>
  <c r="J15" i="24"/>
  <c r="K15" i="24"/>
  <c r="L15" i="24"/>
  <c r="M15" i="24"/>
  <c r="N15" i="24"/>
  <c r="O15" i="24"/>
  <c r="P15" i="24"/>
  <c r="Q15" i="24"/>
  <c r="R15" i="24"/>
  <c r="S15" i="24"/>
  <c r="T15" i="24"/>
  <c r="U15" i="24"/>
  <c r="V15" i="24"/>
  <c r="W15" i="24"/>
  <c r="X15" i="24"/>
  <c r="Y15" i="24"/>
  <c r="Z15" i="24"/>
  <c r="AA15" i="24"/>
  <c r="AB15" i="24"/>
  <c r="F46" i="24"/>
  <c r="F15" i="24"/>
  <c r="F96" i="23" l="1"/>
  <c r="F97" i="23"/>
  <c r="L233" i="23" l="1"/>
  <c r="M233" i="23"/>
  <c r="G58" i="23" l="1"/>
  <c r="H58" i="23"/>
  <c r="H84" i="23" s="1"/>
  <c r="F87" i="23"/>
  <c r="C66" i="24"/>
  <c r="B58" i="24"/>
  <c r="C57" i="24"/>
  <c r="B57" i="24"/>
  <c r="AB53" i="24"/>
  <c r="AB56" i="24" s="1"/>
  <c r="AA53" i="24"/>
  <c r="AA54" i="24" s="1"/>
  <c r="AA56" i="24" s="1"/>
  <c r="Z53" i="24"/>
  <c r="Z56" i="24" s="1"/>
  <c r="Y53" i="24"/>
  <c r="Y56" i="24" s="1"/>
  <c r="X53" i="24"/>
  <c r="X56" i="24" s="1"/>
  <c r="W53" i="24"/>
  <c r="W56" i="24" s="1"/>
  <c r="V53" i="24"/>
  <c r="V56" i="24" s="1"/>
  <c r="U53" i="24"/>
  <c r="U56" i="24" s="1"/>
  <c r="T53" i="24"/>
  <c r="Q53" i="24"/>
  <c r="P53" i="24"/>
  <c r="P54" i="24" s="1"/>
  <c r="N53" i="24"/>
  <c r="F16" i="24"/>
  <c r="AB41" i="24"/>
  <c r="AA41" i="24"/>
  <c r="Z41" i="24"/>
  <c r="Y41" i="24"/>
  <c r="X41" i="24"/>
  <c r="W41" i="24"/>
  <c r="V41" i="24"/>
  <c r="U41" i="24"/>
  <c r="T41" i="24"/>
  <c r="B41" i="24"/>
  <c r="B40" i="24"/>
  <c r="AB39" i="24"/>
  <c r="AA39" i="24"/>
  <c r="Z39" i="24"/>
  <c r="Y39" i="24"/>
  <c r="X39" i="24"/>
  <c r="W39" i="24"/>
  <c r="V39" i="24"/>
  <c r="U39" i="24"/>
  <c r="T39" i="24"/>
  <c r="B39" i="24"/>
  <c r="Q33" i="24"/>
  <c r="P33" i="24"/>
  <c r="O33" i="24"/>
  <c r="N33" i="24"/>
  <c r="M33" i="24"/>
  <c r="L33" i="24"/>
  <c r="K33" i="24"/>
  <c r="J33" i="24"/>
  <c r="I33" i="24"/>
  <c r="H33" i="24"/>
  <c r="H61" i="24" s="1"/>
  <c r="G33" i="24"/>
  <c r="G61" i="24" s="1"/>
  <c r="F33" i="24"/>
  <c r="F61" i="24" s="1"/>
  <c r="Q27" i="24"/>
  <c r="P27" i="24"/>
  <c r="O27" i="24"/>
  <c r="N27" i="24"/>
  <c r="M27" i="24"/>
  <c r="L27" i="24"/>
  <c r="K27" i="24"/>
  <c r="J27" i="24"/>
  <c r="I27" i="24"/>
  <c r="H27" i="24"/>
  <c r="G27" i="24"/>
  <c r="G28" i="24" s="1"/>
  <c r="F27" i="24"/>
  <c r="AB19" i="24"/>
  <c r="AA19" i="24"/>
  <c r="Z19" i="24"/>
  <c r="Y19" i="24"/>
  <c r="M19" i="24"/>
  <c r="L19" i="24"/>
  <c r="K19" i="24"/>
  <c r="J19" i="24"/>
  <c r="I19" i="24"/>
  <c r="H19" i="24"/>
  <c r="G19" i="24"/>
  <c r="F19" i="24"/>
  <c r="AB14" i="24"/>
  <c r="AA14" i="24"/>
  <c r="Z14" i="24"/>
  <c r="Y14" i="24"/>
  <c r="X14" i="24"/>
  <c r="W14" i="24"/>
  <c r="V14" i="24"/>
  <c r="U14" i="24"/>
  <c r="T14" i="24"/>
  <c r="S14" i="24"/>
  <c r="R14" i="24"/>
  <c r="Q14" i="24"/>
  <c r="P14" i="24"/>
  <c r="O14" i="24"/>
  <c r="N14" i="24"/>
  <c r="M14" i="24"/>
  <c r="L14" i="24"/>
  <c r="K14" i="24"/>
  <c r="J14" i="24"/>
  <c r="I14" i="24"/>
  <c r="H14" i="24"/>
  <c r="G14" i="24"/>
  <c r="F14" i="24"/>
  <c r="C12" i="24"/>
  <c r="C58" i="24" s="1"/>
  <c r="B4" i="24"/>
  <c r="B327" i="23"/>
  <c r="C309" i="23"/>
  <c r="B309" i="23"/>
  <c r="B305" i="23"/>
  <c r="B302" i="23"/>
  <c r="B295" i="23"/>
  <c r="AA294" i="23"/>
  <c r="Z294" i="23"/>
  <c r="Y294" i="23"/>
  <c r="X294" i="23"/>
  <c r="W294" i="23"/>
  <c r="V294" i="23"/>
  <c r="U294" i="23"/>
  <c r="T294" i="23"/>
  <c r="S294" i="23"/>
  <c r="P294" i="23"/>
  <c r="O294" i="23"/>
  <c r="M294" i="23"/>
  <c r="L294" i="23"/>
  <c r="K294" i="23"/>
  <c r="J294" i="23"/>
  <c r="I294" i="23"/>
  <c r="H294" i="23"/>
  <c r="G294" i="23"/>
  <c r="F294" i="23"/>
  <c r="E294" i="23"/>
  <c r="B294" i="23"/>
  <c r="B326" i="23" s="1"/>
  <c r="B293" i="23"/>
  <c r="B325" i="23" s="1"/>
  <c r="B292" i="23"/>
  <c r="B324" i="23" s="1"/>
  <c r="B291" i="23"/>
  <c r="B323" i="23" s="1"/>
  <c r="B290" i="23"/>
  <c r="B322" i="23" s="1"/>
  <c r="B289" i="23"/>
  <c r="B321" i="23" s="1"/>
  <c r="Z287" i="23"/>
  <c r="Y287" i="23"/>
  <c r="X287" i="23"/>
  <c r="AA284" i="23"/>
  <c r="Z284" i="23"/>
  <c r="Y284" i="23"/>
  <c r="X284" i="23"/>
  <c r="W284" i="23"/>
  <c r="V284" i="23"/>
  <c r="U284" i="23"/>
  <c r="T284" i="23"/>
  <c r="Z283" i="23"/>
  <c r="Y283" i="23"/>
  <c r="X283" i="23"/>
  <c r="B283" i="23"/>
  <c r="B315" i="23" s="1"/>
  <c r="AA282" i="23"/>
  <c r="Z282" i="23"/>
  <c r="Y282" i="23"/>
  <c r="X282" i="23"/>
  <c r="W282" i="23"/>
  <c r="V282" i="23"/>
  <c r="U282" i="23"/>
  <c r="T282" i="23"/>
  <c r="S282" i="23"/>
  <c r="R282" i="23"/>
  <c r="Q282" i="23"/>
  <c r="P282" i="23"/>
  <c r="O282" i="23"/>
  <c r="N282" i="23"/>
  <c r="M282" i="23"/>
  <c r="L282" i="23"/>
  <c r="K282" i="23"/>
  <c r="J282" i="23"/>
  <c r="I282" i="23"/>
  <c r="H282" i="23"/>
  <c r="G282" i="23"/>
  <c r="F282" i="23"/>
  <c r="E282" i="23"/>
  <c r="B282" i="23"/>
  <c r="B314" i="23" s="1"/>
  <c r="B280" i="23"/>
  <c r="B312" i="23" s="1"/>
  <c r="B279" i="23"/>
  <c r="B311" i="23" s="1"/>
  <c r="Z278" i="23"/>
  <c r="B278" i="23"/>
  <c r="B310" i="23" s="1"/>
  <c r="B276" i="23"/>
  <c r="B308" i="23" s="1"/>
  <c r="AA275" i="23"/>
  <c r="Z275" i="23"/>
  <c r="Y275" i="23"/>
  <c r="X275" i="23"/>
  <c r="B275" i="23"/>
  <c r="B307" i="23" s="1"/>
  <c r="AA274" i="23"/>
  <c r="W274" i="23"/>
  <c r="V274" i="23"/>
  <c r="U274" i="23"/>
  <c r="T274" i="23"/>
  <c r="S274" i="23"/>
  <c r="R274" i="23"/>
  <c r="Q274" i="23"/>
  <c r="P274" i="23"/>
  <c r="O274" i="23"/>
  <c r="N274" i="23"/>
  <c r="M274" i="23"/>
  <c r="L274" i="23"/>
  <c r="K274" i="23"/>
  <c r="J274" i="23"/>
  <c r="I274" i="23"/>
  <c r="H274" i="23"/>
  <c r="G274" i="23"/>
  <c r="E274" i="23"/>
  <c r="B274" i="23"/>
  <c r="B306" i="23" s="1"/>
  <c r="AA273" i="23"/>
  <c r="W273" i="23"/>
  <c r="V273" i="23"/>
  <c r="U273" i="23"/>
  <c r="T273" i="23"/>
  <c r="S273" i="23"/>
  <c r="R273" i="23"/>
  <c r="Q273" i="23"/>
  <c r="P273" i="23"/>
  <c r="O273" i="23"/>
  <c r="N273" i="23"/>
  <c r="M273" i="23"/>
  <c r="L273" i="23"/>
  <c r="K273" i="23"/>
  <c r="J273" i="23"/>
  <c r="I273" i="23"/>
  <c r="H273" i="23"/>
  <c r="G273" i="23"/>
  <c r="F273" i="23"/>
  <c r="E273" i="23"/>
  <c r="B273" i="23"/>
  <c r="AA272" i="23"/>
  <c r="Z272" i="23"/>
  <c r="Y272" i="23"/>
  <c r="X272" i="23"/>
  <c r="W272" i="23"/>
  <c r="V272" i="23"/>
  <c r="U272" i="23"/>
  <c r="T272" i="23"/>
  <c r="S272" i="23"/>
  <c r="R272" i="23"/>
  <c r="Q272" i="23"/>
  <c r="P272" i="23"/>
  <c r="O272" i="23"/>
  <c r="N272" i="23"/>
  <c r="M272" i="23"/>
  <c r="L272" i="23"/>
  <c r="K272" i="23"/>
  <c r="J272" i="23"/>
  <c r="I272" i="23"/>
  <c r="H272" i="23"/>
  <c r="G272" i="23"/>
  <c r="F272" i="23"/>
  <c r="E272" i="23"/>
  <c r="B272" i="23"/>
  <c r="B304" i="23" s="1"/>
  <c r="B270" i="23"/>
  <c r="C264" i="23"/>
  <c r="E264" i="23" s="1"/>
  <c r="C263" i="23"/>
  <c r="E263" i="23" s="1"/>
  <c r="C262" i="23"/>
  <c r="E262" i="23" s="1"/>
  <c r="C261" i="23"/>
  <c r="E261" i="23" s="1"/>
  <c r="C260" i="23"/>
  <c r="E260" i="23" s="1"/>
  <c r="AA233" i="23"/>
  <c r="AB48" i="24" s="1"/>
  <c r="Z233" i="23"/>
  <c r="AA48" i="24" s="1"/>
  <c r="Y233" i="23"/>
  <c r="Z48" i="24" s="1"/>
  <c r="X233" i="23"/>
  <c r="Y48" i="24" s="1"/>
  <c r="W233" i="23"/>
  <c r="X48" i="24" s="1"/>
  <c r="V233" i="23"/>
  <c r="W48" i="24" s="1"/>
  <c r="U233" i="23"/>
  <c r="V48" i="24" s="1"/>
  <c r="T233" i="23"/>
  <c r="U48" i="24" s="1"/>
  <c r="S233" i="23"/>
  <c r="T48" i="24" s="1"/>
  <c r="P233" i="23"/>
  <c r="Q48" i="24" s="1"/>
  <c r="O233" i="23"/>
  <c r="P48" i="24" s="1"/>
  <c r="N48" i="24"/>
  <c r="M48" i="24"/>
  <c r="M53" i="24" s="1"/>
  <c r="K233" i="23"/>
  <c r="L48" i="24" s="1"/>
  <c r="L53" i="24" s="1"/>
  <c r="J233" i="23"/>
  <c r="K48" i="24" s="1"/>
  <c r="K53" i="24" s="1"/>
  <c r="I233" i="23"/>
  <c r="J48" i="24" s="1"/>
  <c r="J53" i="24" s="1"/>
  <c r="H233" i="23"/>
  <c r="I48" i="24" s="1"/>
  <c r="I53" i="24" s="1"/>
  <c r="G233" i="23"/>
  <c r="H48" i="24" s="1"/>
  <c r="H53" i="24" s="1"/>
  <c r="F233" i="23"/>
  <c r="G48" i="24" s="1"/>
  <c r="E233" i="23"/>
  <c r="E221" i="23"/>
  <c r="E216" i="23"/>
  <c r="E217" i="23" s="1"/>
  <c r="P212" i="23"/>
  <c r="O212" i="23"/>
  <c r="N212" i="23"/>
  <c r="M212" i="23"/>
  <c r="Z206" i="23"/>
  <c r="Z291" i="23" s="1"/>
  <c r="Y206" i="23"/>
  <c r="Y291" i="23" s="1"/>
  <c r="X206" i="23"/>
  <c r="X291" i="23" s="1"/>
  <c r="F205" i="23"/>
  <c r="AB205" i="23" s="1"/>
  <c r="E203" i="23"/>
  <c r="AB203" i="23" s="1"/>
  <c r="P202" i="23"/>
  <c r="N193" i="23"/>
  <c r="AB193" i="23" s="1"/>
  <c r="E192" i="23"/>
  <c r="B187" i="23"/>
  <c r="B288" i="23" s="1"/>
  <c r="B320" i="23" s="1"/>
  <c r="R185" i="23"/>
  <c r="Q185" i="23"/>
  <c r="P185" i="23"/>
  <c r="O185" i="23"/>
  <c r="N185" i="23"/>
  <c r="M185" i="23"/>
  <c r="L185" i="23"/>
  <c r="K185" i="23"/>
  <c r="J185" i="23"/>
  <c r="I185" i="23"/>
  <c r="H185" i="23"/>
  <c r="G185" i="23"/>
  <c r="F185" i="23"/>
  <c r="Z182" i="23"/>
  <c r="Y182" i="23"/>
  <c r="X182" i="23"/>
  <c r="W182" i="23"/>
  <c r="V182" i="23"/>
  <c r="U182" i="23"/>
  <c r="T182" i="23"/>
  <c r="S182" i="23"/>
  <c r="R182" i="23"/>
  <c r="Q182" i="23"/>
  <c r="P182" i="23"/>
  <c r="O182" i="23"/>
  <c r="N182" i="23"/>
  <c r="M182" i="23"/>
  <c r="L182" i="23"/>
  <c r="K182" i="23"/>
  <c r="J182" i="23"/>
  <c r="I182" i="23"/>
  <c r="H182" i="23"/>
  <c r="G182" i="23"/>
  <c r="F182" i="23"/>
  <c r="AB181" i="23"/>
  <c r="C181" i="23"/>
  <c r="C180" i="23"/>
  <c r="AB179" i="23"/>
  <c r="AB178" i="23"/>
  <c r="AB176" i="23"/>
  <c r="AF176" i="23" s="1"/>
  <c r="V175" i="23"/>
  <c r="U175" i="23"/>
  <c r="T175" i="23"/>
  <c r="S175" i="23"/>
  <c r="R175" i="23"/>
  <c r="Q175" i="23"/>
  <c r="P175" i="23"/>
  <c r="O175" i="23"/>
  <c r="N175" i="23"/>
  <c r="M175" i="23"/>
  <c r="L175" i="23"/>
  <c r="K175" i="23"/>
  <c r="J175" i="23"/>
  <c r="I175" i="23"/>
  <c r="H175" i="23"/>
  <c r="G175" i="23"/>
  <c r="F175" i="23"/>
  <c r="E175" i="23"/>
  <c r="T174" i="23"/>
  <c r="S174" i="23"/>
  <c r="R174" i="23"/>
  <c r="Q174" i="23"/>
  <c r="P174" i="23"/>
  <c r="O174" i="23"/>
  <c r="N174" i="23"/>
  <c r="M174" i="23"/>
  <c r="L174" i="23"/>
  <c r="K174" i="23"/>
  <c r="J174" i="23"/>
  <c r="I174" i="23"/>
  <c r="H174" i="23"/>
  <c r="G174" i="23"/>
  <c r="F174" i="23"/>
  <c r="E174" i="23"/>
  <c r="M173" i="23"/>
  <c r="L173" i="23"/>
  <c r="K173" i="23"/>
  <c r="J173" i="23"/>
  <c r="I173" i="23"/>
  <c r="H173" i="23"/>
  <c r="G173" i="23"/>
  <c r="F173" i="23"/>
  <c r="E173" i="23"/>
  <c r="R172" i="23"/>
  <c r="Q172" i="23"/>
  <c r="P172" i="23"/>
  <c r="O172" i="23"/>
  <c r="N172" i="23"/>
  <c r="M172" i="23"/>
  <c r="L172" i="23"/>
  <c r="K172" i="23"/>
  <c r="J172" i="23"/>
  <c r="I172" i="23"/>
  <c r="H172" i="23"/>
  <c r="G172" i="23"/>
  <c r="F172" i="23"/>
  <c r="AB171" i="23"/>
  <c r="AF171" i="23" s="1"/>
  <c r="AB168" i="23"/>
  <c r="AF168" i="23" s="1"/>
  <c r="H167" i="23"/>
  <c r="U164" i="23"/>
  <c r="U287" i="23" s="1"/>
  <c r="B164" i="23"/>
  <c r="B287" i="23" s="1"/>
  <c r="B319" i="23" s="1"/>
  <c r="AA163" i="23"/>
  <c r="AA164" i="23" s="1"/>
  <c r="AA287" i="23" s="1"/>
  <c r="Z163" i="23"/>
  <c r="Y163" i="23"/>
  <c r="X163" i="23"/>
  <c r="W163" i="23"/>
  <c r="W164" i="23" s="1"/>
  <c r="W287" i="23" s="1"/>
  <c r="V163" i="23"/>
  <c r="V164" i="23" s="1"/>
  <c r="V287" i="23" s="1"/>
  <c r="U163" i="23"/>
  <c r="T163" i="23"/>
  <c r="T164" i="23" s="1"/>
  <c r="T287" i="23" s="1"/>
  <c r="S163" i="23"/>
  <c r="S164" i="23" s="1"/>
  <c r="S287" i="23" s="1"/>
  <c r="L163" i="23"/>
  <c r="L164" i="23" s="1"/>
  <c r="L287" i="23" s="1"/>
  <c r="J163" i="23"/>
  <c r="R162" i="23"/>
  <c r="Q162" i="23"/>
  <c r="Q163" i="23" s="1"/>
  <c r="P162" i="23"/>
  <c r="P163" i="23" s="1"/>
  <c r="O162" i="23"/>
  <c r="O163" i="23" s="1"/>
  <c r="N162" i="23"/>
  <c r="M162" i="23"/>
  <c r="M163" i="23" s="1"/>
  <c r="L162" i="23"/>
  <c r="K162" i="23"/>
  <c r="K163" i="23" s="1"/>
  <c r="K164" i="23" s="1"/>
  <c r="K287" i="23" s="1"/>
  <c r="J162" i="23"/>
  <c r="I162" i="23"/>
  <c r="I163" i="23" s="1"/>
  <c r="I164" i="23" s="1"/>
  <c r="I287" i="23" s="1"/>
  <c r="B155" i="23"/>
  <c r="B286" i="23" s="1"/>
  <c r="B318" i="23" s="1"/>
  <c r="E154" i="23"/>
  <c r="H152" i="23"/>
  <c r="G152" i="23"/>
  <c r="F152" i="23"/>
  <c r="AA151" i="23"/>
  <c r="Z151" i="23"/>
  <c r="Y151" i="23"/>
  <c r="X151" i="23"/>
  <c r="W151" i="23"/>
  <c r="V151" i="23"/>
  <c r="U151" i="23"/>
  <c r="T151" i="23"/>
  <c r="S151" i="23"/>
  <c r="R151" i="23"/>
  <c r="Q151" i="23"/>
  <c r="P151" i="23"/>
  <c r="O151" i="23"/>
  <c r="N151" i="23"/>
  <c r="M151" i="23"/>
  <c r="AA150" i="23"/>
  <c r="Z150" i="23"/>
  <c r="Y150" i="23"/>
  <c r="X150" i="23"/>
  <c r="W150" i="23"/>
  <c r="V150" i="23"/>
  <c r="U150" i="23"/>
  <c r="T150" i="23"/>
  <c r="S150" i="23"/>
  <c r="Q150" i="23"/>
  <c r="P150" i="23"/>
  <c r="O150" i="23"/>
  <c r="N150" i="23"/>
  <c r="M150" i="23"/>
  <c r="L150" i="23"/>
  <c r="Z149" i="23"/>
  <c r="Y149" i="23"/>
  <c r="X149" i="23"/>
  <c r="W149" i="23"/>
  <c r="V149" i="23"/>
  <c r="U149" i="23"/>
  <c r="T149" i="23"/>
  <c r="S149" i="23"/>
  <c r="R149" i="23"/>
  <c r="Q149" i="23"/>
  <c r="P149" i="23"/>
  <c r="O149" i="23"/>
  <c r="N149" i="23"/>
  <c r="M149" i="23"/>
  <c r="L149" i="23"/>
  <c r="K149" i="23"/>
  <c r="W148" i="23"/>
  <c r="V148" i="23"/>
  <c r="U148" i="23"/>
  <c r="T148" i="23"/>
  <c r="S148" i="23"/>
  <c r="R148" i="23"/>
  <c r="Q148" i="23"/>
  <c r="Q74" i="23" s="1"/>
  <c r="P148" i="23"/>
  <c r="O148" i="23"/>
  <c r="N148" i="23"/>
  <c r="M148" i="23"/>
  <c r="L148" i="23"/>
  <c r="K148" i="23"/>
  <c r="J148" i="23"/>
  <c r="I148" i="23"/>
  <c r="P147" i="23"/>
  <c r="O147" i="23"/>
  <c r="N147" i="23"/>
  <c r="M147" i="23"/>
  <c r="L147" i="23"/>
  <c r="K147" i="23"/>
  <c r="J147" i="23"/>
  <c r="I147" i="23"/>
  <c r="H147" i="23"/>
  <c r="L146" i="23"/>
  <c r="K146" i="23"/>
  <c r="J146" i="23"/>
  <c r="I146" i="23"/>
  <c r="H146" i="23"/>
  <c r="G146" i="23"/>
  <c r="AA145" i="23"/>
  <c r="K145" i="23"/>
  <c r="J145" i="23"/>
  <c r="I145" i="23"/>
  <c r="H145" i="23"/>
  <c r="G145" i="23"/>
  <c r="F145" i="23"/>
  <c r="AA144" i="23"/>
  <c r="Z144" i="23"/>
  <c r="Y144" i="23"/>
  <c r="X144" i="23"/>
  <c r="AA141" i="23"/>
  <c r="AA285" i="23" s="1"/>
  <c r="Z141" i="23"/>
  <c r="Z285" i="23" s="1"/>
  <c r="Y141" i="23"/>
  <c r="Y285" i="23" s="1"/>
  <c r="X141" i="23"/>
  <c r="W141" i="23"/>
  <c r="V141" i="23"/>
  <c r="V285" i="23" s="1"/>
  <c r="U141" i="23"/>
  <c r="T141" i="23"/>
  <c r="S141" i="23"/>
  <c r="B141" i="23"/>
  <c r="B285" i="23" s="1"/>
  <c r="B317" i="23" s="1"/>
  <c r="R140" i="23"/>
  <c r="R141" i="23" s="1"/>
  <c r="Q140" i="23"/>
  <c r="Q141" i="23" s="1"/>
  <c r="P140" i="23"/>
  <c r="P141" i="23" s="1"/>
  <c r="O140" i="23"/>
  <c r="O141" i="23" s="1"/>
  <c r="L140" i="23"/>
  <c r="L141" i="23" s="1"/>
  <c r="K140" i="23"/>
  <c r="K141" i="23" s="1"/>
  <c r="I138" i="23"/>
  <c r="H138" i="23"/>
  <c r="I137" i="23"/>
  <c r="H137" i="23"/>
  <c r="I136" i="23"/>
  <c r="H136" i="23"/>
  <c r="I135" i="23"/>
  <c r="H135" i="23"/>
  <c r="I134" i="23"/>
  <c r="H134" i="23"/>
  <c r="I133" i="23"/>
  <c r="H133" i="23"/>
  <c r="I132" i="23"/>
  <c r="H132" i="23"/>
  <c r="I131" i="23"/>
  <c r="H131" i="23"/>
  <c r="I130" i="23"/>
  <c r="AB130" i="23" s="1"/>
  <c r="AD130" i="23" s="1"/>
  <c r="H130" i="23"/>
  <c r="I129" i="23"/>
  <c r="H129" i="23"/>
  <c r="I128" i="23"/>
  <c r="H128" i="23"/>
  <c r="I127" i="23"/>
  <c r="H127" i="23"/>
  <c r="AB127" i="23" s="1"/>
  <c r="AD127" i="23" s="1"/>
  <c r="I126" i="23"/>
  <c r="H126" i="23"/>
  <c r="I125" i="23"/>
  <c r="H125" i="23"/>
  <c r="I124" i="23"/>
  <c r="H124" i="23"/>
  <c r="E124" i="23"/>
  <c r="I123" i="23"/>
  <c r="H123" i="23"/>
  <c r="I122" i="23"/>
  <c r="H122" i="23"/>
  <c r="I121" i="23"/>
  <c r="H121" i="23"/>
  <c r="E121" i="23"/>
  <c r="I120" i="23"/>
  <c r="H120" i="23"/>
  <c r="I119" i="23"/>
  <c r="H119" i="23"/>
  <c r="E119" i="23"/>
  <c r="I118" i="23"/>
  <c r="H118" i="23"/>
  <c r="I117" i="23"/>
  <c r="H117" i="23"/>
  <c r="E117" i="23"/>
  <c r="I116" i="23"/>
  <c r="H116" i="23"/>
  <c r="I115" i="23"/>
  <c r="H115" i="23"/>
  <c r="E115" i="23"/>
  <c r="I114" i="23"/>
  <c r="H114" i="23"/>
  <c r="AB114" i="23" s="1"/>
  <c r="AD114" i="23" s="1"/>
  <c r="I113" i="23"/>
  <c r="AB113" i="23" s="1"/>
  <c r="AD113" i="23" s="1"/>
  <c r="M112" i="23"/>
  <c r="AB112" i="23" s="1"/>
  <c r="AD112" i="23" s="1"/>
  <c r="E111" i="23"/>
  <c r="AB111" i="23" s="1"/>
  <c r="AD111" i="23" s="1"/>
  <c r="M110" i="23"/>
  <c r="E109" i="23"/>
  <c r="AB109" i="23" s="1"/>
  <c r="AD109" i="23" s="1"/>
  <c r="N106" i="23"/>
  <c r="J106" i="23"/>
  <c r="J140" i="23" s="1"/>
  <c r="G106" i="23"/>
  <c r="G140" i="23" s="1"/>
  <c r="F106" i="23"/>
  <c r="F140" i="23" s="1"/>
  <c r="E106" i="23"/>
  <c r="AB104" i="23"/>
  <c r="S103" i="23"/>
  <c r="S284" i="23" s="1"/>
  <c r="R103" i="23"/>
  <c r="R284" i="23" s="1"/>
  <c r="Q103" i="23"/>
  <c r="Q284" i="23" s="1"/>
  <c r="P103" i="23"/>
  <c r="P284" i="23" s="1"/>
  <c r="O103" i="23"/>
  <c r="O284" i="23" s="1"/>
  <c r="N103" i="23"/>
  <c r="N284" i="23" s="1"/>
  <c r="M103" i="23"/>
  <c r="M284" i="23" s="1"/>
  <c r="H103" i="23"/>
  <c r="H284" i="23" s="1"/>
  <c r="G103" i="23"/>
  <c r="G284" i="23" s="1"/>
  <c r="F103" i="23"/>
  <c r="F284" i="23" s="1"/>
  <c r="E103" i="23"/>
  <c r="B103" i="23"/>
  <c r="B284" i="23" s="1"/>
  <c r="B316" i="23" s="1"/>
  <c r="L102" i="23"/>
  <c r="K102" i="23"/>
  <c r="J102" i="23"/>
  <c r="I102" i="23"/>
  <c r="L101" i="23"/>
  <c r="K101" i="23"/>
  <c r="K103" i="23" s="1"/>
  <c r="J101" i="23"/>
  <c r="I101" i="23"/>
  <c r="AB100" i="23"/>
  <c r="W98" i="23"/>
  <c r="W283" i="23" s="1"/>
  <c r="V98" i="23"/>
  <c r="V283" i="23" s="1"/>
  <c r="U98" i="23"/>
  <c r="U283" i="23" s="1"/>
  <c r="T98" i="23"/>
  <c r="T283" i="23" s="1"/>
  <c r="S98" i="23"/>
  <c r="S283" i="23" s="1"/>
  <c r="R98" i="23"/>
  <c r="R283" i="23" s="1"/>
  <c r="Q98" i="23"/>
  <c r="Q283" i="23" s="1"/>
  <c r="P98" i="23"/>
  <c r="P283" i="23" s="1"/>
  <c r="O98" i="23"/>
  <c r="O283" i="23" s="1"/>
  <c r="N98" i="23"/>
  <c r="N283" i="23" s="1"/>
  <c r="M98" i="23"/>
  <c r="M283" i="23" s="1"/>
  <c r="L98" i="23"/>
  <c r="L283" i="23" s="1"/>
  <c r="K98" i="23"/>
  <c r="K283" i="23" s="1"/>
  <c r="J98" i="23"/>
  <c r="J283" i="23" s="1"/>
  <c r="I98" i="23"/>
  <c r="I283" i="23" s="1"/>
  <c r="H98" i="23"/>
  <c r="H283" i="23" s="1"/>
  <c r="G98" i="23"/>
  <c r="G283" i="23" s="1"/>
  <c r="F98" i="23"/>
  <c r="F283" i="23" s="1"/>
  <c r="AA97" i="23"/>
  <c r="AA98" i="23" s="1"/>
  <c r="AA283" i="23" s="1"/>
  <c r="E97" i="23"/>
  <c r="E96" i="23"/>
  <c r="E98" i="23" s="1"/>
  <c r="E283" i="23" s="1"/>
  <c r="AF95" i="23"/>
  <c r="AB95" i="23"/>
  <c r="AF94" i="23"/>
  <c r="AB94" i="23"/>
  <c r="AF93" i="23"/>
  <c r="Y87" i="23"/>
  <c r="X87" i="23"/>
  <c r="E87" i="23"/>
  <c r="C87" i="23"/>
  <c r="AA80" i="23"/>
  <c r="AA276" i="23" s="1"/>
  <c r="Z80" i="23"/>
  <c r="Z276" i="23" s="1"/>
  <c r="Y80" i="23"/>
  <c r="Y276" i="23" s="1"/>
  <c r="X80" i="23"/>
  <c r="W80" i="23"/>
  <c r="W276" i="23" s="1"/>
  <c r="V80" i="23"/>
  <c r="V276" i="23" s="1"/>
  <c r="U80" i="23"/>
  <c r="U276" i="23" s="1"/>
  <c r="T80" i="23"/>
  <c r="T276" i="23" s="1"/>
  <c r="S80" i="23"/>
  <c r="S276" i="23" s="1"/>
  <c r="E80" i="23"/>
  <c r="E276" i="23" s="1"/>
  <c r="AB77" i="23"/>
  <c r="AB76" i="23"/>
  <c r="W72" i="23"/>
  <c r="V72" i="23"/>
  <c r="U72" i="23"/>
  <c r="V19" i="24" s="1"/>
  <c r="T72" i="23"/>
  <c r="U19" i="24" s="1"/>
  <c r="S72" i="23"/>
  <c r="R72" i="23"/>
  <c r="Q72" i="23"/>
  <c r="P72" i="23"/>
  <c r="O72" i="23"/>
  <c r="P19" i="24" s="1"/>
  <c r="N72" i="23"/>
  <c r="M72" i="23"/>
  <c r="L72" i="23"/>
  <c r="K72" i="23"/>
  <c r="K275" i="23" s="1"/>
  <c r="J72" i="23"/>
  <c r="J275" i="23" s="1"/>
  <c r="I72" i="23"/>
  <c r="H72" i="23"/>
  <c r="G72" i="23"/>
  <c r="F72" i="23"/>
  <c r="AG72" i="23" s="1"/>
  <c r="E72" i="23"/>
  <c r="AF72" i="23" s="1"/>
  <c r="AE69" i="23"/>
  <c r="AB69" i="23"/>
  <c r="AB68" i="23"/>
  <c r="AB67" i="23"/>
  <c r="AB66" i="23"/>
  <c r="AB65" i="23"/>
  <c r="AB64" i="23"/>
  <c r="AB63" i="23"/>
  <c r="AB273" i="23" s="1"/>
  <c r="C305" i="23" s="1"/>
  <c r="K60" i="23"/>
  <c r="L60" i="23" s="1"/>
  <c r="M60" i="23" s="1"/>
  <c r="M89" i="23" s="1"/>
  <c r="J57" i="23"/>
  <c r="J191" i="23" s="1"/>
  <c r="I57" i="23"/>
  <c r="I191" i="23" s="1"/>
  <c r="H57" i="23"/>
  <c r="G57" i="23"/>
  <c r="F57" i="23"/>
  <c r="AA56" i="23"/>
  <c r="Z56" i="23"/>
  <c r="Y56" i="23"/>
  <c r="X56" i="23"/>
  <c r="W56" i="23"/>
  <c r="V56" i="23"/>
  <c r="U56" i="23"/>
  <c r="T56" i="23"/>
  <c r="S56" i="23"/>
  <c r="B56" i="23"/>
  <c r="AA55" i="23"/>
  <c r="Z55" i="23"/>
  <c r="Y55" i="23"/>
  <c r="X55" i="23"/>
  <c r="W55" i="23"/>
  <c r="V55" i="23"/>
  <c r="U55" i="23"/>
  <c r="T55" i="23"/>
  <c r="S55" i="23"/>
  <c r="R55" i="23"/>
  <c r="R152" i="23" s="1"/>
  <c r="B55" i="23"/>
  <c r="AA54" i="23"/>
  <c r="Z54" i="23"/>
  <c r="Y54" i="23"/>
  <c r="X54" i="23"/>
  <c r="W54" i="23"/>
  <c r="V54" i="23"/>
  <c r="U54" i="23"/>
  <c r="T54" i="23"/>
  <c r="S54" i="23"/>
  <c r="B54" i="23"/>
  <c r="AA53" i="23"/>
  <c r="Z53" i="23"/>
  <c r="Y53" i="23"/>
  <c r="X53" i="23"/>
  <c r="W53" i="23"/>
  <c r="V53" i="23"/>
  <c r="U53" i="23"/>
  <c r="T53" i="23"/>
  <c r="S53" i="23"/>
  <c r="B53" i="23"/>
  <c r="AA52" i="23"/>
  <c r="Z52" i="23"/>
  <c r="Y52" i="23"/>
  <c r="X52" i="23"/>
  <c r="W52" i="23"/>
  <c r="V52" i="23"/>
  <c r="U52" i="23"/>
  <c r="T52" i="23"/>
  <c r="S52" i="23"/>
  <c r="Q52" i="23"/>
  <c r="B52" i="23"/>
  <c r="AA51" i="23"/>
  <c r="Z51" i="23"/>
  <c r="Y51" i="23"/>
  <c r="X51" i="23"/>
  <c r="W51" i="23"/>
  <c r="V51" i="23"/>
  <c r="U51" i="23"/>
  <c r="T51" i="23"/>
  <c r="S51" i="23"/>
  <c r="B51" i="23"/>
  <c r="AA50" i="23"/>
  <c r="Z50" i="23"/>
  <c r="Y50" i="23"/>
  <c r="X50" i="23"/>
  <c r="W50" i="23"/>
  <c r="V50" i="23"/>
  <c r="U50" i="23"/>
  <c r="T50" i="23"/>
  <c r="S50" i="23"/>
  <c r="P50" i="23"/>
  <c r="B50" i="23"/>
  <c r="AA49" i="23"/>
  <c r="Z49" i="23"/>
  <c r="Y49" i="23"/>
  <c r="X49" i="23"/>
  <c r="W49" i="23"/>
  <c r="V49" i="23"/>
  <c r="U49" i="23"/>
  <c r="T49" i="23"/>
  <c r="S49" i="23"/>
  <c r="P49" i="23"/>
  <c r="B49" i="23"/>
  <c r="AA48" i="23"/>
  <c r="Z48" i="23"/>
  <c r="Y48" i="23"/>
  <c r="X48" i="23"/>
  <c r="W48" i="23"/>
  <c r="V48" i="23"/>
  <c r="U48" i="23"/>
  <c r="T48" i="23"/>
  <c r="S48" i="23"/>
  <c r="B48" i="23"/>
  <c r="AA47" i="23"/>
  <c r="Z47" i="23"/>
  <c r="Y47" i="23"/>
  <c r="X47" i="23"/>
  <c r="W47" i="23"/>
  <c r="V47" i="23"/>
  <c r="U47" i="23"/>
  <c r="T47" i="23"/>
  <c r="S47" i="23"/>
  <c r="M47" i="23"/>
  <c r="B47" i="23"/>
  <c r="AA46" i="23"/>
  <c r="Z46" i="23"/>
  <c r="Y46" i="23"/>
  <c r="X46" i="23"/>
  <c r="W46" i="23"/>
  <c r="V46" i="23"/>
  <c r="U46" i="23"/>
  <c r="T46" i="23"/>
  <c r="S46" i="23"/>
  <c r="B46" i="23"/>
  <c r="AA45" i="23"/>
  <c r="Z45" i="23"/>
  <c r="Y45" i="23"/>
  <c r="X45" i="23"/>
  <c r="W45" i="23"/>
  <c r="V45" i="23"/>
  <c r="U45" i="23"/>
  <c r="T45" i="23"/>
  <c r="S45" i="23"/>
  <c r="L45" i="23"/>
  <c r="B45" i="23"/>
  <c r="AA44" i="23"/>
  <c r="Z44" i="23"/>
  <c r="Y44" i="23"/>
  <c r="X44" i="23"/>
  <c r="W44" i="23"/>
  <c r="V44" i="23"/>
  <c r="U44" i="23"/>
  <c r="T44" i="23"/>
  <c r="S44" i="23"/>
  <c r="B44" i="23"/>
  <c r="AA43" i="23"/>
  <c r="Z43" i="23"/>
  <c r="Y43" i="23"/>
  <c r="X43" i="23"/>
  <c r="W43" i="23"/>
  <c r="V43" i="23"/>
  <c r="U43" i="23"/>
  <c r="T43" i="23"/>
  <c r="S43" i="23"/>
  <c r="K43" i="23"/>
  <c r="B43" i="23"/>
  <c r="W38" i="23"/>
  <c r="W144" i="23" s="1"/>
  <c r="V38" i="23"/>
  <c r="V144" i="23" s="1"/>
  <c r="U38" i="23"/>
  <c r="U144" i="23" s="1"/>
  <c r="T38" i="23"/>
  <c r="S38" i="23"/>
  <c r="R38" i="23"/>
  <c r="Q38" i="23"/>
  <c r="P38" i="23"/>
  <c r="O38" i="23"/>
  <c r="N38" i="23"/>
  <c r="N144" i="23" s="1"/>
  <c r="M38" i="23"/>
  <c r="L202" i="23" s="1"/>
  <c r="L38" i="23"/>
  <c r="L144" i="23" s="1"/>
  <c r="K38" i="23"/>
  <c r="J38" i="23"/>
  <c r="I202" i="23" s="1"/>
  <c r="I38" i="23"/>
  <c r="H38" i="23"/>
  <c r="G38" i="23"/>
  <c r="F38" i="23"/>
  <c r="AC37" i="23"/>
  <c r="AB37" i="23"/>
  <c r="C56" i="23" s="1"/>
  <c r="AC36" i="23"/>
  <c r="AB36" i="23"/>
  <c r="AC35" i="23"/>
  <c r="AD35" i="23" s="1"/>
  <c r="AB35" i="23"/>
  <c r="C54" i="23" s="1"/>
  <c r="AC34" i="23"/>
  <c r="AB34" i="23"/>
  <c r="C53" i="23" s="1"/>
  <c r="AC33" i="23"/>
  <c r="AB33" i="23"/>
  <c r="C52" i="23" s="1"/>
  <c r="AC32" i="23"/>
  <c r="AB32" i="23"/>
  <c r="AC31" i="23"/>
  <c r="AB31" i="23"/>
  <c r="C50" i="23" s="1"/>
  <c r="AC30" i="23"/>
  <c r="AB30" i="23"/>
  <c r="AC29" i="23"/>
  <c r="AD29" i="23" s="1"/>
  <c r="AE29" i="23" s="1"/>
  <c r="AB29" i="23"/>
  <c r="C48" i="23" s="1"/>
  <c r="AC28" i="23"/>
  <c r="AB28" i="23"/>
  <c r="AC27" i="23"/>
  <c r="AB27" i="23"/>
  <c r="C46" i="23" s="1"/>
  <c r="AC26" i="23"/>
  <c r="AB26" i="23"/>
  <c r="C45" i="23" s="1"/>
  <c r="AC25" i="23"/>
  <c r="AB25" i="23"/>
  <c r="AF24" i="23"/>
  <c r="AC24" i="23"/>
  <c r="AB24" i="23"/>
  <c r="O17" i="23"/>
  <c r="E211" i="23" l="1"/>
  <c r="F41" i="24" s="1"/>
  <c r="E210" i="23"/>
  <c r="AB116" i="23"/>
  <c r="AD116" i="23" s="1"/>
  <c r="G169" i="23"/>
  <c r="F184" i="23"/>
  <c r="F169" i="23"/>
  <c r="J103" i="23"/>
  <c r="M74" i="23"/>
  <c r="N74" i="23"/>
  <c r="AB129" i="23"/>
  <c r="AD129" i="23" s="1"/>
  <c r="O74" i="23"/>
  <c r="F211" i="23"/>
  <c r="G41" i="24" s="1"/>
  <c r="F210" i="23"/>
  <c r="P74" i="23"/>
  <c r="M170" i="23"/>
  <c r="L170" i="23"/>
  <c r="L88" i="23"/>
  <c r="G82" i="23"/>
  <c r="G84" i="23"/>
  <c r="AD32" i="23"/>
  <c r="I85" i="23"/>
  <c r="G83" i="23"/>
  <c r="H85" i="23"/>
  <c r="I86" i="23"/>
  <c r="J86" i="23"/>
  <c r="G53" i="24"/>
  <c r="G54" i="24" s="1"/>
  <c r="Y57" i="24"/>
  <c r="Y18" i="24" s="1"/>
  <c r="Y20" i="24" s="1"/>
  <c r="AB58" i="24"/>
  <c r="AB38" i="24" s="1"/>
  <c r="AA58" i="24"/>
  <c r="AA38" i="24" s="1"/>
  <c r="E90" i="23"/>
  <c r="M88" i="23"/>
  <c r="K89" i="23"/>
  <c r="I58" i="23"/>
  <c r="N88" i="23" s="1"/>
  <c r="L89" i="23"/>
  <c r="H82" i="23"/>
  <c r="AB147" i="23"/>
  <c r="AF147" i="23" s="1"/>
  <c r="M57" i="23"/>
  <c r="M191" i="23" s="1"/>
  <c r="Y57" i="23"/>
  <c r="AD25" i="23"/>
  <c r="AE25" i="23" s="1"/>
  <c r="AA86" i="23"/>
  <c r="AA87" i="23" s="1"/>
  <c r="AA278" i="23" s="1"/>
  <c r="AB126" i="23"/>
  <c r="AD126" i="23" s="1"/>
  <c r="AB132" i="23"/>
  <c r="AD132" i="23" s="1"/>
  <c r="AB121" i="23"/>
  <c r="AD121" i="23" s="1"/>
  <c r="AA57" i="24"/>
  <c r="AA18" i="24" s="1"/>
  <c r="AA20" i="24" s="1"/>
  <c r="I103" i="23"/>
  <c r="I284" i="23" s="1"/>
  <c r="AB133" i="23"/>
  <c r="AD133" i="23" s="1"/>
  <c r="AB101" i="23"/>
  <c r="AB160" i="23"/>
  <c r="AB212" i="23"/>
  <c r="AB118" i="23"/>
  <c r="AD118" i="23" s="1"/>
  <c r="AB119" i="23"/>
  <c r="AD119" i="23" s="1"/>
  <c r="AB124" i="23"/>
  <c r="AD124" i="23" s="1"/>
  <c r="M144" i="23"/>
  <c r="J144" i="23"/>
  <c r="AB136" i="23"/>
  <c r="AD136" i="23" s="1"/>
  <c r="AB45" i="23"/>
  <c r="AB55" i="23"/>
  <c r="P56" i="24"/>
  <c r="P58" i="24" s="1"/>
  <c r="P38" i="24" s="1"/>
  <c r="AD36" i="23"/>
  <c r="AB120" i="23"/>
  <c r="AD120" i="23" s="1"/>
  <c r="AB137" i="23"/>
  <c r="AD137" i="23" s="1"/>
  <c r="Q56" i="24"/>
  <c r="Q57" i="24" s="1"/>
  <c r="Q18" i="24" s="1"/>
  <c r="H83" i="23"/>
  <c r="Z57" i="24"/>
  <c r="Z18" i="24" s="1"/>
  <c r="Z20" i="24" s="1"/>
  <c r="Z58" i="24"/>
  <c r="Z38" i="24" s="1"/>
  <c r="AB49" i="23"/>
  <c r="AB48" i="23"/>
  <c r="N163" i="23"/>
  <c r="N164" i="23" s="1"/>
  <c r="N287" i="23" s="1"/>
  <c r="C39" i="23"/>
  <c r="C40" i="23" s="1"/>
  <c r="K57" i="23"/>
  <c r="K191" i="23" s="1"/>
  <c r="W57" i="23"/>
  <c r="AB52" i="23"/>
  <c r="AB97" i="23"/>
  <c r="AB117" i="23"/>
  <c r="AD117" i="23" s="1"/>
  <c r="AB135" i="23"/>
  <c r="AD135" i="23" s="1"/>
  <c r="O164" i="23"/>
  <c r="O287" i="23" s="1"/>
  <c r="D33" i="24"/>
  <c r="L103" i="23"/>
  <c r="AB125" i="23"/>
  <c r="AD125" i="23" s="1"/>
  <c r="Y152" i="23"/>
  <c r="Y180" i="23" s="1"/>
  <c r="N140" i="23"/>
  <c r="N141" i="23" s="1"/>
  <c r="AD31" i="23"/>
  <c r="AD37" i="23"/>
  <c r="AB115" i="23"/>
  <c r="AD115" i="23" s="1"/>
  <c r="AB122" i="23"/>
  <c r="AD122" i="23" s="1"/>
  <c r="AB131" i="23"/>
  <c r="AD131" i="23" s="1"/>
  <c r="AB146" i="23"/>
  <c r="AD146" i="23" s="1"/>
  <c r="AB162" i="23"/>
  <c r="E222" i="23"/>
  <c r="H140" i="23"/>
  <c r="AB185" i="23"/>
  <c r="AB145" i="23"/>
  <c r="AB43" i="23"/>
  <c r="AD28" i="23"/>
  <c r="AE28" i="23" s="1"/>
  <c r="AD34" i="23"/>
  <c r="O57" i="23"/>
  <c r="O191" i="23" s="1"/>
  <c r="AA57" i="23"/>
  <c r="T57" i="23"/>
  <c r="AB54" i="23"/>
  <c r="AB128" i="23"/>
  <c r="AD128" i="23" s="1"/>
  <c r="AB138" i="23"/>
  <c r="AD138" i="23" s="1"/>
  <c r="AB150" i="23"/>
  <c r="AD150" i="23" s="1"/>
  <c r="AB174" i="23"/>
  <c r="AD174" i="23" s="1"/>
  <c r="N192" i="23"/>
  <c r="AD26" i="23"/>
  <c r="AE26" i="23" s="1"/>
  <c r="U57" i="23"/>
  <c r="AB102" i="23"/>
  <c r="AB98" i="23"/>
  <c r="AB46" i="23"/>
  <c r="C47" i="23"/>
  <c r="AB96" i="23"/>
  <c r="AB134" i="23"/>
  <c r="AD134" i="23" s="1"/>
  <c r="AB161" i="23"/>
  <c r="AD161" i="23" s="1"/>
  <c r="AB173" i="23"/>
  <c r="AD173" i="23" s="1"/>
  <c r="O19" i="24"/>
  <c r="N275" i="23"/>
  <c r="T192" i="23"/>
  <c r="N202" i="23"/>
  <c r="O192" i="23"/>
  <c r="O144" i="23"/>
  <c r="N19" i="24"/>
  <c r="M275" i="23"/>
  <c r="AD147" i="23"/>
  <c r="Q192" i="23"/>
  <c r="Q144" i="23"/>
  <c r="V192" i="23"/>
  <c r="Q57" i="23"/>
  <c r="P152" i="23"/>
  <c r="P180" i="23" s="1"/>
  <c r="Z152" i="23"/>
  <c r="Z180" i="23" s="1"/>
  <c r="V57" i="23"/>
  <c r="O285" i="23"/>
  <c r="U192" i="23"/>
  <c r="P144" i="23"/>
  <c r="O202" i="23"/>
  <c r="P192" i="23"/>
  <c r="N60" i="23"/>
  <c r="P285" i="23"/>
  <c r="AD33" i="23"/>
  <c r="R180" i="23"/>
  <c r="AB44" i="23"/>
  <c r="O170" i="23"/>
  <c r="AB50" i="23"/>
  <c r="AB56" i="23"/>
  <c r="Y278" i="23"/>
  <c r="R57" i="23"/>
  <c r="Q152" i="23"/>
  <c r="Q180" i="23" s="1"/>
  <c r="AB51" i="23"/>
  <c r="AF38" i="23"/>
  <c r="E107" i="23"/>
  <c r="AB107" i="23" s="1"/>
  <c r="AB38" i="23"/>
  <c r="E305" i="23" s="1"/>
  <c r="C43" i="23"/>
  <c r="AD24" i="23"/>
  <c r="O152" i="23"/>
  <c r="O180" i="23" s="1"/>
  <c r="P57" i="23"/>
  <c r="P191" i="23" s="1"/>
  <c r="N152" i="23"/>
  <c r="AB47" i="23"/>
  <c r="C44" i="23"/>
  <c r="D39" i="23"/>
  <c r="D309" i="23" s="1"/>
  <c r="AB53" i="23"/>
  <c r="P170" i="23"/>
  <c r="M152" i="23"/>
  <c r="M180" i="23" s="1"/>
  <c r="I169" i="23"/>
  <c r="J54" i="24"/>
  <c r="J56" i="24" s="1"/>
  <c r="J169" i="23"/>
  <c r="K54" i="24"/>
  <c r="M140" i="23"/>
  <c r="M141" i="23" s="1"/>
  <c r="AB110" i="23"/>
  <c r="AD110" i="23" s="1"/>
  <c r="R163" i="23"/>
  <c r="R164" i="23" s="1"/>
  <c r="R287" i="23" s="1"/>
  <c r="P164" i="23"/>
  <c r="P287" i="23" s="1"/>
  <c r="O275" i="23"/>
  <c r="Q285" i="23"/>
  <c r="W57" i="24"/>
  <c r="W18" i="24" s="1"/>
  <c r="W58" i="24"/>
  <c r="W38" i="24" s="1"/>
  <c r="L169" i="23"/>
  <c r="E202" i="23"/>
  <c r="F192" i="23"/>
  <c r="F144" i="23"/>
  <c r="R192" i="23"/>
  <c r="R144" i="23"/>
  <c r="W192" i="23"/>
  <c r="Q19" i="24"/>
  <c r="P275" i="23"/>
  <c r="F190" i="23"/>
  <c r="F202" i="23"/>
  <c r="G192" i="23"/>
  <c r="G144" i="23"/>
  <c r="X192" i="23"/>
  <c r="S144" i="23"/>
  <c r="L57" i="23"/>
  <c r="L191" i="23" s="1"/>
  <c r="X57" i="23"/>
  <c r="E275" i="23"/>
  <c r="R19" i="24"/>
  <c r="Q275" i="23"/>
  <c r="F278" i="23"/>
  <c r="G40" i="24"/>
  <c r="R285" i="23"/>
  <c r="K184" i="23"/>
  <c r="AB184" i="23" s="1"/>
  <c r="AF184" i="23" s="1"/>
  <c r="AB148" i="23"/>
  <c r="AB151" i="23"/>
  <c r="P169" i="23"/>
  <c r="X57" i="24"/>
  <c r="X18" i="24" s="1"/>
  <c r="X58" i="24"/>
  <c r="X38" i="24" s="1"/>
  <c r="E284" i="23"/>
  <c r="AD181" i="23"/>
  <c r="I108" i="23"/>
  <c r="E278" i="23"/>
  <c r="E190" i="23"/>
  <c r="N169" i="23"/>
  <c r="AF179" i="23"/>
  <c r="AD27" i="23"/>
  <c r="AE27" i="23" s="1"/>
  <c r="AD30" i="23"/>
  <c r="G202" i="23"/>
  <c r="H192" i="23"/>
  <c r="H144" i="23"/>
  <c r="T152" i="23"/>
  <c r="T180" i="23" s="1"/>
  <c r="F275" i="23"/>
  <c r="S19" i="24"/>
  <c r="R275" i="23"/>
  <c r="F139" i="23"/>
  <c r="G139" i="23" s="1"/>
  <c r="H139" i="23" s="1"/>
  <c r="W285" i="23"/>
  <c r="S152" i="23"/>
  <c r="S180" i="23" s="1"/>
  <c r="Q169" i="23"/>
  <c r="J192" i="23"/>
  <c r="Q164" i="23"/>
  <c r="Q287" i="23" s="1"/>
  <c r="AB175" i="23"/>
  <c r="AD175" i="23" s="1"/>
  <c r="T144" i="23"/>
  <c r="Y192" i="23"/>
  <c r="H202" i="23"/>
  <c r="I192" i="23"/>
  <c r="U152" i="23"/>
  <c r="U180" i="23" s="1"/>
  <c r="C49" i="23"/>
  <c r="C55" i="23"/>
  <c r="N57" i="23"/>
  <c r="N191" i="23" s="1"/>
  <c r="Z57" i="23"/>
  <c r="G275" i="23"/>
  <c r="S275" i="23"/>
  <c r="T19" i="24"/>
  <c r="K284" i="23"/>
  <c r="J164" i="23"/>
  <c r="J287" i="23" s="1"/>
  <c r="M192" i="23"/>
  <c r="J141" i="23"/>
  <c r="J152" i="23"/>
  <c r="J180" i="23" s="1"/>
  <c r="I152" i="23"/>
  <c r="V152" i="23"/>
  <c r="V180" i="23" s="1"/>
  <c r="K152" i="23"/>
  <c r="K180" i="23" s="1"/>
  <c r="I275" i="23"/>
  <c r="AB167" i="23"/>
  <c r="AF167" i="23" s="1"/>
  <c r="K202" i="23"/>
  <c r="L192" i="23"/>
  <c r="X152" i="23"/>
  <c r="X180" i="23" s="1"/>
  <c r="W19" i="24"/>
  <c r="V275" i="23"/>
  <c r="J284" i="23"/>
  <c r="AB106" i="23"/>
  <c r="M164" i="23"/>
  <c r="M287" i="23" s="1"/>
  <c r="G190" i="23"/>
  <c r="D27" i="24"/>
  <c r="T275" i="23"/>
  <c r="L284" i="23"/>
  <c r="J202" i="23"/>
  <c r="K192" i="23"/>
  <c r="K144" i="23"/>
  <c r="K285" i="23"/>
  <c r="L152" i="23"/>
  <c r="L180" i="23" s="1"/>
  <c r="X19" i="24"/>
  <c r="W275" i="23"/>
  <c r="E155" i="23"/>
  <c r="X276" i="23"/>
  <c r="H275" i="23"/>
  <c r="W152" i="23"/>
  <c r="W180" i="23" s="1"/>
  <c r="E306" i="23"/>
  <c r="U275" i="23"/>
  <c r="C51" i="23"/>
  <c r="S192" i="23"/>
  <c r="M202" i="23"/>
  <c r="AA152" i="23"/>
  <c r="S57" i="23"/>
  <c r="L275" i="23"/>
  <c r="AB72" i="23"/>
  <c r="X278" i="23"/>
  <c r="AB123" i="23"/>
  <c r="AD123" i="23" s="1"/>
  <c r="L285" i="23"/>
  <c r="I144" i="23"/>
  <c r="R169" i="23"/>
  <c r="H163" i="23"/>
  <c r="H164" i="23" s="1"/>
  <c r="AB172" i="23"/>
  <c r="AD172" i="23" s="1"/>
  <c r="I54" i="24"/>
  <c r="X285" i="23"/>
  <c r="AB149" i="23"/>
  <c r="K169" i="23"/>
  <c r="L54" i="24"/>
  <c r="H190" i="23"/>
  <c r="H54" i="24"/>
  <c r="K183" i="23"/>
  <c r="F48" i="24"/>
  <c r="H26" i="24"/>
  <c r="H64" i="24"/>
  <c r="O169" i="23"/>
  <c r="M169" i="23"/>
  <c r="F183" i="23"/>
  <c r="G180" i="23"/>
  <c r="E180" i="23"/>
  <c r="AB182" i="23"/>
  <c r="AF182" i="23" s="1"/>
  <c r="S285" i="23"/>
  <c r="T285" i="23"/>
  <c r="AD176" i="23"/>
  <c r="F180" i="23"/>
  <c r="S53" i="24"/>
  <c r="S56" i="24" s="1"/>
  <c r="R233" i="23"/>
  <c r="S48" i="24" s="1"/>
  <c r="R294" i="23"/>
  <c r="U285" i="23"/>
  <c r="H169" i="23"/>
  <c r="H180" i="23"/>
  <c r="AB57" i="24"/>
  <c r="AB18" i="24" s="1"/>
  <c r="AB20" i="24" s="1"/>
  <c r="M54" i="24"/>
  <c r="Y58" i="24"/>
  <c r="Y38" i="24" s="1"/>
  <c r="T54" i="24"/>
  <c r="F62" i="24"/>
  <c r="F64" i="24" s="1"/>
  <c r="U58" i="24"/>
  <c r="U38" i="24" s="1"/>
  <c r="U57" i="24"/>
  <c r="U18" i="24" s="1"/>
  <c r="U20" i="24" s="1"/>
  <c r="G62" i="24"/>
  <c r="V58" i="24"/>
  <c r="V38" i="24" s="1"/>
  <c r="V57" i="24"/>
  <c r="V18" i="24" s="1"/>
  <c r="V20" i="24" s="1"/>
  <c r="F28" i="24"/>
  <c r="AD98" i="23" l="1"/>
  <c r="N285" i="23"/>
  <c r="L74" i="23"/>
  <c r="AD145" i="23"/>
  <c r="AF145" i="23"/>
  <c r="AD185" i="23"/>
  <c r="AF185" i="23"/>
  <c r="F194" i="23"/>
  <c r="F289" i="23" s="1"/>
  <c r="M75" i="23"/>
  <c r="M80" i="23" s="1"/>
  <c r="M276" i="23" s="1"/>
  <c r="J75" i="23"/>
  <c r="K74" i="23"/>
  <c r="AB103" i="23"/>
  <c r="AB284" i="23" s="1"/>
  <c r="C316" i="23" s="1"/>
  <c r="E316" i="23" s="1"/>
  <c r="H287" i="23"/>
  <c r="P57" i="24"/>
  <c r="P18" i="24" s="1"/>
  <c r="P20" i="24" s="1"/>
  <c r="W20" i="24"/>
  <c r="P61" i="24"/>
  <c r="P64" i="24" s="1"/>
  <c r="P66" i="24" s="1"/>
  <c r="M56" i="24"/>
  <c r="M57" i="24" s="1"/>
  <c r="M18" i="24" s="1"/>
  <c r="M20" i="24" s="1"/>
  <c r="N56" i="24"/>
  <c r="N57" i="24" s="1"/>
  <c r="N18" i="24" s="1"/>
  <c r="N20" i="24" s="1"/>
  <c r="Q58" i="24"/>
  <c r="Q61" i="24" s="1"/>
  <c r="Q64" i="24" s="1"/>
  <c r="X154" i="23"/>
  <c r="J58" i="23"/>
  <c r="J85" i="23"/>
  <c r="K86" i="23"/>
  <c r="W154" i="23"/>
  <c r="I84" i="23"/>
  <c r="I83" i="23"/>
  <c r="I82" i="23"/>
  <c r="Q20" i="24"/>
  <c r="AB183" i="23"/>
  <c r="AF183" i="23" s="1"/>
  <c r="Y154" i="23"/>
  <c r="Y155" i="23" s="1"/>
  <c r="Y198" i="23" s="1"/>
  <c r="Y199" i="23" s="1"/>
  <c r="Y290" i="23" s="1"/>
  <c r="F141" i="23"/>
  <c r="H141" i="23"/>
  <c r="AB283" i="23"/>
  <c r="C315" i="23" s="1"/>
  <c r="D315" i="23" s="1"/>
  <c r="AF146" i="23"/>
  <c r="AF150" i="23"/>
  <c r="AD179" i="23"/>
  <c r="C204" i="23"/>
  <c r="M204" i="23" s="1"/>
  <c r="M206" i="23" s="1"/>
  <c r="M291" i="23" s="1"/>
  <c r="AH38" i="23"/>
  <c r="D305" i="23"/>
  <c r="V154" i="23"/>
  <c r="E140" i="23"/>
  <c r="E141" i="23" s="1"/>
  <c r="D19" i="24"/>
  <c r="E186" i="23"/>
  <c r="E187" i="23" s="1"/>
  <c r="H194" i="23"/>
  <c r="H289" i="23" s="1"/>
  <c r="M154" i="23"/>
  <c r="AB191" i="23"/>
  <c r="L154" i="23"/>
  <c r="U186" i="23"/>
  <c r="U187" i="23" s="1"/>
  <c r="U288" i="23" s="1"/>
  <c r="AB57" i="23"/>
  <c r="AK57" i="23" s="1"/>
  <c r="G87" i="23"/>
  <c r="M285" i="23"/>
  <c r="S186" i="23"/>
  <c r="S187" i="23" s="1"/>
  <c r="S288" i="23" s="1"/>
  <c r="AD184" i="23"/>
  <c r="Q186" i="23"/>
  <c r="Q187" i="23" s="1"/>
  <c r="Q288" i="23" s="1"/>
  <c r="G141" i="23"/>
  <c r="G75" i="23" s="1"/>
  <c r="AB275" i="23"/>
  <c r="C307" i="23" s="1"/>
  <c r="AK72" i="23"/>
  <c r="V186" i="23"/>
  <c r="V187" i="23" s="1"/>
  <c r="V288" i="23" s="1"/>
  <c r="AB152" i="23"/>
  <c r="AD152" i="23" s="1"/>
  <c r="I180" i="23"/>
  <c r="G154" i="23"/>
  <c r="AB192" i="23"/>
  <c r="J58" i="24"/>
  <c r="J57" i="24"/>
  <c r="J18" i="24" s="1"/>
  <c r="J20" i="24" s="1"/>
  <c r="Z186" i="23"/>
  <c r="Z187" i="23" s="1"/>
  <c r="Z288" i="23" s="1"/>
  <c r="O154" i="23"/>
  <c r="M186" i="23"/>
  <c r="M187" i="23" s="1"/>
  <c r="M288" i="23" s="1"/>
  <c r="AD149" i="23"/>
  <c r="AF149" i="23"/>
  <c r="AF151" i="23"/>
  <c r="AD151" i="23"/>
  <c r="L186" i="23"/>
  <c r="L187" i="23" s="1"/>
  <c r="N180" i="23"/>
  <c r="N186" i="23" s="1"/>
  <c r="N154" i="23"/>
  <c r="I154" i="23"/>
  <c r="AD182" i="23"/>
  <c r="AH182" i="23"/>
  <c r="F66" i="24"/>
  <c r="F65" i="24"/>
  <c r="F32" i="24" s="1"/>
  <c r="K186" i="23"/>
  <c r="K187" i="23" s="1"/>
  <c r="K288" i="23" s="1"/>
  <c r="AD167" i="23"/>
  <c r="R186" i="23"/>
  <c r="R187" i="23" s="1"/>
  <c r="R288" i="23" s="1"/>
  <c r="G56" i="24"/>
  <c r="G177" i="23"/>
  <c r="G186" i="23" s="1"/>
  <c r="G187" i="23" s="1"/>
  <c r="G74" i="23" s="1"/>
  <c r="AF148" i="23"/>
  <c r="AD148" i="23"/>
  <c r="T56" i="24"/>
  <c r="K56" i="24"/>
  <c r="K154" i="23"/>
  <c r="I56" i="24"/>
  <c r="AA154" i="23"/>
  <c r="AA180" i="23"/>
  <c r="G194" i="23"/>
  <c r="G289" i="23" s="1"/>
  <c r="AB108" i="23"/>
  <c r="I140" i="23"/>
  <c r="I139" i="23"/>
  <c r="AB139" i="23" s="1"/>
  <c r="O60" i="23"/>
  <c r="Z154" i="23"/>
  <c r="P186" i="23"/>
  <c r="P187" i="23" s="1"/>
  <c r="P288" i="23" s="1"/>
  <c r="O186" i="23"/>
  <c r="O187" i="23" s="1"/>
  <c r="O288" i="23" s="1"/>
  <c r="E194" i="23"/>
  <c r="H154" i="23"/>
  <c r="S204" i="23"/>
  <c r="S206" i="23" s="1"/>
  <c r="S291" i="23" s="1"/>
  <c r="G204" i="23"/>
  <c r="G206" i="23" s="1"/>
  <c r="G291" i="23" s="1"/>
  <c r="E204" i="23"/>
  <c r="E206" i="23" s="1"/>
  <c r="N89" i="23"/>
  <c r="J154" i="23"/>
  <c r="S58" i="24"/>
  <c r="S38" i="24" s="1"/>
  <c r="S57" i="24"/>
  <c r="S18" i="24" s="1"/>
  <c r="S20" i="24" s="1"/>
  <c r="H56" i="24"/>
  <c r="E286" i="23"/>
  <c r="T186" i="23"/>
  <c r="T187" i="23" s="1"/>
  <c r="T288" i="23" s="1"/>
  <c r="H28" i="24"/>
  <c r="F177" i="23"/>
  <c r="F186" i="23" s="1"/>
  <c r="J186" i="23"/>
  <c r="J187" i="23" s="1"/>
  <c r="J288" i="23" s="1"/>
  <c r="D306" i="23"/>
  <c r="F40" i="24"/>
  <c r="W186" i="23"/>
  <c r="W187" i="23" s="1"/>
  <c r="W288" i="23" s="1"/>
  <c r="H177" i="23"/>
  <c r="X186" i="23"/>
  <c r="X187" i="23" s="1"/>
  <c r="X288" i="23" s="1"/>
  <c r="J285" i="23"/>
  <c r="R154" i="23"/>
  <c r="AD38" i="23"/>
  <c r="AE24" i="23"/>
  <c r="P154" i="23"/>
  <c r="L56" i="24"/>
  <c r="I177" i="23"/>
  <c r="S154" i="23"/>
  <c r="S155" i="23" s="1"/>
  <c r="C57" i="23"/>
  <c r="U154" i="23"/>
  <c r="Q154" i="23"/>
  <c r="E280" i="23"/>
  <c r="G64" i="24"/>
  <c r="H66" i="24"/>
  <c r="H65" i="24"/>
  <c r="H32" i="24" s="1"/>
  <c r="H34" i="24" s="1"/>
  <c r="AB170" i="23"/>
  <c r="AD170" i="23" s="1"/>
  <c r="P26" i="24"/>
  <c r="P28" i="24" s="1"/>
  <c r="P65" i="24"/>
  <c r="P32" i="24" s="1"/>
  <c r="P34" i="24" s="1"/>
  <c r="F63" i="24"/>
  <c r="AB169" i="23"/>
  <c r="AD169" i="23" s="1"/>
  <c r="F53" i="24"/>
  <c r="Y186" i="23"/>
  <c r="Y187" i="23" s="1"/>
  <c r="Y288" i="23" s="1"/>
  <c r="Z153" i="23"/>
  <c r="AA153" i="23" s="1"/>
  <c r="T154" i="23"/>
  <c r="T153" i="23"/>
  <c r="T155" i="23" s="1"/>
  <c r="X20" i="24"/>
  <c r="AB144" i="23"/>
  <c r="AD144" i="23" s="1"/>
  <c r="F153" i="23"/>
  <c r="G153" i="23" s="1"/>
  <c r="F154" i="23"/>
  <c r="E309" i="23"/>
  <c r="AA202" i="23"/>
  <c r="AD168" i="23"/>
  <c r="AD171" i="23"/>
  <c r="AD178" i="23"/>
  <c r="D316" i="23" l="1"/>
  <c r="F285" i="23"/>
  <c r="F75" i="23"/>
  <c r="J74" i="23"/>
  <c r="J80" i="23" s="1"/>
  <c r="J276" i="23" s="1"/>
  <c r="P75" i="23"/>
  <c r="P80" i="23" s="1"/>
  <c r="P276" i="23" s="1"/>
  <c r="K204" i="23"/>
  <c r="K206" i="23" s="1"/>
  <c r="K291" i="23" s="1"/>
  <c r="O75" i="23"/>
  <c r="O80" i="23" s="1"/>
  <c r="O276" i="23" s="1"/>
  <c r="R204" i="23"/>
  <c r="R206" i="23" s="1"/>
  <c r="R291" i="23" s="1"/>
  <c r="W204" i="23"/>
  <c r="W206" i="23" s="1"/>
  <c r="W291" i="23" s="1"/>
  <c r="R75" i="23"/>
  <c r="R80" i="23" s="1"/>
  <c r="R276" i="23" s="1"/>
  <c r="L288" i="23"/>
  <c r="L75" i="23"/>
  <c r="L80" i="23" s="1"/>
  <c r="L276" i="23" s="1"/>
  <c r="Q75" i="23"/>
  <c r="Q80" i="23" s="1"/>
  <c r="Q276" i="23" s="1"/>
  <c r="AD183" i="23"/>
  <c r="H285" i="23"/>
  <c r="H75" i="23"/>
  <c r="K75" i="23"/>
  <c r="K80" i="23" s="1"/>
  <c r="K276" i="23" s="1"/>
  <c r="M58" i="24"/>
  <c r="M38" i="24" s="1"/>
  <c r="G288" i="23"/>
  <c r="G80" i="23"/>
  <c r="G276" i="23" s="1"/>
  <c r="G211" i="23"/>
  <c r="G210" i="23"/>
  <c r="H40" i="24" s="1"/>
  <c r="N58" i="24"/>
  <c r="N61" i="24" s="1"/>
  <c r="N64" i="24" s="1"/>
  <c r="Q38" i="24"/>
  <c r="F204" i="23"/>
  <c r="F206" i="23" s="1"/>
  <c r="F291" i="23" s="1"/>
  <c r="H204" i="23"/>
  <c r="H206" i="23" s="1"/>
  <c r="H291" i="23" s="1"/>
  <c r="L204" i="23"/>
  <c r="L206" i="23" s="1"/>
  <c r="L291" i="23" s="1"/>
  <c r="T204" i="23"/>
  <c r="T206" i="23" s="1"/>
  <c r="T291" i="23" s="1"/>
  <c r="AA204" i="23"/>
  <c r="AA206" i="23"/>
  <c r="AA291" i="23" s="1"/>
  <c r="U204" i="23"/>
  <c r="U206" i="23" s="1"/>
  <c r="U291" i="23" s="1"/>
  <c r="N204" i="23"/>
  <c r="N206" i="23" s="1"/>
  <c r="N291" i="23" s="1"/>
  <c r="I204" i="23"/>
  <c r="I206" i="23" s="1"/>
  <c r="I291" i="23" s="1"/>
  <c r="O204" i="23"/>
  <c r="O206" i="23" s="1"/>
  <c r="O291" i="23" s="1"/>
  <c r="J204" i="23"/>
  <c r="J206" i="23" s="1"/>
  <c r="J291" i="23" s="1"/>
  <c r="P204" i="23"/>
  <c r="P206" i="23" s="1"/>
  <c r="P291" i="23" s="1"/>
  <c r="Q204" i="23"/>
  <c r="Q206" i="23" s="1"/>
  <c r="Q291" i="23" s="1"/>
  <c r="E315" i="23"/>
  <c r="K58" i="23"/>
  <c r="L86" i="23"/>
  <c r="J83" i="23"/>
  <c r="J84" i="23"/>
  <c r="J82" i="23"/>
  <c r="Y286" i="23"/>
  <c r="R197" i="23"/>
  <c r="P197" i="23"/>
  <c r="X197" i="23"/>
  <c r="V197" i="23"/>
  <c r="T197" i="23"/>
  <c r="N197" i="23"/>
  <c r="J197" i="23"/>
  <c r="H197" i="23"/>
  <c r="G278" i="23"/>
  <c r="AA155" i="23"/>
  <c r="AA286" i="23" s="1"/>
  <c r="V204" i="23"/>
  <c r="V206" i="23" s="1"/>
  <c r="V291" i="23" s="1"/>
  <c r="U153" i="23"/>
  <c r="V153" i="23" s="1"/>
  <c r="W153" i="23" s="1"/>
  <c r="I141" i="23"/>
  <c r="AD64" i="23"/>
  <c r="E241" i="23" s="1"/>
  <c r="E9" i="23" s="1"/>
  <c r="F155" i="23"/>
  <c r="F286" i="23" s="1"/>
  <c r="O53" i="24"/>
  <c r="I186" i="23"/>
  <c r="I187" i="23" s="1"/>
  <c r="I74" i="23" s="1"/>
  <c r="T286" i="23"/>
  <c r="T198" i="23"/>
  <c r="F34" i="24"/>
  <c r="G155" i="23"/>
  <c r="G286" i="23" s="1"/>
  <c r="H153" i="23"/>
  <c r="F187" i="23"/>
  <c r="F74" i="23" s="1"/>
  <c r="L57" i="24"/>
  <c r="L18" i="24" s="1"/>
  <c r="L20" i="24" s="1"/>
  <c r="L58" i="24"/>
  <c r="E289" i="23"/>
  <c r="N187" i="23"/>
  <c r="L197" i="23"/>
  <c r="F197" i="23"/>
  <c r="E285" i="23"/>
  <c r="E198" i="23"/>
  <c r="G58" i="24"/>
  <c r="G38" i="24" s="1"/>
  <c r="G57" i="24"/>
  <c r="G18" i="24" s="1"/>
  <c r="G20" i="24" s="1"/>
  <c r="AB140" i="23"/>
  <c r="G285" i="23"/>
  <c r="T58" i="24"/>
  <c r="T38" i="24" s="1"/>
  <c r="T57" i="24"/>
  <c r="T18" i="24" s="1"/>
  <c r="T20" i="24" s="1"/>
  <c r="E307" i="23"/>
  <c r="D307" i="23"/>
  <c r="K57" i="24"/>
  <c r="K18" i="24" s="1"/>
  <c r="K20" i="24" s="1"/>
  <c r="K58" i="24"/>
  <c r="J61" i="24"/>
  <c r="J38" i="24"/>
  <c r="H87" i="23"/>
  <c r="AA186" i="23"/>
  <c r="AA187" i="23" s="1"/>
  <c r="AA288" i="23" s="1"/>
  <c r="G65" i="24"/>
  <c r="G32" i="24" s="1"/>
  <c r="G34" i="24" s="1"/>
  <c r="G66" i="24"/>
  <c r="AB177" i="23"/>
  <c r="AD177" i="23" s="1"/>
  <c r="H186" i="23"/>
  <c r="H187" i="23" s="1"/>
  <c r="H74" i="23" s="1"/>
  <c r="E291" i="23"/>
  <c r="AB154" i="23"/>
  <c r="AD154" i="23" s="1"/>
  <c r="I58" i="24"/>
  <c r="I57" i="24"/>
  <c r="I18" i="24" s="1"/>
  <c r="I20" i="24" s="1"/>
  <c r="AB202" i="23"/>
  <c r="S286" i="23"/>
  <c r="S198" i="23"/>
  <c r="S199" i="23" s="1"/>
  <c r="S290" i="23" s="1"/>
  <c r="E239" i="23"/>
  <c r="E7" i="23" s="1"/>
  <c r="AD39" i="23"/>
  <c r="F54" i="24"/>
  <c r="Q66" i="24"/>
  <c r="Q26" i="24"/>
  <c r="Q28" i="24" s="1"/>
  <c r="Q65" i="24"/>
  <c r="Q32" i="24" s="1"/>
  <c r="Q34" i="24" s="1"/>
  <c r="AB180" i="23"/>
  <c r="AD180" i="23" s="1"/>
  <c r="E288" i="23"/>
  <c r="Z155" i="23"/>
  <c r="H58" i="24"/>
  <c r="H38" i="24" s="1"/>
  <c r="H57" i="24"/>
  <c r="H18" i="24" s="1"/>
  <c r="H20" i="24" s="1"/>
  <c r="P60" i="23"/>
  <c r="O89" i="23"/>
  <c r="AB141" i="23" l="1"/>
  <c r="I75" i="23"/>
  <c r="M61" i="24"/>
  <c r="M64" i="24" s="1"/>
  <c r="AD77" i="23"/>
  <c r="F221" i="23"/>
  <c r="I285" i="23"/>
  <c r="N288" i="23"/>
  <c r="N75" i="23"/>
  <c r="N80" i="23" s="1"/>
  <c r="N276" i="23" s="1"/>
  <c r="N38" i="24"/>
  <c r="G90" i="23"/>
  <c r="G280" i="23" s="1"/>
  <c r="H288" i="23"/>
  <c r="H80" i="23"/>
  <c r="H276" i="23" s="1"/>
  <c r="F80" i="23"/>
  <c r="F216" i="23"/>
  <c r="I288" i="23"/>
  <c r="I80" i="23"/>
  <c r="I276" i="23" s="1"/>
  <c r="F288" i="23"/>
  <c r="H90" i="23"/>
  <c r="H210" i="23"/>
  <c r="H211" i="23"/>
  <c r="I41" i="24" s="1"/>
  <c r="H41" i="24"/>
  <c r="AB204" i="23"/>
  <c r="F198" i="23"/>
  <c r="L58" i="23"/>
  <c r="K83" i="23"/>
  <c r="K84" i="23"/>
  <c r="P88" i="23"/>
  <c r="L85" i="23"/>
  <c r="M86" i="23"/>
  <c r="K82" i="23"/>
  <c r="AA198" i="23"/>
  <c r="AA199" i="23" s="1"/>
  <c r="AA290" i="23" s="1"/>
  <c r="N294" i="23"/>
  <c r="AD72" i="23"/>
  <c r="E243" i="23" s="1"/>
  <c r="E11" i="23" s="1"/>
  <c r="AB206" i="23"/>
  <c r="U155" i="23"/>
  <c r="U286" i="23" s="1"/>
  <c r="V155" i="23"/>
  <c r="V286" i="23" s="1"/>
  <c r="N233" i="23"/>
  <c r="O48" i="24" s="1"/>
  <c r="G198" i="23"/>
  <c r="G199" i="23" s="1"/>
  <c r="G290" i="23" s="1"/>
  <c r="AB186" i="23"/>
  <c r="AF186" i="23" s="1"/>
  <c r="I87" i="23"/>
  <c r="N66" i="24"/>
  <c r="N26" i="24"/>
  <c r="N28" i="24" s="1"/>
  <c r="N65" i="24"/>
  <c r="N32" i="24" s="1"/>
  <c r="N34" i="24" s="1"/>
  <c r="K61" i="24"/>
  <c r="K38" i="24"/>
  <c r="O54" i="24"/>
  <c r="H278" i="23"/>
  <c r="L61" i="24"/>
  <c r="L38" i="24"/>
  <c r="F56" i="24"/>
  <c r="F199" i="23"/>
  <c r="F290" i="23" s="1"/>
  <c r="H155" i="23"/>
  <c r="I153" i="23"/>
  <c r="J87" i="23"/>
  <c r="X153" i="23"/>
  <c r="X155" i="23" s="1"/>
  <c r="W155" i="23"/>
  <c r="AB187" i="23"/>
  <c r="AF187" i="23" s="1"/>
  <c r="J26" i="24"/>
  <c r="J28" i="24" s="1"/>
  <c r="J64" i="24"/>
  <c r="E199" i="23"/>
  <c r="AB285" i="23"/>
  <c r="C317" i="23" s="1"/>
  <c r="C158" i="23"/>
  <c r="AD141" i="23"/>
  <c r="C159" i="23"/>
  <c r="Q60" i="23"/>
  <c r="P89" i="23"/>
  <c r="I61" i="24"/>
  <c r="I38" i="24"/>
  <c r="Z286" i="23"/>
  <c r="Z198" i="23"/>
  <c r="Z199" i="23" s="1"/>
  <c r="Z290" i="23" s="1"/>
  <c r="AB291" i="23"/>
  <c r="C323" i="23" s="1"/>
  <c r="M66" i="24"/>
  <c r="M26" i="24"/>
  <c r="M28" i="24" s="1"/>
  <c r="M65" i="24"/>
  <c r="M32" i="24" s="1"/>
  <c r="M34" i="24" s="1"/>
  <c r="AB75" i="23" l="1"/>
  <c r="H223" i="23" s="1"/>
  <c r="AB223" i="23" s="1"/>
  <c r="G159" i="23"/>
  <c r="F159" i="23"/>
  <c r="F158" i="23"/>
  <c r="G158" i="23"/>
  <c r="G221" i="23"/>
  <c r="F222" i="23"/>
  <c r="F217" i="23"/>
  <c r="F215" i="23"/>
  <c r="G216" i="23"/>
  <c r="AB74" i="23"/>
  <c r="F218" i="23" s="1"/>
  <c r="AB80" i="23"/>
  <c r="F276" i="23"/>
  <c r="F90" i="23"/>
  <c r="F280" i="23" s="1"/>
  <c r="J90" i="23"/>
  <c r="J210" i="23"/>
  <c r="J211" i="23"/>
  <c r="K41" i="24" s="1"/>
  <c r="I210" i="23"/>
  <c r="J40" i="24" s="1"/>
  <c r="I211" i="23"/>
  <c r="O56" i="24"/>
  <c r="O58" i="24" s="1"/>
  <c r="F55" i="24"/>
  <c r="AD186" i="23"/>
  <c r="M58" i="23"/>
  <c r="L82" i="23"/>
  <c r="L84" i="23"/>
  <c r="Q88" i="23"/>
  <c r="L83" i="23"/>
  <c r="N86" i="23"/>
  <c r="M85" i="23"/>
  <c r="V198" i="23"/>
  <c r="U198" i="23"/>
  <c r="U199" i="23" s="1"/>
  <c r="U290" i="23" s="1"/>
  <c r="I190" i="23"/>
  <c r="I194" i="23" s="1"/>
  <c r="I90" i="23"/>
  <c r="I280" i="23" s="1"/>
  <c r="I278" i="23"/>
  <c r="O57" i="24"/>
  <c r="O18" i="24" s="1"/>
  <c r="O20" i="24" s="1"/>
  <c r="I155" i="23"/>
  <c r="J153" i="23"/>
  <c r="L26" i="24"/>
  <c r="L28" i="24" s="1"/>
  <c r="L64" i="24"/>
  <c r="R60" i="23"/>
  <c r="Q89" i="23"/>
  <c r="W286" i="23"/>
  <c r="W198" i="23"/>
  <c r="W199" i="23" s="1"/>
  <c r="W290" i="23" s="1"/>
  <c r="K64" i="24"/>
  <c r="K26" i="24"/>
  <c r="K28" i="24" s="1"/>
  <c r="X286" i="23"/>
  <c r="X198" i="23"/>
  <c r="D323" i="23"/>
  <c r="E323" i="23"/>
  <c r="J278" i="23"/>
  <c r="K40" i="24"/>
  <c r="J190" i="23"/>
  <c r="J194" i="23" s="1"/>
  <c r="J289" i="23" s="1"/>
  <c r="H286" i="23"/>
  <c r="H198" i="23"/>
  <c r="H280" i="23"/>
  <c r="E290" i="23"/>
  <c r="I40" i="24"/>
  <c r="AD187" i="23"/>
  <c r="AB288" i="23"/>
  <c r="C320" i="23" s="1"/>
  <c r="I64" i="24"/>
  <c r="I26" i="24"/>
  <c r="F58" i="24"/>
  <c r="F57" i="24"/>
  <c r="E317" i="23"/>
  <c r="D317" i="23"/>
  <c r="J66" i="24"/>
  <c r="J65" i="24"/>
  <c r="J32" i="24" s="1"/>
  <c r="J34" i="24" s="1"/>
  <c r="G222" i="23" l="1"/>
  <c r="H221" i="23"/>
  <c r="F225" i="23"/>
  <c r="F293" i="23" s="1"/>
  <c r="AD79" i="23"/>
  <c r="AD75" i="23"/>
  <c r="E237" i="23"/>
  <c r="E5" i="23" s="1"/>
  <c r="AB276" i="23"/>
  <c r="C308" i="23" s="1"/>
  <c r="H216" i="23"/>
  <c r="G217" i="23"/>
  <c r="G225" i="23" s="1"/>
  <c r="G293" i="23" s="1"/>
  <c r="G215" i="23"/>
  <c r="AB218" i="23"/>
  <c r="E225" i="23"/>
  <c r="E293" i="23" s="1"/>
  <c r="J41" i="24"/>
  <c r="L87" i="23"/>
  <c r="L190" i="23" s="1"/>
  <c r="L194" i="23" s="1"/>
  <c r="L289" i="23" s="1"/>
  <c r="N58" i="23"/>
  <c r="M83" i="23"/>
  <c r="M82" i="23"/>
  <c r="R88" i="23"/>
  <c r="O86" i="23"/>
  <c r="N85" i="23"/>
  <c r="M84" i="23"/>
  <c r="K87" i="23"/>
  <c r="F18" i="24"/>
  <c r="K153" i="23"/>
  <c r="J155" i="23"/>
  <c r="I286" i="23"/>
  <c r="I198" i="23"/>
  <c r="I199" i="23" s="1"/>
  <c r="I290" i="23" s="1"/>
  <c r="K66" i="24"/>
  <c r="K65" i="24"/>
  <c r="K32" i="24" s="1"/>
  <c r="K34" i="24" s="1"/>
  <c r="Q294" i="23"/>
  <c r="R53" i="24"/>
  <c r="Q233" i="23"/>
  <c r="E257" i="23" s="1"/>
  <c r="AB227" i="23"/>
  <c r="F38" i="24"/>
  <c r="L66" i="24"/>
  <c r="L65" i="24"/>
  <c r="L32" i="24" s="1"/>
  <c r="L34" i="24" s="1"/>
  <c r="F163" i="23"/>
  <c r="F164" i="23" s="1"/>
  <c r="AB159" i="23"/>
  <c r="G163" i="23"/>
  <c r="G164" i="23" s="1"/>
  <c r="J280" i="23"/>
  <c r="I65" i="24"/>
  <c r="I32" i="24" s="1"/>
  <c r="I66" i="24"/>
  <c r="E163" i="23"/>
  <c r="E164" i="23" s="1"/>
  <c r="E209" i="23" s="1"/>
  <c r="AB158" i="23"/>
  <c r="I28" i="24"/>
  <c r="H199" i="23"/>
  <c r="H209" i="23" s="1"/>
  <c r="O38" i="24"/>
  <c r="O61" i="24"/>
  <c r="O64" i="24" s="1"/>
  <c r="E320" i="23"/>
  <c r="D320" i="23"/>
  <c r="I289" i="23"/>
  <c r="S60" i="23"/>
  <c r="R89" i="23"/>
  <c r="I209" i="23" l="1"/>
  <c r="I221" i="23"/>
  <c r="H222" i="23"/>
  <c r="L278" i="23"/>
  <c r="D308" i="23"/>
  <c r="E308" i="23"/>
  <c r="I216" i="23"/>
  <c r="H217" i="23"/>
  <c r="H225" i="23" s="1"/>
  <c r="H293" i="23" s="1"/>
  <c r="H215" i="23"/>
  <c r="F39" i="24"/>
  <c r="F42" i="24" s="1"/>
  <c r="E213" i="23"/>
  <c r="E292" i="23" s="1"/>
  <c r="G287" i="23"/>
  <c r="G209" i="23"/>
  <c r="F287" i="23"/>
  <c r="F209" i="23"/>
  <c r="AB88" i="23"/>
  <c r="M87" i="23"/>
  <c r="L90" i="23"/>
  <c r="L280" i="23" s="1"/>
  <c r="L211" i="23"/>
  <c r="M41" i="24" s="1"/>
  <c r="L210" i="23"/>
  <c r="M40" i="24" s="1"/>
  <c r="K90" i="23"/>
  <c r="K280" i="23" s="1"/>
  <c r="K210" i="23"/>
  <c r="L40" i="24" s="1"/>
  <c r="K211" i="23"/>
  <c r="K190" i="23"/>
  <c r="K194" i="23" s="1"/>
  <c r="K289" i="23" s="1"/>
  <c r="O58" i="23"/>
  <c r="N82" i="23"/>
  <c r="N83" i="23"/>
  <c r="N84" i="23"/>
  <c r="O85" i="23"/>
  <c r="P86" i="23"/>
  <c r="K278" i="23"/>
  <c r="M278" i="23"/>
  <c r="M190" i="23"/>
  <c r="E287" i="23"/>
  <c r="AB164" i="23"/>
  <c r="H290" i="23"/>
  <c r="L153" i="23"/>
  <c r="K155" i="23"/>
  <c r="S61" i="23"/>
  <c r="T60" i="23"/>
  <c r="S89" i="23"/>
  <c r="S279" i="23" s="1"/>
  <c r="I34" i="24"/>
  <c r="AB294" i="23"/>
  <c r="C326" i="23" s="1"/>
  <c r="E253" i="23"/>
  <c r="J286" i="23"/>
  <c r="J198" i="23"/>
  <c r="R48" i="24"/>
  <c r="F49" i="24" s="1"/>
  <c r="E251" i="23"/>
  <c r="R56" i="24"/>
  <c r="F20" i="24"/>
  <c r="O66" i="24"/>
  <c r="AE66" i="24" s="1"/>
  <c r="O26" i="24"/>
  <c r="O65" i="24"/>
  <c r="O32" i="24" s="1"/>
  <c r="O34" i="24" s="1"/>
  <c r="AB163" i="23"/>
  <c r="I222" i="23" l="1"/>
  <c r="J221" i="23"/>
  <c r="E229" i="23"/>
  <c r="J216" i="23"/>
  <c r="I217" i="23"/>
  <c r="I225" i="23" s="1"/>
  <c r="I293" i="23" s="1"/>
  <c r="I215" i="23"/>
  <c r="M90" i="23"/>
  <c r="M280" i="23" s="1"/>
  <c r="M210" i="23"/>
  <c r="N40" i="24" s="1"/>
  <c r="M211" i="23"/>
  <c r="N41" i="24" s="1"/>
  <c r="L41" i="24"/>
  <c r="N87" i="23"/>
  <c r="P58" i="23"/>
  <c r="O82" i="23"/>
  <c r="O83" i="23"/>
  <c r="O84" i="23"/>
  <c r="P85" i="23"/>
  <c r="J199" i="23"/>
  <c r="J209" i="23" s="1"/>
  <c r="R58" i="24"/>
  <c r="R57" i="24"/>
  <c r="AB287" i="23"/>
  <c r="C319" i="23" s="1"/>
  <c r="AD164" i="23"/>
  <c r="M153" i="23"/>
  <c r="L155" i="23"/>
  <c r="F23" i="24"/>
  <c r="AE54" i="24"/>
  <c r="AK233" i="23"/>
  <c r="E295" i="23"/>
  <c r="E297" i="23" s="1"/>
  <c r="E231" i="23"/>
  <c r="K251" i="23"/>
  <c r="Q17" i="23" s="1"/>
  <c r="AG253" i="23"/>
  <c r="P7" i="23"/>
  <c r="K286" i="23"/>
  <c r="K198" i="23"/>
  <c r="K199" i="23" s="1"/>
  <c r="K290" i="23" s="1"/>
  <c r="E326" i="23"/>
  <c r="D326" i="23"/>
  <c r="E255" i="23"/>
  <c r="P9" i="23" s="1"/>
  <c r="P5" i="23"/>
  <c r="D32" i="24"/>
  <c r="U60" i="23"/>
  <c r="T89" i="23"/>
  <c r="T279" i="23" s="1"/>
  <c r="T61" i="23"/>
  <c r="M194" i="23"/>
  <c r="G251" i="23"/>
  <c r="M17" i="23" s="1"/>
  <c r="AJ253" i="23"/>
  <c r="P11" i="23"/>
  <c r="F35" i="24"/>
  <c r="F36" i="24"/>
  <c r="D34" i="24"/>
  <c r="V199" i="23"/>
  <c r="V290" i="23" s="1"/>
  <c r="F50" i="24"/>
  <c r="O28" i="24"/>
  <c r="D26" i="24"/>
  <c r="J222" i="23" l="1"/>
  <c r="K221" i="23"/>
  <c r="K209" i="23"/>
  <c r="K216" i="23"/>
  <c r="J217" i="23"/>
  <c r="J225" i="23" s="1"/>
  <c r="J293" i="23" s="1"/>
  <c r="J215" i="23"/>
  <c r="N90" i="23"/>
  <c r="N280" i="23" s="1"/>
  <c r="N211" i="23"/>
  <c r="N210" i="23"/>
  <c r="O40" i="24" s="1"/>
  <c r="N278" i="23"/>
  <c r="N190" i="23"/>
  <c r="N194" i="23" s="1"/>
  <c r="N289" i="23" s="1"/>
  <c r="R18" i="24"/>
  <c r="E319" i="23"/>
  <c r="D319" i="23"/>
  <c r="R38" i="24"/>
  <c r="F30" i="24"/>
  <c r="D28" i="24"/>
  <c r="F29" i="24"/>
  <c r="J290" i="23"/>
  <c r="V60" i="23"/>
  <c r="P87" i="23"/>
  <c r="Q87" i="23"/>
  <c r="S86" i="23"/>
  <c r="R87" i="23"/>
  <c r="U61" i="23"/>
  <c r="U89" i="23"/>
  <c r="U279" i="23" s="1"/>
  <c r="AM17" i="23"/>
  <c r="AM2" i="23" s="1"/>
  <c r="G23" i="24"/>
  <c r="L286" i="23"/>
  <c r="L198" i="23"/>
  <c r="L199" i="23" s="1"/>
  <c r="L290" i="23" s="1"/>
  <c r="M155" i="23"/>
  <c r="N153" i="23"/>
  <c r="X199" i="23"/>
  <c r="X290" i="23" s="1"/>
  <c r="M289" i="23"/>
  <c r="T199" i="23"/>
  <c r="T290" i="23" s="1"/>
  <c r="R90" i="23" l="1"/>
  <c r="R210" i="23"/>
  <c r="R211" i="23"/>
  <c r="S41" i="24" s="1"/>
  <c r="L209" i="23"/>
  <c r="Q90" i="23"/>
  <c r="Q211" i="23"/>
  <c r="R41" i="24" s="1"/>
  <c r="Q210" i="23"/>
  <c r="K222" i="23"/>
  <c r="L221" i="23"/>
  <c r="K217" i="23"/>
  <c r="K219" i="23"/>
  <c r="L216" i="23" s="1"/>
  <c r="K215" i="23"/>
  <c r="P90" i="23"/>
  <c r="P210" i="23"/>
  <c r="Q40" i="24" s="1"/>
  <c r="P211" i="23"/>
  <c r="Q41" i="24" s="1"/>
  <c r="O41" i="24"/>
  <c r="P190" i="23"/>
  <c r="P194" i="23" s="1"/>
  <c r="P289" i="23" s="1"/>
  <c r="P278" i="23"/>
  <c r="W60" i="23"/>
  <c r="V89" i="23"/>
  <c r="V279" i="23" s="1"/>
  <c r="V61" i="23"/>
  <c r="AB197" i="23"/>
  <c r="R20" i="24"/>
  <c r="F21" i="24" s="1"/>
  <c r="D18" i="24"/>
  <c r="N155" i="23"/>
  <c r="O153" i="23"/>
  <c r="AN17" i="23"/>
  <c r="AN2" i="23" s="1"/>
  <c r="H23" i="24"/>
  <c r="M286" i="23"/>
  <c r="M198" i="23"/>
  <c r="Q190" i="23"/>
  <c r="Q194" i="23" s="1"/>
  <c r="Q289" i="23" s="1"/>
  <c r="Q278" i="23"/>
  <c r="R40" i="24"/>
  <c r="O87" i="23"/>
  <c r="R278" i="23"/>
  <c r="R190" i="23"/>
  <c r="R194" i="23" s="1"/>
  <c r="R289" i="23" s="1"/>
  <c r="S40" i="24"/>
  <c r="D38" i="24"/>
  <c r="L222" i="23" l="1"/>
  <c r="M221" i="23"/>
  <c r="L217" i="23"/>
  <c r="L219" i="23"/>
  <c r="M216" i="23" s="1"/>
  <c r="L215" i="23"/>
  <c r="K225" i="23"/>
  <c r="K293" i="23" s="1"/>
  <c r="O90" i="23"/>
  <c r="O210" i="23"/>
  <c r="O211" i="23"/>
  <c r="R280" i="23"/>
  <c r="D20" i="24"/>
  <c r="F22" i="24"/>
  <c r="AO17" i="23"/>
  <c r="AO2" i="23" s="1"/>
  <c r="I23" i="24"/>
  <c r="O190" i="23"/>
  <c r="O194" i="23" s="1"/>
  <c r="O278" i="23"/>
  <c r="P280" i="23"/>
  <c r="Q280" i="23"/>
  <c r="N286" i="23"/>
  <c r="N198" i="23"/>
  <c r="N199" i="23" s="1"/>
  <c r="N290" i="23" s="1"/>
  <c r="M199" i="23"/>
  <c r="M209" i="23" s="1"/>
  <c r="X60" i="23"/>
  <c r="W61" i="23"/>
  <c r="W89" i="23"/>
  <c r="W279" i="23" s="1"/>
  <c r="P153" i="23"/>
  <c r="O155" i="23"/>
  <c r="N209" i="23" l="1"/>
  <c r="N221" i="23"/>
  <c r="M222" i="23"/>
  <c r="M217" i="23"/>
  <c r="M219" i="23"/>
  <c r="N216" i="23" s="1"/>
  <c r="M215" i="23"/>
  <c r="L225" i="23"/>
  <c r="L293" i="23" s="1"/>
  <c r="P41" i="24"/>
  <c r="D41" i="24" s="1"/>
  <c r="AB211" i="23"/>
  <c r="P40" i="24"/>
  <c r="O286" i="23"/>
  <c r="O198" i="23"/>
  <c r="O199" i="23" s="1"/>
  <c r="O290" i="23" s="1"/>
  <c r="AP17" i="23"/>
  <c r="AP2" i="23" s="1"/>
  <c r="J23" i="24"/>
  <c r="P155" i="23"/>
  <c r="Q153" i="23"/>
  <c r="O280" i="23"/>
  <c r="O289" i="23"/>
  <c r="Y60" i="23"/>
  <c r="S82" i="23"/>
  <c r="S87" i="23" s="1"/>
  <c r="X61" i="23"/>
  <c r="U84" i="23"/>
  <c r="U87" i="23" s="1"/>
  <c r="X89" i="23"/>
  <c r="W86" i="23"/>
  <c r="W87" i="23" s="1"/>
  <c r="T83" i="23"/>
  <c r="T87" i="23" s="1"/>
  <c r="V85" i="23"/>
  <c r="V87" i="23" s="1"/>
  <c r="M290" i="23"/>
  <c r="N222" i="23" l="1"/>
  <c r="O221" i="23"/>
  <c r="O209" i="23"/>
  <c r="O216" i="23"/>
  <c r="N215" i="23"/>
  <c r="N217" i="23"/>
  <c r="N225" i="23" s="1"/>
  <c r="N293" i="23" s="1"/>
  <c r="M225" i="23"/>
  <c r="M293" i="23" s="1"/>
  <c r="W278" i="23"/>
  <c r="W90" i="23"/>
  <c r="W210" i="23"/>
  <c r="W190" i="23"/>
  <c r="W194" i="23" s="1"/>
  <c r="W289" i="23" s="1"/>
  <c r="AB87" i="23"/>
  <c r="U278" i="23"/>
  <c r="U210" i="23"/>
  <c r="U190" i="23"/>
  <c r="U194" i="23" s="1"/>
  <c r="U289" i="23" s="1"/>
  <c r="U90" i="23"/>
  <c r="R153" i="23"/>
  <c r="Q155" i="23"/>
  <c r="P286" i="23"/>
  <c r="P198" i="23"/>
  <c r="P199" i="23" s="1"/>
  <c r="P209" i="23" s="1"/>
  <c r="AQ17" i="23"/>
  <c r="AQ2" i="23" s="1"/>
  <c r="K23" i="24"/>
  <c r="V210" i="23"/>
  <c r="V278" i="23"/>
  <c r="V190" i="23"/>
  <c r="V194" i="23" s="1"/>
  <c r="V289" i="23" s="1"/>
  <c r="V90" i="23"/>
  <c r="X279" i="23"/>
  <c r="X190" i="23"/>
  <c r="X194" i="23" s="1"/>
  <c r="X289" i="23" s="1"/>
  <c r="X90" i="23"/>
  <c r="X210" i="23"/>
  <c r="S278" i="23"/>
  <c r="S210" i="23"/>
  <c r="S190" i="23"/>
  <c r="S194" i="23" s="1"/>
  <c r="S90" i="23"/>
  <c r="Z60" i="23"/>
  <c r="Y61" i="23"/>
  <c r="Y89" i="23"/>
  <c r="T278" i="23"/>
  <c r="T210" i="23"/>
  <c r="T190" i="23"/>
  <c r="T194" i="23" s="1"/>
  <c r="T289" i="23" s="1"/>
  <c r="T90" i="23"/>
  <c r="Q53" i="5"/>
  <c r="Q52" i="5"/>
  <c r="Q50" i="5"/>
  <c r="Q48" i="5"/>
  <c r="Q43" i="5"/>
  <c r="Q30" i="5"/>
  <c r="Q29" i="5"/>
  <c r="F25" i="5"/>
  <c r="G25" i="5"/>
  <c r="P221" i="23" l="1"/>
  <c r="O222" i="23"/>
  <c r="O217" i="23"/>
  <c r="O225" i="23" s="1"/>
  <c r="O293" i="23" s="1"/>
  <c r="P216" i="23"/>
  <c r="O215" i="23"/>
  <c r="S289" i="23"/>
  <c r="AB278" i="23"/>
  <c r="C310" i="23" s="1"/>
  <c r="Y279" i="23"/>
  <c r="Y90" i="23"/>
  <c r="Y210" i="23"/>
  <c r="Y190" i="23"/>
  <c r="Y194" i="23" s="1"/>
  <c r="Y289" i="23" s="1"/>
  <c r="U280" i="23"/>
  <c r="AA60" i="23"/>
  <c r="Z89" i="23"/>
  <c r="Z61" i="23"/>
  <c r="V40" i="24"/>
  <c r="V42" i="24" s="1"/>
  <c r="U213" i="23"/>
  <c r="S280" i="23"/>
  <c r="P290" i="23"/>
  <c r="R155" i="23"/>
  <c r="AB153" i="23"/>
  <c r="AD153" i="23" s="1"/>
  <c r="AR17" i="23"/>
  <c r="AR2" i="23" s="1"/>
  <c r="L23" i="24"/>
  <c r="T280" i="23"/>
  <c r="X40" i="24"/>
  <c r="X42" i="24" s="1"/>
  <c r="W213" i="23"/>
  <c r="Q286" i="23"/>
  <c r="Q198" i="23"/>
  <c r="Q199" i="23" s="1"/>
  <c r="Q290" i="23" s="1"/>
  <c r="V280" i="23"/>
  <c r="V213" i="23"/>
  <c r="W40" i="24"/>
  <c r="W42" i="24" s="1"/>
  <c r="T40" i="24"/>
  <c r="T42" i="24" s="1"/>
  <c r="S213" i="23"/>
  <c r="T213" i="23"/>
  <c r="U40" i="24"/>
  <c r="U42" i="24" s="1"/>
  <c r="Y40" i="24"/>
  <c r="Y42" i="24" s="1"/>
  <c r="X213" i="23"/>
  <c r="W280" i="23"/>
  <c r="X280" i="23"/>
  <c r="P222" i="23" l="1"/>
  <c r="P224" i="23"/>
  <c r="Q221" i="23"/>
  <c r="Q209" i="23"/>
  <c r="Q216" i="23"/>
  <c r="P217" i="23"/>
  <c r="P225" i="23" s="1"/>
  <c r="P293" i="23" s="1"/>
  <c r="P215" i="23"/>
  <c r="R286" i="23"/>
  <c r="R198" i="23"/>
  <c r="AB155" i="23"/>
  <c r="Y280" i="23"/>
  <c r="W292" i="23"/>
  <c r="T292" i="23"/>
  <c r="U292" i="23"/>
  <c r="E310" i="23"/>
  <c r="D310" i="23"/>
  <c r="Z40" i="24"/>
  <c r="Z42" i="24" s="1"/>
  <c r="Y213" i="23"/>
  <c r="X292" i="23"/>
  <c r="S292" i="23"/>
  <c r="Z190" i="23"/>
  <c r="Z194" i="23" s="1"/>
  <c r="Z289" i="23" s="1"/>
  <c r="Z279" i="23"/>
  <c r="Z210" i="23"/>
  <c r="Z90" i="23"/>
  <c r="AS17" i="23"/>
  <c r="AS2" i="23" s="1"/>
  <c r="M23" i="24"/>
  <c r="V292" i="23"/>
  <c r="AA61" i="23"/>
  <c r="AD89" i="23" s="1"/>
  <c r="AA89" i="23"/>
  <c r="C63" i="5"/>
  <c r="D20" i="5"/>
  <c r="G20" i="5" s="1"/>
  <c r="Q222" i="23" l="1"/>
  <c r="Q224" i="23"/>
  <c r="R221" i="23"/>
  <c r="R216" i="23"/>
  <c r="Q217" i="23"/>
  <c r="Q225" i="23" s="1"/>
  <c r="Q293" i="23" s="1"/>
  <c r="Q215" i="23"/>
  <c r="AF89" i="23"/>
  <c r="AE89" i="23"/>
  <c r="AB286" i="23"/>
  <c r="C318" i="23" s="1"/>
  <c r="AF155" i="23"/>
  <c r="AD155" i="23"/>
  <c r="AA279" i="23"/>
  <c r="AA190" i="23"/>
  <c r="AA210" i="23"/>
  <c r="AA90" i="23"/>
  <c r="AB89" i="23"/>
  <c r="Y292" i="23"/>
  <c r="Z280" i="23"/>
  <c r="R199" i="23"/>
  <c r="R209" i="23" s="1"/>
  <c r="AB198" i="23"/>
  <c r="AT17" i="23"/>
  <c r="AT2" i="23" s="1"/>
  <c r="AK211" i="23" s="1"/>
  <c r="N23" i="24"/>
  <c r="O23" i="24" s="1"/>
  <c r="P23" i="24" s="1"/>
  <c r="Q23" i="24" s="1"/>
  <c r="R23" i="24" s="1"/>
  <c r="S23" i="24" s="1"/>
  <c r="T23" i="24" s="1"/>
  <c r="U23" i="24" s="1"/>
  <c r="V23" i="24" s="1"/>
  <c r="W23" i="24" s="1"/>
  <c r="X23" i="24" s="1"/>
  <c r="Y23" i="24" s="1"/>
  <c r="Z23" i="24" s="1"/>
  <c r="AA23" i="24" s="1"/>
  <c r="AB23" i="24" s="1"/>
  <c r="AA40" i="24"/>
  <c r="AA42" i="24" s="1"/>
  <c r="Z213" i="23"/>
  <c r="R222" i="23" l="1"/>
  <c r="R224" i="23"/>
  <c r="R217" i="23"/>
  <c r="R219" i="23"/>
  <c r="AB219" i="23" s="1"/>
  <c r="R215" i="23"/>
  <c r="E247" i="23" s="1"/>
  <c r="E15" i="23" s="1"/>
  <c r="AD91" i="23"/>
  <c r="Z292" i="23"/>
  <c r="R290" i="23"/>
  <c r="AB199" i="23"/>
  <c r="C311" i="23"/>
  <c r="AB280" i="23"/>
  <c r="AD61" i="23"/>
  <c r="AA194" i="23"/>
  <c r="AB190" i="23"/>
  <c r="K237" i="23" s="1"/>
  <c r="AA280" i="23"/>
  <c r="E318" i="23"/>
  <c r="D318" i="23"/>
  <c r="AB40" i="24"/>
  <c r="AA213" i="23"/>
  <c r="AB210" i="23"/>
  <c r="EE26" i="15"/>
  <c r="ED26" i="15"/>
  <c r="EC26" i="15"/>
  <c r="EB26" i="15"/>
  <c r="EA26" i="15"/>
  <c r="DZ26" i="15"/>
  <c r="DY26" i="15"/>
  <c r="DX26" i="15"/>
  <c r="DW26" i="15"/>
  <c r="DV26" i="15"/>
  <c r="DU26" i="15"/>
  <c r="DT26" i="15"/>
  <c r="DS26" i="15"/>
  <c r="DR26" i="15"/>
  <c r="DQ26" i="15"/>
  <c r="DP26" i="15"/>
  <c r="DO26" i="15"/>
  <c r="DN26" i="15"/>
  <c r="DM26" i="15"/>
  <c r="DL26" i="15"/>
  <c r="DK26" i="15"/>
  <c r="DJ26" i="15"/>
  <c r="DI26" i="15"/>
  <c r="DH26" i="15"/>
  <c r="DG26" i="15"/>
  <c r="DF26" i="15"/>
  <c r="DE26" i="15"/>
  <c r="DD26" i="15"/>
  <c r="DC26" i="15"/>
  <c r="DB26" i="15"/>
  <c r="DA26" i="15"/>
  <c r="CZ26" i="15"/>
  <c r="CY26" i="15"/>
  <c r="CX26" i="15"/>
  <c r="CW26" i="15"/>
  <c r="CV26" i="15"/>
  <c r="CU26" i="15"/>
  <c r="CT26" i="15"/>
  <c r="CS26" i="15"/>
  <c r="CR26" i="15"/>
  <c r="CQ26" i="15"/>
  <c r="CP26" i="15"/>
  <c r="CO26" i="15"/>
  <c r="CN26" i="15"/>
  <c r="CM26" i="15"/>
  <c r="CL26" i="15"/>
  <c r="CK26" i="15"/>
  <c r="CJ26" i="15"/>
  <c r="CI26" i="15"/>
  <c r="CH26" i="15"/>
  <c r="CG26" i="15"/>
  <c r="CF26" i="15"/>
  <c r="CE26" i="15"/>
  <c r="CD26" i="15"/>
  <c r="CC26" i="15"/>
  <c r="CB26" i="15"/>
  <c r="CA26" i="15"/>
  <c r="BZ26" i="15"/>
  <c r="BY26" i="15"/>
  <c r="BX26" i="15"/>
  <c r="BW26" i="15"/>
  <c r="BV26" i="15"/>
  <c r="BU26" i="15"/>
  <c r="BT26" i="15"/>
  <c r="BS26" i="15"/>
  <c r="BR26" i="15"/>
  <c r="BQ26" i="15"/>
  <c r="BP26" i="15"/>
  <c r="BO26" i="15"/>
  <c r="BN26" i="15"/>
  <c r="BM26" i="15"/>
  <c r="BL26" i="15"/>
  <c r="BK26" i="15"/>
  <c r="BJ26" i="15"/>
  <c r="BI26" i="15"/>
  <c r="BH26" i="15"/>
  <c r="BG26" i="15"/>
  <c r="BF26" i="15"/>
  <c r="BE26" i="15"/>
  <c r="BD26" i="15"/>
  <c r="BC26" i="15"/>
  <c r="BB26" i="15"/>
  <c r="BA26" i="15"/>
  <c r="AZ26" i="15"/>
  <c r="AY26" i="15"/>
  <c r="AX26" i="15"/>
  <c r="AW26" i="15"/>
  <c r="AV26" i="15"/>
  <c r="AU26" i="15"/>
  <c r="AT26" i="15"/>
  <c r="AS26" i="15"/>
  <c r="AR26" i="15"/>
  <c r="AQ26" i="15"/>
  <c r="AP26" i="15"/>
  <c r="AO26" i="15"/>
  <c r="AN26" i="15"/>
  <c r="AM26" i="15"/>
  <c r="AL26" i="15"/>
  <c r="AK26" i="15"/>
  <c r="AJ26" i="15"/>
  <c r="AI26" i="15"/>
  <c r="AH26" i="15"/>
  <c r="AG26" i="15"/>
  <c r="AF26" i="15"/>
  <c r="AE26" i="15"/>
  <c r="AD26" i="15"/>
  <c r="AC26" i="15"/>
  <c r="AB26" i="15"/>
  <c r="AA26" i="15"/>
  <c r="Z26" i="15"/>
  <c r="Y26" i="15"/>
  <c r="X26" i="15"/>
  <c r="W26" i="15"/>
  <c r="V26" i="15"/>
  <c r="U26" i="15"/>
  <c r="T26" i="15"/>
  <c r="S26" i="15"/>
  <c r="R26" i="15"/>
  <c r="Q26" i="15"/>
  <c r="P26" i="15"/>
  <c r="O26" i="15"/>
  <c r="N26" i="15"/>
  <c r="M26" i="15"/>
  <c r="L26" i="15"/>
  <c r="K26" i="15"/>
  <c r="J26" i="15"/>
  <c r="I26" i="15"/>
  <c r="H26" i="15"/>
  <c r="G26" i="15"/>
  <c r="F26" i="15"/>
  <c r="E26" i="15"/>
  <c r="D26" i="15"/>
  <c r="G31" i="5"/>
  <c r="H31" i="5"/>
  <c r="F31" i="5"/>
  <c r="AB224" i="23" l="1"/>
  <c r="S221" i="23"/>
  <c r="S216" i="23"/>
  <c r="T216" i="23" s="1"/>
  <c r="R225" i="23"/>
  <c r="R293" i="23" s="1"/>
  <c r="E245" i="23"/>
  <c r="E13" i="23" s="1"/>
  <c r="AE253" i="23"/>
  <c r="AG61" i="23"/>
  <c r="AE91" i="23"/>
  <c r="AD104" i="23"/>
  <c r="AD99" i="23"/>
  <c r="AD142" i="23"/>
  <c r="AD206" i="23"/>
  <c r="AD188" i="23"/>
  <c r="AD165" i="23"/>
  <c r="AD156" i="23"/>
  <c r="AB42" i="24"/>
  <c r="D40" i="24"/>
  <c r="E311" i="23"/>
  <c r="D311" i="23"/>
  <c r="C312" i="23"/>
  <c r="AB290" i="23"/>
  <c r="C322" i="23" s="1"/>
  <c r="AD199" i="23"/>
  <c r="AD209" i="23"/>
  <c r="AE209" i="23" s="1"/>
  <c r="AA292" i="23"/>
  <c r="K5" i="23"/>
  <c r="AA289" i="23"/>
  <c r="AB194" i="23"/>
  <c r="B60" i="5"/>
  <c r="G44" i="5"/>
  <c r="H44" i="5"/>
  <c r="I44" i="5"/>
  <c r="J44" i="5"/>
  <c r="K44" i="5"/>
  <c r="L44" i="5"/>
  <c r="M44" i="5"/>
  <c r="N44" i="5"/>
  <c r="O44" i="5"/>
  <c r="F44" i="5"/>
  <c r="B55" i="5"/>
  <c r="B51" i="5"/>
  <c r="B41" i="5"/>
  <c r="B46" i="5"/>
  <c r="E28" i="5"/>
  <c r="J40" i="5"/>
  <c r="K40" i="5"/>
  <c r="L40" i="5"/>
  <c r="M40" i="5"/>
  <c r="N40" i="5"/>
  <c r="O40" i="5"/>
  <c r="P40" i="5"/>
  <c r="I40" i="5"/>
  <c r="I27" i="5"/>
  <c r="I28" i="5" s="1"/>
  <c r="M27" i="5"/>
  <c r="M28" i="5" s="1"/>
  <c r="J27" i="5"/>
  <c r="J28" i="5" s="1"/>
  <c r="K27" i="5"/>
  <c r="K28" i="5" s="1"/>
  <c r="L27" i="5"/>
  <c r="L28" i="5" s="1"/>
  <c r="N27" i="5"/>
  <c r="N28" i="5" s="1"/>
  <c r="O27" i="5"/>
  <c r="O28" i="5" s="1"/>
  <c r="P27" i="5"/>
  <c r="P28" i="5" s="1"/>
  <c r="H26" i="5"/>
  <c r="G26" i="5"/>
  <c r="F26" i="5"/>
  <c r="B28" i="5"/>
  <c r="D13" i="5"/>
  <c r="F13" i="5" s="1"/>
  <c r="Q13" i="5" s="1"/>
  <c r="D15" i="5"/>
  <c r="F15" i="5" s="1"/>
  <c r="Q15" i="5" s="1"/>
  <c r="D17" i="5"/>
  <c r="G17" i="5" s="1"/>
  <c r="D19" i="5"/>
  <c r="G19" i="5" s="1"/>
  <c r="Q19" i="5" s="1"/>
  <c r="D18" i="5"/>
  <c r="G18" i="5" s="1"/>
  <c r="D14" i="5"/>
  <c r="F14" i="5" s="1"/>
  <c r="Q14" i="5" s="1"/>
  <c r="D12" i="5"/>
  <c r="F4" i="15"/>
  <c r="G4" i="15" s="1"/>
  <c r="H4" i="15" s="1"/>
  <c r="I4" i="15" s="1"/>
  <c r="J4" i="15" s="1"/>
  <c r="K4" i="15" s="1"/>
  <c r="L4" i="15" s="1"/>
  <c r="M4" i="15" s="1"/>
  <c r="F5" i="15"/>
  <c r="G5" i="15" s="1"/>
  <c r="H5" i="15" s="1"/>
  <c r="I5" i="15" s="1"/>
  <c r="J5" i="15" s="1"/>
  <c r="K5" i="15" s="1"/>
  <c r="L5" i="15" s="1"/>
  <c r="M5" i="15" s="1"/>
  <c r="E5" i="15"/>
  <c r="E4" i="15"/>
  <c r="E3" i="15"/>
  <c r="F3" i="15" s="1"/>
  <c r="G3" i="15" s="1"/>
  <c r="H3" i="15" s="1"/>
  <c r="I3" i="15" s="1"/>
  <c r="J3" i="15" s="1"/>
  <c r="K3" i="15" s="1"/>
  <c r="L3" i="15" s="1"/>
  <c r="M3" i="15" s="1"/>
  <c r="E2" i="15"/>
  <c r="F2" i="15"/>
  <c r="G2" i="15"/>
  <c r="H2" i="15"/>
  <c r="I2" i="15"/>
  <c r="J2" i="15"/>
  <c r="K2" i="15"/>
  <c r="L2" i="15"/>
  <c r="M2" i="15"/>
  <c r="E1" i="15"/>
  <c r="F1" i="15" s="1"/>
  <c r="G1" i="15" s="1"/>
  <c r="H1" i="15" s="1"/>
  <c r="I1" i="15" s="1"/>
  <c r="J1" i="15" s="1"/>
  <c r="K1" i="15" s="1"/>
  <c r="Q7" i="15"/>
  <c r="R7" i="15"/>
  <c r="S7" i="15"/>
  <c r="T7" i="15"/>
  <c r="U7" i="15"/>
  <c r="V7" i="15"/>
  <c r="W7" i="15"/>
  <c r="X7" i="15"/>
  <c r="Y7" i="15"/>
  <c r="Z7" i="15"/>
  <c r="AA7" i="15"/>
  <c r="AB7" i="15"/>
  <c r="AC7" i="15"/>
  <c r="AD7" i="15"/>
  <c r="AE7" i="15"/>
  <c r="AF7" i="15"/>
  <c r="AG7" i="15"/>
  <c r="AH7" i="15"/>
  <c r="AI7" i="15"/>
  <c r="AJ7" i="15"/>
  <c r="AK7" i="15"/>
  <c r="AL7" i="15"/>
  <c r="AM7" i="15"/>
  <c r="AN7" i="15"/>
  <c r="AO7" i="15"/>
  <c r="AP7" i="15"/>
  <c r="AQ7" i="15"/>
  <c r="AR7" i="15"/>
  <c r="AS7" i="15"/>
  <c r="AT7" i="15"/>
  <c r="AU7" i="15"/>
  <c r="AV7" i="15"/>
  <c r="AW7" i="15"/>
  <c r="AX7" i="15"/>
  <c r="AY7" i="15"/>
  <c r="AZ7" i="15"/>
  <c r="BA7" i="15"/>
  <c r="BB7" i="15"/>
  <c r="BC7" i="15"/>
  <c r="BD7" i="15"/>
  <c r="BE7" i="15"/>
  <c r="BF7" i="15"/>
  <c r="BG7" i="15"/>
  <c r="BH7" i="15"/>
  <c r="BI7" i="15"/>
  <c r="BJ7" i="15"/>
  <c r="BK7" i="15"/>
  <c r="BL7" i="15"/>
  <c r="BM7" i="15"/>
  <c r="BN7" i="15"/>
  <c r="BO7" i="15"/>
  <c r="BP7" i="15"/>
  <c r="BQ7" i="15"/>
  <c r="BR7" i="15"/>
  <c r="BS7" i="15"/>
  <c r="BT7" i="15"/>
  <c r="BU7" i="15"/>
  <c r="BV7" i="15"/>
  <c r="BW7" i="15"/>
  <c r="BX7" i="15"/>
  <c r="BY7" i="15"/>
  <c r="BZ7" i="15"/>
  <c r="CA7" i="15"/>
  <c r="CB7" i="15"/>
  <c r="CC7" i="15"/>
  <c r="CD7" i="15"/>
  <c r="CE7" i="15"/>
  <c r="CF7" i="15"/>
  <c r="CG7" i="15"/>
  <c r="CH7" i="15"/>
  <c r="CI7" i="15"/>
  <c r="CJ7" i="15"/>
  <c r="CK7" i="15"/>
  <c r="CL7" i="15"/>
  <c r="CM7" i="15"/>
  <c r="CN7" i="15"/>
  <c r="CO7" i="15"/>
  <c r="CP7" i="15"/>
  <c r="CQ7" i="15"/>
  <c r="CR7" i="15"/>
  <c r="CS7" i="15"/>
  <c r="CT7" i="15"/>
  <c r="CU7" i="15"/>
  <c r="CV7" i="15"/>
  <c r="CW7" i="15"/>
  <c r="CX7" i="15"/>
  <c r="CY7" i="15"/>
  <c r="CZ7" i="15"/>
  <c r="DA7" i="15"/>
  <c r="DB7" i="15"/>
  <c r="DC7" i="15"/>
  <c r="DD7" i="15"/>
  <c r="DE7" i="15"/>
  <c r="DF7" i="15"/>
  <c r="DG7" i="15"/>
  <c r="DH7" i="15"/>
  <c r="DI7" i="15"/>
  <c r="DJ7" i="15"/>
  <c r="DK7" i="15"/>
  <c r="DL7" i="15"/>
  <c r="DM7" i="15"/>
  <c r="DN7" i="15"/>
  <c r="DO7" i="15"/>
  <c r="DP7" i="15"/>
  <c r="DQ7" i="15"/>
  <c r="DR7" i="15"/>
  <c r="DS7" i="15"/>
  <c r="DT7" i="15"/>
  <c r="DU7" i="15"/>
  <c r="DV7" i="15"/>
  <c r="DW7" i="15"/>
  <c r="DX7" i="15"/>
  <c r="DY7" i="15"/>
  <c r="DZ7" i="15"/>
  <c r="EA7" i="15"/>
  <c r="EB7" i="15"/>
  <c r="EC7" i="15"/>
  <c r="ED7" i="15"/>
  <c r="EE7" i="15"/>
  <c r="D7" i="15"/>
  <c r="E7" i="15"/>
  <c r="F7" i="15"/>
  <c r="G7" i="15"/>
  <c r="H7" i="15"/>
  <c r="I7" i="15"/>
  <c r="J7" i="15"/>
  <c r="K7" i="15"/>
  <c r="L7" i="15"/>
  <c r="M7" i="15"/>
  <c r="N7" i="15"/>
  <c r="O7" i="15"/>
  <c r="P7" i="15"/>
  <c r="D4" i="15"/>
  <c r="D5" i="15"/>
  <c r="D3" i="15"/>
  <c r="H22" i="5"/>
  <c r="H23" i="5" s="1"/>
  <c r="G32" i="5" s="1"/>
  <c r="I22" i="5"/>
  <c r="I23" i="5" s="1"/>
  <c r="H32" i="5" s="1"/>
  <c r="J22" i="5"/>
  <c r="J23" i="5" s="1"/>
  <c r="K22" i="5"/>
  <c r="K23" i="5" s="1"/>
  <c r="L22" i="5"/>
  <c r="L23" i="5" s="1"/>
  <c r="L49" i="5" s="1"/>
  <c r="M22" i="5"/>
  <c r="M23" i="5" s="1"/>
  <c r="M49" i="5" s="1"/>
  <c r="N22" i="5"/>
  <c r="N23" i="5" s="1"/>
  <c r="N49" i="5" s="1"/>
  <c r="O22" i="5"/>
  <c r="O23" i="5" s="1"/>
  <c r="O49" i="5" s="1"/>
  <c r="P22" i="5"/>
  <c r="P23" i="5" s="1"/>
  <c r="P45" i="5" s="1"/>
  <c r="B23" i="5"/>
  <c r="T221" i="23" l="1"/>
  <c r="S222" i="23"/>
  <c r="S217" i="23"/>
  <c r="S225" i="23" s="1"/>
  <c r="S293" i="23" s="1"/>
  <c r="S229" i="23"/>
  <c r="S295" i="23" s="1"/>
  <c r="U216" i="23"/>
  <c r="T217" i="23"/>
  <c r="AB289" i="23"/>
  <c r="C321" i="23" s="1"/>
  <c r="AD194" i="23"/>
  <c r="D322" i="23"/>
  <c r="E322" i="23"/>
  <c r="AF209" i="23"/>
  <c r="D312" i="23"/>
  <c r="E312" i="23"/>
  <c r="Q44" i="5"/>
  <c r="E45" i="5"/>
  <c r="Q20" i="5"/>
  <c r="G22" i="5"/>
  <c r="G23" i="5" s="1"/>
  <c r="F36" i="5"/>
  <c r="E12" i="5"/>
  <c r="F12" i="5" s="1"/>
  <c r="Q12" i="5" s="1"/>
  <c r="D21" i="5"/>
  <c r="E31" i="5"/>
  <c r="Q31" i="5" s="1"/>
  <c r="Q25" i="5"/>
  <c r="H35" i="5"/>
  <c r="H34" i="5"/>
  <c r="F35" i="5"/>
  <c r="F34" i="5"/>
  <c r="Q26" i="5"/>
  <c r="G35" i="5"/>
  <c r="G34" i="5"/>
  <c r="H33" i="5"/>
  <c r="K45" i="5"/>
  <c r="I49" i="5"/>
  <c r="P49" i="5"/>
  <c r="H49" i="5"/>
  <c r="K49" i="5"/>
  <c r="J45" i="5"/>
  <c r="J49" i="5"/>
  <c r="L45" i="5"/>
  <c r="I45" i="5"/>
  <c r="M45" i="5"/>
  <c r="O45" i="5"/>
  <c r="N45" i="5"/>
  <c r="Q18" i="5"/>
  <c r="T222" i="23" l="1"/>
  <c r="T225" i="23" s="1"/>
  <c r="U221" i="23"/>
  <c r="U217" i="23"/>
  <c r="V216" i="23"/>
  <c r="I39" i="24"/>
  <c r="I42" i="24" s="1"/>
  <c r="H213" i="23"/>
  <c r="J39" i="24"/>
  <c r="J42" i="24" s="1"/>
  <c r="I213" i="23"/>
  <c r="K39" i="24"/>
  <c r="K42" i="24" s="1"/>
  <c r="J213" i="23"/>
  <c r="H39" i="24"/>
  <c r="H42" i="24" s="1"/>
  <c r="G213" i="23"/>
  <c r="S39" i="24"/>
  <c r="S42" i="24" s="1"/>
  <c r="R213" i="23"/>
  <c r="G39" i="24"/>
  <c r="F213" i="23"/>
  <c r="AB209" i="23"/>
  <c r="M39" i="24"/>
  <c r="M42" i="24" s="1"/>
  <c r="L213" i="23"/>
  <c r="P39" i="24"/>
  <c r="P42" i="24" s="1"/>
  <c r="O213" i="23"/>
  <c r="F312" i="23"/>
  <c r="F306" i="23"/>
  <c r="F305" i="23"/>
  <c r="F309" i="23"/>
  <c r="F308" i="23"/>
  <c r="F307" i="23"/>
  <c r="F310" i="23"/>
  <c r="N39" i="24"/>
  <c r="N42" i="24" s="1"/>
  <c r="M213" i="23"/>
  <c r="D321" i="23"/>
  <c r="E321" i="23"/>
  <c r="O39" i="24"/>
  <c r="O42" i="24" s="1"/>
  <c r="N213" i="23"/>
  <c r="F311" i="23"/>
  <c r="L39" i="24"/>
  <c r="L42" i="24" s="1"/>
  <c r="K213" i="23"/>
  <c r="R39" i="24"/>
  <c r="R42" i="24" s="1"/>
  <c r="Q213" i="23"/>
  <c r="Q39" i="24"/>
  <c r="Q42" i="24" s="1"/>
  <c r="P213" i="23"/>
  <c r="Q34" i="5"/>
  <c r="Q35" i="5"/>
  <c r="Q17" i="5"/>
  <c r="G49" i="5"/>
  <c r="F32" i="5"/>
  <c r="G33" i="5"/>
  <c r="F22" i="5"/>
  <c r="F23" i="5" s="1"/>
  <c r="Q23" i="5" s="1"/>
  <c r="T293" i="23" l="1"/>
  <c r="T229" i="23"/>
  <c r="T295" i="23" s="1"/>
  <c r="V221" i="23"/>
  <c r="U222" i="23"/>
  <c r="U225" i="23" s="1"/>
  <c r="W216" i="23"/>
  <c r="V217" i="23"/>
  <c r="D39" i="24"/>
  <c r="G42" i="24"/>
  <c r="D42" i="24" s="1"/>
  <c r="F43" i="24" s="1"/>
  <c r="R292" i="23"/>
  <c r="R229" i="23"/>
  <c r="Q292" i="23"/>
  <c r="Q229" i="23"/>
  <c r="I292" i="23"/>
  <c r="I229" i="23"/>
  <c r="P292" i="23"/>
  <c r="P229" i="23"/>
  <c r="N292" i="23"/>
  <c r="N229" i="23"/>
  <c r="H292" i="23"/>
  <c r="H229" i="23"/>
  <c r="G292" i="23"/>
  <c r="G229" i="23"/>
  <c r="M292" i="23"/>
  <c r="M229" i="23"/>
  <c r="O292" i="23"/>
  <c r="O229" i="23"/>
  <c r="J292" i="23"/>
  <c r="J229" i="23"/>
  <c r="K292" i="23"/>
  <c r="K229" i="23"/>
  <c r="L292" i="23"/>
  <c r="L229" i="23"/>
  <c r="F292" i="23"/>
  <c r="F229" i="23"/>
  <c r="AB213" i="23"/>
  <c r="F49" i="5"/>
  <c r="Q49" i="5" s="1"/>
  <c r="E32" i="5"/>
  <c r="Q32" i="5" s="1"/>
  <c r="F33" i="5"/>
  <c r="Q33" i="5" s="1"/>
  <c r="U293" i="23" l="1"/>
  <c r="U229" i="23"/>
  <c r="U295" i="23" s="1"/>
  <c r="W221" i="23"/>
  <c r="V222" i="23"/>
  <c r="V225" i="23" s="1"/>
  <c r="X216" i="23"/>
  <c r="W217" i="23"/>
  <c r="Q295" i="23"/>
  <c r="Q297" i="23" s="1"/>
  <c r="Q298" i="23" s="1"/>
  <c r="M295" i="23"/>
  <c r="M297" i="23" s="1"/>
  <c r="M298" i="23" s="1"/>
  <c r="I295" i="23"/>
  <c r="I297" i="23" s="1"/>
  <c r="I298" i="23" s="1"/>
  <c r="R295" i="23"/>
  <c r="R297" i="23" s="1"/>
  <c r="R298" i="23" s="1"/>
  <c r="L295" i="23"/>
  <c r="L297" i="23" s="1"/>
  <c r="L298" i="23" s="1"/>
  <c r="K295" i="23"/>
  <c r="K297" i="23" s="1"/>
  <c r="K298" i="23" s="1"/>
  <c r="J295" i="23"/>
  <c r="J297" i="23" s="1"/>
  <c r="J298" i="23" s="1"/>
  <c r="O295" i="23"/>
  <c r="O297" i="23" s="1"/>
  <c r="O298" i="23" s="1"/>
  <c r="P295" i="23"/>
  <c r="P297" i="23" s="1"/>
  <c r="P298" i="23" s="1"/>
  <c r="G295" i="23"/>
  <c r="G297" i="23" s="1"/>
  <c r="G298" i="23" s="1"/>
  <c r="H295" i="23"/>
  <c r="H297" i="23" s="1"/>
  <c r="H298" i="23" s="1"/>
  <c r="N295" i="23"/>
  <c r="N297" i="23" s="1"/>
  <c r="N298" i="23" s="1"/>
  <c r="AB292" i="23"/>
  <c r="C324" i="23" s="1"/>
  <c r="AD213" i="23"/>
  <c r="F295" i="23"/>
  <c r="F297" i="23" s="1"/>
  <c r="F298" i="23" s="1"/>
  <c r="F231" i="23"/>
  <c r="G231" i="23" s="1"/>
  <c r="H231" i="23" s="1"/>
  <c r="I231" i="23" s="1"/>
  <c r="J231" i="23" s="1"/>
  <c r="K231" i="23" s="1"/>
  <c r="L231" i="23" s="1"/>
  <c r="C3" i="16"/>
  <c r="D3" i="16" s="1"/>
  <c r="E3" i="16" s="1"/>
  <c r="F3" i="16" s="1"/>
  <c r="G3" i="16" s="1"/>
  <c r="H3" i="16" s="1"/>
  <c r="I3" i="16" s="1"/>
  <c r="J3" i="16" s="1"/>
  <c r="K3" i="16" s="1"/>
  <c r="L3" i="16" s="1"/>
  <c r="M3" i="16" s="1"/>
  <c r="D2" i="16"/>
  <c r="D10" i="15"/>
  <c r="D12" i="15" s="1"/>
  <c r="D9" i="15"/>
  <c r="D30" i="15" s="1"/>
  <c r="C9" i="15"/>
  <c r="E8" i="15"/>
  <c r="L1" i="15"/>
  <c r="M1" i="15" s="1"/>
  <c r="B37" i="14"/>
  <c r="B20" i="14"/>
  <c r="B21" i="14" s="1"/>
  <c r="D16" i="15"/>
  <c r="B9" i="14"/>
  <c r="B10" i="14" s="1"/>
  <c r="E8" i="14"/>
  <c r="F8" i="14" s="1"/>
  <c r="G8" i="14" s="1"/>
  <c r="H8" i="14" s="1"/>
  <c r="I8" i="14" s="1"/>
  <c r="J8" i="14" s="1"/>
  <c r="K8" i="14" s="1"/>
  <c r="L8" i="14" s="1"/>
  <c r="M8" i="14" s="1"/>
  <c r="N8" i="14" s="1"/>
  <c r="O8" i="14" s="1"/>
  <c r="L7" i="14"/>
  <c r="M7" i="14" s="1"/>
  <c r="N7" i="14" s="1"/>
  <c r="O7" i="14" s="1"/>
  <c r="H7" i="14"/>
  <c r="I7" i="14" s="1"/>
  <c r="J7" i="14" s="1"/>
  <c r="K7" i="14" s="1"/>
  <c r="G7" i="14"/>
  <c r="F7" i="14"/>
  <c r="E4" i="14"/>
  <c r="H2" i="14"/>
  <c r="I2" i="14" s="1"/>
  <c r="J2" i="14" s="1"/>
  <c r="K2" i="14" s="1"/>
  <c r="L2" i="14" s="1"/>
  <c r="M2" i="14" s="1"/>
  <c r="N2" i="14" s="1"/>
  <c r="O2" i="14" s="1"/>
  <c r="P2" i="14" s="1"/>
  <c r="G2" i="14"/>
  <c r="F2" i="14"/>
  <c r="G1" i="14"/>
  <c r="H1" i="14" s="1"/>
  <c r="I1" i="14" s="1"/>
  <c r="J1" i="14" s="1"/>
  <c r="K1" i="14" s="1"/>
  <c r="L1" i="14" s="1"/>
  <c r="M1" i="14" s="1"/>
  <c r="N1" i="14" s="1"/>
  <c r="O1" i="14" s="1"/>
  <c r="P1" i="14" s="1"/>
  <c r="V293" i="23" l="1"/>
  <c r="V229" i="23"/>
  <c r="V295" i="23" s="1"/>
  <c r="X221" i="23"/>
  <c r="W222" i="23"/>
  <c r="W225" i="23" s="1"/>
  <c r="Y216" i="23"/>
  <c r="X217" i="23"/>
  <c r="AK231" i="23"/>
  <c r="M231" i="23"/>
  <c r="N231" i="23" s="1"/>
  <c r="O231" i="23" s="1"/>
  <c r="P231" i="23" s="1"/>
  <c r="Q231" i="23" s="1"/>
  <c r="R231" i="23" s="1"/>
  <c r="S231" i="23" s="1"/>
  <c r="T231" i="23" s="1"/>
  <c r="U231" i="23" s="1"/>
  <c r="V231" i="23" s="1"/>
  <c r="D324" i="23"/>
  <c r="E324" i="23"/>
  <c r="D18" i="15"/>
  <c r="D40" i="15" s="1"/>
  <c r="D17" i="15"/>
  <c r="E16" i="15"/>
  <c r="D32" i="15"/>
  <c r="D31" i="15"/>
  <c r="D27" i="15"/>
  <c r="D28" i="15" s="1"/>
  <c r="D22" i="15"/>
  <c r="D23" i="15" s="1"/>
  <c r="D24" i="15" s="1"/>
  <c r="D13" i="15"/>
  <c r="D14" i="15" s="1"/>
  <c r="D11" i="15"/>
  <c r="F8" i="15"/>
  <c r="E9" i="15"/>
  <c r="E10" i="15"/>
  <c r="E2" i="16"/>
  <c r="W229" i="23" l="1"/>
  <c r="W295" i="23" s="1"/>
  <c r="W293" i="23"/>
  <c r="X222" i="23"/>
  <c r="X225" i="23" s="1"/>
  <c r="Y221" i="23"/>
  <c r="W231" i="23"/>
  <c r="Z216" i="23"/>
  <c r="Y217" i="23"/>
  <c r="D33" i="15"/>
  <c r="D19" i="15"/>
  <c r="D20" i="15" s="1"/>
  <c r="E30" i="15"/>
  <c r="F9" i="15"/>
  <c r="D38" i="15"/>
  <c r="F16" i="15"/>
  <c r="F10" i="15"/>
  <c r="G8" i="15"/>
  <c r="D39" i="15"/>
  <c r="E18" i="15"/>
  <c r="E17" i="15"/>
  <c r="F2" i="16"/>
  <c r="E12" i="15"/>
  <c r="E11" i="15"/>
  <c r="X293" i="23" l="1"/>
  <c r="X229" i="23"/>
  <c r="X295" i="23" s="1"/>
  <c r="Z221" i="23"/>
  <c r="Y222" i="23"/>
  <c r="X231" i="23"/>
  <c r="Z217" i="23"/>
  <c r="AA216" i="23"/>
  <c r="AA217" i="23" s="1"/>
  <c r="AB217" i="23" s="1"/>
  <c r="Y225" i="23"/>
  <c r="D35" i="15"/>
  <c r="D37" i="15" s="1"/>
  <c r="G2" i="16"/>
  <c r="F30" i="15"/>
  <c r="G9" i="15"/>
  <c r="F18" i="15"/>
  <c r="F17" i="15"/>
  <c r="E39" i="15"/>
  <c r="E38" i="15"/>
  <c r="E40" i="15"/>
  <c r="E22" i="15"/>
  <c r="E13" i="15"/>
  <c r="G16" i="15"/>
  <c r="H8" i="15"/>
  <c r="G10" i="15"/>
  <c r="E19" i="15"/>
  <c r="F12" i="15"/>
  <c r="F11" i="15"/>
  <c r="E32" i="15"/>
  <c r="E31" i="15"/>
  <c r="AA221" i="23" l="1"/>
  <c r="AA222" i="23" s="1"/>
  <c r="Z222" i="23"/>
  <c r="AB222" i="23" s="1"/>
  <c r="AA225" i="23"/>
  <c r="AA229" i="23" s="1"/>
  <c r="K239" i="23"/>
  <c r="K7" i="23" s="1"/>
  <c r="K9" i="23" s="1"/>
  <c r="K11" i="23" s="1"/>
  <c r="Y293" i="23"/>
  <c r="Y229" i="23"/>
  <c r="AA293" i="23"/>
  <c r="G18" i="15"/>
  <c r="G17" i="15"/>
  <c r="E27" i="15"/>
  <c r="D41" i="15"/>
  <c r="F32" i="15"/>
  <c r="F31" i="15"/>
  <c r="G30" i="15"/>
  <c r="H9" i="15"/>
  <c r="E20" i="15"/>
  <c r="F19" i="15"/>
  <c r="F20" i="15" s="1"/>
  <c r="E33" i="15"/>
  <c r="E14" i="15"/>
  <c r="H2" i="16"/>
  <c r="G12" i="15"/>
  <c r="G11" i="15"/>
  <c r="F39" i="15"/>
  <c r="F40" i="15"/>
  <c r="F38" i="15"/>
  <c r="F27" i="15"/>
  <c r="F28" i="15" s="1"/>
  <c r="F22" i="15"/>
  <c r="F23" i="15" s="1"/>
  <c r="F24" i="15" s="1"/>
  <c r="F13" i="15"/>
  <c r="F14" i="15" s="1"/>
  <c r="H16" i="15"/>
  <c r="H10" i="15"/>
  <c r="I8" i="15"/>
  <c r="E23" i="15"/>
  <c r="Z225" i="23" l="1"/>
  <c r="K241" i="23"/>
  <c r="Y231" i="23"/>
  <c r="Y295" i="23"/>
  <c r="AA295" i="23"/>
  <c r="AD245" i="23"/>
  <c r="K245" i="23"/>
  <c r="K13" i="23" s="1"/>
  <c r="K243" i="23"/>
  <c r="F33" i="15"/>
  <c r="E24" i="15"/>
  <c r="H18" i="15"/>
  <c r="H17" i="15"/>
  <c r="D43" i="15"/>
  <c r="G19" i="15"/>
  <c r="G20" i="15" s="1"/>
  <c r="H12" i="15"/>
  <c r="H11" i="15"/>
  <c r="I2" i="16"/>
  <c r="H30" i="15"/>
  <c r="I9" i="15"/>
  <c r="I10" i="15" s="1"/>
  <c r="F35" i="15"/>
  <c r="I16" i="15"/>
  <c r="J8" i="15"/>
  <c r="G40" i="15"/>
  <c r="G39" i="15"/>
  <c r="G38" i="15"/>
  <c r="G27" i="15"/>
  <c r="G28" i="15" s="1"/>
  <c r="G22" i="15"/>
  <c r="G13" i="15"/>
  <c r="G14" i="15" s="1"/>
  <c r="G32" i="15"/>
  <c r="G31" i="15"/>
  <c r="E28" i="15"/>
  <c r="Z293" i="23" l="1"/>
  <c r="Z229" i="23"/>
  <c r="AB225" i="23"/>
  <c r="AB293" i="23" s="1"/>
  <c r="C325" i="23" s="1"/>
  <c r="E35" i="15"/>
  <c r="E37" i="15" s="1"/>
  <c r="I11" i="15"/>
  <c r="I12" i="15" s="1"/>
  <c r="H40" i="15"/>
  <c r="H38" i="15"/>
  <c r="H39" i="15"/>
  <c r="H23" i="15"/>
  <c r="H24" i="15" s="1"/>
  <c r="H13" i="15"/>
  <c r="H14" i="15" s="1"/>
  <c r="H32" i="15"/>
  <c r="H31" i="15"/>
  <c r="H19" i="15"/>
  <c r="H20" i="15" s="1"/>
  <c r="G23" i="15"/>
  <c r="F37" i="15"/>
  <c r="F41" i="15" s="1"/>
  <c r="F43" i="15" s="1"/>
  <c r="J16" i="15"/>
  <c r="J10" i="15"/>
  <c r="K8" i="15"/>
  <c r="G33" i="15"/>
  <c r="I18" i="15"/>
  <c r="I17" i="15"/>
  <c r="I30" i="15"/>
  <c r="J9" i="15"/>
  <c r="J2" i="16"/>
  <c r="D325" i="23" l="1"/>
  <c r="E325" i="23"/>
  <c r="Z295" i="23"/>
  <c r="AB229" i="23"/>
  <c r="Z231" i="23"/>
  <c r="AA231" i="23" s="1"/>
  <c r="I40" i="15"/>
  <c r="I39" i="15"/>
  <c r="I38" i="15"/>
  <c r="I27" i="15"/>
  <c r="I28" i="15" s="1"/>
  <c r="I13" i="15"/>
  <c r="I14" i="15" s="1"/>
  <c r="K16" i="15"/>
  <c r="L8" i="15"/>
  <c r="K2" i="16"/>
  <c r="I19" i="15"/>
  <c r="I20" i="15" s="1"/>
  <c r="J11" i="15"/>
  <c r="J12" i="15" s="1"/>
  <c r="G24" i="15"/>
  <c r="G35" i="15" s="1"/>
  <c r="E41" i="15"/>
  <c r="J30" i="15"/>
  <c r="K9" i="15"/>
  <c r="J18" i="15"/>
  <c r="J17" i="15"/>
  <c r="H33" i="15"/>
  <c r="I31" i="15"/>
  <c r="I32" i="15"/>
  <c r="H27" i="15"/>
  <c r="AK229" i="23" l="1"/>
  <c r="AK20" i="23" s="1"/>
  <c r="AB295" i="23"/>
  <c r="J40" i="15"/>
  <c r="J39" i="15"/>
  <c r="J38" i="15"/>
  <c r="J23" i="15"/>
  <c r="J24" i="15" s="1"/>
  <c r="J27" i="15"/>
  <c r="J28" i="15" s="1"/>
  <c r="J13" i="15"/>
  <c r="J14" i="15" s="1"/>
  <c r="I33" i="15"/>
  <c r="J19" i="15"/>
  <c r="J20" i="15" s="1"/>
  <c r="E43" i="15"/>
  <c r="L16" i="15"/>
  <c r="M8" i="15"/>
  <c r="H28" i="15"/>
  <c r="K30" i="15"/>
  <c r="L9" i="15"/>
  <c r="K10" i="15"/>
  <c r="G37" i="15"/>
  <c r="J31" i="15"/>
  <c r="J32" i="15"/>
  <c r="L2" i="16"/>
  <c r="K18" i="15"/>
  <c r="K17" i="15"/>
  <c r="I23" i="15"/>
  <c r="AK235" i="23" l="1"/>
  <c r="C327" i="23"/>
  <c r="K32" i="15"/>
  <c r="K31" i="15"/>
  <c r="K19" i="15"/>
  <c r="K20" i="15" s="1"/>
  <c r="J33" i="15"/>
  <c r="J35" i="15" s="1"/>
  <c r="G41" i="15"/>
  <c r="M16" i="15"/>
  <c r="N8" i="15"/>
  <c r="M2" i="16"/>
  <c r="L17" i="15"/>
  <c r="L18" i="15"/>
  <c r="I24" i="15"/>
  <c r="I35" i="15" s="1"/>
  <c r="K11" i="15"/>
  <c r="K12" i="15" s="1"/>
  <c r="L30" i="15"/>
  <c r="M9" i="15"/>
  <c r="H35" i="15"/>
  <c r="L10" i="15"/>
  <c r="E327" i="23" l="1"/>
  <c r="D327" i="23"/>
  <c r="K40" i="15"/>
  <c r="K39" i="15"/>
  <c r="K38" i="15"/>
  <c r="K27" i="15"/>
  <c r="K23" i="15"/>
  <c r="K13" i="15"/>
  <c r="K14" i="15" s="1"/>
  <c r="I37" i="15"/>
  <c r="I41" i="15" s="1"/>
  <c r="I43" i="15" s="1"/>
  <c r="H37" i="15"/>
  <c r="M18" i="15"/>
  <c r="M17" i="15"/>
  <c r="J37" i="15"/>
  <c r="J41" i="15" s="1"/>
  <c r="J43" i="15" s="1"/>
  <c r="K33" i="15"/>
  <c r="L32" i="15"/>
  <c r="L31" i="15"/>
  <c r="N16" i="15"/>
  <c r="N10" i="15"/>
  <c r="O8" i="15"/>
  <c r="G43" i="15"/>
  <c r="M30" i="15"/>
  <c r="N9" i="15"/>
  <c r="L12" i="15"/>
  <c r="L11" i="15"/>
  <c r="L19" i="15"/>
  <c r="L20" i="15" s="1"/>
  <c r="M10" i="15"/>
  <c r="F321" i="23" l="1"/>
  <c r="F327" i="23"/>
  <c r="F325" i="23"/>
  <c r="F316" i="23"/>
  <c r="F315" i="23"/>
  <c r="F323" i="23"/>
  <c r="F317" i="23"/>
  <c r="F326" i="23"/>
  <c r="F318" i="23"/>
  <c r="F324" i="23"/>
  <c r="F320" i="23"/>
  <c r="F319" i="23"/>
  <c r="F322" i="23"/>
  <c r="N12" i="15"/>
  <c r="N11" i="15"/>
  <c r="L40" i="15"/>
  <c r="L39" i="15"/>
  <c r="L38" i="15"/>
  <c r="L27" i="15"/>
  <c r="L28" i="15" s="1"/>
  <c r="L23" i="15"/>
  <c r="L24" i="15" s="1"/>
  <c r="L13" i="15"/>
  <c r="L14" i="15" s="1"/>
  <c r="M32" i="15"/>
  <c r="M31" i="15"/>
  <c r="M19" i="15"/>
  <c r="M20" i="15" s="1"/>
  <c r="K28" i="15"/>
  <c r="M11" i="15"/>
  <c r="M12" i="15" s="1"/>
  <c r="O16" i="15"/>
  <c r="P8" i="15"/>
  <c r="N30" i="15"/>
  <c r="O9" i="15"/>
  <c r="O10" i="15" s="1"/>
  <c r="N18" i="15"/>
  <c r="N17" i="15"/>
  <c r="L33" i="15"/>
  <c r="H41" i="15"/>
  <c r="K24" i="15"/>
  <c r="M33" i="15" l="1"/>
  <c r="K35" i="15"/>
  <c r="K37" i="15" s="1"/>
  <c r="K41" i="15" s="1"/>
  <c r="K43" i="15" s="1"/>
  <c r="O11" i="15"/>
  <c r="O12" i="15"/>
  <c r="M38" i="15"/>
  <c r="M40" i="15"/>
  <c r="M39" i="15"/>
  <c r="M27" i="15"/>
  <c r="M28" i="15" s="1"/>
  <c r="M23" i="15"/>
  <c r="M24" i="15" s="1"/>
  <c r="M13" i="15"/>
  <c r="M14" i="15" s="1"/>
  <c r="O18" i="15"/>
  <c r="O17" i="15"/>
  <c r="N19" i="15"/>
  <c r="N20" i="15" s="1"/>
  <c r="P16" i="15"/>
  <c r="Q8" i="15"/>
  <c r="H43" i="15"/>
  <c r="L35" i="15"/>
  <c r="O30" i="15"/>
  <c r="P9" i="15"/>
  <c r="P10" i="15" s="1"/>
  <c r="N32" i="15"/>
  <c r="N31" i="15"/>
  <c r="N39" i="15"/>
  <c r="N38" i="15"/>
  <c r="N40" i="15"/>
  <c r="N23" i="15"/>
  <c r="N24" i="15" s="1"/>
  <c r="N13" i="15"/>
  <c r="N14" i="15" s="1"/>
  <c r="N27" i="15"/>
  <c r="N28" i="15" s="1"/>
  <c r="M35" i="15" l="1"/>
  <c r="M37" i="15" s="1"/>
  <c r="M41" i="15" s="1"/>
  <c r="M43" i="15" s="1"/>
  <c r="P11" i="15"/>
  <c r="P12" i="15" s="1"/>
  <c r="O40" i="15"/>
  <c r="O39" i="15"/>
  <c r="O38" i="15"/>
  <c r="O27" i="15"/>
  <c r="O28" i="15" s="1"/>
  <c r="O23" i="15"/>
  <c r="O24" i="15" s="1"/>
  <c r="O13" i="15"/>
  <c r="O14" i="15" s="1"/>
  <c r="O32" i="15"/>
  <c r="O31" i="15"/>
  <c r="P18" i="15"/>
  <c r="P17" i="15"/>
  <c r="Q9" i="15"/>
  <c r="L37" i="15"/>
  <c r="L41" i="15" s="1"/>
  <c r="L43" i="15" s="1"/>
  <c r="O19" i="15"/>
  <c r="O20" i="15" s="1"/>
  <c r="N33" i="15"/>
  <c r="N35" i="15" s="1"/>
  <c r="Q16" i="15"/>
  <c r="R8" i="15"/>
  <c r="P40" i="15" l="1"/>
  <c r="P39" i="15"/>
  <c r="P38" i="15"/>
  <c r="P27" i="15"/>
  <c r="P28" i="15" s="1"/>
  <c r="P13" i="15"/>
  <c r="P14" i="15" s="1"/>
  <c r="P23" i="15"/>
  <c r="P24" i="15" s="1"/>
  <c r="R9" i="15"/>
  <c r="Q10" i="15"/>
  <c r="Q18" i="15"/>
  <c r="Q17" i="15"/>
  <c r="R16" i="15"/>
  <c r="S8" i="15"/>
  <c r="N37" i="15"/>
  <c r="N41" i="15" s="1"/>
  <c r="N43" i="15" s="1"/>
  <c r="P19" i="15"/>
  <c r="P20" i="15" s="1"/>
  <c r="O33" i="15"/>
  <c r="O35" i="15" s="1"/>
  <c r="Q11" i="15" l="1"/>
  <c r="Q12" i="15" s="1"/>
  <c r="R18" i="15"/>
  <c r="R17" i="15"/>
  <c r="O37" i="15"/>
  <c r="O41" i="15" s="1"/>
  <c r="O43" i="15" s="1"/>
  <c r="S16" i="15"/>
  <c r="S10" i="15"/>
  <c r="T8" i="15"/>
  <c r="S9" i="15"/>
  <c r="R10" i="15"/>
  <c r="Q19" i="15"/>
  <c r="Q20" i="15" s="1"/>
  <c r="Q40" i="15" l="1"/>
  <c r="Q38" i="15"/>
  <c r="Q39" i="15"/>
  <c r="Q27" i="15"/>
  <c r="Q28" i="15" s="1"/>
  <c r="Q23" i="15"/>
  <c r="Q24" i="15" s="1"/>
  <c r="Q13" i="15"/>
  <c r="Q14" i="15" s="1"/>
  <c r="R11" i="15"/>
  <c r="R12" i="15" s="1"/>
  <c r="T16" i="15"/>
  <c r="U8" i="15"/>
  <c r="T9" i="15"/>
  <c r="R19" i="15"/>
  <c r="R20" i="15" s="1"/>
  <c r="S11" i="15"/>
  <c r="S12" i="15" s="1"/>
  <c r="S18" i="15"/>
  <c r="S17" i="15"/>
  <c r="S40" i="15" l="1"/>
  <c r="S39" i="15"/>
  <c r="S38" i="15"/>
  <c r="S27" i="15"/>
  <c r="S28" i="15" s="1"/>
  <c r="S23" i="15"/>
  <c r="S24" i="15" s="1"/>
  <c r="S13" i="15"/>
  <c r="S14" i="15" s="1"/>
  <c r="U16" i="15"/>
  <c r="V8" i="15"/>
  <c r="S19" i="15"/>
  <c r="S20" i="15" s="1"/>
  <c r="U9" i="15"/>
  <c r="U10" i="15" s="1"/>
  <c r="T18" i="15"/>
  <c r="T17" i="15"/>
  <c r="R40" i="15"/>
  <c r="R38" i="15"/>
  <c r="R39" i="15"/>
  <c r="R27" i="15"/>
  <c r="R28" i="15" s="1"/>
  <c r="R23" i="15"/>
  <c r="R24" i="15" s="1"/>
  <c r="R13" i="15"/>
  <c r="R14" i="15" s="1"/>
  <c r="T10" i="15"/>
  <c r="U11" i="15" l="1"/>
  <c r="U12" i="15" s="1"/>
  <c r="U18" i="15"/>
  <c r="U17" i="15"/>
  <c r="V16" i="15"/>
  <c r="W8" i="15"/>
  <c r="T11" i="15"/>
  <c r="T12" i="15" s="1"/>
  <c r="T19" i="15"/>
  <c r="T20" i="15" s="1"/>
  <c r="V9" i="15"/>
  <c r="U39" i="15" l="1"/>
  <c r="U38" i="15"/>
  <c r="U40" i="15"/>
  <c r="U27" i="15"/>
  <c r="U28" i="15" s="1"/>
  <c r="U23" i="15"/>
  <c r="U24" i="15" s="1"/>
  <c r="U13" i="15"/>
  <c r="U14" i="15" s="1"/>
  <c r="T40" i="15"/>
  <c r="T39" i="15"/>
  <c r="T38" i="15"/>
  <c r="T27" i="15"/>
  <c r="T28" i="15" s="1"/>
  <c r="T23" i="15"/>
  <c r="T24" i="15" s="1"/>
  <c r="T13" i="15"/>
  <c r="T14" i="15" s="1"/>
  <c r="W16" i="15"/>
  <c r="X8" i="15"/>
  <c r="W9" i="15"/>
  <c r="W10" i="15" s="1"/>
  <c r="V10" i="15"/>
  <c r="V18" i="15"/>
  <c r="V17" i="15"/>
  <c r="U19" i="15"/>
  <c r="U20" i="15" s="1"/>
  <c r="W11" i="15" l="1"/>
  <c r="W12" i="15" s="1"/>
  <c r="V19" i="15"/>
  <c r="V20" i="15" s="1"/>
  <c r="W18" i="15"/>
  <c r="W17" i="15"/>
  <c r="V11" i="15"/>
  <c r="V12" i="15" s="1"/>
  <c r="U33" i="15"/>
  <c r="U35" i="15" s="1"/>
  <c r="X9" i="15"/>
  <c r="X10" i="15" s="1"/>
  <c r="X16" i="15"/>
  <c r="Y8" i="15"/>
  <c r="X11" i="15" l="1"/>
  <c r="X12" i="15" s="1"/>
  <c r="V40" i="15"/>
  <c r="V39" i="15"/>
  <c r="V38" i="15"/>
  <c r="V27" i="15"/>
  <c r="V28" i="15" s="1"/>
  <c r="V23" i="15"/>
  <c r="V24" i="15" s="1"/>
  <c r="V13" i="15"/>
  <c r="V14" i="15" s="1"/>
  <c r="W40" i="15"/>
  <c r="W39" i="15"/>
  <c r="W38" i="15"/>
  <c r="W27" i="15"/>
  <c r="W28" i="15" s="1"/>
  <c r="W23" i="15"/>
  <c r="W24" i="15" s="1"/>
  <c r="W13" i="15"/>
  <c r="W14" i="15" s="1"/>
  <c r="U37" i="15"/>
  <c r="U41" i="15" s="1"/>
  <c r="U43" i="15" s="1"/>
  <c r="W19" i="15"/>
  <c r="W20" i="15" s="1"/>
  <c r="X18" i="15"/>
  <c r="X17" i="15"/>
  <c r="V33" i="15"/>
  <c r="Y16" i="15"/>
  <c r="Z8" i="15"/>
  <c r="Y9" i="15"/>
  <c r="Y10" i="15" s="1"/>
  <c r="Y11" i="15" l="1"/>
  <c r="Y12" i="15" s="1"/>
  <c r="Y18" i="15"/>
  <c r="Y17" i="15"/>
  <c r="X40" i="15"/>
  <c r="X39" i="15"/>
  <c r="X38" i="15"/>
  <c r="X27" i="15"/>
  <c r="X28" i="15" s="1"/>
  <c r="X23" i="15"/>
  <c r="X24" i="15" s="1"/>
  <c r="X13" i="15"/>
  <c r="X14" i="15" s="1"/>
  <c r="V35" i="15"/>
  <c r="X19" i="15"/>
  <c r="X20" i="15" s="1"/>
  <c r="Z9" i="15"/>
  <c r="Z10" i="15" s="1"/>
  <c r="Z16" i="15"/>
  <c r="AA8" i="15"/>
  <c r="W33" i="15"/>
  <c r="W35" i="15" s="1"/>
  <c r="Z11" i="15" l="1"/>
  <c r="Z12" i="15" s="1"/>
  <c r="Y19" i="15"/>
  <c r="Y20" i="15" s="1"/>
  <c r="Y40" i="15"/>
  <c r="Y39" i="15"/>
  <c r="Y38" i="15"/>
  <c r="Y23" i="15"/>
  <c r="Y24" i="15" s="1"/>
  <c r="Y27" i="15"/>
  <c r="Y28" i="15" s="1"/>
  <c r="Y13" i="15"/>
  <c r="Y14" i="15" s="1"/>
  <c r="X33" i="15"/>
  <c r="X35" i="15" s="1"/>
  <c r="AA16" i="15"/>
  <c r="AB8" i="15"/>
  <c r="W37" i="15"/>
  <c r="W41" i="15" s="1"/>
  <c r="W43" i="15" s="1"/>
  <c r="Z18" i="15"/>
  <c r="Z17" i="15"/>
  <c r="AA9" i="15"/>
  <c r="V37" i="15"/>
  <c r="V41" i="15" s="1"/>
  <c r="V43" i="15" s="1"/>
  <c r="Y33" i="15" l="1"/>
  <c r="Y35" i="15" s="1"/>
  <c r="Z40" i="15"/>
  <c r="Z39" i="15"/>
  <c r="Z23" i="15"/>
  <c r="Z24" i="15" s="1"/>
  <c r="Z38" i="15"/>
  <c r="Z27" i="15"/>
  <c r="Z28" i="15" s="1"/>
  <c r="Z13" i="15"/>
  <c r="Z14" i="15" s="1"/>
  <c r="AB9" i="15"/>
  <c r="AB16" i="15" s="1"/>
  <c r="AA17" i="15"/>
  <c r="AA18" i="15" s="1"/>
  <c r="AC8" i="15"/>
  <c r="X37" i="15"/>
  <c r="X41" i="15" s="1"/>
  <c r="X43" i="15" s="1"/>
  <c r="Z19" i="15"/>
  <c r="Z20" i="15" s="1"/>
  <c r="AA10" i="15"/>
  <c r="Z33" i="15" l="1"/>
  <c r="Z35" i="15" s="1"/>
  <c r="AB17" i="15"/>
  <c r="AB18" i="15" s="1"/>
  <c r="AA19" i="15"/>
  <c r="AA20" i="15" s="1"/>
  <c r="AB10" i="15"/>
  <c r="Y37" i="15"/>
  <c r="Y41" i="15" s="1"/>
  <c r="Y43" i="15" s="1"/>
  <c r="AD8" i="15"/>
  <c r="AA11" i="15"/>
  <c r="AA12" i="15" s="1"/>
  <c r="AC9" i="15"/>
  <c r="AC16" i="15" s="1"/>
  <c r="AA40" i="15" l="1"/>
  <c r="AA39" i="15"/>
  <c r="AA38" i="15"/>
  <c r="AA27" i="15"/>
  <c r="AA28" i="15" s="1"/>
  <c r="AA23" i="15"/>
  <c r="AA24" i="15" s="1"/>
  <c r="AA13" i="15"/>
  <c r="AA14" i="15" s="1"/>
  <c r="AC17" i="15"/>
  <c r="AC18" i="15" s="1"/>
  <c r="AB19" i="15"/>
  <c r="AB20" i="15" s="1"/>
  <c r="AE8" i="15"/>
  <c r="Z37" i="15"/>
  <c r="Z41" i="15" s="1"/>
  <c r="Z43" i="15" s="1"/>
  <c r="AC10" i="15"/>
  <c r="AD9" i="15"/>
  <c r="AD10" i="15" s="1"/>
  <c r="AA33" i="15"/>
  <c r="AB11" i="15"/>
  <c r="AB12" i="15" s="1"/>
  <c r="AB40" i="15" l="1"/>
  <c r="AB39" i="15"/>
  <c r="AB38" i="15"/>
  <c r="AB27" i="15"/>
  <c r="AB28" i="15" s="1"/>
  <c r="AB23" i="15"/>
  <c r="AB24" i="15" s="1"/>
  <c r="AB13" i="15"/>
  <c r="AB14" i="15" s="1"/>
  <c r="AC19" i="15"/>
  <c r="AC20" i="15" s="1"/>
  <c r="AD11" i="15"/>
  <c r="AD12" i="15" s="1"/>
  <c r="AC11" i="15"/>
  <c r="AC12" i="15" s="1"/>
  <c r="AF8" i="15"/>
  <c r="AA35" i="15"/>
  <c r="AE9" i="15"/>
  <c r="AD16" i="15"/>
  <c r="AD23" i="15" l="1"/>
  <c r="AD24" i="15" s="1"/>
  <c r="AD27" i="15"/>
  <c r="AD28" i="15" s="1"/>
  <c r="AD13" i="15"/>
  <c r="AD14" i="15" s="1"/>
  <c r="AC38" i="15"/>
  <c r="AC40" i="15"/>
  <c r="AC39" i="15"/>
  <c r="AC27" i="15"/>
  <c r="AC28" i="15" s="1"/>
  <c r="AC23" i="15"/>
  <c r="AC24" i="15" s="1"/>
  <c r="AC13" i="15"/>
  <c r="AC14" i="15" s="1"/>
  <c r="AA37" i="15"/>
  <c r="AA41" i="15" s="1"/>
  <c r="AA43" i="15" s="1"/>
  <c r="AD17" i="15"/>
  <c r="AD18" i="15" s="1"/>
  <c r="AG8" i="15"/>
  <c r="AF9" i="15"/>
  <c r="AE10" i="15"/>
  <c r="AE16" i="15"/>
  <c r="AD19" i="15" l="1"/>
  <c r="AD20" i="15" s="1"/>
  <c r="AD39" i="15"/>
  <c r="AD38" i="15"/>
  <c r="AD40" i="15"/>
  <c r="AG9" i="15"/>
  <c r="AE18" i="15"/>
  <c r="AE17" i="15"/>
  <c r="AE11" i="15"/>
  <c r="AE12" i="15" s="1"/>
  <c r="AG16" i="15"/>
  <c r="AG10" i="15"/>
  <c r="AH8" i="15"/>
  <c r="AF10" i="15"/>
  <c r="AF16" i="15"/>
  <c r="AE40" i="15" l="1"/>
  <c r="AE39" i="15"/>
  <c r="AE27" i="15"/>
  <c r="AE28" i="15" s="1"/>
  <c r="AE38" i="15"/>
  <c r="AE23" i="15"/>
  <c r="AE24" i="15" s="1"/>
  <c r="AE13" i="15"/>
  <c r="AE14" i="15" s="1"/>
  <c r="AG17" i="15"/>
  <c r="AG18" i="15" s="1"/>
  <c r="AE19" i="15"/>
  <c r="AE20" i="15" s="1"/>
  <c r="AH16" i="15"/>
  <c r="AI8" i="15"/>
  <c r="AH9" i="15"/>
  <c r="AF17" i="15"/>
  <c r="AF18" i="15" s="1"/>
  <c r="AF11" i="15"/>
  <c r="AF12" i="15" s="1"/>
  <c r="AG11" i="15"/>
  <c r="AG12" i="15" s="1"/>
  <c r="AG22" i="15" l="1"/>
  <c r="AG23" i="15" s="1"/>
  <c r="AG24" i="15" s="1"/>
  <c r="AF19" i="15"/>
  <c r="AF20" i="15" s="1"/>
  <c r="AF40" i="15"/>
  <c r="AF39" i="15"/>
  <c r="AF38" i="15"/>
  <c r="AF27" i="15"/>
  <c r="AF28" i="15" s="1"/>
  <c r="AF13" i="15"/>
  <c r="AF14" i="15" s="1"/>
  <c r="AF23" i="15"/>
  <c r="AF24" i="15" s="1"/>
  <c r="AG19" i="15"/>
  <c r="AG20" i="15" s="1"/>
  <c r="AH17" i="15"/>
  <c r="AH18" i="15" s="1"/>
  <c r="AJ8" i="15"/>
  <c r="AI9" i="15"/>
  <c r="AH10" i="15"/>
  <c r="AG40" i="15"/>
  <c r="AG38" i="15"/>
  <c r="AG39" i="15"/>
  <c r="AG27" i="15"/>
  <c r="AG28" i="15" s="1"/>
  <c r="AG13" i="15"/>
  <c r="AG14" i="15" s="1"/>
  <c r="AG33" i="15" l="1"/>
  <c r="AG35" i="15" s="1"/>
  <c r="AH11" i="15"/>
  <c r="AH12" i="15" s="1"/>
  <c r="AH22" i="15" s="1"/>
  <c r="AK8" i="15"/>
  <c r="AH19" i="15"/>
  <c r="AH20" i="15" s="1"/>
  <c r="AJ9" i="15"/>
  <c r="AJ10" i="15" s="1"/>
  <c r="AI10" i="15"/>
  <c r="AI16" i="15"/>
  <c r="AH40" i="15" l="1"/>
  <c r="AH39" i="15"/>
  <c r="AH38" i="15"/>
  <c r="AH27" i="15"/>
  <c r="AH28" i="15" s="1"/>
  <c r="AH23" i="15"/>
  <c r="AH24" i="15" s="1"/>
  <c r="AH13" i="15"/>
  <c r="AH14" i="15" s="1"/>
  <c r="AJ11" i="15"/>
  <c r="AJ12" i="15" s="1"/>
  <c r="AI17" i="15"/>
  <c r="AI18" i="15" s="1"/>
  <c r="AL8" i="15"/>
  <c r="AH33" i="15"/>
  <c r="AK9" i="15"/>
  <c r="AG37" i="15"/>
  <c r="AG41" i="15" s="1"/>
  <c r="AG43" i="15" s="1"/>
  <c r="AI11" i="15"/>
  <c r="AI12" i="15" s="1"/>
  <c r="AJ16" i="15"/>
  <c r="AI22" i="15" l="1"/>
  <c r="AI23" i="15" s="1"/>
  <c r="AI24" i="15" s="1"/>
  <c r="AI19" i="15"/>
  <c r="AI20" i="15" s="1"/>
  <c r="AJ13" i="15"/>
  <c r="AJ14" i="15" s="1"/>
  <c r="AJ27" i="15"/>
  <c r="AJ28" i="15" s="1"/>
  <c r="AI40" i="15"/>
  <c r="AI39" i="15"/>
  <c r="AI38" i="15"/>
  <c r="AI27" i="15"/>
  <c r="AI28" i="15" s="1"/>
  <c r="AI13" i="15"/>
  <c r="AI14" i="15" s="1"/>
  <c r="AJ17" i="15"/>
  <c r="AJ18" i="15" s="1"/>
  <c r="AJ22" i="15" s="1"/>
  <c r="AJ23" i="15" s="1"/>
  <c r="AJ24" i="15" s="1"/>
  <c r="AL9" i="15"/>
  <c r="AM8" i="15"/>
  <c r="AI33" i="15"/>
  <c r="AK10" i="15"/>
  <c r="AH35" i="15"/>
  <c r="AK16" i="15"/>
  <c r="AJ33" i="15" l="1"/>
  <c r="AJ19" i="15"/>
  <c r="AJ20" i="15" s="1"/>
  <c r="AJ38" i="15"/>
  <c r="AJ39" i="15"/>
  <c r="AJ40" i="15"/>
  <c r="AM9" i="15"/>
  <c r="AM16" i="15" s="1"/>
  <c r="AM10" i="15"/>
  <c r="AN8" i="15"/>
  <c r="AK11" i="15"/>
  <c r="AK12" i="15" s="1"/>
  <c r="AL10" i="15"/>
  <c r="AK17" i="15"/>
  <c r="AK18" i="15" s="1"/>
  <c r="AH37" i="15"/>
  <c r="AH41" i="15" s="1"/>
  <c r="AH43" i="15" s="1"/>
  <c r="AI35" i="15"/>
  <c r="AL16" i="15"/>
  <c r="AJ35" i="15" l="1"/>
  <c r="AK22" i="15"/>
  <c r="AK23" i="15" s="1"/>
  <c r="AK24" i="15" s="1"/>
  <c r="AK19" i="15"/>
  <c r="AK20" i="15" s="1"/>
  <c r="AM11" i="15"/>
  <c r="AM12" i="15" s="1"/>
  <c r="AK39" i="15"/>
  <c r="AK38" i="15"/>
  <c r="AK40" i="15"/>
  <c r="AK27" i="15"/>
  <c r="AK28" i="15" s="1"/>
  <c r="AK13" i="15"/>
  <c r="AK14" i="15" s="1"/>
  <c r="AM17" i="15"/>
  <c r="AM18" i="15" s="1"/>
  <c r="AJ37" i="15"/>
  <c r="AJ41" i="15" s="1"/>
  <c r="AJ43" i="15" s="1"/>
  <c r="AL11" i="15"/>
  <c r="AL12" i="15" s="1"/>
  <c r="AK33" i="15"/>
  <c r="AO8" i="15"/>
  <c r="AN9" i="15"/>
  <c r="AL17" i="15"/>
  <c r="AL18" i="15" s="1"/>
  <c r="AI37" i="15"/>
  <c r="AI41" i="15" s="1"/>
  <c r="AI43" i="15" s="1"/>
  <c r="AL22" i="15" l="1"/>
  <c r="AL23" i="15" s="1"/>
  <c r="AL24" i="15" s="1"/>
  <c r="AM22" i="15"/>
  <c r="AM23" i="15" s="1"/>
  <c r="AM24" i="15" s="1"/>
  <c r="AO9" i="15"/>
  <c r="AL39" i="15"/>
  <c r="AL40" i="15"/>
  <c r="AL38" i="15"/>
  <c r="AL27" i="15"/>
  <c r="AL28" i="15" s="1"/>
  <c r="AL13" i="15"/>
  <c r="AL14" i="15" s="1"/>
  <c r="AM40" i="15"/>
  <c r="AM38" i="15"/>
  <c r="AM39" i="15"/>
  <c r="AM27" i="15"/>
  <c r="AM28" i="15" s="1"/>
  <c r="AM13" i="15"/>
  <c r="AM14" i="15" s="1"/>
  <c r="AN16" i="15"/>
  <c r="AN10" i="15"/>
  <c r="AM19" i="15"/>
  <c r="AM20" i="15" s="1"/>
  <c r="AL33" i="15"/>
  <c r="AK35" i="15"/>
  <c r="AL19" i="15"/>
  <c r="AL20" i="15" s="1"/>
  <c r="AO16" i="15"/>
  <c r="AO10" i="15"/>
  <c r="AP8" i="15"/>
  <c r="AM33" i="15" l="1"/>
  <c r="AO11" i="15"/>
  <c r="AO12" i="15" s="1"/>
  <c r="AK37" i="15"/>
  <c r="AK41" i="15" s="1"/>
  <c r="AK43" i="15" s="1"/>
  <c r="AN11" i="15"/>
  <c r="AN12" i="15" s="1"/>
  <c r="AO17" i="15"/>
  <c r="AO18" i="15" s="1"/>
  <c r="AL35" i="15"/>
  <c r="AN17" i="15"/>
  <c r="AN18" i="15" s="1"/>
  <c r="AM35" i="15"/>
  <c r="AP9" i="15"/>
  <c r="AP16" i="15" s="1"/>
  <c r="AQ8" i="15"/>
  <c r="AN22" i="15" l="1"/>
  <c r="AN23" i="15" s="1"/>
  <c r="AN24" i="15" s="1"/>
  <c r="AO22" i="15"/>
  <c r="AO23" i="15" s="1"/>
  <c r="AO24" i="15" s="1"/>
  <c r="AP17" i="15"/>
  <c r="AP18" i="15" s="1"/>
  <c r="AO19" i="15"/>
  <c r="AO20" i="15" s="1"/>
  <c r="AQ16" i="15"/>
  <c r="AR8" i="15"/>
  <c r="AM37" i="15"/>
  <c r="AM41" i="15" s="1"/>
  <c r="AM43" i="15" s="1"/>
  <c r="AL37" i="15"/>
  <c r="AL41" i="15" s="1"/>
  <c r="AL43" i="15" s="1"/>
  <c r="AN40" i="15"/>
  <c r="AN39" i="15"/>
  <c r="AN38" i="15"/>
  <c r="AN27" i="15"/>
  <c r="AN28" i="15" s="1"/>
  <c r="AN13" i="15"/>
  <c r="AN14" i="15" s="1"/>
  <c r="AO40" i="15"/>
  <c r="AO39" i="15"/>
  <c r="AO38" i="15"/>
  <c r="AO13" i="15"/>
  <c r="AO14" i="15" s="1"/>
  <c r="AO27" i="15"/>
  <c r="AO28" i="15" s="1"/>
  <c r="AP10" i="15"/>
  <c r="AQ9" i="15"/>
  <c r="AN19" i="15"/>
  <c r="AN20" i="15" s="1"/>
  <c r="AQ17" i="15" l="1"/>
  <c r="AQ18" i="15" s="1"/>
  <c r="AR9" i="15"/>
  <c r="AR10" i="15"/>
  <c r="AS8" i="15"/>
  <c r="AR16" i="15"/>
  <c r="AP11" i="15"/>
  <c r="AP12" i="15" s="1"/>
  <c r="AP22" i="15" s="1"/>
  <c r="AQ10" i="15"/>
  <c r="AP19" i="15"/>
  <c r="AP20" i="15" s="1"/>
  <c r="AR17" i="15" l="1"/>
  <c r="AR18" i="15" s="1"/>
  <c r="AP40" i="15"/>
  <c r="AP39" i="15"/>
  <c r="AP38" i="15"/>
  <c r="AP23" i="15"/>
  <c r="AP24" i="15" s="1"/>
  <c r="AP27" i="15"/>
  <c r="AP28" i="15" s="1"/>
  <c r="AP13" i="15"/>
  <c r="AP14" i="15" s="1"/>
  <c r="AQ19" i="15"/>
  <c r="AQ20" i="15" s="1"/>
  <c r="AQ11" i="15"/>
  <c r="AQ12" i="15" s="1"/>
  <c r="AQ22" i="15" s="1"/>
  <c r="AT8" i="15"/>
  <c r="AS9" i="15"/>
  <c r="AS10" i="15" s="1"/>
  <c r="AR11" i="15"/>
  <c r="AR12" i="15" s="1"/>
  <c r="AR22" i="15" l="1"/>
  <c r="AR23" i="15" s="1"/>
  <c r="AR24" i="15" s="1"/>
  <c r="AR40" i="15"/>
  <c r="AR39" i="15"/>
  <c r="AR38" i="15"/>
  <c r="AR27" i="15"/>
  <c r="AR28" i="15" s="1"/>
  <c r="AR13" i="15"/>
  <c r="AR14" i="15" s="1"/>
  <c r="AS11" i="15"/>
  <c r="AS12" i="15" s="1"/>
  <c r="AQ40" i="15"/>
  <c r="AQ39" i="15"/>
  <c r="AQ38" i="15"/>
  <c r="AQ27" i="15"/>
  <c r="AQ28" i="15" s="1"/>
  <c r="AQ23" i="15"/>
  <c r="AQ24" i="15" s="1"/>
  <c r="AQ13" i="15"/>
  <c r="AQ14" i="15" s="1"/>
  <c r="AR19" i="15"/>
  <c r="AR20" i="15" s="1"/>
  <c r="AU8" i="15"/>
  <c r="AT9" i="15"/>
  <c r="AS16" i="15"/>
  <c r="AS17" i="15" l="1"/>
  <c r="AS18" i="15" s="1"/>
  <c r="AS22" i="15" s="1"/>
  <c r="AS23" i="15" s="1"/>
  <c r="AS24" i="15" s="1"/>
  <c r="AS27" i="15"/>
  <c r="AS28" i="15" s="1"/>
  <c r="AS13" i="15"/>
  <c r="AS14" i="15" s="1"/>
  <c r="AU9" i="15"/>
  <c r="AU16" i="15"/>
  <c r="AV8" i="15"/>
  <c r="AT10" i="15"/>
  <c r="AT16" i="15"/>
  <c r="AS33" i="15" l="1"/>
  <c r="AS19" i="15"/>
  <c r="AS20" i="15" s="1"/>
  <c r="AS39" i="15"/>
  <c r="AS38" i="15"/>
  <c r="AS40" i="15"/>
  <c r="AV10" i="15"/>
  <c r="AW8" i="15"/>
  <c r="AT11" i="15"/>
  <c r="AT12" i="15" s="1"/>
  <c r="AU17" i="15"/>
  <c r="AU18" i="15" s="1"/>
  <c r="AV9" i="15"/>
  <c r="AT17" i="15"/>
  <c r="AT18" i="15" s="1"/>
  <c r="AU10" i="15"/>
  <c r="AS35" i="15" l="1"/>
  <c r="AS37" i="15" s="1"/>
  <c r="AS41" i="15" s="1"/>
  <c r="AS43" i="15" s="1"/>
  <c r="AT22" i="15"/>
  <c r="AT23" i="15" s="1"/>
  <c r="AT24" i="15" s="1"/>
  <c r="AU19" i="15"/>
  <c r="AU20" i="15" s="1"/>
  <c r="AT39" i="15"/>
  <c r="AT38" i="15"/>
  <c r="AT40" i="15"/>
  <c r="AT13" i="15"/>
  <c r="AT14" i="15" s="1"/>
  <c r="AT27" i="15"/>
  <c r="AT28" i="15" s="1"/>
  <c r="AV11" i="15"/>
  <c r="AV12" i="15" s="1"/>
  <c r="AW9" i="15"/>
  <c r="AW16" i="15" s="1"/>
  <c r="AT19" i="15"/>
  <c r="AT20" i="15" s="1"/>
  <c r="AX8" i="15"/>
  <c r="AU11" i="15"/>
  <c r="AU12" i="15" s="1"/>
  <c r="AU22" i="15" s="1"/>
  <c r="AT33" i="15"/>
  <c r="AV16" i="15"/>
  <c r="AU33" i="15" l="1"/>
  <c r="AU40" i="15"/>
  <c r="AU39" i="15"/>
  <c r="AU27" i="15"/>
  <c r="AU28" i="15" s="1"/>
  <c r="AU38" i="15"/>
  <c r="AU23" i="15"/>
  <c r="AU24" i="15" s="1"/>
  <c r="AU13" i="15"/>
  <c r="AU14" i="15" s="1"/>
  <c r="AW17" i="15"/>
  <c r="AW18" i="15" s="1"/>
  <c r="AV27" i="15"/>
  <c r="AV28" i="15" s="1"/>
  <c r="AV13" i="15"/>
  <c r="AV14" i="15" s="1"/>
  <c r="AT35" i="15"/>
  <c r="AY8" i="15"/>
  <c r="AV17" i="15"/>
  <c r="AV18" i="15" s="1"/>
  <c r="AV22" i="15" s="1"/>
  <c r="AV23" i="15" s="1"/>
  <c r="AV24" i="15" s="1"/>
  <c r="AX9" i="15"/>
  <c r="AX16" i="15" s="1"/>
  <c r="AW10" i="15"/>
  <c r="AU35" i="15" l="1"/>
  <c r="AU37" i="15" s="1"/>
  <c r="AU41" i="15" s="1"/>
  <c r="AU43" i="15" s="1"/>
  <c r="AW19" i="15"/>
  <c r="AW20" i="15" s="1"/>
  <c r="AX17" i="15"/>
  <c r="AX18" i="15" s="1"/>
  <c r="AV19" i="15"/>
  <c r="AV20" i="15" s="1"/>
  <c r="AV40" i="15"/>
  <c r="AV39" i="15"/>
  <c r="AV38" i="15"/>
  <c r="AZ8" i="15"/>
  <c r="AY9" i="15"/>
  <c r="AY10" i="15" s="1"/>
  <c r="AT37" i="15"/>
  <c r="AT41" i="15" s="1"/>
  <c r="AT43" i="15" s="1"/>
  <c r="AV33" i="15"/>
  <c r="AX10" i="15"/>
  <c r="AW11" i="15"/>
  <c r="AW12" i="15" s="1"/>
  <c r="AW22" i="15" s="1"/>
  <c r="AY11" i="15" l="1"/>
  <c r="AY12" i="15" s="1"/>
  <c r="AW40" i="15"/>
  <c r="AW38" i="15"/>
  <c r="AW39" i="15"/>
  <c r="AW27" i="15"/>
  <c r="AW28" i="15" s="1"/>
  <c r="AW23" i="15"/>
  <c r="AW24" i="15" s="1"/>
  <c r="AW13" i="15"/>
  <c r="AW14" i="15" s="1"/>
  <c r="AX19" i="15"/>
  <c r="AX20" i="15" s="1"/>
  <c r="AX11" i="15"/>
  <c r="AX12" i="15" s="1"/>
  <c r="AX22" i="15" s="1"/>
  <c r="AV35" i="15"/>
  <c r="AW33" i="15"/>
  <c r="AZ9" i="15"/>
  <c r="AZ10" i="15" s="1"/>
  <c r="AZ16" i="15"/>
  <c r="BA8" i="15"/>
  <c r="AY16" i="15"/>
  <c r="AX33" i="15" l="1"/>
  <c r="AX40" i="15"/>
  <c r="AX38" i="15"/>
  <c r="AX39" i="15"/>
  <c r="AX27" i="15"/>
  <c r="AX28" i="15" s="1"/>
  <c r="AX23" i="15"/>
  <c r="AX24" i="15" s="1"/>
  <c r="AX13" i="15"/>
  <c r="AX14" i="15" s="1"/>
  <c r="AZ11" i="15"/>
  <c r="AZ12" i="15" s="1"/>
  <c r="AY27" i="15"/>
  <c r="AY28" i="15" s="1"/>
  <c r="AY13" i="15"/>
  <c r="AY14" i="15" s="1"/>
  <c r="AV37" i="15"/>
  <c r="AV41" i="15" s="1"/>
  <c r="AV43" i="15" s="1"/>
  <c r="BA10" i="15"/>
  <c r="BB8" i="15"/>
  <c r="AY33" i="15"/>
  <c r="AZ17" i="15"/>
  <c r="AZ18" i="15" s="1"/>
  <c r="AY17" i="15"/>
  <c r="AY18" i="15" s="1"/>
  <c r="AY22" i="15" s="1"/>
  <c r="AY23" i="15" s="1"/>
  <c r="AY24" i="15" s="1"/>
  <c r="AW35" i="15"/>
  <c r="BA9" i="15"/>
  <c r="AZ22" i="15" l="1"/>
  <c r="AZ23" i="15" s="1"/>
  <c r="AZ24" i="15" s="1"/>
  <c r="AX35" i="15"/>
  <c r="AX37" i="15" s="1"/>
  <c r="AX41" i="15" s="1"/>
  <c r="AX43" i="15" s="1"/>
  <c r="AZ40" i="15"/>
  <c r="AZ39" i="15"/>
  <c r="AZ38" i="15"/>
  <c r="AZ27" i="15"/>
  <c r="AZ28" i="15" s="1"/>
  <c r="AZ13" i="15"/>
  <c r="AZ14" i="15" s="1"/>
  <c r="AZ19" i="15"/>
  <c r="AZ20" i="15" s="1"/>
  <c r="AY19" i="15"/>
  <c r="AY20" i="15" s="1"/>
  <c r="AY35" i="15" s="1"/>
  <c r="AY40" i="15"/>
  <c r="AY39" i="15"/>
  <c r="AY38" i="15"/>
  <c r="BA11" i="15"/>
  <c r="BA12" i="15" s="1"/>
  <c r="BB9" i="15"/>
  <c r="BA16" i="15"/>
  <c r="AW37" i="15"/>
  <c r="AW41" i="15" s="1"/>
  <c r="AW43" i="15" s="1"/>
  <c r="BC8" i="15"/>
  <c r="BB16" i="15"/>
  <c r="BB17" i="15" l="1"/>
  <c r="BB18" i="15" s="1"/>
  <c r="BA27" i="15"/>
  <c r="BA28" i="15" s="1"/>
  <c r="BA13" i="15"/>
  <c r="BA14" i="15" s="1"/>
  <c r="BC16" i="15"/>
  <c r="BD8" i="15"/>
  <c r="BB10" i="15"/>
  <c r="AY37" i="15"/>
  <c r="AY41" i="15" s="1"/>
  <c r="AY43" i="15" s="1"/>
  <c r="BA17" i="15"/>
  <c r="BA18" i="15" s="1"/>
  <c r="BA38" i="15" s="1"/>
  <c r="BC9" i="15"/>
  <c r="BA22" i="15" l="1"/>
  <c r="BA23" i="15" s="1"/>
  <c r="BA24" i="15" s="1"/>
  <c r="BB19" i="15"/>
  <c r="BB20" i="15" s="1"/>
  <c r="BB11" i="15"/>
  <c r="BB12" i="15" s="1"/>
  <c r="BB22" i="15" s="1"/>
  <c r="BD16" i="15"/>
  <c r="BE8" i="15"/>
  <c r="BA19" i="15"/>
  <c r="BA20" i="15" s="1"/>
  <c r="BD9" i="15"/>
  <c r="BD10" i="15" s="1"/>
  <c r="BC10" i="15"/>
  <c r="BA39" i="15"/>
  <c r="BC17" i="15"/>
  <c r="BC18" i="15" s="1"/>
  <c r="BA40" i="15"/>
  <c r="BD11" i="15" l="1"/>
  <c r="BD12" i="15" s="1"/>
  <c r="BB39" i="15"/>
  <c r="BB40" i="15"/>
  <c r="BB38" i="15"/>
  <c r="BB27" i="15"/>
  <c r="BB28" i="15" s="1"/>
  <c r="BB23" i="15"/>
  <c r="BB24" i="15" s="1"/>
  <c r="BB13" i="15"/>
  <c r="BB14" i="15" s="1"/>
  <c r="BC19" i="15"/>
  <c r="BC20" i="15" s="1"/>
  <c r="BF8" i="15"/>
  <c r="BC11" i="15"/>
  <c r="BC12" i="15" s="1"/>
  <c r="BC22" i="15" s="1"/>
  <c r="BD17" i="15"/>
  <c r="BD18" i="15" s="1"/>
  <c r="BE9" i="15"/>
  <c r="BE16" i="15" s="1"/>
  <c r="BD22" i="15" l="1"/>
  <c r="BD23" i="15" s="1"/>
  <c r="BD24" i="15" s="1"/>
  <c r="BD19" i="15"/>
  <c r="BD20" i="15" s="1"/>
  <c r="BD40" i="15"/>
  <c r="BD39" i="15"/>
  <c r="BD38" i="15"/>
  <c r="BD27" i="15"/>
  <c r="BD28" i="15" s="1"/>
  <c r="BD13" i="15"/>
  <c r="BD14" i="15" s="1"/>
  <c r="BE17" i="15"/>
  <c r="BE18" i="15" s="1"/>
  <c r="BF9" i="15"/>
  <c r="BC40" i="15"/>
  <c r="BC39" i="15"/>
  <c r="BC38" i="15"/>
  <c r="BC27" i="15"/>
  <c r="BC28" i="15" s="1"/>
  <c r="BC23" i="15"/>
  <c r="BC24" i="15" s="1"/>
  <c r="BC13" i="15"/>
  <c r="BC14" i="15" s="1"/>
  <c r="BG8" i="15"/>
  <c r="BF16" i="15"/>
  <c r="BE10" i="15"/>
  <c r="BF17" i="15" l="1"/>
  <c r="BF18" i="15" s="1"/>
  <c r="BE11" i="15"/>
  <c r="BE12" i="15" s="1"/>
  <c r="BE22" i="15" s="1"/>
  <c r="BG9" i="15"/>
  <c r="BG16" i="15"/>
  <c r="BG10" i="15"/>
  <c r="BH8" i="15"/>
  <c r="BE19" i="15"/>
  <c r="BE20" i="15" s="1"/>
  <c r="BF10" i="15"/>
  <c r="BE33" i="15" l="1"/>
  <c r="BE40" i="15"/>
  <c r="BE38" i="15"/>
  <c r="BE39" i="15"/>
  <c r="BE23" i="15"/>
  <c r="BE24" i="15" s="1"/>
  <c r="BE13" i="15"/>
  <c r="BE14" i="15" s="1"/>
  <c r="BE27" i="15"/>
  <c r="BE28" i="15" s="1"/>
  <c r="BF19" i="15"/>
  <c r="BF20" i="15" s="1"/>
  <c r="BF11" i="15"/>
  <c r="BF12" i="15" s="1"/>
  <c r="BF22" i="15" s="1"/>
  <c r="BG17" i="15"/>
  <c r="BG18" i="15" s="1"/>
  <c r="BI8" i="15"/>
  <c r="BG11" i="15"/>
  <c r="BG12" i="15" s="1"/>
  <c r="BH9" i="15"/>
  <c r="BF33" i="15" l="1"/>
  <c r="BG22" i="15"/>
  <c r="BG23" i="15" s="1"/>
  <c r="BG24" i="15" s="1"/>
  <c r="BE35" i="15"/>
  <c r="BE37" i="15" s="1"/>
  <c r="BE41" i="15" s="1"/>
  <c r="BE43" i="15" s="1"/>
  <c r="BG40" i="15"/>
  <c r="BG39" i="15"/>
  <c r="BG38" i="15"/>
  <c r="BG27" i="15"/>
  <c r="BG28" i="15" s="1"/>
  <c r="BG13" i="15"/>
  <c r="BG14" i="15" s="1"/>
  <c r="BG19" i="15"/>
  <c r="BG20" i="15" s="1"/>
  <c r="BF40" i="15"/>
  <c r="BF39" i="15"/>
  <c r="BF38" i="15"/>
  <c r="BF23" i="15"/>
  <c r="BF24" i="15" s="1"/>
  <c r="BF27" i="15"/>
  <c r="BF28" i="15" s="1"/>
  <c r="BF13" i="15"/>
  <c r="BF14" i="15" s="1"/>
  <c r="BJ8" i="15"/>
  <c r="BI9" i="15"/>
  <c r="BH10" i="15"/>
  <c r="BH16" i="15"/>
  <c r="BG33" i="15" l="1"/>
  <c r="BG35" i="15" s="1"/>
  <c r="BG37" i="15" s="1"/>
  <c r="BG41" i="15" s="1"/>
  <c r="BG43" i="15" s="1"/>
  <c r="BF35" i="15"/>
  <c r="BF37" i="15" s="1"/>
  <c r="BF41" i="15" s="1"/>
  <c r="BF43" i="15" s="1"/>
  <c r="BJ9" i="15"/>
  <c r="BI10" i="15"/>
  <c r="BI16" i="15"/>
  <c r="BH17" i="15"/>
  <c r="BH18" i="15" s="1"/>
  <c r="BH11" i="15"/>
  <c r="BH12" i="15" s="1"/>
  <c r="BJ16" i="15"/>
  <c r="BJ10" i="15"/>
  <c r="BK8" i="15"/>
  <c r="BH33" i="15" l="1"/>
  <c r="BH22" i="15"/>
  <c r="BH23" i="15" s="1"/>
  <c r="BH24" i="15" s="1"/>
  <c r="BH40" i="15"/>
  <c r="BH39" i="15"/>
  <c r="BH38" i="15"/>
  <c r="BH27" i="15"/>
  <c r="BH28" i="15" s="1"/>
  <c r="BH13" i="15"/>
  <c r="BH14" i="15" s="1"/>
  <c r="BJ11" i="15"/>
  <c r="BJ12" i="15" s="1"/>
  <c r="BI11" i="15"/>
  <c r="BI12" i="15" s="1"/>
  <c r="BH19" i="15"/>
  <c r="BH20" i="15" s="1"/>
  <c r="BI17" i="15"/>
  <c r="BI18" i="15" s="1"/>
  <c r="BJ17" i="15"/>
  <c r="BJ18" i="15" s="1"/>
  <c r="BK9" i="15"/>
  <c r="BK10" i="15" s="1"/>
  <c r="BL8" i="15"/>
  <c r="BI33" i="15" l="1"/>
  <c r="BJ22" i="15"/>
  <c r="BJ23" i="15" s="1"/>
  <c r="BJ24" i="15" s="1"/>
  <c r="BI22" i="15"/>
  <c r="BI23" i="15" s="1"/>
  <c r="BI24" i="15" s="1"/>
  <c r="BH35" i="15"/>
  <c r="BH37" i="15" s="1"/>
  <c r="BH41" i="15" s="1"/>
  <c r="BH43" i="15" s="1"/>
  <c r="BI19" i="15"/>
  <c r="BI20" i="15" s="1"/>
  <c r="BK11" i="15"/>
  <c r="BK12" i="15" s="1"/>
  <c r="BI39" i="15"/>
  <c r="BI38" i="15"/>
  <c r="BI40" i="15"/>
  <c r="BI27" i="15"/>
  <c r="BI28" i="15" s="1"/>
  <c r="BI13" i="15"/>
  <c r="BI14" i="15" s="1"/>
  <c r="BL9" i="15"/>
  <c r="BJ39" i="15"/>
  <c r="BJ38" i="15"/>
  <c r="BJ40" i="15"/>
  <c r="BJ13" i="15"/>
  <c r="BJ14" i="15" s="1"/>
  <c r="BJ27" i="15"/>
  <c r="BJ28" i="15" s="1"/>
  <c r="BM8" i="15"/>
  <c r="BL16" i="15"/>
  <c r="BK16" i="15"/>
  <c r="BJ19" i="15"/>
  <c r="BJ20" i="15" s="1"/>
  <c r="BJ33" i="15" l="1"/>
  <c r="BL17" i="15"/>
  <c r="BL18" i="15" s="1"/>
  <c r="BK27" i="15"/>
  <c r="BK28" i="15" s="1"/>
  <c r="BK13" i="15"/>
  <c r="BK14" i="15" s="1"/>
  <c r="BI35" i="15"/>
  <c r="BN8" i="15"/>
  <c r="BK17" i="15"/>
  <c r="BK18" i="15" s="1"/>
  <c r="BK22" i="15" s="1"/>
  <c r="BK23" i="15" s="1"/>
  <c r="BK24" i="15" s="1"/>
  <c r="BL10" i="15"/>
  <c r="BJ35" i="15"/>
  <c r="BM9" i="15"/>
  <c r="BK19" i="15" l="1"/>
  <c r="BK20" i="15" s="1"/>
  <c r="BK38" i="15"/>
  <c r="BK40" i="15"/>
  <c r="BK39" i="15"/>
  <c r="BL19" i="15"/>
  <c r="BL20" i="15" s="1"/>
  <c r="BL11" i="15"/>
  <c r="BL12" i="15" s="1"/>
  <c r="BL22" i="15" s="1"/>
  <c r="BO8" i="15"/>
  <c r="BK33" i="15"/>
  <c r="BJ37" i="15"/>
  <c r="BJ41" i="15" s="1"/>
  <c r="BJ43" i="15" s="1"/>
  <c r="BI37" i="15"/>
  <c r="BI41" i="15" s="1"/>
  <c r="BI43" i="15" s="1"/>
  <c r="BN9" i="15"/>
  <c r="BN16" i="15" s="1"/>
  <c r="BM10" i="15"/>
  <c r="BM16" i="15"/>
  <c r="BN17" i="15" l="1"/>
  <c r="BN18" i="15" s="1"/>
  <c r="BM17" i="15"/>
  <c r="BM18" i="15" s="1"/>
  <c r="BP8" i="15"/>
  <c r="BK35" i="15"/>
  <c r="BO9" i="15"/>
  <c r="BL40" i="15"/>
  <c r="BL39" i="15"/>
  <c r="BL38" i="15"/>
  <c r="BL27" i="15"/>
  <c r="BL28" i="15" s="1"/>
  <c r="BL13" i="15"/>
  <c r="BL14" i="15" s="1"/>
  <c r="BL23" i="15"/>
  <c r="BL24" i="15" s="1"/>
  <c r="BN10" i="15"/>
  <c r="BM11" i="15"/>
  <c r="BM12" i="15" s="1"/>
  <c r="BM22" i="15" l="1"/>
  <c r="BM23" i="15" s="1"/>
  <c r="BM24" i="15" s="1"/>
  <c r="BM40" i="15"/>
  <c r="BM38" i="15"/>
  <c r="BM39" i="15"/>
  <c r="BM27" i="15"/>
  <c r="BM28" i="15" s="1"/>
  <c r="BM13" i="15"/>
  <c r="BM14" i="15" s="1"/>
  <c r="BM19" i="15"/>
  <c r="BM20" i="15" s="1"/>
  <c r="BN19" i="15"/>
  <c r="BN20" i="15" s="1"/>
  <c r="BN11" i="15"/>
  <c r="BN12" i="15" s="1"/>
  <c r="BN22" i="15" s="1"/>
  <c r="BP9" i="15"/>
  <c r="BO10" i="15"/>
  <c r="BK37" i="15"/>
  <c r="BK41" i="15" s="1"/>
  <c r="BK43" i="15" s="1"/>
  <c r="BP16" i="15"/>
  <c r="BQ8" i="15"/>
  <c r="BO16" i="15"/>
  <c r="BP17" i="15" l="1"/>
  <c r="BP18" i="15" s="1"/>
  <c r="BO11" i="15"/>
  <c r="BO12" i="15" s="1"/>
  <c r="BN40" i="15"/>
  <c r="BN38" i="15"/>
  <c r="BN39" i="15"/>
  <c r="BN27" i="15"/>
  <c r="BN28" i="15" s="1"/>
  <c r="BN23" i="15"/>
  <c r="BN24" i="15" s="1"/>
  <c r="BN13" i="15"/>
  <c r="BN14" i="15" s="1"/>
  <c r="BO17" i="15"/>
  <c r="BO18" i="15" s="1"/>
  <c r="BQ9" i="15"/>
  <c r="BQ16" i="15"/>
  <c r="BQ10" i="15"/>
  <c r="BR8" i="15"/>
  <c r="BP10" i="15"/>
  <c r="BO22" i="15" l="1"/>
  <c r="BO23" i="15" s="1"/>
  <c r="BO24" i="15" s="1"/>
  <c r="BP19" i="15"/>
  <c r="BP20" i="15" s="1"/>
  <c r="BQ17" i="15"/>
  <c r="BQ18" i="15" s="1"/>
  <c r="BO40" i="15"/>
  <c r="BO39" i="15"/>
  <c r="BO38" i="15"/>
  <c r="BO27" i="15"/>
  <c r="BO28" i="15" s="1"/>
  <c r="BO13" i="15"/>
  <c r="BO14" i="15" s="1"/>
  <c r="BR16" i="15"/>
  <c r="BS8" i="15"/>
  <c r="BR9" i="15"/>
  <c r="BQ11" i="15"/>
  <c r="BQ12" i="15" s="1"/>
  <c r="BO19" i="15"/>
  <c r="BO20" i="15" s="1"/>
  <c r="BP11" i="15"/>
  <c r="BP12" i="15" s="1"/>
  <c r="BP22" i="15" s="1"/>
  <c r="BQ22" i="15" l="1"/>
  <c r="BQ23" i="15" s="1"/>
  <c r="BQ24" i="15" s="1"/>
  <c r="BQ39" i="15"/>
  <c r="BQ38" i="15"/>
  <c r="BQ40" i="15"/>
  <c r="BQ27" i="15"/>
  <c r="BQ28" i="15" s="1"/>
  <c r="BQ13" i="15"/>
  <c r="BQ14" i="15" s="1"/>
  <c r="BQ19" i="15"/>
  <c r="BQ20" i="15" s="1"/>
  <c r="BT8" i="15"/>
  <c r="BP40" i="15"/>
  <c r="BP39" i="15"/>
  <c r="BP38" i="15"/>
  <c r="BP27" i="15"/>
  <c r="BP28" i="15" s="1"/>
  <c r="BP23" i="15"/>
  <c r="BP24" i="15" s="1"/>
  <c r="BP13" i="15"/>
  <c r="BP14" i="15" s="1"/>
  <c r="BS9" i="15"/>
  <c r="BR10" i="15"/>
  <c r="BR17" i="15"/>
  <c r="BR18" i="15" s="1"/>
  <c r="BR19" i="15" l="1"/>
  <c r="BR20" i="15" s="1"/>
  <c r="BT9" i="15"/>
  <c r="BS16" i="15"/>
  <c r="BS10" i="15"/>
  <c r="BQ33" i="15"/>
  <c r="BQ35" i="15" s="1"/>
  <c r="BR11" i="15"/>
  <c r="BR12" i="15" s="1"/>
  <c r="BR22" i="15" s="1"/>
  <c r="BU8" i="15"/>
  <c r="BV8" i="15" l="1"/>
  <c r="BR39" i="15"/>
  <c r="BR40" i="15"/>
  <c r="BR38" i="15"/>
  <c r="BR27" i="15"/>
  <c r="BR28" i="15" s="1"/>
  <c r="BR23" i="15"/>
  <c r="BR24" i="15" s="1"/>
  <c r="BR13" i="15"/>
  <c r="BR14" i="15" s="1"/>
  <c r="BU9" i="15"/>
  <c r="BU10" i="15" s="1"/>
  <c r="BT10" i="15"/>
  <c r="BQ37" i="15"/>
  <c r="BQ41" i="15" s="1"/>
  <c r="BQ43" i="15" s="1"/>
  <c r="BT16" i="15"/>
  <c r="BS11" i="15"/>
  <c r="BS12" i="15" s="1"/>
  <c r="BS17" i="15"/>
  <c r="BS18" i="15" s="1"/>
  <c r="BR33" i="15"/>
  <c r="BS22" i="15" l="1"/>
  <c r="BS23" i="15" s="1"/>
  <c r="BS24" i="15" s="1"/>
  <c r="BS19" i="15"/>
  <c r="BS20" i="15" s="1"/>
  <c r="BU11" i="15"/>
  <c r="BU12" i="15" s="1"/>
  <c r="BS40" i="15"/>
  <c r="BS39" i="15"/>
  <c r="BS38" i="15"/>
  <c r="BS27" i="15"/>
  <c r="BS28" i="15" s="1"/>
  <c r="BS13" i="15"/>
  <c r="BS14" i="15" s="1"/>
  <c r="BR35" i="15"/>
  <c r="BT17" i="15"/>
  <c r="BT18" i="15" s="1"/>
  <c r="BW8" i="15"/>
  <c r="BS33" i="15"/>
  <c r="BT11" i="15"/>
  <c r="BT12" i="15" s="1"/>
  <c r="BV9" i="15"/>
  <c r="BV10" i="15" s="1"/>
  <c r="BU16" i="15"/>
  <c r="BT22" i="15" l="1"/>
  <c r="BT23" i="15" s="1"/>
  <c r="BT24" i="15" s="1"/>
  <c r="BT19" i="15"/>
  <c r="BT20" i="15" s="1"/>
  <c r="BT40" i="15"/>
  <c r="BT39" i="15"/>
  <c r="BT38" i="15"/>
  <c r="BT27" i="15"/>
  <c r="BT28" i="15" s="1"/>
  <c r="BT13" i="15"/>
  <c r="BT14" i="15" s="1"/>
  <c r="BV11" i="15"/>
  <c r="BV12" i="15" s="1"/>
  <c r="BU27" i="15"/>
  <c r="BU28" i="15" s="1"/>
  <c r="BU13" i="15"/>
  <c r="BU14" i="15" s="1"/>
  <c r="BX8" i="15"/>
  <c r="BR37" i="15"/>
  <c r="BR41" i="15" s="1"/>
  <c r="BR43" i="15" s="1"/>
  <c r="BU17" i="15"/>
  <c r="BU18" i="15" s="1"/>
  <c r="BU22" i="15" s="1"/>
  <c r="BU23" i="15" s="1"/>
  <c r="BU24" i="15" s="1"/>
  <c r="BW9" i="15"/>
  <c r="BW16" i="15" s="1"/>
  <c r="BS35" i="15"/>
  <c r="BV16" i="15"/>
  <c r="BT33" i="15"/>
  <c r="BU19" i="15" l="1"/>
  <c r="BU20" i="15" s="1"/>
  <c r="BU38" i="15"/>
  <c r="BU40" i="15"/>
  <c r="BU39" i="15"/>
  <c r="BV27" i="15"/>
  <c r="BV28" i="15" s="1"/>
  <c r="BV13" i="15"/>
  <c r="BV14" i="15" s="1"/>
  <c r="BW17" i="15"/>
  <c r="BW18" i="15" s="1"/>
  <c r="BV17" i="15"/>
  <c r="BV18" i="15" s="1"/>
  <c r="BV22" i="15" s="1"/>
  <c r="BV23" i="15" s="1"/>
  <c r="BV24" i="15" s="1"/>
  <c r="BS37" i="15"/>
  <c r="BS41" i="15" s="1"/>
  <c r="BS43" i="15" s="1"/>
  <c r="BY8" i="15"/>
  <c r="BX9" i="15"/>
  <c r="BT35" i="15"/>
  <c r="BU33" i="15"/>
  <c r="BW10" i="15"/>
  <c r="BV33" i="15" l="1"/>
  <c r="BV19" i="15"/>
  <c r="BV20" i="15" s="1"/>
  <c r="BV40" i="15"/>
  <c r="BV39" i="15"/>
  <c r="BV38" i="15"/>
  <c r="BW19" i="15"/>
  <c r="BW20" i="15" s="1"/>
  <c r="BU35" i="15"/>
  <c r="BY9" i="15"/>
  <c r="BT37" i="15"/>
  <c r="BT41" i="15" s="1"/>
  <c r="BT43" i="15" s="1"/>
  <c r="BZ8" i="15"/>
  <c r="BY10" i="15"/>
  <c r="BX10" i="15"/>
  <c r="BW11" i="15"/>
  <c r="BW12" i="15" s="1"/>
  <c r="BW22" i="15" s="1"/>
  <c r="BX16" i="15"/>
  <c r="BV35" i="15" l="1"/>
  <c r="BV37" i="15" s="1"/>
  <c r="BV41" i="15" s="1"/>
  <c r="BV43" i="15" s="1"/>
  <c r="BY11" i="15"/>
  <c r="BY12" i="15" s="1"/>
  <c r="BW40" i="15"/>
  <c r="BW39" i="15"/>
  <c r="BW38" i="15"/>
  <c r="BW27" i="15"/>
  <c r="BW28" i="15" s="1"/>
  <c r="BW23" i="15"/>
  <c r="BW24" i="15" s="1"/>
  <c r="BW13" i="15"/>
  <c r="BW14" i="15" s="1"/>
  <c r="BX17" i="15"/>
  <c r="BX18" i="15" s="1"/>
  <c r="CA8" i="15"/>
  <c r="BZ16" i="15"/>
  <c r="BZ9" i="15"/>
  <c r="BU37" i="15"/>
  <c r="BU41" i="15" s="1"/>
  <c r="BU43" i="15" s="1"/>
  <c r="BX11" i="15"/>
  <c r="BX12" i="15" s="1"/>
  <c r="BW33" i="15"/>
  <c r="BY16" i="15"/>
  <c r="BX22" i="15" l="1"/>
  <c r="BX23" i="15" s="1"/>
  <c r="BX24" i="15" s="1"/>
  <c r="BZ17" i="15"/>
  <c r="BZ18" i="15" s="1"/>
  <c r="BX40" i="15"/>
  <c r="BX39" i="15"/>
  <c r="BX38" i="15"/>
  <c r="BX27" i="15"/>
  <c r="BX28" i="15" s="1"/>
  <c r="BX13" i="15"/>
  <c r="BX14" i="15" s="1"/>
  <c r="BY17" i="15"/>
  <c r="BY18" i="15" s="1"/>
  <c r="BY22" i="15" s="1"/>
  <c r="BY23" i="15" s="1"/>
  <c r="BY24" i="15" s="1"/>
  <c r="BX19" i="15"/>
  <c r="BX20" i="15" s="1"/>
  <c r="BW35" i="15"/>
  <c r="CA16" i="15"/>
  <c r="CB8" i="15"/>
  <c r="CA9" i="15"/>
  <c r="BZ10" i="15"/>
  <c r="BY27" i="15"/>
  <c r="BY28" i="15" s="1"/>
  <c r="BY13" i="15"/>
  <c r="BY14" i="15" s="1"/>
  <c r="BY19" i="15" l="1"/>
  <c r="BY20" i="15" s="1"/>
  <c r="BY39" i="15"/>
  <c r="BY38" i="15"/>
  <c r="BY40" i="15"/>
  <c r="BZ19" i="15"/>
  <c r="BZ20" i="15" s="1"/>
  <c r="BZ11" i="15"/>
  <c r="BZ12" i="15" s="1"/>
  <c r="BZ22" i="15" s="1"/>
  <c r="CA17" i="15"/>
  <c r="CA18" i="15" s="1"/>
  <c r="CB9" i="15"/>
  <c r="BW37" i="15"/>
  <c r="BW41" i="15" s="1"/>
  <c r="BW43" i="15" s="1"/>
  <c r="CB10" i="15"/>
  <c r="CC8" i="15"/>
  <c r="CB16" i="15"/>
  <c r="CA10" i="15"/>
  <c r="CB17" i="15" l="1"/>
  <c r="CB18" i="15" s="1"/>
  <c r="CA19" i="15"/>
  <c r="CA20" i="15" s="1"/>
  <c r="BZ39" i="15"/>
  <c r="BZ38" i="15"/>
  <c r="BZ23" i="15"/>
  <c r="BZ24" i="15" s="1"/>
  <c r="BZ40" i="15"/>
  <c r="BZ13" i="15"/>
  <c r="BZ14" i="15" s="1"/>
  <c r="BZ27" i="15"/>
  <c r="BZ28" i="15" s="1"/>
  <c r="CA11" i="15"/>
  <c r="CA12" i="15" s="1"/>
  <c r="CA22" i="15" s="1"/>
  <c r="CC9" i="15"/>
  <c r="CC10" i="15" s="1"/>
  <c r="CC16" i="15"/>
  <c r="CD8" i="15"/>
  <c r="CB11" i="15"/>
  <c r="CB12" i="15" s="1"/>
  <c r="CB22" i="15" l="1"/>
  <c r="CB23" i="15" s="1"/>
  <c r="CB24" i="15" s="1"/>
  <c r="CC11" i="15"/>
  <c r="CC12" i="15" s="1"/>
  <c r="CB40" i="15"/>
  <c r="CB39" i="15"/>
  <c r="CB38" i="15"/>
  <c r="CB27" i="15"/>
  <c r="CB28" i="15" s="1"/>
  <c r="CB13" i="15"/>
  <c r="CB14" i="15" s="1"/>
  <c r="CB19" i="15"/>
  <c r="CB20" i="15" s="1"/>
  <c r="CC17" i="15"/>
  <c r="CC18" i="15" s="1"/>
  <c r="CD10" i="15"/>
  <c r="CE8" i="15"/>
  <c r="CA40" i="15"/>
  <c r="CA39" i="15"/>
  <c r="CA38" i="15"/>
  <c r="CA27" i="15"/>
  <c r="CA28" i="15" s="1"/>
  <c r="CA23" i="15"/>
  <c r="CA24" i="15" s="1"/>
  <c r="CA13" i="15"/>
  <c r="CA14" i="15" s="1"/>
  <c r="CD9" i="15"/>
  <c r="CC22" i="15" l="1"/>
  <c r="CC23" i="15" s="1"/>
  <c r="CC24" i="15" s="1"/>
  <c r="CC40" i="15"/>
  <c r="CC38" i="15"/>
  <c r="CC39" i="15"/>
  <c r="CC27" i="15"/>
  <c r="CC28" i="15" s="1"/>
  <c r="CC13" i="15"/>
  <c r="CC14" i="15" s="1"/>
  <c r="CE9" i="15"/>
  <c r="CE16" i="15"/>
  <c r="CE10" i="15"/>
  <c r="CF8" i="15"/>
  <c r="CD11" i="15"/>
  <c r="CD12" i="15" s="1"/>
  <c r="CC19" i="15"/>
  <c r="CC20" i="15" s="1"/>
  <c r="CD16" i="15"/>
  <c r="CC33" i="15" l="1"/>
  <c r="CD17" i="15"/>
  <c r="CD18" i="15" s="1"/>
  <c r="CD22" i="15" s="1"/>
  <c r="CD23" i="15" s="1"/>
  <c r="CD24" i="15" s="1"/>
  <c r="CD27" i="15"/>
  <c r="CD28" i="15" s="1"/>
  <c r="CD13" i="15"/>
  <c r="CD14" i="15" s="1"/>
  <c r="CE17" i="15"/>
  <c r="CE18" i="15" s="1"/>
  <c r="CC35" i="15"/>
  <c r="CE11" i="15"/>
  <c r="CE12" i="15" s="1"/>
  <c r="CG8" i="15"/>
  <c r="CF9" i="15"/>
  <c r="CE22" i="15" l="1"/>
  <c r="CE23" i="15" s="1"/>
  <c r="CE24" i="15" s="1"/>
  <c r="CE19" i="15"/>
  <c r="CE20" i="15" s="1"/>
  <c r="CD19" i="15"/>
  <c r="CD20" i="15" s="1"/>
  <c r="CD38" i="15"/>
  <c r="CD40" i="15"/>
  <c r="CD39" i="15"/>
  <c r="CE40" i="15"/>
  <c r="CE39" i="15"/>
  <c r="CE38" i="15"/>
  <c r="CE27" i="15"/>
  <c r="CE28" i="15" s="1"/>
  <c r="CE13" i="15"/>
  <c r="CE14" i="15" s="1"/>
  <c r="CG9" i="15"/>
  <c r="CF10" i="15"/>
  <c r="CF16" i="15"/>
  <c r="CC37" i="15"/>
  <c r="CC41" i="15" s="1"/>
  <c r="CC43" i="15" s="1"/>
  <c r="CG16" i="15"/>
  <c r="CH8" i="15"/>
  <c r="CG10" i="15"/>
  <c r="CD33" i="15"/>
  <c r="CE33" i="15" l="1"/>
  <c r="CE35" i="15" s="1"/>
  <c r="CD35" i="15"/>
  <c r="CD37" i="15" s="1"/>
  <c r="CD41" i="15" s="1"/>
  <c r="CD43" i="15" s="1"/>
  <c r="CG11" i="15"/>
  <c r="CG12" i="15" s="1"/>
  <c r="CG17" i="15"/>
  <c r="CG18" i="15" s="1"/>
  <c r="CF17" i="15"/>
  <c r="CF18" i="15" s="1"/>
  <c r="CH9" i="15"/>
  <c r="CI8" i="15"/>
  <c r="CF11" i="15"/>
  <c r="CF12" i="15" s="1"/>
  <c r="CF33" i="15" l="1"/>
  <c r="CG22" i="15"/>
  <c r="CG23" i="15" s="1"/>
  <c r="CG24" i="15" s="1"/>
  <c r="CF22" i="15"/>
  <c r="CF23" i="15" s="1"/>
  <c r="CF24" i="15" s="1"/>
  <c r="CF40" i="15"/>
  <c r="CF39" i="15"/>
  <c r="CF38" i="15"/>
  <c r="CF27" i="15"/>
  <c r="CF28" i="15" s="1"/>
  <c r="CF13" i="15"/>
  <c r="CF14" i="15" s="1"/>
  <c r="CF19" i="15"/>
  <c r="CF20" i="15" s="1"/>
  <c r="CG19" i="15"/>
  <c r="CG20" i="15" s="1"/>
  <c r="CG40" i="15"/>
  <c r="CG39" i="15"/>
  <c r="CG38" i="15"/>
  <c r="CG27" i="15"/>
  <c r="CG28" i="15" s="1"/>
  <c r="CG13" i="15"/>
  <c r="CG14" i="15" s="1"/>
  <c r="CI9" i="15"/>
  <c r="CH10" i="15"/>
  <c r="CH16" i="15"/>
  <c r="CI10" i="15"/>
  <c r="CJ8" i="15"/>
  <c r="CE37" i="15"/>
  <c r="CE41" i="15" s="1"/>
  <c r="CE43" i="15" s="1"/>
  <c r="CF35" i="15" l="1"/>
  <c r="CF37" i="15" s="1"/>
  <c r="CF41" i="15" s="1"/>
  <c r="CF43" i="15" s="1"/>
  <c r="CI11" i="15"/>
  <c r="CI12" i="15" s="1"/>
  <c r="CG33" i="15"/>
  <c r="CG35" i="15" s="1"/>
  <c r="CI16" i="15"/>
  <c r="CJ9" i="15"/>
  <c r="CH17" i="15"/>
  <c r="CH18" i="15" s="1"/>
  <c r="CK8" i="15"/>
  <c r="CJ16" i="15"/>
  <c r="CH11" i="15"/>
  <c r="CH12" i="15" s="1"/>
  <c r="CH33" i="15" l="1"/>
  <c r="CH22" i="15"/>
  <c r="CH23" i="15" s="1"/>
  <c r="CH24" i="15" s="1"/>
  <c r="CJ17" i="15"/>
  <c r="CJ18" i="15" s="1"/>
  <c r="CH19" i="15"/>
  <c r="CH20" i="15" s="1"/>
  <c r="CI27" i="15"/>
  <c r="CI28" i="15" s="1"/>
  <c r="CI13" i="15"/>
  <c r="CI14" i="15" s="1"/>
  <c r="CL8" i="15"/>
  <c r="CG37" i="15"/>
  <c r="CG41" i="15" s="1"/>
  <c r="CG43" i="15" s="1"/>
  <c r="CJ10" i="15"/>
  <c r="CK9" i="15"/>
  <c r="CI17" i="15"/>
  <c r="CI18" i="15" s="1"/>
  <c r="CI22" i="15" s="1"/>
  <c r="CI23" i="15" s="1"/>
  <c r="CI24" i="15" s="1"/>
  <c r="CH39" i="15"/>
  <c r="CH38" i="15"/>
  <c r="CH40" i="15"/>
  <c r="CH27" i="15"/>
  <c r="CH28" i="15" s="1"/>
  <c r="CH13" i="15"/>
  <c r="CH14" i="15" s="1"/>
  <c r="CI33" i="15" l="1"/>
  <c r="CI39" i="15"/>
  <c r="CI38" i="15"/>
  <c r="CH35" i="15"/>
  <c r="CH37" i="15" s="1"/>
  <c r="CH41" i="15" s="1"/>
  <c r="CH43" i="15" s="1"/>
  <c r="CJ19" i="15"/>
  <c r="CJ20" i="15" s="1"/>
  <c r="CL9" i="15"/>
  <c r="CJ11" i="15"/>
  <c r="CJ12" i="15" s="1"/>
  <c r="CJ22" i="15" s="1"/>
  <c r="CL16" i="15"/>
  <c r="CM8" i="15"/>
  <c r="CK16" i="15"/>
  <c r="CI19" i="15"/>
  <c r="CI20" i="15" s="1"/>
  <c r="CI35" i="15" s="1"/>
  <c r="CK10" i="15"/>
  <c r="CI40" i="15"/>
  <c r="CI37" i="15" l="1"/>
  <c r="CI41" i="15" s="1"/>
  <c r="CI43" i="15" s="1"/>
  <c r="CJ40" i="15"/>
  <c r="CJ39" i="15"/>
  <c r="CJ38" i="15"/>
  <c r="CJ23" i="15"/>
  <c r="CJ24" i="15" s="1"/>
  <c r="CJ27" i="15"/>
  <c r="CJ28" i="15" s="1"/>
  <c r="CJ13" i="15"/>
  <c r="CJ14" i="15" s="1"/>
  <c r="CK11" i="15"/>
  <c r="CK12" i="15" s="1"/>
  <c r="CM9" i="15"/>
  <c r="CM16" i="15"/>
  <c r="CM10" i="15"/>
  <c r="CN8" i="15"/>
  <c r="CK17" i="15"/>
  <c r="CK18" i="15" s="1"/>
  <c r="CL10" i="15"/>
  <c r="CL17" i="15"/>
  <c r="CL18" i="15" s="1"/>
  <c r="CK22" i="15" l="1"/>
  <c r="CK23" i="15" s="1"/>
  <c r="CK24" i="15" s="1"/>
  <c r="CK40" i="15"/>
  <c r="CK38" i="15"/>
  <c r="CK39" i="15"/>
  <c r="CK27" i="15"/>
  <c r="CK28" i="15" s="1"/>
  <c r="CK13" i="15"/>
  <c r="CK14" i="15" s="1"/>
  <c r="CK19" i="15"/>
  <c r="CK20" i="15" s="1"/>
  <c r="CL11" i="15"/>
  <c r="CL12" i="15" s="1"/>
  <c r="CL22" i="15" s="1"/>
  <c r="CL19" i="15"/>
  <c r="CL20" i="15" s="1"/>
  <c r="CM11" i="15"/>
  <c r="CM12" i="15" s="1"/>
  <c r="CM17" i="15"/>
  <c r="CM18" i="15" s="1"/>
  <c r="CN9" i="15"/>
  <c r="CN16" i="15" s="1"/>
  <c r="CN10" i="15"/>
  <c r="CO8" i="15"/>
  <c r="CM22" i="15" l="1"/>
  <c r="CM23" i="15" s="1"/>
  <c r="CM24" i="15" s="1"/>
  <c r="CN17" i="15"/>
  <c r="CN18" i="15" s="1"/>
  <c r="CL40" i="15"/>
  <c r="CL38" i="15"/>
  <c r="CL39" i="15"/>
  <c r="CL27" i="15"/>
  <c r="CL28" i="15" s="1"/>
  <c r="CL23" i="15"/>
  <c r="CL24" i="15" s="1"/>
  <c r="CL13" i="15"/>
  <c r="CL14" i="15" s="1"/>
  <c r="CM19" i="15"/>
  <c r="CM20" i="15" s="1"/>
  <c r="CN11" i="15"/>
  <c r="CN12" i="15" s="1"/>
  <c r="CP8" i="15"/>
  <c r="CM40" i="15"/>
  <c r="CM39" i="15"/>
  <c r="CM38" i="15"/>
  <c r="CM27" i="15"/>
  <c r="CM28" i="15" s="1"/>
  <c r="CM13" i="15"/>
  <c r="CM14" i="15" s="1"/>
  <c r="CO9" i="15"/>
  <c r="CO16" i="15" s="1"/>
  <c r="CN22" i="15" l="1"/>
  <c r="CN23" i="15" s="1"/>
  <c r="CN24" i="15" s="1"/>
  <c r="CO17" i="15"/>
  <c r="CO18" i="15" s="1"/>
  <c r="CQ8" i="15"/>
  <c r="CN40" i="15"/>
  <c r="CN39" i="15"/>
  <c r="CN38" i="15"/>
  <c r="CN27" i="15"/>
  <c r="CN28" i="15" s="1"/>
  <c r="CN13" i="15"/>
  <c r="CN14" i="15" s="1"/>
  <c r="CN19" i="15"/>
  <c r="CN20" i="15" s="1"/>
  <c r="CP9" i="15"/>
  <c r="CP10" i="15" s="1"/>
  <c r="CO10" i="15"/>
  <c r="CP11" i="15" l="1"/>
  <c r="CP12" i="15" s="1"/>
  <c r="CR8" i="15"/>
  <c r="CO11" i="15"/>
  <c r="CO12" i="15" s="1"/>
  <c r="CO22" i="15" s="1"/>
  <c r="CO19" i="15"/>
  <c r="CO20" i="15" s="1"/>
  <c r="CQ9" i="15"/>
  <c r="CP16" i="15"/>
  <c r="CO40" i="15" l="1"/>
  <c r="CO39" i="15"/>
  <c r="CO38" i="15"/>
  <c r="CO27" i="15"/>
  <c r="CO28" i="15" s="1"/>
  <c r="CO23" i="15"/>
  <c r="CO24" i="15" s="1"/>
  <c r="CO13" i="15"/>
  <c r="CO14" i="15" s="1"/>
  <c r="CP27" i="15"/>
  <c r="CP28" i="15" s="1"/>
  <c r="CP13" i="15"/>
  <c r="CP14" i="15" s="1"/>
  <c r="CP17" i="15"/>
  <c r="CP18" i="15" s="1"/>
  <c r="CP38" i="15" s="1"/>
  <c r="CS8" i="15"/>
  <c r="CR9" i="15"/>
  <c r="CQ10" i="15"/>
  <c r="CO33" i="15"/>
  <c r="CQ16" i="15"/>
  <c r="CP22" i="15" l="1"/>
  <c r="CP23" i="15" s="1"/>
  <c r="CP24" i="15" s="1"/>
  <c r="CO35" i="15"/>
  <c r="CS9" i="15"/>
  <c r="CR10" i="15"/>
  <c r="CP39" i="15"/>
  <c r="CQ17" i="15"/>
  <c r="CQ18" i="15" s="1"/>
  <c r="CT8" i="15"/>
  <c r="CS10" i="15"/>
  <c r="CR16" i="15"/>
  <c r="CP33" i="15"/>
  <c r="CP19" i="15"/>
  <c r="CP20" i="15" s="1"/>
  <c r="CQ11" i="15"/>
  <c r="CQ12" i="15" s="1"/>
  <c r="CP40" i="15"/>
  <c r="CQ33" i="15" l="1"/>
  <c r="CQ22" i="15"/>
  <c r="CQ23" i="15" s="1"/>
  <c r="CQ24" i="15" s="1"/>
  <c r="CP35" i="15"/>
  <c r="CP37" i="15" s="1"/>
  <c r="CP41" i="15" s="1"/>
  <c r="CP43" i="15" s="1"/>
  <c r="CQ40" i="15"/>
  <c r="CQ39" i="15"/>
  <c r="CQ38" i="15"/>
  <c r="CQ27" i="15"/>
  <c r="CQ28" i="15" s="1"/>
  <c r="CQ13" i="15"/>
  <c r="CQ14" i="15" s="1"/>
  <c r="CS11" i="15"/>
  <c r="CS12" i="15" s="1"/>
  <c r="CT16" i="15"/>
  <c r="CU8" i="15"/>
  <c r="CS16" i="15"/>
  <c r="CR11" i="15"/>
  <c r="CR12" i="15" s="1"/>
  <c r="CT9" i="15"/>
  <c r="CT10" i="15" s="1"/>
  <c r="CR17" i="15"/>
  <c r="CR18" i="15" s="1"/>
  <c r="CQ19" i="15"/>
  <c r="CQ20" i="15" s="1"/>
  <c r="CO37" i="15"/>
  <c r="CO41" i="15" s="1"/>
  <c r="CO43" i="15" s="1"/>
  <c r="CR33" i="15" l="1"/>
  <c r="CR22" i="15"/>
  <c r="CR23" i="15" s="1"/>
  <c r="CR24" i="15" s="1"/>
  <c r="CQ35" i="15"/>
  <c r="CQ37" i="15" s="1"/>
  <c r="CQ41" i="15" s="1"/>
  <c r="CQ43" i="15" s="1"/>
  <c r="CS27" i="15"/>
  <c r="CS28" i="15" s="1"/>
  <c r="CS13" i="15"/>
  <c r="CS14" i="15" s="1"/>
  <c r="CT11" i="15"/>
  <c r="CT12" i="15" s="1"/>
  <c r="CR19" i="15"/>
  <c r="CR20" i="15" s="1"/>
  <c r="CR40" i="15"/>
  <c r="CR39" i="15"/>
  <c r="CR38" i="15"/>
  <c r="CR27" i="15"/>
  <c r="CR28" i="15" s="1"/>
  <c r="CR13" i="15"/>
  <c r="CR14" i="15" s="1"/>
  <c r="CV8" i="15"/>
  <c r="CT17" i="15"/>
  <c r="CT18" i="15" s="1"/>
  <c r="CS17" i="15"/>
  <c r="CS18" i="15" s="1"/>
  <c r="CS39" i="15" s="1"/>
  <c r="CU9" i="15"/>
  <c r="CU16" i="15" s="1"/>
  <c r="CS33" i="15" l="1"/>
  <c r="CT22" i="15"/>
  <c r="CT23" i="15" s="1"/>
  <c r="CT24" i="15" s="1"/>
  <c r="CS22" i="15"/>
  <c r="CS23" i="15" s="1"/>
  <c r="CS24" i="15" s="1"/>
  <c r="CR35" i="15"/>
  <c r="CR37" i="15" s="1"/>
  <c r="CR41" i="15" s="1"/>
  <c r="CR43" i="15" s="1"/>
  <c r="CU17" i="15"/>
  <c r="CU18" i="15" s="1"/>
  <c r="CT19" i="15"/>
  <c r="CT20" i="15" s="1"/>
  <c r="CT40" i="15"/>
  <c r="CT38" i="15"/>
  <c r="CT27" i="15"/>
  <c r="CT28" i="15" s="1"/>
  <c r="CT39" i="15"/>
  <c r="CT13" i="15"/>
  <c r="CT14" i="15" s="1"/>
  <c r="CW8" i="15"/>
  <c r="CU10" i="15"/>
  <c r="CS19" i="15"/>
  <c r="CS20" i="15" s="1"/>
  <c r="CS38" i="15"/>
  <c r="CV9" i="15"/>
  <c r="CV16" i="15" s="1"/>
  <c r="CS40" i="15"/>
  <c r="CT33" i="15" l="1"/>
  <c r="CS35" i="15"/>
  <c r="CS37" i="15" s="1"/>
  <c r="CS41" i="15" s="1"/>
  <c r="CS43" i="15" s="1"/>
  <c r="CV17" i="15"/>
  <c r="CV18" i="15" s="1"/>
  <c r="CV10" i="15"/>
  <c r="CU11" i="15"/>
  <c r="CU12" i="15" s="1"/>
  <c r="CU22" i="15" s="1"/>
  <c r="CT35" i="15"/>
  <c r="CW9" i="15"/>
  <c r="CW16" i="15"/>
  <c r="CW10" i="15"/>
  <c r="CX8" i="15"/>
  <c r="CU19" i="15"/>
  <c r="CU20" i="15" s="1"/>
  <c r="CU40" i="15" l="1"/>
  <c r="CU39" i="15"/>
  <c r="CU38" i="15"/>
  <c r="CU27" i="15"/>
  <c r="CU28" i="15" s="1"/>
  <c r="CU23" i="15"/>
  <c r="CU24" i="15" s="1"/>
  <c r="CU13" i="15"/>
  <c r="CU14" i="15" s="1"/>
  <c r="CV19" i="15"/>
  <c r="CV20" i="15" s="1"/>
  <c r="CX9" i="15"/>
  <c r="CW17" i="15"/>
  <c r="CW18" i="15" s="1"/>
  <c r="CX16" i="15"/>
  <c r="CY8" i="15"/>
  <c r="CX10" i="15"/>
  <c r="CV11" i="15"/>
  <c r="CV12" i="15" s="1"/>
  <c r="CV22" i="15" s="1"/>
  <c r="CW11" i="15"/>
  <c r="CW12" i="15" s="1"/>
  <c r="CT37" i="15"/>
  <c r="CT41" i="15" s="1"/>
  <c r="CT43" i="15" s="1"/>
  <c r="CU33" i="15"/>
  <c r="CW22" i="15" l="1"/>
  <c r="CW23" i="15" s="1"/>
  <c r="CW24" i="15" s="1"/>
  <c r="CU35" i="15"/>
  <c r="CU37" i="15" s="1"/>
  <c r="CU41" i="15" s="1"/>
  <c r="CU43" i="15" s="1"/>
  <c r="CW19" i="15"/>
  <c r="CW20" i="15" s="1"/>
  <c r="CX11" i="15"/>
  <c r="CX12" i="15" s="1"/>
  <c r="CV40" i="15"/>
  <c r="CV39" i="15"/>
  <c r="CV38" i="15"/>
  <c r="CV27" i="15"/>
  <c r="CV28" i="15" s="1"/>
  <c r="CV13" i="15"/>
  <c r="CV14" i="15" s="1"/>
  <c r="CV23" i="15"/>
  <c r="CV24" i="15" s="1"/>
  <c r="CY10" i="15"/>
  <c r="CZ8" i="15"/>
  <c r="CX17" i="15"/>
  <c r="CX18" i="15" s="1"/>
  <c r="CY9" i="15"/>
  <c r="CW40" i="15"/>
  <c r="CW39" i="15"/>
  <c r="CW38" i="15"/>
  <c r="CW27" i="15"/>
  <c r="CW28" i="15" s="1"/>
  <c r="CW13" i="15"/>
  <c r="CW14" i="15" s="1"/>
  <c r="CX22" i="15" l="1"/>
  <c r="CX23" i="15" s="1"/>
  <c r="CX24" i="15" s="1"/>
  <c r="CX39" i="15"/>
  <c r="CX38" i="15"/>
  <c r="CX40" i="15"/>
  <c r="CX27" i="15"/>
  <c r="CX28" i="15" s="1"/>
  <c r="CX13" i="15"/>
  <c r="CX14" i="15" s="1"/>
  <c r="CY11" i="15"/>
  <c r="CY12" i="15" s="1"/>
  <c r="CZ9" i="15"/>
  <c r="CY16" i="15"/>
  <c r="CX19" i="15"/>
  <c r="CX20" i="15" s="1"/>
  <c r="CZ10" i="15"/>
  <c r="DA8" i="15"/>
  <c r="CZ16" i="15"/>
  <c r="CZ17" i="15" l="1"/>
  <c r="CZ18" i="15" s="1"/>
  <c r="CY27" i="15"/>
  <c r="CY28" i="15" s="1"/>
  <c r="CY13" i="15"/>
  <c r="CY14" i="15" s="1"/>
  <c r="CZ11" i="15"/>
  <c r="CZ12" i="15" s="1"/>
  <c r="CY17" i="15"/>
  <c r="CY18" i="15" s="1"/>
  <c r="CY22" i="15" s="1"/>
  <c r="CY23" i="15" s="1"/>
  <c r="CY24" i="15" s="1"/>
  <c r="DA16" i="15"/>
  <c r="DB8" i="15"/>
  <c r="DA10" i="15"/>
  <c r="DA9" i="15"/>
  <c r="CZ22" i="15" l="1"/>
  <c r="CZ23" i="15" s="1"/>
  <c r="CZ24" i="15" s="1"/>
  <c r="CY19" i="15"/>
  <c r="CY20" i="15" s="1"/>
  <c r="CY38" i="15"/>
  <c r="CY40" i="15"/>
  <c r="CY39" i="15"/>
  <c r="DA11" i="15"/>
  <c r="DA12" i="15" s="1"/>
  <c r="CZ19" i="15"/>
  <c r="CZ20" i="15" s="1"/>
  <c r="CZ40" i="15"/>
  <c r="CZ39" i="15"/>
  <c r="CZ38" i="15"/>
  <c r="CZ13" i="15"/>
  <c r="CZ14" i="15" s="1"/>
  <c r="CZ27" i="15"/>
  <c r="CZ28" i="15" s="1"/>
  <c r="DB9" i="15"/>
  <c r="DB16" i="15"/>
  <c r="DC8" i="15"/>
  <c r="DA17" i="15"/>
  <c r="DA18" i="15" s="1"/>
  <c r="DA22" i="15" l="1"/>
  <c r="DA23" i="15" s="1"/>
  <c r="DA24" i="15" s="1"/>
  <c r="DA40" i="15"/>
  <c r="DA38" i="15"/>
  <c r="DA39" i="15"/>
  <c r="DA27" i="15"/>
  <c r="DA28" i="15" s="1"/>
  <c r="DA13" i="15"/>
  <c r="DA14" i="15" s="1"/>
  <c r="DA19" i="15"/>
  <c r="DA20" i="15" s="1"/>
  <c r="DC9" i="15"/>
  <c r="DB17" i="15"/>
  <c r="DB18" i="15" s="1"/>
  <c r="DD8" i="15"/>
  <c r="DC10" i="15"/>
  <c r="DB10" i="15"/>
  <c r="DA33" i="15" l="1"/>
  <c r="DB19" i="15"/>
  <c r="DB20" i="15" s="1"/>
  <c r="DC11" i="15"/>
  <c r="DC12" i="15" s="1"/>
  <c r="DE8" i="15"/>
  <c r="DD9" i="15"/>
  <c r="DA35" i="15"/>
  <c r="DB11" i="15"/>
  <c r="DB12" i="15" s="1"/>
  <c r="DB22" i="15" s="1"/>
  <c r="DC16" i="15"/>
  <c r="DB33" i="15" l="1"/>
  <c r="DB40" i="15"/>
  <c r="DB38" i="15"/>
  <c r="DB39" i="15"/>
  <c r="DB27" i="15"/>
  <c r="DB28" i="15" s="1"/>
  <c r="DB23" i="15"/>
  <c r="DB24" i="15" s="1"/>
  <c r="DB13" i="15"/>
  <c r="DB14" i="15" s="1"/>
  <c r="DC27" i="15"/>
  <c r="DC28" i="15" s="1"/>
  <c r="DC13" i="15"/>
  <c r="DC14" i="15" s="1"/>
  <c r="DA37" i="15"/>
  <c r="DA41" i="15" s="1"/>
  <c r="DA43" i="15" s="1"/>
  <c r="DE10" i="15"/>
  <c r="DF8" i="15"/>
  <c r="DC17" i="15"/>
  <c r="DC18" i="15" s="1"/>
  <c r="DC22" i="15" s="1"/>
  <c r="DC23" i="15" s="1"/>
  <c r="DC24" i="15" s="1"/>
  <c r="DE9" i="15"/>
  <c r="DD10" i="15"/>
  <c r="DD16" i="15"/>
  <c r="DB35" i="15" l="1"/>
  <c r="DB37" i="15" s="1"/>
  <c r="DB41" i="15" s="1"/>
  <c r="DB43" i="15" s="1"/>
  <c r="DC19" i="15"/>
  <c r="DC20" i="15" s="1"/>
  <c r="DC39" i="15"/>
  <c r="DC40" i="15"/>
  <c r="DC38" i="15"/>
  <c r="DE11" i="15"/>
  <c r="DE12" i="15" s="1"/>
  <c r="DF9" i="15"/>
  <c r="DF10" i="15" s="1"/>
  <c r="DC33" i="15"/>
  <c r="DG8" i="15"/>
  <c r="DF16" i="15"/>
  <c r="DD17" i="15"/>
  <c r="DD18" i="15" s="1"/>
  <c r="DD11" i="15"/>
  <c r="DD12" i="15" s="1"/>
  <c r="DE16" i="15"/>
  <c r="DD22" i="15" l="1"/>
  <c r="DD23" i="15" s="1"/>
  <c r="DD24" i="15" s="1"/>
  <c r="DF11" i="15"/>
  <c r="DF12" i="15" s="1"/>
  <c r="DF17" i="15"/>
  <c r="DF18" i="15" s="1"/>
  <c r="DD40" i="15"/>
  <c r="DD39" i="15"/>
  <c r="DD38" i="15"/>
  <c r="DD27" i="15"/>
  <c r="DD28" i="15" s="1"/>
  <c r="DD13" i="15"/>
  <c r="DD14" i="15" s="1"/>
  <c r="DE27" i="15"/>
  <c r="DE28" i="15" s="1"/>
  <c r="DE13" i="15"/>
  <c r="DE14" i="15" s="1"/>
  <c r="DE17" i="15"/>
  <c r="DE18" i="15" s="1"/>
  <c r="DE22" i="15" s="1"/>
  <c r="DE23" i="15" s="1"/>
  <c r="DE24" i="15" s="1"/>
  <c r="DH8" i="15"/>
  <c r="DD33" i="15"/>
  <c r="DC35" i="15"/>
  <c r="DD19" i="15"/>
  <c r="DD20" i="15" s="1"/>
  <c r="DG9" i="15"/>
  <c r="DF22" i="15" l="1"/>
  <c r="DF23" i="15" s="1"/>
  <c r="DF24" i="15" s="1"/>
  <c r="DE19" i="15"/>
  <c r="DE20" i="15" s="1"/>
  <c r="DE39" i="15"/>
  <c r="DE38" i="15"/>
  <c r="DE40" i="15"/>
  <c r="DF19" i="15"/>
  <c r="DF20" i="15" s="1"/>
  <c r="DF39" i="15"/>
  <c r="DF38" i="15"/>
  <c r="DF27" i="15"/>
  <c r="DF28" i="15" s="1"/>
  <c r="DF40" i="15"/>
  <c r="DF13" i="15"/>
  <c r="DF14" i="15" s="1"/>
  <c r="DH9" i="15"/>
  <c r="DG10" i="15"/>
  <c r="DD35" i="15"/>
  <c r="DE33" i="15"/>
  <c r="DC37" i="15"/>
  <c r="DC41" i="15" s="1"/>
  <c r="DC43" i="15" s="1"/>
  <c r="DG16" i="15"/>
  <c r="DH16" i="15"/>
  <c r="DI8" i="15"/>
  <c r="DH10" i="15"/>
  <c r="DH11" i="15" l="1"/>
  <c r="DH12" i="15" s="1"/>
  <c r="DG11" i="15"/>
  <c r="DG12" i="15" s="1"/>
  <c r="DG17" i="15"/>
  <c r="DG18" i="15" s="1"/>
  <c r="DI9" i="15"/>
  <c r="DE35" i="15"/>
  <c r="DH17" i="15"/>
  <c r="DH18" i="15" s="1"/>
  <c r="DJ8" i="15"/>
  <c r="DI16" i="15"/>
  <c r="DF33" i="15"/>
  <c r="DF35" i="15" s="1"/>
  <c r="DD37" i="15"/>
  <c r="DD41" i="15" s="1"/>
  <c r="DD43" i="15" s="1"/>
  <c r="DG22" i="15" l="1"/>
  <c r="DG23" i="15" s="1"/>
  <c r="DG24" i="15" s="1"/>
  <c r="DH22" i="15"/>
  <c r="DH23" i="15" s="1"/>
  <c r="DH24" i="15" s="1"/>
  <c r="DH19" i="15"/>
  <c r="DH20" i="15" s="1"/>
  <c r="DG40" i="15"/>
  <c r="DG39" i="15"/>
  <c r="DG38" i="15"/>
  <c r="DG27" i="15"/>
  <c r="DG28" i="15" s="1"/>
  <c r="DG13" i="15"/>
  <c r="DG14" i="15" s="1"/>
  <c r="DI17" i="15"/>
  <c r="DI18" i="15" s="1"/>
  <c r="DE37" i="15"/>
  <c r="DE41" i="15" s="1"/>
  <c r="DE43" i="15" s="1"/>
  <c r="DK8" i="15"/>
  <c r="DJ9" i="15"/>
  <c r="DG19" i="15"/>
  <c r="DG20" i="15" s="1"/>
  <c r="DI10" i="15"/>
  <c r="DF37" i="15"/>
  <c r="DF41" i="15" s="1"/>
  <c r="DF43" i="15" s="1"/>
  <c r="DG33" i="15"/>
  <c r="DH40" i="15"/>
  <c r="DH39" i="15"/>
  <c r="DH38" i="15"/>
  <c r="DH27" i="15"/>
  <c r="DH28" i="15" s="1"/>
  <c r="DH13" i="15"/>
  <c r="DH14" i="15" s="1"/>
  <c r="DI19" i="15" l="1"/>
  <c r="DI20" i="15" s="1"/>
  <c r="DL8" i="15"/>
  <c r="DG35" i="15"/>
  <c r="DK9" i="15"/>
  <c r="DK16" i="15" s="1"/>
  <c r="DJ10" i="15"/>
  <c r="DI11" i="15"/>
  <c r="DI12" i="15" s="1"/>
  <c r="DI22" i="15" s="1"/>
  <c r="DJ16" i="15"/>
  <c r="DK17" i="15" l="1"/>
  <c r="DK18" i="15" s="1"/>
  <c r="DI40" i="15"/>
  <c r="DI38" i="15"/>
  <c r="DI39" i="15"/>
  <c r="DI27" i="15"/>
  <c r="DI28" i="15" s="1"/>
  <c r="DI23" i="15"/>
  <c r="DI24" i="15" s="1"/>
  <c r="DI13" i="15"/>
  <c r="DI14" i="15" s="1"/>
  <c r="DM8" i="15"/>
  <c r="DJ17" i="15"/>
  <c r="DJ18" i="15" s="1"/>
  <c r="DK10" i="15"/>
  <c r="DJ11" i="15"/>
  <c r="DJ12" i="15" s="1"/>
  <c r="DG37" i="15"/>
  <c r="DG41" i="15" s="1"/>
  <c r="DG43" i="15" s="1"/>
  <c r="DL9" i="15"/>
  <c r="DJ22" i="15" l="1"/>
  <c r="DJ23" i="15" s="1"/>
  <c r="DJ24" i="15" s="1"/>
  <c r="DJ19" i="15"/>
  <c r="DJ20" i="15" s="1"/>
  <c r="DJ40" i="15"/>
  <c r="DJ38" i="15"/>
  <c r="DJ39" i="15"/>
  <c r="DJ27" i="15"/>
  <c r="DJ28" i="15" s="1"/>
  <c r="DJ13" i="15"/>
  <c r="DJ14" i="15" s="1"/>
  <c r="DK19" i="15"/>
  <c r="DK20" i="15" s="1"/>
  <c r="DM9" i="15"/>
  <c r="DN8" i="15"/>
  <c r="DK11" i="15"/>
  <c r="DK12" i="15" s="1"/>
  <c r="DK22" i="15" s="1"/>
  <c r="DL16" i="15"/>
  <c r="DL10" i="15"/>
  <c r="DK40" i="15" l="1"/>
  <c r="DK39" i="15"/>
  <c r="DK38" i="15"/>
  <c r="DK27" i="15"/>
  <c r="DK28" i="15" s="1"/>
  <c r="DK23" i="15"/>
  <c r="DK24" i="15" s="1"/>
  <c r="DK13" i="15"/>
  <c r="DK14" i="15" s="1"/>
  <c r="DL11" i="15"/>
  <c r="DL12" i="15" s="1"/>
  <c r="DN9" i="15"/>
  <c r="DM16" i="15"/>
  <c r="DM10" i="15"/>
  <c r="DL17" i="15"/>
  <c r="DL18" i="15" s="1"/>
  <c r="DO8" i="15"/>
  <c r="DN16" i="15"/>
  <c r="DL22" i="15" l="1"/>
  <c r="DL23" i="15" s="1"/>
  <c r="DL24" i="15" s="1"/>
  <c r="DL19" i="15"/>
  <c r="DL20" i="15" s="1"/>
  <c r="DN17" i="15"/>
  <c r="DN18" i="15" s="1"/>
  <c r="DO16" i="15"/>
  <c r="DP8" i="15"/>
  <c r="DL40" i="15"/>
  <c r="DL39" i="15"/>
  <c r="DL38" i="15"/>
  <c r="DL27" i="15"/>
  <c r="DL28" i="15" s="1"/>
  <c r="DL13" i="15"/>
  <c r="DL14" i="15" s="1"/>
  <c r="DN10" i="15"/>
  <c r="DO9" i="15"/>
  <c r="DM17" i="15"/>
  <c r="DM18" i="15" s="1"/>
  <c r="DM11" i="15"/>
  <c r="DM12" i="15" s="1"/>
  <c r="DM22" i="15" l="1"/>
  <c r="DM23" i="15" s="1"/>
  <c r="DM24" i="15" s="1"/>
  <c r="DN19" i="15"/>
  <c r="DN20" i="15" s="1"/>
  <c r="DM40" i="15"/>
  <c r="DM39" i="15"/>
  <c r="DM38" i="15"/>
  <c r="DM27" i="15"/>
  <c r="DM28" i="15" s="1"/>
  <c r="DM13" i="15"/>
  <c r="DM14" i="15" s="1"/>
  <c r="DM19" i="15"/>
  <c r="DM20" i="15" s="1"/>
  <c r="DN11" i="15"/>
  <c r="DN12" i="15" s="1"/>
  <c r="DN22" i="15" s="1"/>
  <c r="DQ8" i="15"/>
  <c r="DO17" i="15"/>
  <c r="DO18" i="15" s="1"/>
  <c r="DM33" i="15"/>
  <c r="DP9" i="15"/>
  <c r="DP16" i="15" s="1"/>
  <c r="DO10" i="15"/>
  <c r="DN33" i="15" l="1"/>
  <c r="DP17" i="15"/>
  <c r="DP18" i="15" s="1"/>
  <c r="DN39" i="15"/>
  <c r="DN38" i="15"/>
  <c r="DN40" i="15"/>
  <c r="DN27" i="15"/>
  <c r="DN28" i="15" s="1"/>
  <c r="DN23" i="15"/>
  <c r="DN24" i="15" s="1"/>
  <c r="DN13" i="15"/>
  <c r="DN14" i="15" s="1"/>
  <c r="DO19" i="15"/>
  <c r="DO20" i="15" s="1"/>
  <c r="DQ9" i="15"/>
  <c r="DP10" i="15"/>
  <c r="DM35" i="15"/>
  <c r="DO11" i="15"/>
  <c r="DO12" i="15" s="1"/>
  <c r="DO22" i="15" s="1"/>
  <c r="DQ16" i="15"/>
  <c r="DQ10" i="15"/>
  <c r="DR8" i="15"/>
  <c r="DN35" i="15" l="1"/>
  <c r="DN37" i="15" s="1"/>
  <c r="DN41" i="15" s="1"/>
  <c r="DN43" i="15" s="1"/>
  <c r="DO40" i="15"/>
  <c r="DO39" i="15"/>
  <c r="DO38" i="15"/>
  <c r="DO27" i="15"/>
  <c r="DO28" i="15" s="1"/>
  <c r="DO23" i="15"/>
  <c r="DO24" i="15" s="1"/>
  <c r="DO13" i="15"/>
  <c r="DO14" i="15" s="1"/>
  <c r="DP19" i="15"/>
  <c r="DP20" i="15" s="1"/>
  <c r="DS8" i="15"/>
  <c r="DQ11" i="15"/>
  <c r="DQ12" i="15" s="1"/>
  <c r="DM37" i="15"/>
  <c r="DM41" i="15" s="1"/>
  <c r="DM43" i="15" s="1"/>
  <c r="DQ17" i="15"/>
  <c r="DQ18" i="15" s="1"/>
  <c r="DP11" i="15"/>
  <c r="DP12" i="15" s="1"/>
  <c r="DP22" i="15" s="1"/>
  <c r="DR9" i="15"/>
  <c r="DR16" i="15" s="1"/>
  <c r="DO33" i="15"/>
  <c r="DQ22" i="15" l="1"/>
  <c r="DQ23" i="15" s="1"/>
  <c r="DQ24" i="15" s="1"/>
  <c r="DR17" i="15"/>
  <c r="DR18" i="15" s="1"/>
  <c r="DQ40" i="15"/>
  <c r="DQ38" i="15"/>
  <c r="DQ39" i="15"/>
  <c r="DQ27" i="15"/>
  <c r="DQ28" i="15" s="1"/>
  <c r="DQ13" i="15"/>
  <c r="DQ14" i="15" s="1"/>
  <c r="DP40" i="15"/>
  <c r="DP39" i="15"/>
  <c r="DP38" i="15"/>
  <c r="DP27" i="15"/>
  <c r="DP28" i="15" s="1"/>
  <c r="DP13" i="15"/>
  <c r="DP14" i="15" s="1"/>
  <c r="DP23" i="15"/>
  <c r="DP24" i="15" s="1"/>
  <c r="DO35" i="15"/>
  <c r="DQ19" i="15"/>
  <c r="DQ20" i="15" s="1"/>
  <c r="DS16" i="15"/>
  <c r="DT8" i="15"/>
  <c r="DR10" i="15"/>
  <c r="DP33" i="15"/>
  <c r="DS9" i="15"/>
  <c r="DR19" i="15" l="1"/>
  <c r="DR20" i="15" s="1"/>
  <c r="DR11" i="15"/>
  <c r="DR12" i="15" s="1"/>
  <c r="DR22" i="15" s="1"/>
  <c r="DS17" i="15"/>
  <c r="DS18" i="15" s="1"/>
  <c r="DU8" i="15"/>
  <c r="DQ33" i="15"/>
  <c r="DQ35" i="15" s="1"/>
  <c r="DT9" i="15"/>
  <c r="DP35" i="15"/>
  <c r="DS10" i="15"/>
  <c r="DO37" i="15"/>
  <c r="DO41" i="15" s="1"/>
  <c r="DO43" i="15" s="1"/>
  <c r="DS19" i="15" l="1"/>
  <c r="DS20" i="15" s="1"/>
  <c r="DR40" i="15"/>
  <c r="DR38" i="15"/>
  <c r="DR39" i="15"/>
  <c r="DR27" i="15"/>
  <c r="DR28" i="15" s="1"/>
  <c r="DR23" i="15"/>
  <c r="DR24" i="15" s="1"/>
  <c r="DR13" i="15"/>
  <c r="DR14" i="15" s="1"/>
  <c r="DP37" i="15"/>
  <c r="DP41" i="15" s="1"/>
  <c r="DP43" i="15" s="1"/>
  <c r="DU9" i="15"/>
  <c r="DU16" i="15" s="1"/>
  <c r="DU10" i="15"/>
  <c r="DV8" i="15"/>
  <c r="DR33" i="15"/>
  <c r="DT10" i="15"/>
  <c r="DS11" i="15"/>
  <c r="DS12" i="15" s="1"/>
  <c r="DS22" i="15" s="1"/>
  <c r="DQ37" i="15"/>
  <c r="DQ41" i="15" s="1"/>
  <c r="DQ43" i="15" s="1"/>
  <c r="DT16" i="15"/>
  <c r="DU17" i="15" l="1"/>
  <c r="DU18" i="15" s="1"/>
  <c r="DV16" i="15"/>
  <c r="DW8" i="15"/>
  <c r="DS40" i="15"/>
  <c r="DS39" i="15"/>
  <c r="DS38" i="15"/>
  <c r="DS27" i="15"/>
  <c r="DS28" i="15" s="1"/>
  <c r="DS23" i="15"/>
  <c r="DS24" i="15" s="1"/>
  <c r="DS13" i="15"/>
  <c r="DS14" i="15" s="1"/>
  <c r="DS33" i="15"/>
  <c r="DT17" i="15"/>
  <c r="DT18" i="15" s="1"/>
  <c r="DR35" i="15"/>
  <c r="DU11" i="15"/>
  <c r="DU12" i="15" s="1"/>
  <c r="DT11" i="15"/>
  <c r="DT12" i="15" s="1"/>
  <c r="DV9" i="15"/>
  <c r="DU22" i="15" l="1"/>
  <c r="DT22" i="15"/>
  <c r="DT23" i="15" s="1"/>
  <c r="DT24" i="15" s="1"/>
  <c r="DT19" i="15"/>
  <c r="DT20" i="15" s="1"/>
  <c r="DT40" i="15"/>
  <c r="DT39" i="15"/>
  <c r="DT38" i="15"/>
  <c r="DT27" i="15"/>
  <c r="DT28" i="15" s="1"/>
  <c r="DT13" i="15"/>
  <c r="DT14" i="15" s="1"/>
  <c r="DU40" i="15"/>
  <c r="DU39" i="15"/>
  <c r="DU38" i="15"/>
  <c r="DU27" i="15"/>
  <c r="DU28" i="15" s="1"/>
  <c r="DU23" i="15"/>
  <c r="DU24" i="15" s="1"/>
  <c r="DU13" i="15"/>
  <c r="DU14" i="15" s="1"/>
  <c r="DU19" i="15"/>
  <c r="DU20" i="15" s="1"/>
  <c r="DS35" i="15"/>
  <c r="DW9" i="15"/>
  <c r="DR37" i="15"/>
  <c r="DR41" i="15" s="1"/>
  <c r="DR43" i="15" s="1"/>
  <c r="DW16" i="15"/>
  <c r="DW10" i="15"/>
  <c r="DX8" i="15"/>
  <c r="DV10" i="15"/>
  <c r="DV17" i="15"/>
  <c r="DV18" i="15" s="1"/>
  <c r="DV19" i="15" l="1"/>
  <c r="DV20" i="15" s="1"/>
  <c r="DW11" i="15"/>
  <c r="DW12" i="15" s="1"/>
  <c r="DY8" i="15"/>
  <c r="DS37" i="15"/>
  <c r="DS41" i="15" s="1"/>
  <c r="DS43" i="15" s="1"/>
  <c r="DW17" i="15"/>
  <c r="DW18" i="15" s="1"/>
  <c r="DV11" i="15"/>
  <c r="DV12" i="15" s="1"/>
  <c r="DV22" i="15" s="1"/>
  <c r="DX9" i="15"/>
  <c r="DX16" i="15" s="1"/>
  <c r="DW22" i="15" l="1"/>
  <c r="DW23" i="15" s="1"/>
  <c r="DW24" i="15" s="1"/>
  <c r="DX17" i="15"/>
  <c r="DX18" i="15" s="1"/>
  <c r="DV39" i="15"/>
  <c r="DV38" i="15"/>
  <c r="DV40" i="15"/>
  <c r="DV27" i="15"/>
  <c r="DV28" i="15" s="1"/>
  <c r="DV23" i="15"/>
  <c r="DV24" i="15" s="1"/>
  <c r="DV13" i="15"/>
  <c r="DV14" i="15" s="1"/>
  <c r="DW40" i="15"/>
  <c r="DW39" i="15"/>
  <c r="DW38" i="15"/>
  <c r="DW27" i="15"/>
  <c r="DW28" i="15" s="1"/>
  <c r="DW13" i="15"/>
  <c r="DW14" i="15" s="1"/>
  <c r="DY10" i="15"/>
  <c r="DZ8" i="15"/>
  <c r="DX10" i="15"/>
  <c r="DY9" i="15"/>
  <c r="DY16" i="15" s="1"/>
  <c r="DW19" i="15"/>
  <c r="DW20" i="15" s="1"/>
  <c r="DY17" i="15" l="1"/>
  <c r="DY18" i="15" s="1"/>
  <c r="DX19" i="15"/>
  <c r="DX20" i="15" s="1"/>
  <c r="DX11" i="15"/>
  <c r="DX12" i="15" s="1"/>
  <c r="DX22" i="15" s="1"/>
  <c r="DY11" i="15"/>
  <c r="DY12" i="15" s="1"/>
  <c r="DZ9" i="15"/>
  <c r="DZ16" i="15" s="1"/>
  <c r="EA8" i="15"/>
  <c r="DY22" i="15" l="1"/>
  <c r="DZ17" i="15"/>
  <c r="DZ18" i="15" s="1"/>
  <c r="DX40" i="15"/>
  <c r="DX39" i="15"/>
  <c r="DX38" i="15"/>
  <c r="DX27" i="15"/>
  <c r="DX28" i="15" s="1"/>
  <c r="DX13" i="15"/>
  <c r="DX14" i="15" s="1"/>
  <c r="DX23" i="15"/>
  <c r="DX24" i="15" s="1"/>
  <c r="DY40" i="15"/>
  <c r="DY38" i="15"/>
  <c r="DY39" i="15"/>
  <c r="DY27" i="15"/>
  <c r="DY28" i="15" s="1"/>
  <c r="DY23" i="15"/>
  <c r="DY24" i="15" s="1"/>
  <c r="DY13" i="15"/>
  <c r="DY14" i="15" s="1"/>
  <c r="DY19" i="15"/>
  <c r="DY20" i="15" s="1"/>
  <c r="EA10" i="15"/>
  <c r="EB8" i="15"/>
  <c r="EA9" i="15"/>
  <c r="DZ10" i="15"/>
  <c r="DZ19" i="15" l="1"/>
  <c r="DZ20" i="15" s="1"/>
  <c r="DZ11" i="15"/>
  <c r="DZ12" i="15" s="1"/>
  <c r="DZ22" i="15" s="1"/>
  <c r="EA11" i="15"/>
  <c r="EA12" i="15" s="1"/>
  <c r="EB9" i="15"/>
  <c r="EB16" i="15"/>
  <c r="EC8" i="15"/>
  <c r="DY33" i="15"/>
  <c r="DY35" i="15" s="1"/>
  <c r="EA16" i="15"/>
  <c r="DZ33" i="15" l="1"/>
  <c r="DZ40" i="15"/>
  <c r="DZ38" i="15"/>
  <c r="DZ39" i="15"/>
  <c r="DZ27" i="15"/>
  <c r="DZ28" i="15" s="1"/>
  <c r="DZ23" i="15"/>
  <c r="DZ24" i="15" s="1"/>
  <c r="DZ13" i="15"/>
  <c r="DZ14" i="15" s="1"/>
  <c r="EA17" i="15"/>
  <c r="EA18" i="15" s="1"/>
  <c r="EA22" i="15" s="1"/>
  <c r="EA23" i="15" s="1"/>
  <c r="EA24" i="15" s="1"/>
  <c r="EA27" i="15"/>
  <c r="EA28" i="15" s="1"/>
  <c r="EA13" i="15"/>
  <c r="EA14" i="15" s="1"/>
  <c r="EC9" i="15"/>
  <c r="EC16" i="15" s="1"/>
  <c r="DY37" i="15"/>
  <c r="DY41" i="15" s="1"/>
  <c r="DY43" i="15" s="1"/>
  <c r="ED8" i="15"/>
  <c r="EB17" i="15"/>
  <c r="EB18" i="15" s="1"/>
  <c r="EB10" i="15"/>
  <c r="EA33" i="15" l="1"/>
  <c r="DZ35" i="15"/>
  <c r="DZ37" i="15" s="1"/>
  <c r="DZ41" i="15" s="1"/>
  <c r="DZ43" i="15" s="1"/>
  <c r="EB19" i="15"/>
  <c r="EB20" i="15" s="1"/>
  <c r="EA19" i="15"/>
  <c r="EA20" i="15" s="1"/>
  <c r="EA39" i="15"/>
  <c r="EA40" i="15"/>
  <c r="EA38" i="15"/>
  <c r="EC17" i="15"/>
  <c r="EC18" i="15" s="1"/>
  <c r="EB11" i="15"/>
  <c r="EB12" i="15" s="1"/>
  <c r="EB22" i="15" s="1"/>
  <c r="EC10" i="15"/>
  <c r="EE8" i="15"/>
  <c r="ED9" i="15"/>
  <c r="EA35" i="15" l="1"/>
  <c r="EA37" i="15" s="1"/>
  <c r="EA41" i="15" s="1"/>
  <c r="EA43" i="15" s="1"/>
  <c r="EB33" i="15"/>
  <c r="EB40" i="15"/>
  <c r="EB39" i="15"/>
  <c r="EB38" i="15"/>
  <c r="EB27" i="15"/>
  <c r="EB28" i="15" s="1"/>
  <c r="EB13" i="15"/>
  <c r="EB14" i="15" s="1"/>
  <c r="EB23" i="15"/>
  <c r="EB24" i="15" s="1"/>
  <c r="EC19" i="15"/>
  <c r="EC20" i="15" s="1"/>
  <c r="EE9" i="15"/>
  <c r="ED10" i="15"/>
  <c r="ED16" i="15"/>
  <c r="EC11" i="15"/>
  <c r="EC12" i="15" s="1"/>
  <c r="EC22" i="15" s="1"/>
  <c r="EB35" i="15" l="1"/>
  <c r="EB37" i="15" s="1"/>
  <c r="EB41" i="15" s="1"/>
  <c r="EB43" i="15" s="1"/>
  <c r="EC40" i="15"/>
  <c r="EC39" i="15"/>
  <c r="EC38" i="15"/>
  <c r="EC27" i="15"/>
  <c r="EC28" i="15" s="1"/>
  <c r="EC23" i="15"/>
  <c r="EC24" i="15" s="1"/>
  <c r="EC13" i="15"/>
  <c r="EC14" i="15" s="1"/>
  <c r="ED17" i="15"/>
  <c r="ED18" i="15" s="1"/>
  <c r="EE16" i="15"/>
  <c r="C27" i="16"/>
  <c r="C37" i="16"/>
  <c r="D10" i="16"/>
  <c r="C22" i="16"/>
  <c r="C17" i="16"/>
  <c r="C20" i="16"/>
  <c r="C18" i="16"/>
  <c r="C8" i="16"/>
  <c r="C32" i="16"/>
  <c r="C6" i="16"/>
  <c r="C4" i="16"/>
  <c r="C10" i="16"/>
  <c r="C31" i="16"/>
  <c r="C33" i="16"/>
  <c r="C34" i="16"/>
  <c r="C29" i="16"/>
  <c r="C35" i="16"/>
  <c r="C26" i="16"/>
  <c r="E21" i="16"/>
  <c r="C7" i="16"/>
  <c r="C16" i="16"/>
  <c r="C13" i="16"/>
  <c r="C25" i="16"/>
  <c r="C12" i="16"/>
  <c r="C24" i="16"/>
  <c r="D4" i="16"/>
  <c r="C14" i="16"/>
  <c r="E6" i="16"/>
  <c r="C21" i="16"/>
  <c r="E17" i="16"/>
  <c r="E12" i="16"/>
  <c r="E16" i="16"/>
  <c r="E32" i="16"/>
  <c r="E8" i="16"/>
  <c r="E13" i="16"/>
  <c r="E34" i="16"/>
  <c r="E7" i="16"/>
  <c r="F20" i="16"/>
  <c r="F14" i="16"/>
  <c r="F21" i="16"/>
  <c r="E20" i="16"/>
  <c r="E18" i="16"/>
  <c r="G16" i="16"/>
  <c r="F8" i="16"/>
  <c r="E33" i="16"/>
  <c r="G18" i="16"/>
  <c r="F7" i="16"/>
  <c r="E4" i="16"/>
  <c r="F22" i="16"/>
  <c r="E10" i="16"/>
  <c r="F6" i="16"/>
  <c r="G14" i="16"/>
  <c r="E14" i="16"/>
  <c r="H18" i="16"/>
  <c r="G6" i="16"/>
  <c r="G8" i="16"/>
  <c r="F13" i="16"/>
  <c r="F17" i="16"/>
  <c r="G12" i="16"/>
  <c r="G10" i="16"/>
  <c r="G34" i="16"/>
  <c r="E22" i="16"/>
  <c r="F10" i="16"/>
  <c r="G17" i="16"/>
  <c r="G22" i="16"/>
  <c r="F12" i="16"/>
  <c r="G4" i="16"/>
  <c r="G7" i="16"/>
  <c r="F34" i="16"/>
  <c r="F18" i="16"/>
  <c r="F33" i="16"/>
  <c r="G13" i="16"/>
  <c r="F4" i="16"/>
  <c r="G21" i="16"/>
  <c r="G32" i="16"/>
  <c r="H16" i="16"/>
  <c r="H33" i="16"/>
  <c r="F16" i="16"/>
  <c r="H14" i="16"/>
  <c r="H7" i="16"/>
  <c r="H13" i="16"/>
  <c r="F32" i="16"/>
  <c r="G33" i="16"/>
  <c r="H21" i="16"/>
  <c r="H22" i="16"/>
  <c r="H32" i="16"/>
  <c r="H17" i="16"/>
  <c r="H6" i="16"/>
  <c r="H12" i="16"/>
  <c r="G20" i="16"/>
  <c r="H4" i="16"/>
  <c r="J21" i="16"/>
  <c r="J16" i="16"/>
  <c r="I12" i="16"/>
  <c r="H8" i="16"/>
  <c r="I4" i="16"/>
  <c r="H20" i="16"/>
  <c r="I17" i="16"/>
  <c r="J10" i="16"/>
  <c r="I14" i="16"/>
  <c r="H10" i="16"/>
  <c r="I20" i="16"/>
  <c r="I7" i="16"/>
  <c r="I22" i="16"/>
  <c r="I6" i="16"/>
  <c r="I32" i="16"/>
  <c r="I34" i="16"/>
  <c r="I21" i="16"/>
  <c r="H34" i="16"/>
  <c r="I33" i="16"/>
  <c r="I13" i="16"/>
  <c r="I8" i="16"/>
  <c r="J6" i="16"/>
  <c r="I10" i="16"/>
  <c r="J7" i="16"/>
  <c r="J32" i="16"/>
  <c r="J33" i="16"/>
  <c r="J17" i="16"/>
  <c r="K6" i="16"/>
  <c r="I18" i="16"/>
  <c r="I16" i="16"/>
  <c r="J8" i="16"/>
  <c r="L7" i="16"/>
  <c r="J34" i="16"/>
  <c r="J12" i="16"/>
  <c r="J22" i="16"/>
  <c r="J18" i="16"/>
  <c r="K7" i="16"/>
  <c r="K18" i="16"/>
  <c r="K22" i="16"/>
  <c r="L13" i="16"/>
  <c r="J14" i="16"/>
  <c r="L21" i="16"/>
  <c r="J20" i="16"/>
  <c r="K8" i="16"/>
  <c r="J4" i="16"/>
  <c r="K34" i="16"/>
  <c r="M33" i="16"/>
  <c r="L14" i="16"/>
  <c r="J13" i="16"/>
  <c r="K10" i="16"/>
  <c r="K13" i="16"/>
  <c r="M7" i="16"/>
  <c r="L34" i="16"/>
  <c r="K4" i="16"/>
  <c r="L18" i="16"/>
  <c r="K32" i="16"/>
  <c r="K17" i="16"/>
  <c r="L32" i="16"/>
  <c r="K14" i="16"/>
  <c r="M6" i="16"/>
  <c r="L17" i="16"/>
  <c r="L33" i="16"/>
  <c r="K20" i="16"/>
  <c r="M10" i="16"/>
  <c r="K16" i="16"/>
  <c r="K33" i="16"/>
  <c r="M34" i="16"/>
  <c r="L16" i="16"/>
  <c r="L10" i="16"/>
  <c r="L8" i="16"/>
  <c r="L22" i="16"/>
  <c r="L12" i="16"/>
  <c r="K21" i="16"/>
  <c r="M16" i="16"/>
  <c r="L20" i="16"/>
  <c r="M20" i="16"/>
  <c r="L6" i="16"/>
  <c r="K12" i="16"/>
  <c r="M17" i="16"/>
  <c r="M13" i="16"/>
  <c r="M4" i="16"/>
  <c r="M32" i="16"/>
  <c r="M18" i="16"/>
  <c r="M12" i="16"/>
  <c r="M8" i="16"/>
  <c r="M14" i="16"/>
  <c r="ED11" i="15"/>
  <c r="ED12" i="15" s="1"/>
  <c r="EE10" i="15"/>
  <c r="L4" i="16" s="1"/>
  <c r="EC33" i="15"/>
  <c r="ED22" i="15" l="1"/>
  <c r="ED23" i="15" s="1"/>
  <c r="ED24" i="15" s="1"/>
  <c r="EC35" i="15"/>
  <c r="ED19" i="15"/>
  <c r="ED20" i="15" s="1"/>
  <c r="ED39" i="15"/>
  <c r="ED38" i="15"/>
  <c r="ED40" i="15"/>
  <c r="ED27" i="15"/>
  <c r="ED13" i="15"/>
  <c r="ED14" i="15" s="1"/>
  <c r="EE17" i="15"/>
  <c r="EE11" i="15"/>
  <c r="EE12" i="15" s="1"/>
  <c r="C40" i="16"/>
  <c r="C41" i="16"/>
  <c r="C42" i="16"/>
  <c r="C39" i="16"/>
  <c r="E9" i="14"/>
  <c r="ED33" i="15"/>
  <c r="EE33" i="15"/>
  <c r="ED28" i="15" l="1"/>
  <c r="EC37" i="15"/>
  <c r="EE13" i="15"/>
  <c r="D7" i="16" s="1"/>
  <c r="D6" i="16"/>
  <c r="ED35" i="15"/>
  <c r="EE18" i="15"/>
  <c r="EE22" i="15" s="1"/>
  <c r="EC41" i="15" l="1"/>
  <c r="EE14" i="15"/>
  <c r="D8" i="16" s="1"/>
  <c r="EE19" i="15"/>
  <c r="D13" i="16" s="1"/>
  <c r="D12" i="16"/>
  <c r="EE27" i="15"/>
  <c r="M21" i="16" s="1"/>
  <c r="D20" i="16"/>
  <c r="ED37" i="15"/>
  <c r="ED41" i="15" s="1"/>
  <c r="ED43" i="15" s="1"/>
  <c r="B7" i="16"/>
  <c r="EE38" i="15"/>
  <c r="D32" i="16" s="1"/>
  <c r="EE39" i="15"/>
  <c r="D33" i="16" s="1"/>
  <c r="EE23" i="15"/>
  <c r="D16" i="16"/>
  <c r="EE40" i="15"/>
  <c r="D34" i="16" s="1"/>
  <c r="EC43" i="15" l="1"/>
  <c r="B13" i="16"/>
  <c r="EE20" i="15"/>
  <c r="D14" i="16" s="1"/>
  <c r="EE28" i="15"/>
  <c r="M22" i="16" s="1"/>
  <c r="D21" i="16"/>
  <c r="B21" i="16" s="1"/>
  <c r="EE24" i="15"/>
  <c r="D18" i="16" s="1"/>
  <c r="D17" i="16"/>
  <c r="B17" i="16" s="1"/>
  <c r="D22" i="16" l="1"/>
  <c r="EE35" i="15"/>
  <c r="EE37" i="15" l="1"/>
  <c r="EE41" i="15" l="1"/>
  <c r="EE43" i="15" l="1"/>
  <c r="F63" i="5" l="1"/>
  <c r="G63" i="5" l="1"/>
  <c r="L63" i="5"/>
  <c r="N63" i="5"/>
  <c r="O63" i="5" s="1"/>
  <c r="P63" i="5" s="1"/>
  <c r="H63" i="5"/>
  <c r="I63" i="5"/>
  <c r="J63" i="5"/>
  <c r="M63" i="5"/>
  <c r="K63" i="5"/>
  <c r="H39" i="5" l="1"/>
  <c r="F38" i="5"/>
  <c r="G38" i="5"/>
  <c r="H38" i="5"/>
  <c r="Q38" i="5" l="1"/>
  <c r="I70" i="5" l="1"/>
  <c r="J70" i="5"/>
  <c r="K70" i="5"/>
  <c r="L70" i="5"/>
  <c r="M70" i="5"/>
  <c r="N70" i="5"/>
  <c r="O70" i="5"/>
  <c r="P70" i="5"/>
  <c r="R57" i="5"/>
  <c r="Q70" i="5" l="1"/>
  <c r="F73" i="5" l="1"/>
  <c r="Q73" i="5" s="1"/>
  <c r="G39" i="5"/>
  <c r="F39" i="5"/>
  <c r="Q39" i="5" l="1"/>
  <c r="E36" i="5"/>
  <c r="Q36" i="5" s="1"/>
  <c r="C37" i="5"/>
  <c r="H37" i="5" l="1"/>
  <c r="F37" i="5"/>
  <c r="E40" i="5"/>
  <c r="E41" i="5" s="1"/>
  <c r="G37" i="5"/>
  <c r="G40" i="5" s="1"/>
  <c r="F8" i="5"/>
  <c r="G8" i="5" s="1"/>
  <c r="H8" i="5" s="1"/>
  <c r="I8" i="5" s="1"/>
  <c r="J8" i="5" s="1"/>
  <c r="K8" i="5" s="1"/>
  <c r="L8" i="5" s="1"/>
  <c r="M8" i="5" s="1"/>
  <c r="N8" i="5" s="1"/>
  <c r="O8" i="5" s="1"/>
  <c r="P8" i="5" s="1"/>
  <c r="B138" i="5"/>
  <c r="B136" i="5"/>
  <c r="B158" i="5" s="1"/>
  <c r="P135" i="5"/>
  <c r="O135" i="5"/>
  <c r="N135" i="5"/>
  <c r="M135" i="5"/>
  <c r="L135" i="5"/>
  <c r="K135" i="5"/>
  <c r="J135" i="5"/>
  <c r="I135" i="5"/>
  <c r="H135" i="5"/>
  <c r="G135" i="5"/>
  <c r="F135" i="5"/>
  <c r="E135" i="5"/>
  <c r="D135" i="5"/>
  <c r="B135" i="5"/>
  <c r="B157" i="5" s="1"/>
  <c r="D134" i="5"/>
  <c r="B134" i="5"/>
  <c r="B156" i="5" s="1"/>
  <c r="B133" i="5"/>
  <c r="B155" i="5" s="1"/>
  <c r="B132" i="5"/>
  <c r="B154" i="5" s="1"/>
  <c r="B131" i="5"/>
  <c r="B153" i="5" s="1"/>
  <c r="B130" i="5"/>
  <c r="B152" i="5" s="1"/>
  <c r="B129" i="5"/>
  <c r="B151" i="5" s="1"/>
  <c r="P128" i="5"/>
  <c r="B128" i="5"/>
  <c r="B150" i="5" s="1"/>
  <c r="B127" i="5"/>
  <c r="B149" i="5" s="1"/>
  <c r="Q126" i="5"/>
  <c r="D126" i="5"/>
  <c r="B126" i="5"/>
  <c r="B148" i="5" s="1"/>
  <c r="B124" i="5"/>
  <c r="B146" i="5" s="1"/>
  <c r="D123" i="5"/>
  <c r="B123" i="5"/>
  <c r="B145" i="5" s="1"/>
  <c r="D122" i="5"/>
  <c r="B122" i="5"/>
  <c r="B144" i="5" s="1"/>
  <c r="P121" i="5"/>
  <c r="B121" i="5"/>
  <c r="B143" i="5" s="1"/>
  <c r="P120" i="5"/>
  <c r="O120" i="5"/>
  <c r="N120" i="5"/>
  <c r="M120" i="5"/>
  <c r="L120" i="5"/>
  <c r="K120" i="5"/>
  <c r="J120" i="5"/>
  <c r="I120" i="5"/>
  <c r="H120" i="5"/>
  <c r="G120" i="5"/>
  <c r="D120" i="5"/>
  <c r="B120" i="5"/>
  <c r="B142" i="5" s="1"/>
  <c r="P119" i="5"/>
  <c r="O119" i="5"/>
  <c r="N119" i="5"/>
  <c r="M119" i="5"/>
  <c r="L119" i="5"/>
  <c r="K119" i="5"/>
  <c r="J119" i="5"/>
  <c r="I119" i="5"/>
  <c r="H119" i="5"/>
  <c r="G119" i="5"/>
  <c r="F119" i="5"/>
  <c r="E119" i="5"/>
  <c r="D119" i="5"/>
  <c r="B119" i="5"/>
  <c r="B141" i="5" s="1"/>
  <c r="Q118" i="5"/>
  <c r="D118" i="5"/>
  <c r="B118" i="5"/>
  <c r="B140" i="5" s="1"/>
  <c r="B116" i="5"/>
  <c r="Q135" i="5"/>
  <c r="C157" i="5" s="1"/>
  <c r="P46" i="5"/>
  <c r="O41" i="5"/>
  <c r="O129" i="5" s="1"/>
  <c r="N41" i="5"/>
  <c r="N129" i="5" s="1"/>
  <c r="M41" i="5"/>
  <c r="M129" i="5" s="1"/>
  <c r="P41" i="5"/>
  <c r="P129" i="5" s="1"/>
  <c r="Q68" i="5"/>
  <c r="Q37" i="5" l="1"/>
  <c r="H40" i="5"/>
  <c r="E57" i="5"/>
  <c r="F40" i="5"/>
  <c r="P131" i="5"/>
  <c r="G41" i="5"/>
  <c r="G129" i="5" s="1"/>
  <c r="H121" i="5"/>
  <c r="M121" i="5"/>
  <c r="I127" i="5"/>
  <c r="J127" i="5"/>
  <c r="K127" i="5"/>
  <c r="O127" i="5"/>
  <c r="M127" i="5"/>
  <c r="N127" i="5"/>
  <c r="L127" i="5"/>
  <c r="P127" i="5"/>
  <c r="N121" i="5"/>
  <c r="O121" i="5"/>
  <c r="E123" i="5"/>
  <c r="F126" i="5"/>
  <c r="F118" i="5"/>
  <c r="F27" i="5"/>
  <c r="K41" i="5"/>
  <c r="K129" i="5" s="1"/>
  <c r="E121" i="5"/>
  <c r="I121" i="5"/>
  <c r="E118" i="5"/>
  <c r="E126" i="5"/>
  <c r="Q119" i="5"/>
  <c r="C141" i="5" s="1"/>
  <c r="F121" i="5"/>
  <c r="J121" i="5"/>
  <c r="K121" i="5"/>
  <c r="G121" i="5"/>
  <c r="D121" i="5"/>
  <c r="L121" i="5"/>
  <c r="D157" i="5"/>
  <c r="Q40" i="5" l="1"/>
  <c r="F28" i="5"/>
  <c r="E134" i="5"/>
  <c r="F71" i="5"/>
  <c r="D128" i="5"/>
  <c r="I128" i="5"/>
  <c r="E122" i="5"/>
  <c r="D130" i="5"/>
  <c r="L41" i="5"/>
  <c r="L129" i="5" s="1"/>
  <c r="F127" i="5"/>
  <c r="I41" i="5"/>
  <c r="I129" i="5" s="1"/>
  <c r="H27" i="5"/>
  <c r="H28" i="5" s="1"/>
  <c r="H45" i="5" s="1"/>
  <c r="J41" i="5"/>
  <c r="J129" i="5" s="1"/>
  <c r="F51" i="5"/>
  <c r="Q121" i="5"/>
  <c r="C143" i="5" s="1"/>
  <c r="O51" i="5"/>
  <c r="O132" i="5" s="1"/>
  <c r="K51" i="5"/>
  <c r="K132" i="5" s="1"/>
  <c r="G51" i="5"/>
  <c r="G132" i="5" s="1"/>
  <c r="N51" i="5"/>
  <c r="N132" i="5" s="1"/>
  <c r="M51" i="5"/>
  <c r="M132" i="5" s="1"/>
  <c r="E132" i="5"/>
  <c r="L51" i="5"/>
  <c r="L132" i="5" s="1"/>
  <c r="I51" i="5"/>
  <c r="I132" i="5" s="1"/>
  <c r="H51" i="5"/>
  <c r="H41" i="5"/>
  <c r="H129" i="5" s="1"/>
  <c r="D124" i="5"/>
  <c r="D127" i="5"/>
  <c r="C161" i="5"/>
  <c r="D141" i="5"/>
  <c r="E141" i="5"/>
  <c r="E157" i="5"/>
  <c r="P51" i="5"/>
  <c r="P54" i="5" s="1"/>
  <c r="J51" i="5"/>
  <c r="J132" i="5" s="1"/>
  <c r="G27" i="5"/>
  <c r="G28" i="5" s="1"/>
  <c r="G45" i="5" s="1"/>
  <c r="G126" i="5"/>
  <c r="G118" i="5"/>
  <c r="Q28" i="5" l="1"/>
  <c r="Q51" i="5"/>
  <c r="F45" i="5"/>
  <c r="Q45" i="5" s="1"/>
  <c r="F132" i="5"/>
  <c r="F85" i="5"/>
  <c r="F72" i="5"/>
  <c r="H132" i="5"/>
  <c r="E128" i="5"/>
  <c r="H127" i="5"/>
  <c r="M128" i="5"/>
  <c r="P132" i="5"/>
  <c r="Q27" i="5"/>
  <c r="G71" i="5"/>
  <c r="G72" i="5" s="1"/>
  <c r="H128" i="5"/>
  <c r="N128" i="5"/>
  <c r="E127" i="5"/>
  <c r="J128" i="5"/>
  <c r="L128" i="5"/>
  <c r="O128" i="5"/>
  <c r="H118" i="5"/>
  <c r="H126" i="5"/>
  <c r="K128" i="5"/>
  <c r="F41" i="5"/>
  <c r="Q41" i="5" s="1"/>
  <c r="E143" i="5"/>
  <c r="D143" i="5"/>
  <c r="F128" i="5"/>
  <c r="E124" i="5"/>
  <c r="G85" i="5" l="1"/>
  <c r="H71" i="5"/>
  <c r="F80" i="5"/>
  <c r="F134" i="5" s="1"/>
  <c r="Q128" i="5"/>
  <c r="C150" i="5" s="1"/>
  <c r="F129" i="5"/>
  <c r="E129" i="5"/>
  <c r="D131" i="5"/>
  <c r="G128" i="5"/>
  <c r="D132" i="5"/>
  <c r="E130" i="5"/>
  <c r="I126" i="5"/>
  <c r="I118" i="5"/>
  <c r="I71" i="5" l="1"/>
  <c r="I72" i="5" s="1"/>
  <c r="H72" i="5"/>
  <c r="H85" i="5"/>
  <c r="G80" i="5"/>
  <c r="G134" i="5" s="1"/>
  <c r="D129" i="5"/>
  <c r="Q129" i="5"/>
  <c r="C151" i="5" s="1"/>
  <c r="E150" i="5"/>
  <c r="D150" i="5"/>
  <c r="J126" i="5"/>
  <c r="J118" i="5"/>
  <c r="H80" i="5" l="1"/>
  <c r="H134" i="5" s="1"/>
  <c r="I80" i="5"/>
  <c r="I134" i="5" s="1"/>
  <c r="I85" i="5"/>
  <c r="F122" i="5"/>
  <c r="E136" i="5"/>
  <c r="J71" i="5"/>
  <c r="J72" i="5" s="1"/>
  <c r="G122" i="5"/>
  <c r="F124" i="5"/>
  <c r="H123" i="5"/>
  <c r="F123" i="5"/>
  <c r="F130" i="5"/>
  <c r="G123" i="5"/>
  <c r="E151" i="5"/>
  <c r="D151" i="5"/>
  <c r="G130" i="5"/>
  <c r="K126" i="5"/>
  <c r="K118" i="5"/>
  <c r="Q22" i="5" l="1"/>
  <c r="J80" i="5"/>
  <c r="J134" i="5" s="1"/>
  <c r="J85" i="5"/>
  <c r="K71" i="5"/>
  <c r="G124" i="5"/>
  <c r="I123" i="5"/>
  <c r="H130" i="5"/>
  <c r="D133" i="5"/>
  <c r="L118" i="5"/>
  <c r="L126" i="5"/>
  <c r="K85" i="5" l="1"/>
  <c r="K72" i="5"/>
  <c r="Q127" i="5"/>
  <c r="C149" i="5" s="1"/>
  <c r="E131" i="5"/>
  <c r="H124" i="5"/>
  <c r="H122" i="5"/>
  <c r="J123" i="5"/>
  <c r="L71" i="5"/>
  <c r="L72" i="5" s="1"/>
  <c r="D136" i="5"/>
  <c r="M118" i="5"/>
  <c r="M126" i="5"/>
  <c r="Q72" i="5" l="1"/>
  <c r="G127" i="5"/>
  <c r="E149" i="5"/>
  <c r="D149" i="5"/>
  <c r="E133" i="5"/>
  <c r="L80" i="5"/>
  <c r="L134" i="5" s="1"/>
  <c r="L85" i="5"/>
  <c r="K80" i="5"/>
  <c r="K134" i="5" s="1"/>
  <c r="I124" i="5"/>
  <c r="I122" i="5"/>
  <c r="N123" i="5"/>
  <c r="N130" i="5"/>
  <c r="L123" i="5"/>
  <c r="M123" i="5"/>
  <c r="K123" i="5"/>
  <c r="I130" i="5"/>
  <c r="J130" i="5"/>
  <c r="N126" i="5"/>
  <c r="N118" i="5"/>
  <c r="J124" i="5" l="1"/>
  <c r="J122" i="5"/>
  <c r="M71" i="5"/>
  <c r="M72" i="5" s="1"/>
  <c r="P123" i="5"/>
  <c r="O126" i="5"/>
  <c r="O118" i="5"/>
  <c r="L130" i="5"/>
  <c r="K130" i="5"/>
  <c r="O46" i="5"/>
  <c r="K46" i="5"/>
  <c r="G46" i="5"/>
  <c r="G54" i="5" s="1"/>
  <c r="N46" i="5"/>
  <c r="J46" i="5"/>
  <c r="H46" i="5"/>
  <c r="H54" i="5" s="1"/>
  <c r="L46" i="5"/>
  <c r="M46" i="5"/>
  <c r="I46" i="5"/>
  <c r="P124" i="5"/>
  <c r="M130" i="5"/>
  <c r="M80" i="5" l="1"/>
  <c r="M134" i="5" s="1"/>
  <c r="M85" i="5"/>
  <c r="K131" i="5"/>
  <c r="M131" i="5"/>
  <c r="L131" i="5"/>
  <c r="K124" i="5"/>
  <c r="K122" i="5"/>
  <c r="P122" i="5"/>
  <c r="Q122" i="5"/>
  <c r="C144" i="5" s="1"/>
  <c r="O123" i="5"/>
  <c r="M55" i="5"/>
  <c r="M57" i="5" s="1"/>
  <c r="K55" i="5"/>
  <c r="K57" i="5" s="1"/>
  <c r="H131" i="5"/>
  <c r="H55" i="5"/>
  <c r="G131" i="5"/>
  <c r="G55" i="5"/>
  <c r="G57" i="5" s="1"/>
  <c r="P118" i="5"/>
  <c r="P126" i="5"/>
  <c r="P130" i="5"/>
  <c r="I131" i="5"/>
  <c r="I55" i="5"/>
  <c r="F46" i="5"/>
  <c r="Q46" i="5" s="1"/>
  <c r="N131" i="5"/>
  <c r="N55" i="5"/>
  <c r="N57" i="5" s="1"/>
  <c r="J131" i="5"/>
  <c r="J55" i="5"/>
  <c r="O131" i="5"/>
  <c r="L55" i="5"/>
  <c r="L57" i="5" s="1"/>
  <c r="F54" i="5" l="1"/>
  <c r="Q54" i="5" s="1"/>
  <c r="J57" i="5"/>
  <c r="I57" i="5"/>
  <c r="H57" i="5"/>
  <c r="L124" i="5"/>
  <c r="L122" i="5"/>
  <c r="M133" i="5"/>
  <c r="K136" i="5"/>
  <c r="N71" i="5"/>
  <c r="D144" i="5"/>
  <c r="E144" i="5"/>
  <c r="Q123" i="5"/>
  <c r="C145" i="5" s="1"/>
  <c r="Q130" i="5"/>
  <c r="C152" i="5" s="1"/>
  <c r="D152" i="5" s="1"/>
  <c r="M136" i="5"/>
  <c r="K133" i="5"/>
  <c r="J133" i="5"/>
  <c r="N133" i="5"/>
  <c r="I133" i="5"/>
  <c r="H133" i="5"/>
  <c r="F131" i="5"/>
  <c r="G133" i="5"/>
  <c r="L133" i="5"/>
  <c r="N85" i="5" l="1"/>
  <c r="N72" i="5"/>
  <c r="O71" i="5"/>
  <c r="Q131" i="5"/>
  <c r="C153" i="5" s="1"/>
  <c r="D153" i="5" s="1"/>
  <c r="M122" i="5"/>
  <c r="E152" i="5"/>
  <c r="O130" i="5"/>
  <c r="O55" i="5"/>
  <c r="O57" i="5" s="1"/>
  <c r="D145" i="5"/>
  <c r="E145" i="5"/>
  <c r="H136" i="5"/>
  <c r="L136" i="5"/>
  <c r="G136" i="5"/>
  <c r="I136" i="5"/>
  <c r="J136" i="5"/>
  <c r="F55" i="5"/>
  <c r="F57" i="5" l="1"/>
  <c r="Q132" i="5"/>
  <c r="C154" i="5" s="1"/>
  <c r="O85" i="5"/>
  <c r="O72" i="5"/>
  <c r="N80" i="5"/>
  <c r="N134" i="5" s="1"/>
  <c r="P71" i="5"/>
  <c r="E153" i="5"/>
  <c r="M124" i="5"/>
  <c r="N124" i="5"/>
  <c r="N122" i="5"/>
  <c r="N136" i="5"/>
  <c r="Q74" i="5"/>
  <c r="O133" i="5"/>
  <c r="F133" i="5"/>
  <c r="E154" i="5" l="1"/>
  <c r="D154" i="5"/>
  <c r="P85" i="5"/>
  <c r="P72" i="5"/>
  <c r="O80" i="5"/>
  <c r="O136" i="5" s="1"/>
  <c r="O124" i="5"/>
  <c r="O122" i="5"/>
  <c r="F136" i="5"/>
  <c r="O134" i="5" l="1"/>
  <c r="P80" i="5"/>
  <c r="P136" i="5" s="1"/>
  <c r="Q124" i="5"/>
  <c r="C146" i="5" s="1"/>
  <c r="E146" i="5" s="1"/>
  <c r="Q136" i="5"/>
  <c r="C158" i="5" s="1"/>
  <c r="D158" i="5" s="1"/>
  <c r="P55" i="5" l="1"/>
  <c r="Q55" i="5" s="1"/>
  <c r="P134" i="5"/>
  <c r="Q134" i="5"/>
  <c r="C156" i="5" s="1"/>
  <c r="E156" i="5" s="1"/>
  <c r="D146" i="5"/>
  <c r="F144" i="5"/>
  <c r="F146" i="5"/>
  <c r="F141" i="5"/>
  <c r="F143" i="5"/>
  <c r="F145" i="5"/>
  <c r="E158" i="5"/>
  <c r="Q133" i="5" l="1"/>
  <c r="C155" i="5" s="1"/>
  <c r="E155" i="5" s="1"/>
  <c r="F155" i="5" s="1"/>
  <c r="P133" i="5"/>
  <c r="P57" i="5"/>
  <c r="Q57" i="5" s="1"/>
  <c r="D156" i="5"/>
  <c r="F156" i="5"/>
  <c r="F153" i="5"/>
  <c r="F158" i="5"/>
  <c r="F150" i="5"/>
  <c r="F154" i="5"/>
  <c r="F152" i="5"/>
  <c r="F149" i="5"/>
  <c r="F151" i="5"/>
  <c r="F157" i="5"/>
  <c r="D155" i="5" l="1"/>
  <c r="T57" i="5" l="1"/>
  <c r="S70" i="5"/>
  <c r="E75" i="5"/>
  <c r="E110" i="5"/>
  <c r="E120" i="5"/>
  <c r="Q69" i="5"/>
  <c r="M91" i="5"/>
  <c r="N91" i="5"/>
  <c r="O91" i="5"/>
  <c r="P91" i="5"/>
  <c r="F120" i="5"/>
  <c r="H91" i="5" l="1"/>
  <c r="J91" i="5"/>
  <c r="K91" i="5"/>
  <c r="F91" i="5"/>
  <c r="I91" i="5"/>
  <c r="L91" i="5"/>
  <c r="G91" i="5"/>
  <c r="Q120" i="5"/>
  <c r="C142" i="5" s="1"/>
  <c r="D142" i="5" s="1"/>
  <c r="E142" i="5" l="1"/>
  <c r="F142" i="5" s="1"/>
  <c r="B36" i="14" a="1"/>
  <c r="B36" i="14" l="1"/>
  <c r="CL30" i="15" s="1"/>
  <c r="DI30" i="15" l="1"/>
  <c r="DI32" i="15" s="1"/>
  <c r="AD30" i="15"/>
  <c r="AD32" i="15" s="1"/>
  <c r="AP30" i="15"/>
  <c r="AP31" i="15" s="1"/>
  <c r="BB30" i="15"/>
  <c r="BB31" i="15" s="1"/>
  <c r="AB30" i="15"/>
  <c r="AB32" i="15" s="1"/>
  <c r="AO30" i="15"/>
  <c r="AO31" i="15" s="1"/>
  <c r="CK30" i="15"/>
  <c r="CK32" i="15" s="1"/>
  <c r="BA30" i="15"/>
  <c r="BA31" i="15" s="1"/>
  <c r="Q30" i="15"/>
  <c r="Q31" i="15" s="1"/>
  <c r="BN30" i="15"/>
  <c r="BN31" i="15" s="1"/>
  <c r="DV30" i="15"/>
  <c r="DV31" i="15" s="1"/>
  <c r="BO30" i="15"/>
  <c r="BO31" i="15" s="1"/>
  <c r="DX30" i="15"/>
  <c r="DX31" i="15" s="1"/>
  <c r="DH30" i="15"/>
  <c r="DH31" i="15" s="1"/>
  <c r="AF30" i="15"/>
  <c r="AF31" i="15" s="1"/>
  <c r="T30" i="15"/>
  <c r="T31" i="15" s="1"/>
  <c r="DW30" i="15"/>
  <c r="DW32" i="15" s="1"/>
  <c r="AR30" i="15"/>
  <c r="AR32" i="15" s="1"/>
  <c r="BZ30" i="15"/>
  <c r="BZ32" i="15" s="1"/>
  <c r="CB30" i="15"/>
  <c r="CB32" i="15" s="1"/>
  <c r="BX30" i="15"/>
  <c r="BX31" i="15" s="1"/>
  <c r="BM30" i="15"/>
  <c r="BM31" i="15" s="1"/>
  <c r="CZ30" i="15"/>
  <c r="CZ32" i="15" s="1"/>
  <c r="CW30" i="15"/>
  <c r="CW31" i="15" s="1"/>
  <c r="DL30" i="15"/>
  <c r="DL32" i="15" s="1"/>
  <c r="BL30" i="15"/>
  <c r="BL31" i="15" s="1"/>
  <c r="DU30" i="15"/>
  <c r="DU32" i="15" s="1"/>
  <c r="AN30" i="15"/>
  <c r="AN31" i="15" s="1"/>
  <c r="DT30" i="15"/>
  <c r="DT31" i="15" s="1"/>
  <c r="AQ30" i="15"/>
  <c r="AQ31" i="15" s="1"/>
  <c r="AZ30" i="15"/>
  <c r="AZ31" i="15" s="1"/>
  <c r="BP30" i="15"/>
  <c r="BP31" i="15" s="1"/>
  <c r="BC30" i="15"/>
  <c r="BC32" i="15" s="1"/>
  <c r="CV30" i="15"/>
  <c r="CV31" i="15" s="1"/>
  <c r="AC30" i="15"/>
  <c r="AC31" i="15" s="1"/>
  <c r="DK30" i="15"/>
  <c r="DK32" i="15" s="1"/>
  <c r="CA30" i="15"/>
  <c r="CA31" i="15" s="1"/>
  <c r="BD30" i="15"/>
  <c r="BD31" i="15" s="1"/>
  <c r="DJ30" i="15"/>
  <c r="DJ32" i="15" s="1"/>
  <c r="S30" i="15"/>
  <c r="S32" i="15" s="1"/>
  <c r="P30" i="15"/>
  <c r="P31" i="15" s="1"/>
  <c r="BY30" i="15"/>
  <c r="BY32" i="15" s="1"/>
  <c r="R30" i="15"/>
  <c r="R31" i="15" s="1"/>
  <c r="CN30" i="15"/>
  <c r="CN31" i="15" s="1"/>
  <c r="CX30" i="15"/>
  <c r="CX31" i="15" s="1"/>
  <c r="CM30" i="15"/>
  <c r="CM31" i="15" s="1"/>
  <c r="AE30" i="15"/>
  <c r="AE32" i="15" s="1"/>
  <c r="CJ30" i="15"/>
  <c r="CJ32" i="15" s="1"/>
  <c r="CY30" i="15"/>
  <c r="CY31" i="15" s="1"/>
  <c r="CL32" i="15"/>
  <c r="CL31" i="15"/>
  <c r="DI31" i="15" l="1"/>
  <c r="DI33" i="15" s="1"/>
  <c r="DI35" i="15" s="1"/>
  <c r="DI37" i="15" s="1"/>
  <c r="DI41" i="15" s="1"/>
  <c r="DI43" i="15" s="1"/>
  <c r="BP32" i="15"/>
  <c r="BP33" i="15" s="1"/>
  <c r="BP35" i="15" s="1"/>
  <c r="BP37" i="15" s="1"/>
  <c r="BP41" i="15" s="1"/>
  <c r="BP43" i="15" s="1"/>
  <c r="AR31" i="15"/>
  <c r="AR33" i="15" s="1"/>
  <c r="AR35" i="15" s="1"/>
  <c r="AR37" i="15" s="1"/>
  <c r="AR41" i="15" s="1"/>
  <c r="AR43" i="15" s="1"/>
  <c r="DW31" i="15"/>
  <c r="DW33" i="15" s="1"/>
  <c r="DW35" i="15" s="1"/>
  <c r="BC31" i="15"/>
  <c r="BC33" i="15" s="1"/>
  <c r="BC35" i="15" s="1"/>
  <c r="BC37" i="15" s="1"/>
  <c r="BC41" i="15" s="1"/>
  <c r="BC43" i="15" s="1"/>
  <c r="AD31" i="15"/>
  <c r="AD33" i="15" s="1"/>
  <c r="AD35" i="15" s="1"/>
  <c r="AZ32" i="15"/>
  <c r="AZ33" i="15" s="1"/>
  <c r="CM32" i="15"/>
  <c r="CM33" i="15" s="1"/>
  <c r="CM35" i="15" s="1"/>
  <c r="CM37" i="15" s="1"/>
  <c r="CM41" i="15" s="1"/>
  <c r="CM43" i="15" s="1"/>
  <c r="CJ31" i="15"/>
  <c r="CJ33" i="15" s="1"/>
  <c r="AP32" i="15"/>
  <c r="AP33" i="15" s="1"/>
  <c r="AP35" i="15" s="1"/>
  <c r="BB32" i="15"/>
  <c r="BB33" i="15" s="1"/>
  <c r="BB35" i="15" s="1"/>
  <c r="BB37" i="15" s="1"/>
  <c r="BB41" i="15" s="1"/>
  <c r="BB43" i="15" s="1"/>
  <c r="AB31" i="15"/>
  <c r="AB33" i="15" s="1"/>
  <c r="CX32" i="15"/>
  <c r="CX33" i="15" s="1"/>
  <c r="CX35" i="15" s="1"/>
  <c r="CX37" i="15" s="1"/>
  <c r="CX41" i="15" s="1"/>
  <c r="CX43" i="15" s="1"/>
  <c r="BZ31" i="15"/>
  <c r="BZ33" i="15" s="1"/>
  <c r="BZ35" i="15" s="1"/>
  <c r="BZ37" i="15" s="1"/>
  <c r="BZ41" i="15" s="1"/>
  <c r="K24" i="16"/>
  <c r="AO32" i="15"/>
  <c r="AO33" i="15" s="1"/>
  <c r="AO35" i="15" s="1"/>
  <c r="AO37" i="15" s="1"/>
  <c r="AO41" i="15" s="1"/>
  <c r="AO43" i="15" s="1"/>
  <c r="BX32" i="15"/>
  <c r="BX33" i="15" s="1"/>
  <c r="CV32" i="15"/>
  <c r="CV33" i="15" s="1"/>
  <c r="AE31" i="15"/>
  <c r="AE33" i="15" s="1"/>
  <c r="AE35" i="15" s="1"/>
  <c r="L24" i="16"/>
  <c r="CB31" i="15"/>
  <c r="CB33" i="15" s="1"/>
  <c r="CB35" i="15" s="1"/>
  <c r="CB37" i="15" s="1"/>
  <c r="CB41" i="15" s="1"/>
  <c r="CB43" i="15" s="1"/>
  <c r="CY32" i="15"/>
  <c r="CY33" i="15" s="1"/>
  <c r="CY35" i="15" s="1"/>
  <c r="CK31" i="15"/>
  <c r="CK33" i="15" s="1"/>
  <c r="CK35" i="15" s="1"/>
  <c r="P32" i="15"/>
  <c r="P33" i="15" s="1"/>
  <c r="DU31" i="15"/>
  <c r="G24" i="16"/>
  <c r="H24" i="16"/>
  <c r="BN32" i="15"/>
  <c r="BN33" i="15" s="1"/>
  <c r="BN35" i="15" s="1"/>
  <c r="BN37" i="15" s="1"/>
  <c r="BN41" i="15" s="1"/>
  <c r="BN43" i="15" s="1"/>
  <c r="DK31" i="15"/>
  <c r="DK33" i="15" s="1"/>
  <c r="DK35" i="15" s="1"/>
  <c r="DK37" i="15" s="1"/>
  <c r="DK41" i="15" s="1"/>
  <c r="DK43" i="15" s="1"/>
  <c r="BD32" i="15"/>
  <c r="BD33" i="15" s="1"/>
  <c r="BD35" i="15" s="1"/>
  <c r="BL32" i="15"/>
  <c r="BL33" i="15" s="1"/>
  <c r="AN32" i="15"/>
  <c r="AN33" i="15" s="1"/>
  <c r="DJ31" i="15"/>
  <c r="DJ33" i="15" s="1"/>
  <c r="DJ35" i="15" s="1"/>
  <c r="BA32" i="15"/>
  <c r="AC32" i="15"/>
  <c r="AC33" i="15" s="1"/>
  <c r="AC35" i="15" s="1"/>
  <c r="AC37" i="15" s="1"/>
  <c r="AC41" i="15" s="1"/>
  <c r="AC43" i="15" s="1"/>
  <c r="I24" i="16"/>
  <c r="DH32" i="15"/>
  <c r="L26" i="16" s="1"/>
  <c r="BY31" i="15"/>
  <c r="BY33" i="15" s="1"/>
  <c r="BY35" i="15" s="1"/>
  <c r="BY37" i="15" s="1"/>
  <c r="BY41" i="15" s="1"/>
  <c r="BY43" i="15" s="1"/>
  <c r="J24" i="16"/>
  <c r="DV32" i="15"/>
  <c r="DV33" i="15" s="1"/>
  <c r="DV35" i="15" s="1"/>
  <c r="DV37" i="15" s="1"/>
  <c r="DV41" i="15" s="1"/>
  <c r="DV43" i="15" s="1"/>
  <c r="CN32" i="15"/>
  <c r="AQ32" i="15"/>
  <c r="AQ33" i="15" s="1"/>
  <c r="AQ35" i="15" s="1"/>
  <c r="AQ37" i="15" s="1"/>
  <c r="AQ41" i="15" s="1"/>
  <c r="AQ43" i="15" s="1"/>
  <c r="F24" i="16"/>
  <c r="E24" i="16"/>
  <c r="CA32" i="15"/>
  <c r="CA33" i="15" s="1"/>
  <c r="CA35" i="15" s="1"/>
  <c r="CA37" i="15" s="1"/>
  <c r="CA41" i="15" s="1"/>
  <c r="S31" i="15"/>
  <c r="S33" i="15" s="1"/>
  <c r="S35" i="15" s="1"/>
  <c r="S37" i="15" s="1"/>
  <c r="S41" i="15" s="1"/>
  <c r="S43" i="15" s="1"/>
  <c r="R32" i="15"/>
  <c r="R33" i="15" s="1"/>
  <c r="R35" i="15" s="1"/>
  <c r="BO32" i="15"/>
  <c r="BO33" i="15" s="1"/>
  <c r="BO35" i="15" s="1"/>
  <c r="BO37" i="15" s="1"/>
  <c r="BO41" i="15" s="1"/>
  <c r="BO43" i="15" s="1"/>
  <c r="CW32" i="15"/>
  <c r="CW33" i="15" s="1"/>
  <c r="CW35" i="15" s="1"/>
  <c r="CW37" i="15" s="1"/>
  <c r="CW41" i="15" s="1"/>
  <c r="CW43" i="15" s="1"/>
  <c r="Q32" i="15"/>
  <c r="Q33" i="15" s="1"/>
  <c r="Q35" i="15" s="1"/>
  <c r="DX32" i="15"/>
  <c r="DX33" i="15" s="1"/>
  <c r="DX35" i="15" s="1"/>
  <c r="DX37" i="15" s="1"/>
  <c r="DX41" i="15" s="1"/>
  <c r="DX43" i="15" s="1"/>
  <c r="M24" i="16"/>
  <c r="DT32" i="15"/>
  <c r="DT33" i="15" s="1"/>
  <c r="DL31" i="15"/>
  <c r="DL33" i="15" s="1"/>
  <c r="DL35" i="15" s="1"/>
  <c r="T32" i="15"/>
  <c r="T33" i="15" s="1"/>
  <c r="T35" i="15" s="1"/>
  <c r="T37" i="15" s="1"/>
  <c r="T41" i="15" s="1"/>
  <c r="T43" i="15" s="1"/>
  <c r="BM32" i="15"/>
  <c r="BM33" i="15" s="1"/>
  <c r="BM35" i="15" s="1"/>
  <c r="BM37" i="15" s="1"/>
  <c r="BM41" i="15" s="1"/>
  <c r="BM43" i="15" s="1"/>
  <c r="D24" i="16"/>
  <c r="CZ31" i="15"/>
  <c r="CZ33" i="15" s="1"/>
  <c r="CZ35" i="15" s="1"/>
  <c r="CZ37" i="15" s="1"/>
  <c r="CZ41" i="15" s="1"/>
  <c r="CZ43" i="15" s="1"/>
  <c r="AF32" i="15"/>
  <c r="AF33" i="15" s="1"/>
  <c r="AF35" i="15" s="1"/>
  <c r="AF37" i="15" s="1"/>
  <c r="AF41" i="15" s="1"/>
  <c r="AF43" i="15" s="1"/>
  <c r="H25" i="16"/>
  <c r="CL33" i="15"/>
  <c r="CL35" i="15" s="1"/>
  <c r="CL37" i="15" s="1"/>
  <c r="CL41" i="15" s="1"/>
  <c r="CL43" i="15" s="1"/>
  <c r="M25" i="16" l="1"/>
  <c r="G25" i="16"/>
  <c r="F25" i="16"/>
  <c r="J26" i="16"/>
  <c r="G26" i="16"/>
  <c r="E25" i="16"/>
  <c r="I25" i="16"/>
  <c r="DH33" i="15"/>
  <c r="DH35" i="15" s="1"/>
  <c r="J25" i="16"/>
  <c r="DU33" i="15"/>
  <c r="DU35" i="15" s="1"/>
  <c r="DU37" i="15" s="1"/>
  <c r="DU41" i="15" s="1"/>
  <c r="DU43" i="15" s="1"/>
  <c r="D25" i="16"/>
  <c r="L25" i="16"/>
  <c r="BA33" i="15"/>
  <c r="BA35" i="15" s="1"/>
  <c r="BA37" i="15" s="1"/>
  <c r="BA41" i="15" s="1"/>
  <c r="BA43" i="15" s="1"/>
  <c r="I26" i="16"/>
  <c r="M26" i="16"/>
  <c r="H26" i="16"/>
  <c r="CN33" i="15"/>
  <c r="CN35" i="15" s="1"/>
  <c r="CN37" i="15" s="1"/>
  <c r="CN41" i="15" s="1"/>
  <c r="CN43" i="15" s="1"/>
  <c r="K25" i="16"/>
  <c r="F26" i="16"/>
  <c r="E26" i="16"/>
  <c r="D26" i="16"/>
  <c r="K26" i="16"/>
  <c r="CA43" i="15"/>
  <c r="BZ43" i="15"/>
  <c r="Q37" i="15"/>
  <c r="Q41" i="15" s="1"/>
  <c r="Q43" i="15" s="1"/>
  <c r="R37" i="15"/>
  <c r="R41" i="15" s="1"/>
  <c r="R43" i="15" s="1"/>
  <c r="D27" i="16"/>
  <c r="P35" i="15"/>
  <c r="DJ37" i="15"/>
  <c r="DJ41" i="15" s="1"/>
  <c r="DJ43" i="15" s="1"/>
  <c r="AZ35" i="15"/>
  <c r="DW37" i="15"/>
  <c r="DW41" i="15" s="1"/>
  <c r="DW43" i="15" s="1"/>
  <c r="CY37" i="15"/>
  <c r="CY41" i="15" s="1"/>
  <c r="CY43" i="15" s="1"/>
  <c r="DL37" i="15"/>
  <c r="DL41" i="15" s="1"/>
  <c r="DL43" i="15" s="1"/>
  <c r="AE37" i="15"/>
  <c r="AE41" i="15" s="1"/>
  <c r="AE43" i="15" s="1"/>
  <c r="BL35" i="15"/>
  <c r="H27" i="16"/>
  <c r="CK37" i="15"/>
  <c r="CK41" i="15" s="1"/>
  <c r="CK43" i="15" s="1"/>
  <c r="AD37" i="15"/>
  <c r="AD41" i="15" s="1"/>
  <c r="AD43" i="15" s="1"/>
  <c r="AN35" i="15"/>
  <c r="F27" i="16"/>
  <c r="AB35" i="15"/>
  <c r="E27" i="16"/>
  <c r="DT35" i="15"/>
  <c r="BD37" i="15"/>
  <c r="BD41" i="15" s="1"/>
  <c r="BD43" i="15" s="1"/>
  <c r="BX35" i="15"/>
  <c r="I27" i="16"/>
  <c r="AP37" i="15"/>
  <c r="AP41" i="15" s="1"/>
  <c r="AP43" i="15" s="1"/>
  <c r="K27" i="16"/>
  <c r="CV35" i="15"/>
  <c r="CJ35" i="15"/>
  <c r="L27" i="16" l="1"/>
  <c r="G27" i="16"/>
  <c r="M27" i="16"/>
  <c r="J27" i="16"/>
  <c r="K29" i="16"/>
  <c r="CV37" i="15"/>
  <c r="BL37" i="15"/>
  <c r="H29" i="16"/>
  <c r="CJ37" i="15"/>
  <c r="J29" i="16"/>
  <c r="M29" i="16"/>
  <c r="DT37" i="15"/>
  <c r="P37" i="15"/>
  <c r="D29" i="16"/>
  <c r="L29" i="16"/>
  <c r="DH37" i="15"/>
  <c r="BX37" i="15"/>
  <c r="I29" i="16"/>
  <c r="AZ37" i="15"/>
  <c r="G29" i="16"/>
  <c r="AB37" i="15"/>
  <c r="E29" i="16"/>
  <c r="F29" i="16"/>
  <c r="AN37" i="15"/>
  <c r="DT41" i="15" l="1"/>
  <c r="M31" i="16"/>
  <c r="BX41" i="15"/>
  <c r="I31" i="16"/>
  <c r="J31" i="16"/>
  <c r="CJ41" i="15"/>
  <c r="AN41" i="15"/>
  <c r="F31" i="16"/>
  <c r="DH41" i="15"/>
  <c r="L31" i="16"/>
  <c r="AZ41" i="15"/>
  <c r="G31" i="16"/>
  <c r="H31" i="16"/>
  <c r="BL41" i="15"/>
  <c r="CV41" i="15"/>
  <c r="K31" i="16"/>
  <c r="E31" i="16"/>
  <c r="AB41" i="15"/>
  <c r="P41" i="15"/>
  <c r="D31" i="16"/>
  <c r="L35" i="16" l="1"/>
  <c r="DH43" i="15"/>
  <c r="L37" i="16" s="1"/>
  <c r="G35" i="16"/>
  <c r="AZ43" i="15"/>
  <c r="G37" i="16" s="1"/>
  <c r="K35" i="16"/>
  <c r="CV43" i="15"/>
  <c r="K37" i="16" s="1"/>
  <c r="I35" i="16"/>
  <c r="BX43" i="15"/>
  <c r="I37" i="16" s="1"/>
  <c r="H35" i="16"/>
  <c r="BL43" i="15"/>
  <c r="H37" i="16" s="1"/>
  <c r="D35" i="16"/>
  <c r="P43" i="15"/>
  <c r="D37" i="16" s="1"/>
  <c r="F35" i="16"/>
  <c r="AN43" i="15"/>
  <c r="F37" i="16" s="1"/>
  <c r="E35" i="16"/>
  <c r="AB43" i="15"/>
  <c r="E37" i="16" s="1"/>
  <c r="J35" i="16"/>
  <c r="CJ43" i="15"/>
  <c r="J37" i="16" s="1"/>
  <c r="M35" i="16"/>
  <c r="DT43" i="15"/>
  <c r="M37" i="16" s="1"/>
  <c r="H39" i="16" l="1"/>
  <c r="H42" i="16"/>
  <c r="H41" i="16"/>
  <c r="H40" i="16"/>
  <c r="J9" i="14"/>
  <c r="J60" i="5"/>
  <c r="J62" i="5" s="1"/>
  <c r="J65" i="5" s="1"/>
  <c r="D42" i="16"/>
  <c r="D41" i="16"/>
  <c r="F9" i="14"/>
  <c r="D40" i="16"/>
  <c r="D39" i="16"/>
  <c r="F60" i="5"/>
  <c r="F62" i="5" s="1"/>
  <c r="F65" i="5" s="1"/>
  <c r="I40" i="16"/>
  <c r="I39" i="16"/>
  <c r="I41" i="16"/>
  <c r="K9" i="14"/>
  <c r="I42" i="16"/>
  <c r="K60" i="5"/>
  <c r="K62" i="5" s="1"/>
  <c r="K65" i="5" s="1"/>
  <c r="K41" i="16"/>
  <c r="M9" i="14"/>
  <c r="K40" i="16"/>
  <c r="K39" i="16"/>
  <c r="K42" i="16"/>
  <c r="M60" i="5"/>
  <c r="M62" i="5" s="1"/>
  <c r="M65" i="5" s="1"/>
  <c r="M42" i="16"/>
  <c r="M41" i="16"/>
  <c r="O9" i="14"/>
  <c r="M40" i="16"/>
  <c r="M39" i="16"/>
  <c r="O60" i="5"/>
  <c r="B35" i="16"/>
  <c r="E42" i="16"/>
  <c r="G9" i="14"/>
  <c r="E40" i="16"/>
  <c r="E41" i="16"/>
  <c r="E39" i="16"/>
  <c r="G60" i="5"/>
  <c r="G62" i="5" s="1"/>
  <c r="G65" i="5" s="1"/>
  <c r="G39" i="16"/>
  <c r="G41" i="16"/>
  <c r="G42" i="16"/>
  <c r="I9" i="14"/>
  <c r="G40" i="16"/>
  <c r="I60" i="5"/>
  <c r="I62" i="5" s="1"/>
  <c r="I65" i="5" s="1"/>
  <c r="F39" i="16"/>
  <c r="F40" i="16"/>
  <c r="F42" i="16"/>
  <c r="H9" i="14"/>
  <c r="F41" i="16"/>
  <c r="H60" i="5"/>
  <c r="H62" i="5" s="1"/>
  <c r="H65" i="5" s="1"/>
  <c r="L42" i="16"/>
  <c r="L41" i="16"/>
  <c r="N9" i="14"/>
  <c r="L40" i="16"/>
  <c r="L39" i="16"/>
  <c r="N60" i="5"/>
  <c r="N62" i="5" s="1"/>
  <c r="N65" i="5" s="1"/>
  <c r="J40" i="16"/>
  <c r="J39" i="16"/>
  <c r="J42" i="16"/>
  <c r="J41" i="16"/>
  <c r="L9" i="14"/>
  <c r="L60" i="5"/>
  <c r="L62" i="5" s="1"/>
  <c r="L65" i="5" s="1"/>
  <c r="M78" i="5" l="1"/>
  <c r="M109" i="5" s="1"/>
  <c r="M76" i="5"/>
  <c r="M75" i="5"/>
  <c r="M77" i="5"/>
  <c r="M110" i="5"/>
  <c r="M83" i="5"/>
  <c r="I77" i="5"/>
  <c r="I83" i="5"/>
  <c r="I78" i="5"/>
  <c r="I109" i="5" s="1"/>
  <c r="I110" i="5"/>
  <c r="I76" i="5"/>
  <c r="I75" i="5"/>
  <c r="Q65" i="5"/>
  <c r="F75" i="5"/>
  <c r="F83" i="5"/>
  <c r="F110" i="5"/>
  <c r="J75" i="5"/>
  <c r="J77" i="5"/>
  <c r="J83" i="5"/>
  <c r="J78" i="5"/>
  <c r="J109" i="5" s="1"/>
  <c r="J110" i="5"/>
  <c r="J76" i="5"/>
  <c r="P60" i="5"/>
  <c r="P62" i="5" s="1"/>
  <c r="P65" i="5" s="1"/>
  <c r="O62" i="5"/>
  <c r="O65" i="5" s="1"/>
  <c r="N83" i="5"/>
  <c r="N110" i="5"/>
  <c r="N76" i="5"/>
  <c r="N78" i="5"/>
  <c r="N109" i="5" s="1"/>
  <c r="N77" i="5"/>
  <c r="N75" i="5"/>
  <c r="K75" i="5"/>
  <c r="K83" i="5"/>
  <c r="K78" i="5"/>
  <c r="K109" i="5" s="1"/>
  <c r="K110" i="5"/>
  <c r="K76" i="5"/>
  <c r="K77" i="5"/>
  <c r="L83" i="5"/>
  <c r="L75" i="5"/>
  <c r="L77" i="5"/>
  <c r="L110" i="5"/>
  <c r="L76" i="5"/>
  <c r="L78" i="5"/>
  <c r="L109" i="5" s="1"/>
  <c r="H78" i="5"/>
  <c r="H109" i="5" s="1"/>
  <c r="H77" i="5"/>
  <c r="H75" i="5"/>
  <c r="H83" i="5"/>
  <c r="H110" i="5"/>
  <c r="H76" i="5"/>
  <c r="G110" i="5"/>
  <c r="G75" i="5"/>
  <c r="G83" i="5"/>
  <c r="P76" i="5" l="1"/>
  <c r="P110" i="5"/>
  <c r="P75" i="5"/>
  <c r="P83" i="5"/>
  <c r="P78" i="5"/>
  <c r="P109" i="5" s="1"/>
  <c r="O95" i="5"/>
  <c r="J95" i="5"/>
  <c r="K95" i="5"/>
  <c r="L95" i="5"/>
  <c r="N95" i="5"/>
  <c r="M95" i="5"/>
  <c r="P95" i="5"/>
  <c r="K94" i="5"/>
  <c r="I94" i="5"/>
  <c r="M94" i="5"/>
  <c r="N94" i="5"/>
  <c r="O94" i="5"/>
  <c r="P94" i="5"/>
  <c r="J94" i="5"/>
  <c r="L94" i="5"/>
  <c r="I84" i="5"/>
  <c r="I86" i="5" s="1"/>
  <c r="I88" i="5" s="1"/>
  <c r="I95" i="5" s="1"/>
  <c r="M84" i="5"/>
  <c r="M86" i="5" s="1"/>
  <c r="M88" i="5" s="1"/>
  <c r="M99" i="5" s="1"/>
  <c r="O96" i="5"/>
  <c r="P96" i="5"/>
  <c r="K96" i="5"/>
  <c r="L96" i="5"/>
  <c r="M96" i="5"/>
  <c r="N96" i="5"/>
  <c r="F84" i="5"/>
  <c r="F86" i="5" s="1"/>
  <c r="F88" i="5" s="1"/>
  <c r="F92" i="5" s="1"/>
  <c r="O99" i="5"/>
  <c r="N99" i="5"/>
  <c r="P99" i="5"/>
  <c r="H84" i="5"/>
  <c r="H86" i="5" s="1"/>
  <c r="H88" i="5" s="1"/>
  <c r="H94" i="5" s="1"/>
  <c r="N97" i="5"/>
  <c r="L97" i="5"/>
  <c r="M97" i="5"/>
  <c r="O97" i="5"/>
  <c r="P97" i="5"/>
  <c r="P100" i="5"/>
  <c r="O100" i="5"/>
  <c r="G84" i="5"/>
  <c r="G86" i="5" s="1"/>
  <c r="G88" i="5" s="1"/>
  <c r="G93" i="5" s="1"/>
  <c r="H93" i="5"/>
  <c r="O93" i="5"/>
  <c r="P93" i="5"/>
  <c r="I93" i="5"/>
  <c r="K93" i="5"/>
  <c r="L93" i="5"/>
  <c r="M93" i="5"/>
  <c r="N93" i="5"/>
  <c r="J93" i="5"/>
  <c r="P98" i="5"/>
  <c r="M98" i="5"/>
  <c r="N98" i="5"/>
  <c r="O98" i="5"/>
  <c r="M92" i="5"/>
  <c r="P92" i="5"/>
  <c r="N92" i="5"/>
  <c r="O92" i="5"/>
  <c r="G92" i="5"/>
  <c r="H92" i="5"/>
  <c r="I92" i="5"/>
  <c r="J92" i="5"/>
  <c r="K92" i="5"/>
  <c r="L92" i="5"/>
  <c r="O75" i="5"/>
  <c r="O110" i="5"/>
  <c r="E111" i="5" s="1"/>
  <c r="O76" i="5"/>
  <c r="O83" i="5"/>
  <c r="O77" i="5"/>
  <c r="O78" i="5"/>
  <c r="O109" i="5" s="1"/>
  <c r="K84" i="5"/>
  <c r="K86" i="5" s="1"/>
  <c r="K88" i="5" s="1"/>
  <c r="K97" i="5" s="1"/>
  <c r="J84" i="5"/>
  <c r="J86" i="5" s="1"/>
  <c r="J88" i="5" s="1"/>
  <c r="J96" i="5" s="1"/>
  <c r="S71" i="5"/>
  <c r="L84" i="5"/>
  <c r="L86" i="5" s="1"/>
  <c r="L88" i="5" s="1"/>
  <c r="L98" i="5" s="1"/>
  <c r="N84" i="5"/>
  <c r="N86" i="5" s="1"/>
  <c r="N88" i="5" s="1"/>
  <c r="N100" i="5" s="1"/>
  <c r="O84" i="5" l="1"/>
  <c r="O86" i="5" s="1"/>
  <c r="O88" i="5" s="1"/>
  <c r="O101" i="5" s="1"/>
  <c r="O108" i="5" s="1"/>
  <c r="J108" i="5"/>
  <c r="N108" i="5"/>
  <c r="M108" i="5"/>
  <c r="P101" i="5"/>
  <c r="L108" i="5"/>
  <c r="K108" i="5"/>
  <c r="I108" i="5"/>
  <c r="P84" i="5"/>
  <c r="P86" i="5" s="1"/>
  <c r="P88" i="5" s="1"/>
  <c r="P102" i="5" s="1"/>
  <c r="P108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Keith Madsen</author>
  </authors>
  <commentList>
    <comment ref="B113" authorId="0" shapeId="0" xr:uid="{A41AD6EC-0D37-B242-B1CA-5554287CF6D5}">
      <text>
        <r>
          <rPr>
            <b/>
            <sz val="9"/>
            <color rgb="FF000000"/>
            <rFont val="Tahoma"/>
            <family val="2"/>
          </rPr>
          <t>Keith Madsen: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Shift to time of sale</t>
        </r>
      </text>
    </comment>
    <comment ref="B135" authorId="0" shapeId="0" xr:uid="{F6F47AD6-2D31-9144-8955-8046BF925C0E}">
      <text>
        <r>
          <rPr>
            <b/>
            <sz val="9"/>
            <color indexed="81"/>
            <rFont val="Tahoma"/>
            <family val="2"/>
          </rPr>
          <t>Keith Madsen:</t>
        </r>
        <r>
          <rPr>
            <sz val="9"/>
            <color indexed="81"/>
            <rFont val="Tahoma"/>
            <family val="2"/>
          </rPr>
          <t xml:space="preserve">
Shift to time of sale</t>
        </r>
      </text>
    </comment>
    <comment ref="C168" authorId="0" shapeId="0" xr:uid="{8A10607D-4B48-9F48-84CC-02AEC9ADFBC4}">
      <text>
        <r>
          <rPr>
            <b/>
            <sz val="9"/>
            <color indexed="81"/>
            <rFont val="Tahoma"/>
            <family val="2"/>
          </rPr>
          <t>Keith Madsen:</t>
        </r>
        <r>
          <rPr>
            <sz val="9"/>
            <color indexed="81"/>
            <rFont val="Tahoma"/>
            <family val="2"/>
          </rPr>
          <t xml:space="preserve">
Front Load Costs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<sst xmlns="http://schemas.openxmlformats.org/spreadsheetml/2006/main" count="693" uniqueCount="480">
  <si>
    <t>AMU Fee</t>
  </si>
  <si>
    <t>PROJECT FINANCING ANALYSIS</t>
  </si>
  <si>
    <t xml:space="preserve"> BUSINESS CASE ANALYSIS</t>
  </si>
  <si>
    <t>PROJECT RETURNS ANALYSIS</t>
  </si>
  <si>
    <t>TOTAL PROJECT CAPITAL NEEDS:</t>
  </si>
  <si>
    <t>TOTAL PROJECT REVENUE (less brokers fees):</t>
  </si>
  <si>
    <t>PROJECT NET CASH FLOWS:</t>
  </si>
  <si>
    <t>TOTAL PROJECT VALUE (PV of FINAL BUILD OUT):</t>
  </si>
  <si>
    <t>- TOTAL PROJECT COST:</t>
  </si>
  <si>
    <t>EQUITY MULTIPLE:</t>
  </si>
  <si>
    <t>STARTING SPEC DEVELOPMENT VALUE:</t>
  </si>
  <si>
    <t>= NET PROFIT</t>
  </si>
  <si>
    <t>MODELED ROI:</t>
  </si>
  <si>
    <t>EQUITY to SPEC DEV VALUE (ETV):</t>
  </si>
  <si>
    <t>NET PROFIT %:</t>
  </si>
  <si>
    <t>PROJECT IRR :</t>
  </si>
  <si>
    <t>LOAN to COST PHASE (LTC):</t>
  </si>
  <si>
    <t>RETURN on EQUITY/CAPTIAL (ROE):</t>
  </si>
  <si>
    <t>LOAN to VALUE (LTV):</t>
  </si>
  <si>
    <t>DISCOUNT RATE ANALYSIS:</t>
  </si>
  <si>
    <t>LAND ACQUISITION PRICE</t>
  </si>
  <si>
    <t>EQUITY MULTIPLE</t>
  </si>
  <si>
    <t>IRR</t>
  </si>
  <si>
    <t>Cumulative PM (Equity) Cash Position</t>
  </si>
  <si>
    <t>Max units would be 62 + 3 (30% PUD Density Bonus on R5 &amp; R10) = 65</t>
  </si>
  <si>
    <t>Year 0</t>
  </si>
  <si>
    <t>Year 1</t>
  </si>
  <si>
    <t>Year 2</t>
  </si>
  <si>
    <t>Year 3</t>
  </si>
  <si>
    <t>Year 4</t>
  </si>
  <si>
    <t>Year 5</t>
  </si>
  <si>
    <t>Year 6</t>
  </si>
  <si>
    <t>Year 7</t>
  </si>
  <si>
    <t>Build &amp; Sales Proforma</t>
  </si>
  <si>
    <t>45 units would be 17-20 less than our starting position.</t>
  </si>
  <si>
    <t>Assume that we could end up with 50 units in the 80 units</t>
  </si>
  <si>
    <t>Checks</t>
  </si>
  <si>
    <t>Q1 2026</t>
  </si>
  <si>
    <t>Q2 2026</t>
  </si>
  <si>
    <t>Q3 2026</t>
  </si>
  <si>
    <t>Q4 2026</t>
  </si>
  <si>
    <t>Q1 2027</t>
  </si>
  <si>
    <t>Q2 2027</t>
  </si>
  <si>
    <t>Q3 2027</t>
  </si>
  <si>
    <t>Q4 2027</t>
  </si>
  <si>
    <t>Q1 2028</t>
  </si>
  <si>
    <t>Q2 2028</t>
  </si>
  <si>
    <t>Q3 2028</t>
  </si>
  <si>
    <t>Q4 2028</t>
  </si>
  <si>
    <t>Q1 2029</t>
  </si>
  <si>
    <t>Q2 2029</t>
  </si>
  <si>
    <t>Q3 2029</t>
  </si>
  <si>
    <t>Q4 2029</t>
  </si>
  <si>
    <t>Q1 2030</t>
  </si>
  <si>
    <t>Q2 2030</t>
  </si>
  <si>
    <t>Q3 2030</t>
  </si>
  <si>
    <t>Q4 2030</t>
  </si>
  <si>
    <t>Q1 2031</t>
  </si>
  <si>
    <t>Q2 2031</t>
  </si>
  <si>
    <t>Q3 2031</t>
  </si>
  <si>
    <t>TOTALS</t>
  </si>
  <si>
    <t>Affordable Housing needs to be factored in</t>
  </si>
  <si>
    <t>Average. Sqft of Lots</t>
  </si>
  <si>
    <t>Average Unit Size (sf)</t>
  </si>
  <si>
    <t>Basis per Lot+Unit</t>
  </si>
  <si>
    <t>Buildout schedule</t>
  </si>
  <si>
    <t>Unit Size</t>
  </si>
  <si>
    <t>806 Lemhi Ct</t>
  </si>
  <si>
    <t>805 Lemhi Ct</t>
  </si>
  <si>
    <t>804 Lemhi Ct</t>
  </si>
  <si>
    <t>807 Lemhi Ct</t>
  </si>
  <si>
    <t>803 Lemhi Ct</t>
  </si>
  <si>
    <t>802 Lemhi Ct</t>
  </si>
  <si>
    <t>Waahni Ct Unit 1</t>
  </si>
  <si>
    <t>Waahni Ct Unit 2</t>
  </si>
  <si>
    <t>Improved  Value Before Escalation</t>
  </si>
  <si>
    <t>Waahni Ct Unit 3</t>
  </si>
  <si>
    <t>Waahni Ct Unit 4</t>
  </si>
  <si>
    <t>Waahni Ct Unit 5</t>
  </si>
  <si>
    <t>Waahni Ct Unit 6</t>
  </si>
  <si>
    <t>Waahni Ct Unit 7</t>
  </si>
  <si>
    <t>Waahni Ct Unit 8</t>
  </si>
  <si>
    <t>Total starts</t>
  </si>
  <si>
    <t>TOTAL HOMES</t>
  </si>
  <si>
    <t>/sf</t>
  </si>
  <si>
    <t>Total Sellable SQFT</t>
  </si>
  <si>
    <t>Average</t>
  </si>
  <si>
    <t>Total Sellable ACRES</t>
  </si>
  <si>
    <t>(part of a 18.6 acre open space plat)</t>
  </si>
  <si>
    <t>Sales Schedule</t>
  </si>
  <si>
    <t xml:space="preserve"> </t>
  </si>
  <si>
    <t>Total sales</t>
  </si>
  <si>
    <t>Check on Sales &amp; Build out</t>
  </si>
  <si>
    <t>Sales Price Escalation / Residential Sales Sqft Price - PRESALES</t>
  </si>
  <si>
    <t>Sales Price Escalation / Residential Sales Sqft Price - SPECS</t>
  </si>
  <si>
    <t>SOURCES</t>
  </si>
  <si>
    <t>PURSUIT / DUE DILIGENCE: GP DEVELOPER</t>
  </si>
  <si>
    <t>LP EQUITY</t>
  </si>
  <si>
    <t>VALUE OF SPEC DEV</t>
  </si>
  <si>
    <t>SPONSOR EQUITY</t>
  </si>
  <si>
    <t>Equity</t>
  </si>
  <si>
    <t>Debt</t>
  </si>
  <si>
    <t>EQUITY / PROJECT ACQUISITION</t>
  </si>
  <si>
    <t>ETV</t>
  </si>
  <si>
    <t>Force to 40mm for total</t>
  </si>
  <si>
    <t>1st Tranche Dev Loan (Land Acquisition &amp; 6 Builds)</t>
  </si>
  <si>
    <t>2nd Tranche Dev Loan (Infrastructure &amp; 8 Builds)</t>
  </si>
  <si>
    <t>LTC</t>
  </si>
  <si>
    <t>2nd Tranch Development Loan (Home Side)</t>
  </si>
  <si>
    <t>3rd Tranch Development Loan (Amenity Side)</t>
  </si>
  <si>
    <t>LTC Year 0+1</t>
  </si>
  <si>
    <t>LTV</t>
  </si>
  <si>
    <t>DEBT</t>
  </si>
  <si>
    <t>Construction Start Draw</t>
  </si>
  <si>
    <t>Foundation Complete Draw</t>
  </si>
  <si>
    <t>Structure Complete Draw</t>
  </si>
  <si>
    <t>MEP 4-way Draw</t>
  </si>
  <si>
    <t>Finishes Start Draw</t>
  </si>
  <si>
    <t>PRESALE REVENUES</t>
  </si>
  <si>
    <t>TOTAL HOME SALES</t>
  </si>
  <si>
    <t>BALANCE OF PRESALE @ CLOSING</t>
  </si>
  <si>
    <t>UNIT SALES</t>
  </si>
  <si>
    <t>average $/sf</t>
  </si>
  <si>
    <t>TOTAL SOURCES</t>
  </si>
  <si>
    <t>TOTAL SALES</t>
  </si>
  <si>
    <t>USES</t>
  </si>
  <si>
    <t>LAND &amp; PROJECT ACQUISITION</t>
  </si>
  <si>
    <t>Project Acquisition -Purchase all lots upfront</t>
  </si>
  <si>
    <t>In Holding Land Acquisition - Fairbanks/Goldsmith</t>
  </si>
  <si>
    <t>Asset Acquisition Fee</t>
  </si>
  <si>
    <t>Closing Costs</t>
  </si>
  <si>
    <t>$/Lot</t>
  </si>
  <si>
    <t>of Sales</t>
  </si>
  <si>
    <t>AMENITY - USE OF DEBT/EQUITY</t>
  </si>
  <si>
    <t>Use of Equity to Amenity</t>
  </si>
  <si>
    <t>Use of Debt to Amenity</t>
  </si>
  <si>
    <t>HARD COSTS - SITE &amp; INFRASTRUCTURE</t>
  </si>
  <si>
    <t>Infrastructure</t>
  </si>
  <si>
    <t>Phase A&amp;B</t>
  </si>
  <si>
    <t>Phase C&amp;D</t>
  </si>
  <si>
    <t>Site Prep: Clear &amp; Grub @ Lemhi Ct</t>
  </si>
  <si>
    <t>Site Prep: Clear &amp; Grub @ Waahni Ct</t>
  </si>
  <si>
    <t>Internal Road: Base + Gravel Finish @ Lemhi Ct</t>
  </si>
  <si>
    <t>Internal Road: Base + Gravel Finish @ Waahni Ct</t>
  </si>
  <si>
    <t>Internal Road: Paving @ Lemhi Ct</t>
  </si>
  <si>
    <t>Internal Road: Paving @ Waahni CT</t>
  </si>
  <si>
    <t>Utilities: Power &amp; Transformers @ Lemhi Ct</t>
  </si>
  <si>
    <t>Utilities: Power &amp; Transformers @ Waahni Ct</t>
  </si>
  <si>
    <t>Utilities: Comm. Distrib. @ Lemhi Ct</t>
  </si>
  <si>
    <t>Utilities: Comm. Distrib. @ Waahni Ct</t>
  </si>
  <si>
    <t>Utilities: Gas Distrib. @ Lemhi Ct</t>
  </si>
  <si>
    <t>Utilities: Gas Distrib. @ Waahni Ct</t>
  </si>
  <si>
    <t>Utilities: Water Main + Stubouts @ Lemhi Ct</t>
  </si>
  <si>
    <t>Utilities: Water Main + Stubouts @ Waahni Ct</t>
  </si>
  <si>
    <t>Utilities: Water Wells, Pumps &amp; Storage Tank</t>
  </si>
  <si>
    <t>Utilities: Sewer Main + Stubouts @ Lemhi Ct</t>
  </si>
  <si>
    <t>Utilities: Sewer Main + Stubouts @ Waahni Ct</t>
  </si>
  <si>
    <t>Utilities: Sewer Septic Tank &amp; Sys @ Resort</t>
  </si>
  <si>
    <t>Utilities: Lift Station @ Waahni Ct (8,500 LF)</t>
  </si>
  <si>
    <t>Utilities: Sewer Drainfield Dosing Chamber &amp; Piping</t>
  </si>
  <si>
    <t>Utilities: Sewer Treatment Drainfield Sys (4 EA)</t>
  </si>
  <si>
    <t>Utilities: Geothermal Infrastructure @ Lemhi Ct</t>
  </si>
  <si>
    <t>Utilities: Geothermal Infrastructure @ Waahni Ct</t>
  </si>
  <si>
    <t>Landscape: Dredge Silt from 3 Ponds</t>
  </si>
  <si>
    <t>Landscape: Dredge, Liner, Ballast &amp; Plant @ Cooling Pond (1)</t>
  </si>
  <si>
    <t>Landscape: Wetlands Improvement</t>
  </si>
  <si>
    <t>Landscape: Early Plantings in Public Areas @ Lemhi Ct</t>
  </si>
  <si>
    <t>Landcape: Irrigation in Public Areas @Lemhi Ct</t>
  </si>
  <si>
    <t>Landscape: Early Plantings in Public Areas @ Waahni Ct</t>
  </si>
  <si>
    <t>Landcape: Irrigation in Public Areas @Waahni Ct</t>
  </si>
  <si>
    <t>Construction Cost Escalation</t>
  </si>
  <si>
    <t>Developer Construction Contingency</t>
  </si>
  <si>
    <t>HARD COSTS - HOMES</t>
  </si>
  <si>
    <t>Infrastructure (Utilities &amp; Driveway)</t>
  </si>
  <si>
    <t>/LOT</t>
  </si>
  <si>
    <t>Ave/Home Check</t>
  </si>
  <si>
    <t>Vertical Construction Costs</t>
  </si>
  <si>
    <t>Price/ Sq ft</t>
  </si>
  <si>
    <t>Vertical Construction CostS</t>
  </si>
  <si>
    <t>Landscape / Hardscape</t>
  </si>
  <si>
    <t>AVE / HOME</t>
  </si>
  <si>
    <t>Total Cost $/sf Check</t>
  </si>
  <si>
    <t>SOFT COSTS PROFESSIONALS - SITE &amp; INFRA</t>
  </si>
  <si>
    <t>Land Planning (7.5% of Cost) - Waahni Ct Only</t>
  </si>
  <si>
    <t>Civil Engineering &amp; Surveying (5% of Infra Const) - Waahni Ct Only</t>
  </si>
  <si>
    <t>Traffic, Environmental &amp; Misc. Studies - Waahni Ct Only</t>
  </si>
  <si>
    <t>Legal / Entitlement</t>
  </si>
  <si>
    <t>Accounting &amp; CPA costs ($ per year)</t>
  </si>
  <si>
    <t>Professionals Contingency</t>
  </si>
  <si>
    <t>SOFT COSTS PROFESSIONALS - HOMES</t>
  </si>
  <si>
    <t>3 Designs Assumed</t>
  </si>
  <si>
    <t>Civil Engineering (Unit Infra. &amp; Geotech)</t>
  </si>
  <si>
    <t>/HOME</t>
  </si>
  <si>
    <t>/DESIGN</t>
  </si>
  <si>
    <t>Architectural Design &amp; CDs</t>
  </si>
  <si>
    <t>Architectural C/A</t>
  </si>
  <si>
    <t>/Qtr</t>
  </si>
  <si>
    <t>/Home</t>
  </si>
  <si>
    <t>Landscape Architecture Design &amp; CDs</t>
  </si>
  <si>
    <t>Landscape Arch. C/A</t>
  </si>
  <si>
    <t>Structural Engineering</t>
  </si>
  <si>
    <t>Interior Design</t>
  </si>
  <si>
    <t>Preconstruction Estimating</t>
  </si>
  <si>
    <t>Struct+ID+Precon C/A</t>
  </si>
  <si>
    <t>SOFT COSTS - SALES</t>
  </si>
  <si>
    <t>Cost of Sale - RE Fees</t>
  </si>
  <si>
    <t>By sale incentive, Sales Associate</t>
  </si>
  <si>
    <t>Hard Marketing Costs</t>
  </si>
  <si>
    <t>/campaign</t>
  </si>
  <si>
    <t>Model Home Furnishings (Sell Furnished)</t>
  </si>
  <si>
    <t>SOFT COSTS - TAXES AND INSURANCE</t>
  </si>
  <si>
    <t>Real Estate Taxes (Annual)</t>
  </si>
  <si>
    <t>/lot</t>
  </si>
  <si>
    <t>Construction Liability Insurance (Annual)</t>
  </si>
  <si>
    <t>SOFT COSTS - MUNICIPALITY FEES</t>
  </si>
  <si>
    <t>Building Permit/City Impact Fees</t>
  </si>
  <si>
    <t>City of Sun Valley Permit Fees - Site</t>
  </si>
  <si>
    <t>City of Sun Valley Permit Fees - Build</t>
  </si>
  <si>
    <t>DEVELOPMENT FEES</t>
  </si>
  <si>
    <t>Developer Overhead (% of COSTS less LAND &amp; RE Fees)</t>
  </si>
  <si>
    <t>Disposition Fees (% of Sales)</t>
  </si>
  <si>
    <t>Warranty Fee (% of Sales)</t>
  </si>
  <si>
    <t>AMU</t>
  </si>
  <si>
    <t xml:space="preserve">DEVELOPMENT FEES </t>
  </si>
  <si>
    <t>FINANCING COSTS</t>
  </si>
  <si>
    <t xml:space="preserve">1st Tranche Dev Loan - Balance </t>
  </si>
  <si>
    <t>1st Tranche Dev Loan - Interest</t>
  </si>
  <si>
    <t>1st Tranche Dev Loan - Cost of Loan #1</t>
  </si>
  <si>
    <t>1st Tranche Dev Loan - Balance Repayment</t>
  </si>
  <si>
    <t xml:space="preserve">2nd Tranche Dev Loan - Balance </t>
  </si>
  <si>
    <t>2nd Tranche Dev Loan - Interest</t>
  </si>
  <si>
    <t>2nd Tranche Dev Loan - Cost of Loan #1</t>
  </si>
  <si>
    <t>2nd Tranche Dev Loan - Balance Repayment</t>
  </si>
  <si>
    <t>FINANCING COSTS &amp; REPAYMENT</t>
  </si>
  <si>
    <t>DISTRIBUTIONS</t>
  </si>
  <si>
    <t>TOTAL USES</t>
  </si>
  <si>
    <t>Sources equal Uses</t>
  </si>
  <si>
    <t>Ending Cash Position</t>
  </si>
  <si>
    <t>Between Between 1.1 &amp; 1.4</t>
  </si>
  <si>
    <t>L78 must equal zero</t>
  </si>
  <si>
    <t>PROJECT Cash Flows</t>
  </si>
  <si>
    <t>IRR Check</t>
  </si>
  <si>
    <t>Sources Line Items</t>
  </si>
  <si>
    <t>UNIT SALES SCENARIO ANALYSIS</t>
  </si>
  <si>
    <t>Average Unit Sales $</t>
  </si>
  <si>
    <t>Project Equity Multiple</t>
  </si>
  <si>
    <t>Project IRR</t>
  </si>
  <si>
    <t>______________</t>
  </si>
  <si>
    <t>DISCOUNT RATE ANNALYSIS:</t>
  </si>
  <si>
    <t>LAND VALUE</t>
  </si>
  <si>
    <t>ROI %</t>
  </si>
  <si>
    <t>PROFORMA - SOURCES &amp; USES ANNUAL SUMMARY</t>
  </si>
  <si>
    <t>Baseline</t>
  </si>
  <si>
    <t>UPSIDE</t>
  </si>
  <si>
    <t>Presale Draws</t>
  </si>
  <si>
    <t>None</t>
  </si>
  <si>
    <t>75 mm</t>
  </si>
  <si>
    <t>45 mm</t>
  </si>
  <si>
    <t>Unit Price</t>
  </si>
  <si>
    <t>51mm</t>
  </si>
  <si>
    <t>Membership Buy In</t>
  </si>
  <si>
    <t>50k</t>
  </si>
  <si>
    <t>120k</t>
  </si>
  <si>
    <t>Total Costs for Dev Fee Calc</t>
  </si>
  <si>
    <t>PROFORMA - SOURCES &amp; USES SUMMARY</t>
  </si>
  <si>
    <t>$</t>
  </si>
  <si>
    <t>$/SF</t>
  </si>
  <si>
    <t>Per Home</t>
  </si>
  <si>
    <t>% Total</t>
  </si>
  <si>
    <t>Returns Analysis</t>
  </si>
  <si>
    <t>LP RETURN STRUCTURE = IRR HURDLES + BACKEND PROFIT SPLIT</t>
  </si>
  <si>
    <t>PREFERRED RETURN TO EQUITY</t>
  </si>
  <si>
    <t>POST PREFERRED RETURNS PROFIT SPLIT</t>
  </si>
  <si>
    <t>EQUITY: Preferred Members (LP)</t>
  </si>
  <si>
    <t>Common Members (GP)</t>
  </si>
  <si>
    <t>SUMMARY OF RETURNS</t>
  </si>
  <si>
    <t>Preferred Members (LP) Returns</t>
  </si>
  <si>
    <t>Total LP Distributions</t>
  </si>
  <si>
    <t>Total LP Contributions</t>
  </si>
  <si>
    <t>LP Net Profit / Cash Flows</t>
  </si>
  <si>
    <t>LP IRR</t>
  </si>
  <si>
    <t>LP Equity Multiple</t>
  </si>
  <si>
    <t>Cumulative LP (Equity) Cash Position</t>
  </si>
  <si>
    <t>Common Members (GP) Returns</t>
  </si>
  <si>
    <t>Total Common Members / SPONSOR GP Distributions</t>
  </si>
  <si>
    <t>Total Common Members / SPONSOR GP Contributions</t>
  </si>
  <si>
    <t>GP Total Net Profit / Cash Flows</t>
  </si>
  <si>
    <t>Combined Common Members / SPONSOR: IRR</t>
  </si>
  <si>
    <t>Combined Common Members / SPONSOR: Equity Multiple</t>
  </si>
  <si>
    <t>GP SPONSOR Distributions</t>
  </si>
  <si>
    <t>GP SPONSOR Contributions</t>
  </si>
  <si>
    <t>GP SPONSOR Net Profit / Cash Flows</t>
  </si>
  <si>
    <t>GP SPONSOR IRR</t>
  </si>
  <si>
    <t>GP SPONSOR Equity Multiple</t>
  </si>
  <si>
    <t>GP Distributions</t>
  </si>
  <si>
    <t>GP Total Cash Flows</t>
  </si>
  <si>
    <t>Common Members Distribution as % of Sales</t>
  </si>
  <si>
    <t>CALCULATION OF RETURNS</t>
  </si>
  <si>
    <t>Net Cash Flow For Distributions - TOTAL PROJECT RETURNS</t>
  </si>
  <si>
    <t>Net Levered Before Tax Cash Flow</t>
  </si>
  <si>
    <t>Levered IRR</t>
  </si>
  <si>
    <t>Equity Multiple</t>
  </si>
  <si>
    <t>Return of LP EQUITY &amp; Hurdle 1 (Preferred Return)</t>
  </si>
  <si>
    <t>Preferred returns</t>
  </si>
  <si>
    <t>IRR Check - preferred returns</t>
  </si>
  <si>
    <t>Remaining Cash Flow for Split</t>
  </si>
  <si>
    <t>GP Common Members SHARE</t>
  </si>
  <si>
    <t>GP SPONSOR SHARE</t>
  </si>
  <si>
    <t>GP Common Members MANAGER SHARE</t>
  </si>
  <si>
    <t>Proposed Sponsor Split</t>
  </si>
  <si>
    <t>Market rate Overhead &amp; Fees Paid to Working Sponsors (e.g. Design Fees, Sales Commision, Asset Management, Common Members Fees, etc.)</t>
  </si>
  <si>
    <t>Cost of Contributed Capital (e.g. Cash Multiple for Pursuit Dollars, 10% Pref for Equity, etc.)</t>
  </si>
  <si>
    <t>Equal split of Sponsor Distribution (e.g. 3 ways, 4 ways or 5 ways depending on head count of Sponsor Principals)</t>
  </si>
  <si>
    <t>CLARENDON - AMENITY DEVELOPMENT</t>
  </si>
  <si>
    <t>Operations Proforma</t>
  </si>
  <si>
    <t>Yr 0</t>
  </si>
  <si>
    <t>Yr 1</t>
  </si>
  <si>
    <t>Yr 2</t>
  </si>
  <si>
    <t>Yr 3</t>
  </si>
  <si>
    <t>Yr 4</t>
  </si>
  <si>
    <t>Yr 5</t>
  </si>
  <si>
    <t>Yr 6</t>
  </si>
  <si>
    <t>Yr 7</t>
  </si>
  <si>
    <t>Yr 8</t>
  </si>
  <si>
    <t>Yr 9</t>
  </si>
  <si>
    <t>Yr 10</t>
  </si>
  <si>
    <t>Yr 11</t>
  </si>
  <si>
    <t>CONSTRUCTION &amp; STABILIZATION</t>
  </si>
  <si>
    <t>STABILIZED OPERATION</t>
  </si>
  <si>
    <t>TARGET
DISPOSITION</t>
  </si>
  <si>
    <t>DISPOSITION</t>
  </si>
  <si>
    <t>CONSTRUCTION COSTS</t>
  </si>
  <si>
    <t>VERTICAL CONSTRUCTION COSTS</t>
  </si>
  <si>
    <t>Unit Count</t>
  </si>
  <si>
    <t>Bldg(s) SF</t>
  </si>
  <si>
    <t>Phase 1 - (12) Rooms (Autonomous Tents)</t>
  </si>
  <si>
    <t>Phase 1 - Barn (Event Center)</t>
  </si>
  <si>
    <t>Phase 1 - (4) Hotsprings (Idaho Onsens)</t>
  </si>
  <si>
    <t>Phase 1 - Sporting Clays (Minor Operating Departments)</t>
  </si>
  <si>
    <t>Phase 2 - Lodge (F&amp;B, Reception, Offices)</t>
  </si>
  <si>
    <t>Phase 2 - (12) Rooms (Guest Suites)</t>
  </si>
  <si>
    <t>Phase 2 - (6) Hotsprings (Idaho Onsens)</t>
  </si>
  <si>
    <t>Phase 2 - Wellness Center (Spa)</t>
  </si>
  <si>
    <t>TOTAL</t>
  </si>
  <si>
    <t>Sum to Year 7. Left Formulas in YR 8-11</t>
  </si>
  <si>
    <t>HARD COSTS - SITE</t>
  </si>
  <si>
    <t>Infrastructure (Utilities &amp; Driveways)</t>
  </si>
  <si>
    <t>Landscape/Hardscape @ Structures</t>
  </si>
  <si>
    <t>SOFT COSTS - PROFESSIONALS</t>
  </si>
  <si>
    <t>Civil Engineering (% of Infra Const)</t>
  </si>
  <si>
    <t>Architecture (% of Vertical Const)</t>
  </si>
  <si>
    <t>Architectural CA (% of Vertical Const)</t>
  </si>
  <si>
    <t>Landscape Arch. &amp; Planning (% of Cost)</t>
  </si>
  <si>
    <t>Landscape CA (% of Cost)</t>
  </si>
  <si>
    <t>Struct/Elec/Precon/Interiors ($/SF)</t>
  </si>
  <si>
    <t>Struct/Elec/Precon/Interiors CA ($/SF)</t>
  </si>
  <si>
    <t>CPA costs</t>
  </si>
  <si>
    <t>County Building Permit Fees (% of Vertical Const)</t>
  </si>
  <si>
    <t>HOA Dues</t>
  </si>
  <si>
    <t>Dev OH / Asset Mngmt (% of COSTS sans LAND)</t>
  </si>
  <si>
    <t>CONSTRUCTION COSTS - TOTAL</t>
  </si>
  <si>
    <t>/SF</t>
  </si>
  <si>
    <t>CASH FLOW</t>
  </si>
  <si>
    <t>VACANCY LOSS DURING STABILIZATION</t>
  </si>
  <si>
    <t>REALIZED NET OPERATING INCOME</t>
  </si>
  <si>
    <t>OTHER INCOME - Member Dues</t>
  </si>
  <si>
    <t>/year per member</t>
  </si>
  <si>
    <t>TOTAL NET OPERATING INCOME (NOI)</t>
  </si>
  <si>
    <t>FINANCING EXPENSES</t>
  </si>
  <si>
    <t>PURSUIT CAPITAL</t>
  </si>
  <si>
    <t>EQUITY CAPITAL</t>
  </si>
  <si>
    <t>NEW BANK DEBT</t>
  </si>
  <si>
    <t xml:space="preserve">Debt Balance </t>
  </si>
  <si>
    <t>LTV in Year 5</t>
  </si>
  <si>
    <t>Interest Payment on Debt</t>
  </si>
  <si>
    <t>Cost of Loan (Origination Fees)</t>
  </si>
  <si>
    <t>Balance Repayment</t>
  </si>
  <si>
    <t>BEFORE TAX CASH FLOW</t>
  </si>
  <si>
    <t>Debt Yield</t>
  </si>
  <si>
    <t>DSCR</t>
  </si>
  <si>
    <t>Cash-on Cash Return (Cap Rate)</t>
  </si>
  <si>
    <t>SALE PROCEEDS</t>
  </si>
  <si>
    <t>SALE VALUE</t>
  </si>
  <si>
    <t>Terminal Cap Rate</t>
  </si>
  <si>
    <t>Cost of Sale</t>
  </si>
  <si>
    <t>Disposition + Brokers Fees</t>
  </si>
  <si>
    <t>LOAN PAYOFF</t>
  </si>
  <si>
    <t>NET SALE PROCEEDS / DISPOSITION</t>
  </si>
  <si>
    <t>BEFORE TAX CASH FLOW + NET SALE PROCEEDS</t>
  </si>
  <si>
    <t>RETURNS ANALYSIS</t>
  </si>
  <si>
    <t>CFO</t>
  </si>
  <si>
    <t>CF1</t>
  </si>
  <si>
    <t>CF2</t>
  </si>
  <si>
    <t>CF3</t>
  </si>
  <si>
    <t>CF4</t>
  </si>
  <si>
    <t>CF5</t>
  </si>
  <si>
    <t>CF6</t>
  </si>
  <si>
    <t>CF7</t>
  </si>
  <si>
    <t>CF8</t>
  </si>
  <si>
    <t>CF9</t>
  </si>
  <si>
    <t>CF10</t>
  </si>
  <si>
    <t>CF11</t>
  </si>
  <si>
    <t>CF12</t>
  </si>
  <si>
    <t>CF13</t>
  </si>
  <si>
    <t>CF14</t>
  </si>
  <si>
    <t>IRR at Sale</t>
  </si>
  <si>
    <t>Cap Rate</t>
  </si>
  <si>
    <t>Unlevered Cash Flows</t>
  </si>
  <si>
    <t>Unlevered IRR</t>
  </si>
  <si>
    <t>Per Unit</t>
  </si>
  <si>
    <t>Equity/BR</t>
  </si>
  <si>
    <t>Phase 1 Tent Details</t>
  </si>
  <si>
    <t>Seasonal Occupancy</t>
  </si>
  <si>
    <t>Project Close Date</t>
  </si>
  <si>
    <t>Month</t>
  </si>
  <si>
    <t>Month Room Rentals Start</t>
  </si>
  <si>
    <t>Occupancy</t>
  </si>
  <si>
    <t>Keys</t>
  </si>
  <si>
    <t>Average Occupancy</t>
  </si>
  <si>
    <t>Days</t>
  </si>
  <si>
    <t>Average Daily Cabin Rates</t>
  </si>
  <si>
    <t>Rooms Operating Cost</t>
  </si>
  <si>
    <t>Year</t>
  </si>
  <si>
    <t>Market Room Revenue Growth</t>
  </si>
  <si>
    <t>Month Ending</t>
  </si>
  <si>
    <t>Available room/nights</t>
  </si>
  <si>
    <t>Gross Operating Profit</t>
  </si>
  <si>
    <t>Paid Room Nights</t>
  </si>
  <si>
    <t>Phase 2 Cabin Details</t>
  </si>
  <si>
    <t>Cabin Rental Start Date</t>
  </si>
  <si>
    <t>Month Cabin Rentals Start</t>
  </si>
  <si>
    <t>Food &amp; Beverage</t>
  </si>
  <si>
    <t>F&amp;B Revenue (% Rooms Revenue)</t>
  </si>
  <si>
    <t>F&amp;B COS (% F&amp;B Revenue)</t>
  </si>
  <si>
    <t>Minor Operating Departments</t>
  </si>
  <si>
    <t>MOD Revenue (% Room Revenue)</t>
  </si>
  <si>
    <t>MOD COS (% MOD Revenue)</t>
  </si>
  <si>
    <t>Events Details</t>
  </si>
  <si>
    <t>Barn Rental Rates</t>
  </si>
  <si>
    <t>Daily/ Weekend Rental Schedule</t>
  </si>
  <si>
    <t>Month Barn Rental Start</t>
  </si>
  <si>
    <t>Month Barn Rental Finish</t>
  </si>
  <si>
    <t>Barn Rental Days</t>
  </si>
  <si>
    <t>Months</t>
  </si>
  <si>
    <t>F&amp;B Commission</t>
  </si>
  <si>
    <t>Events COS</t>
  </si>
  <si>
    <t>Expenses</t>
  </si>
  <si>
    <t>Admin &amp; General Ops (% of GOI)</t>
  </si>
  <si>
    <t>Sales &amp; Marketing ((% of Room Revenue))</t>
  </si>
  <si>
    <t>POMEC (% of Room Revenue)</t>
  </si>
  <si>
    <t>Energy (% of Room Revenue)</t>
  </si>
  <si>
    <t>Hold Period</t>
  </si>
  <si>
    <t>Weekend</t>
  </si>
  <si>
    <t>Daily</t>
  </si>
  <si>
    <t>Market Room Rental Growth</t>
  </si>
  <si>
    <t>Average Daily Tent Rates</t>
  </si>
  <si>
    <t>Possible Rooms Revenue</t>
  </si>
  <si>
    <t>Total Room Revenue</t>
  </si>
  <si>
    <t>Rooms Cost</t>
  </si>
  <si>
    <t>Room Gross Operating Profit</t>
  </si>
  <si>
    <t>Possible Cabin Revenue</t>
  </si>
  <si>
    <t>Food &amp; Beverage Revenue</t>
  </si>
  <si>
    <t>Food &amp; Beverage COS</t>
  </si>
  <si>
    <t>Food &amp; Beverage Profit</t>
  </si>
  <si>
    <t>MOD COS</t>
  </si>
  <si>
    <t>Minor Operating Departments Profit</t>
  </si>
  <si>
    <t>Barn Rental Revenue</t>
  </si>
  <si>
    <t>Food &amp; Beverage Commission</t>
  </si>
  <si>
    <t>Events Profit</t>
  </si>
  <si>
    <t>Gross Operating Income</t>
  </si>
  <si>
    <t>Admin &amp; General Ops</t>
  </si>
  <si>
    <t>Sales &amp; Marketing</t>
  </si>
  <si>
    <t>POMEC</t>
  </si>
  <si>
    <t>Energy</t>
  </si>
  <si>
    <t>Total Expenses</t>
  </si>
  <si>
    <t>Notes</t>
  </si>
  <si>
    <t>Year Starting</t>
  </si>
  <si>
    <t>Shifted to the start of the start 25/26 Winter season when the Lodge will be operational</t>
  </si>
  <si>
    <t>MODELED NET OPERATING INCOME</t>
  </si>
  <si>
    <t>WEYYAKIN PHASE IV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</si>
</sst>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0.00&quot;X&quot;"/>
    <numFmt numFmtId="167" formatCode="_(* #,##0.0_);_(* \(#,##0.0\);_(* &quot;-&quot;??_);_(@_)"/>
    <numFmt numFmtId="168" formatCode="&quot;$&quot;#,##0"/>
    <numFmt numFmtId="169" formatCode="&quot;$&quot;#,##0.00"/>
    <numFmt numFmtId="170" formatCode="_(&quot;$&quot;* #,##0_);_(&quot;$&quot;* \(#,##0\);_(&quot;$&quot;* &quot;-&quot;??_);_(@_)"/>
    <numFmt numFmtId="171" formatCode="0.00&quot;x&quot;"/>
    <numFmt numFmtId="172" formatCode="mmmm"/>
    <numFmt numFmtId="173" formatCode="&quot;Weekends&quot;;;&quot;Daily&quot;"/>
    <numFmt numFmtId="174" formatCode="0_);[Red]\(0\)"/>
    <numFmt numFmtId="175" formatCode="&quot;Month&quot;\ 0"/>
    <numFmt numFmtId="176" formatCode="&quot;Year&quot;\ 0"/>
    <numFmt numFmtId="177" formatCode="m/d/yy;@"/>
  </numFmts>
  <fonts count="5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2"/>
      <color theme="4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name val="Calibri"/>
      <family val="2"/>
      <scheme val="minor"/>
    </font>
    <font>
      <sz val="12"/>
      <color rgb="FF0070C0"/>
      <name val="Calibri"/>
      <family val="2"/>
      <scheme val="minor"/>
    </font>
    <font>
      <b/>
      <sz val="28"/>
      <color rgb="FFFF0000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222222"/>
      <name val="Helvetica"/>
      <family val="2"/>
    </font>
    <font>
      <sz val="10"/>
      <color rgb="FF000000"/>
      <name val="Times New Roman"/>
      <family val="1"/>
    </font>
    <font>
      <b/>
      <sz val="12"/>
      <color theme="4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2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1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u/>
      <sz val="14"/>
      <color rgb="FF000000"/>
      <name val="Calibri"/>
      <family val="2"/>
      <scheme val="minor"/>
    </font>
    <font>
      <u/>
      <sz val="12"/>
      <color theme="1"/>
      <name val="Calibri"/>
      <family val="2"/>
      <scheme val="minor"/>
    </font>
    <font>
      <u/>
      <sz val="12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5" tint="0.59999389629810485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rgb="FF444444"/>
      <name val="Calibri"/>
      <family val="2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rgb="FF4472C4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sz val="12"/>
      <color rgb="FF00B050"/>
      <name val="Calibri"/>
      <family val="2"/>
      <scheme val="minor"/>
    </font>
    <font>
      <b/>
      <i/>
      <sz val="12"/>
      <color rgb="FF00B050"/>
      <name val="Calibri"/>
      <family val="2"/>
      <scheme val="minor"/>
    </font>
    <font>
      <sz val="12"/>
      <color rgb="FF00000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ashed">
        <color auto="1"/>
      </bottom>
      <diagonal/>
    </border>
    <border>
      <left/>
      <right/>
      <top/>
      <bottom style="double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8">
    <xf numFmtId="0" fontId="0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7" fillId="6" borderId="4" applyNumberFormat="0" applyAlignment="0" applyProtection="0"/>
    <xf numFmtId="44" fontId="8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53">
    <xf numFmtId="0" fontId="0" fillId="0" borderId="0" xfId="0"/>
    <xf numFmtId="0" fontId="0" fillId="2" borderId="0" xfId="0" applyFill="1"/>
    <xf numFmtId="0" fontId="3" fillId="3" borderId="1" xfId="0" applyFont="1" applyFill="1" applyBorder="1"/>
    <xf numFmtId="0" fontId="4" fillId="0" borderId="0" xfId="0" applyFont="1"/>
    <xf numFmtId="0" fontId="6" fillId="3" borderId="1" xfId="0" applyFont="1" applyFill="1" applyBorder="1"/>
    <xf numFmtId="0" fontId="5" fillId="0" borderId="0" xfId="0" applyFont="1"/>
    <xf numFmtId="0" fontId="7" fillId="4" borderId="0" xfId="0" applyFont="1" applyFill="1"/>
    <xf numFmtId="0" fontId="0" fillId="4" borderId="0" xfId="0" applyFill="1"/>
    <xf numFmtId="0" fontId="9" fillId="0" borderId="0" xfId="0" applyFont="1"/>
    <xf numFmtId="0" fontId="10" fillId="0" borderId="0" xfId="0" applyFont="1"/>
    <xf numFmtId="0" fontId="0" fillId="0" borderId="2" xfId="0" applyBorder="1"/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9" fontId="0" fillId="0" borderId="0" xfId="0" applyNumberFormat="1"/>
    <xf numFmtId="0" fontId="12" fillId="0" borderId="0" xfId="0" applyFont="1" applyAlignment="1">
      <alignment horizontal="center"/>
    </xf>
    <xf numFmtId="0" fontId="12" fillId="0" borderId="0" xfId="0" applyFont="1"/>
    <xf numFmtId="164" fontId="12" fillId="0" borderId="0" xfId="1" applyNumberFormat="1" applyFont="1"/>
    <xf numFmtId="164" fontId="0" fillId="0" borderId="0" xfId="0" applyNumberFormat="1"/>
    <xf numFmtId="0" fontId="13" fillId="0" borderId="0" xfId="0" applyFont="1" applyAlignment="1">
      <alignment horizontal="left" indent="2"/>
    </xf>
    <xf numFmtId="0" fontId="11" fillId="0" borderId="3" xfId="0" applyFont="1" applyBorder="1"/>
    <xf numFmtId="164" fontId="0" fillId="0" borderId="0" xfId="1" applyNumberFormat="1" applyFont="1"/>
    <xf numFmtId="164" fontId="15" fillId="0" borderId="0" xfId="1" applyNumberFormat="1" applyFont="1"/>
    <xf numFmtId="10" fontId="15" fillId="0" borderId="0" xfId="0" applyNumberFormat="1" applyFont="1"/>
    <xf numFmtId="0" fontId="9" fillId="2" borderId="0" xfId="0" applyFont="1" applyFill="1"/>
    <xf numFmtId="9" fontId="14" fillId="0" borderId="0" xfId="0" applyNumberFormat="1" applyFont="1"/>
    <xf numFmtId="164" fontId="12" fillId="0" borderId="0" xfId="0" applyNumberFormat="1" applyFont="1"/>
    <xf numFmtId="10" fontId="0" fillId="0" borderId="0" xfId="2" applyNumberFormat="1" applyFont="1"/>
    <xf numFmtId="8" fontId="0" fillId="0" borderId="0" xfId="0" applyNumberFormat="1"/>
    <xf numFmtId="9" fontId="12" fillId="0" borderId="0" xfId="0" applyNumberFormat="1" applyFont="1"/>
    <xf numFmtId="165" fontId="0" fillId="0" borderId="0" xfId="2" applyNumberFormat="1" applyFont="1"/>
    <xf numFmtId="0" fontId="16" fillId="0" borderId="0" xfId="0" applyFont="1"/>
    <xf numFmtId="3" fontId="0" fillId="0" borderId="0" xfId="0" applyNumberFormat="1"/>
    <xf numFmtId="6" fontId="0" fillId="0" borderId="0" xfId="0" applyNumberFormat="1"/>
    <xf numFmtId="6" fontId="12" fillId="0" borderId="0" xfId="0" applyNumberFormat="1" applyFont="1"/>
    <xf numFmtId="14" fontId="0" fillId="0" borderId="0" xfId="0" applyNumberFormat="1" applyAlignment="1">
      <alignment horizontal="center"/>
    </xf>
    <xf numFmtId="0" fontId="19" fillId="0" borderId="0" xfId="0" applyFont="1"/>
    <xf numFmtId="0" fontId="18" fillId="0" borderId="0" xfId="0" applyFont="1"/>
    <xf numFmtId="0" fontId="13" fillId="0" borderId="0" xfId="0" applyFont="1" applyAlignment="1">
      <alignment horizontal="left" indent="1"/>
    </xf>
    <xf numFmtId="0" fontId="13" fillId="0" borderId="1" xfId="0" applyFont="1" applyBorder="1" applyAlignment="1">
      <alignment horizontal="left" indent="2"/>
    </xf>
    <xf numFmtId="0" fontId="0" fillId="0" borderId="1" xfId="0" applyBorder="1"/>
    <xf numFmtId="164" fontId="0" fillId="0" borderId="1" xfId="1" applyNumberFormat="1" applyFont="1" applyBorder="1"/>
    <xf numFmtId="9" fontId="15" fillId="0" borderId="1" xfId="0" applyNumberFormat="1" applyFont="1" applyBorder="1"/>
    <xf numFmtId="164" fontId="0" fillId="0" borderId="1" xfId="0" applyNumberFormat="1" applyBorder="1"/>
    <xf numFmtId="164" fontId="9" fillId="0" borderId="0" xfId="1" applyNumberFormat="1" applyFont="1"/>
    <xf numFmtId="164" fontId="9" fillId="0" borderId="0" xfId="0" applyNumberFormat="1" applyFont="1"/>
    <xf numFmtId="164" fontId="12" fillId="0" borderId="0" xfId="1" applyNumberFormat="1" applyFont="1" applyFill="1"/>
    <xf numFmtId="165" fontId="12" fillId="0" borderId="1" xfId="2" applyNumberFormat="1" applyFont="1" applyFill="1" applyBorder="1"/>
    <xf numFmtId="164" fontId="20" fillId="0" borderId="0" xfId="1" applyNumberFormat="1" applyFont="1" applyFill="1"/>
    <xf numFmtId="0" fontId="21" fillId="0" borderId="0" xfId="0" applyFont="1" applyAlignment="1">
      <alignment horizontal="left"/>
    </xf>
    <xf numFmtId="164" fontId="8" fillId="0" borderId="0" xfId="1" applyNumberFormat="1" applyFont="1"/>
    <xf numFmtId="164" fontId="12" fillId="0" borderId="1" xfId="1" applyNumberFormat="1" applyFont="1" applyBorder="1"/>
    <xf numFmtId="10" fontId="15" fillId="0" borderId="3" xfId="0" applyNumberFormat="1" applyFont="1" applyBorder="1"/>
    <xf numFmtId="0" fontId="0" fillId="0" borderId="3" xfId="0" applyBorder="1"/>
    <xf numFmtId="164" fontId="0" fillId="0" borderId="3" xfId="1" applyNumberFormat="1" applyFont="1" applyBorder="1"/>
    <xf numFmtId="0" fontId="21" fillId="0" borderId="0" xfId="0" applyFont="1"/>
    <xf numFmtId="10" fontId="22" fillId="0" borderId="0" xfId="0" applyNumberFormat="1" applyFont="1"/>
    <xf numFmtId="164" fontId="14" fillId="0" borderId="0" xfId="1" applyNumberFormat="1" applyFont="1"/>
    <xf numFmtId="9" fontId="0" fillId="0" borderId="0" xfId="2" applyFont="1"/>
    <xf numFmtId="165" fontId="17" fillId="6" borderId="4" xfId="3" applyNumberFormat="1"/>
    <xf numFmtId="0" fontId="10" fillId="5" borderId="0" xfId="0" applyFont="1" applyFill="1"/>
    <xf numFmtId="0" fontId="0" fillId="5" borderId="0" xfId="0" applyFill="1"/>
    <xf numFmtId="164" fontId="0" fillId="5" borderId="0" xfId="1" applyNumberFormat="1" applyFont="1" applyFill="1"/>
    <xf numFmtId="9" fontId="0" fillId="2" borderId="0" xfId="0" applyNumberFormat="1" applyFill="1"/>
    <xf numFmtId="0" fontId="9" fillId="4" borderId="1" xfId="0" applyFont="1" applyFill="1" applyBorder="1"/>
    <xf numFmtId="0" fontId="0" fillId="4" borderId="1" xfId="0" applyFill="1" applyBorder="1"/>
    <xf numFmtId="0" fontId="24" fillId="4" borderId="0" xfId="0" applyFont="1" applyFill="1" applyAlignment="1">
      <alignment horizontal="center"/>
    </xf>
    <xf numFmtId="0" fontId="24" fillId="4" borderId="0" xfId="0" applyFont="1" applyFill="1" applyAlignment="1">
      <alignment horizontal="right"/>
    </xf>
    <xf numFmtId="0" fontId="0" fillId="4" borderId="0" xfId="0" applyFill="1" applyAlignment="1">
      <alignment horizontal="left" indent="1"/>
    </xf>
    <xf numFmtId="166" fontId="0" fillId="4" borderId="0" xfId="0" applyNumberFormat="1" applyFill="1" applyAlignment="1">
      <alignment horizontal="right"/>
    </xf>
    <xf numFmtId="8" fontId="0" fillId="2" borderId="0" xfId="0" applyNumberFormat="1" applyFill="1"/>
    <xf numFmtId="164" fontId="3" fillId="3" borderId="0" xfId="1" applyNumberFormat="1" applyFont="1" applyFill="1"/>
    <xf numFmtId="164" fontId="3" fillId="3" borderId="0" xfId="0" applyNumberFormat="1" applyFont="1" applyFill="1" applyAlignment="1">
      <alignment horizontal="center"/>
    </xf>
    <xf numFmtId="0" fontId="3" fillId="3" borderId="0" xfId="0" applyFont="1" applyFill="1" applyAlignment="1">
      <alignment horizontal="center"/>
    </xf>
    <xf numFmtId="164" fontId="7" fillId="4" borderId="0" xfId="1" applyNumberFormat="1" applyFont="1" applyFill="1" applyBorder="1"/>
    <xf numFmtId="165" fontId="0" fillId="0" borderId="1" xfId="2" applyNumberFormat="1" applyFont="1" applyBorder="1"/>
    <xf numFmtId="165" fontId="0" fillId="0" borderId="0" xfId="0" applyNumberFormat="1"/>
    <xf numFmtId="165" fontId="3" fillId="3" borderId="0" xfId="0" applyNumberFormat="1" applyFont="1" applyFill="1" applyAlignment="1">
      <alignment horizontal="center"/>
    </xf>
    <xf numFmtId="165" fontId="0" fillId="4" borderId="0" xfId="2" applyNumberFormat="1" applyFont="1" applyFill="1" applyBorder="1"/>
    <xf numFmtId="0" fontId="25" fillId="2" borderId="0" xfId="0" applyFont="1" applyFill="1"/>
    <xf numFmtId="0" fontId="26" fillId="3" borderId="0" xfId="0" applyFont="1" applyFill="1"/>
    <xf numFmtId="14" fontId="26" fillId="3" borderId="0" xfId="0" applyNumberFormat="1" applyFont="1" applyFill="1" applyAlignment="1">
      <alignment horizontal="center"/>
    </xf>
    <xf numFmtId="0" fontId="25" fillId="0" borderId="0" xfId="0" applyFont="1"/>
    <xf numFmtId="164" fontId="25" fillId="0" borderId="0" xfId="1" applyNumberFormat="1" applyFont="1"/>
    <xf numFmtId="164" fontId="25" fillId="0" borderId="0" xfId="1" applyNumberFormat="1" applyFont="1" applyAlignment="1">
      <alignment horizontal="left"/>
    </xf>
    <xf numFmtId="0" fontId="27" fillId="0" borderId="0" xfId="0" applyFont="1"/>
    <xf numFmtId="164" fontId="27" fillId="0" borderId="0" xfId="1" applyNumberFormat="1" applyFont="1"/>
    <xf numFmtId="164" fontId="27" fillId="0" borderId="0" xfId="1" applyNumberFormat="1" applyFont="1" applyAlignment="1">
      <alignment horizontal="left"/>
    </xf>
    <xf numFmtId="164" fontId="25" fillId="0" borderId="0" xfId="1" applyNumberFormat="1" applyFont="1" applyAlignment="1">
      <alignment horizontal="center"/>
    </xf>
    <xf numFmtId="164" fontId="26" fillId="3" borderId="0" xfId="1" applyNumberFormat="1" applyFont="1" applyFill="1"/>
    <xf numFmtId="14" fontId="26" fillId="3" borderId="0" xfId="1" applyNumberFormat="1" applyFont="1" applyFill="1" applyAlignment="1">
      <alignment horizontal="center"/>
    </xf>
    <xf numFmtId="0" fontId="12" fillId="0" borderId="1" xfId="0" applyFont="1" applyBorder="1"/>
    <xf numFmtId="9" fontId="28" fillId="0" borderId="0" xfId="2" applyFont="1"/>
    <xf numFmtId="164" fontId="28" fillId="0" borderId="0" xfId="0" applyNumberFormat="1" applyFont="1"/>
    <xf numFmtId="164" fontId="28" fillId="0" borderId="0" xfId="1" applyNumberFormat="1" applyFont="1"/>
    <xf numFmtId="0" fontId="29" fillId="0" borderId="0" xfId="0" applyFont="1" applyAlignment="1">
      <alignment horizontal="left" indent="1"/>
    </xf>
    <xf numFmtId="164" fontId="12" fillId="0" borderId="0" xfId="1" applyNumberFormat="1" applyFont="1" applyBorder="1"/>
    <xf numFmtId="164" fontId="0" fillId="0" borderId="0" xfId="1" applyNumberFormat="1" applyFont="1" applyBorder="1"/>
    <xf numFmtId="6" fontId="15" fillId="0" borderId="0" xfId="0" applyNumberFormat="1" applyFont="1"/>
    <xf numFmtId="0" fontId="9" fillId="0" borderId="6" xfId="0" applyFont="1" applyBorder="1"/>
    <xf numFmtId="10" fontId="22" fillId="0" borderId="6" xfId="0" applyNumberFormat="1" applyFont="1" applyBorder="1"/>
    <xf numFmtId="164" fontId="9" fillId="0" borderId="6" xfId="0" applyNumberFormat="1" applyFont="1" applyBorder="1"/>
    <xf numFmtId="164" fontId="9" fillId="0" borderId="6" xfId="1" applyNumberFormat="1" applyFont="1" applyBorder="1"/>
    <xf numFmtId="167" fontId="15" fillId="0" borderId="0" xfId="1" applyNumberFormat="1" applyFont="1"/>
    <xf numFmtId="10" fontId="0" fillId="2" borderId="0" xfId="2" applyNumberFormat="1" applyFont="1" applyFill="1"/>
    <xf numFmtId="165" fontId="15" fillId="0" borderId="1" xfId="0" applyNumberFormat="1" applyFont="1" applyBorder="1"/>
    <xf numFmtId="0" fontId="9" fillId="4" borderId="0" xfId="0" applyFont="1" applyFill="1"/>
    <xf numFmtId="0" fontId="25" fillId="4" borderId="0" xfId="0" applyFont="1" applyFill="1"/>
    <xf numFmtId="164" fontId="0" fillId="2" borderId="0" xfId="0" applyNumberFormat="1" applyFill="1"/>
    <xf numFmtId="43" fontId="0" fillId="2" borderId="0" xfId="0" applyNumberFormat="1" applyFill="1"/>
    <xf numFmtId="0" fontId="0" fillId="0" borderId="6" xfId="0" applyBorder="1"/>
    <xf numFmtId="0" fontId="14" fillId="0" borderId="6" xfId="0" applyFont="1" applyBorder="1" applyAlignment="1">
      <alignment horizontal="center"/>
    </xf>
    <xf numFmtId="164" fontId="0" fillId="0" borderId="6" xfId="1" applyNumberFormat="1" applyFont="1" applyBorder="1"/>
    <xf numFmtId="10" fontId="12" fillId="0" borderId="1" xfId="2" applyNumberFormat="1" applyFont="1" applyBorder="1"/>
    <xf numFmtId="0" fontId="29" fillId="0" borderId="0" xfId="0" applyFont="1" applyAlignment="1">
      <alignment horizontal="right"/>
    </xf>
    <xf numFmtId="168" fontId="12" fillId="0" borderId="0" xfId="0" applyNumberFormat="1" applyFont="1" applyAlignment="1">
      <alignment horizontal="center"/>
    </xf>
    <xf numFmtId="168" fontId="29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3" fontId="12" fillId="0" borderId="0" xfId="0" applyNumberFormat="1" applyFont="1"/>
    <xf numFmtId="168" fontId="29" fillId="0" borderId="0" xfId="0" applyNumberFormat="1" applyFont="1" applyAlignment="1">
      <alignment horizontal="right"/>
    </xf>
    <xf numFmtId="9" fontId="0" fillId="2" borderId="0" xfId="2" applyFont="1" applyFill="1"/>
    <xf numFmtId="164" fontId="0" fillId="2" borderId="0" xfId="1" applyNumberFormat="1" applyFont="1" applyFill="1"/>
    <xf numFmtId="164" fontId="0" fillId="2" borderId="6" xfId="0" applyNumberFormat="1" applyFill="1" applyBorder="1"/>
    <xf numFmtId="164" fontId="0" fillId="0" borderId="0" xfId="1" applyNumberFormat="1" applyFont="1" applyFill="1"/>
    <xf numFmtId="169" fontId="0" fillId="0" borderId="0" xfId="0" applyNumberFormat="1" applyAlignment="1">
      <alignment horizontal="center"/>
    </xf>
    <xf numFmtId="165" fontId="15" fillId="0" borderId="0" xfId="2" applyNumberFormat="1" applyFont="1"/>
    <xf numFmtId="0" fontId="0" fillId="0" borderId="0" xfId="0" applyAlignment="1">
      <alignment horizontal="left" indent="1"/>
    </xf>
    <xf numFmtId="165" fontId="9" fillId="0" borderId="0" xfId="0" applyNumberFormat="1" applyFont="1"/>
    <xf numFmtId="9" fontId="28" fillId="0" borderId="0" xfId="2" applyFont="1" applyAlignment="1">
      <alignment horizontal="center"/>
    </xf>
    <xf numFmtId="43" fontId="12" fillId="0" borderId="0" xfId="1" applyFont="1"/>
    <xf numFmtId="165" fontId="12" fillId="0" borderId="0" xfId="2" applyNumberFormat="1" applyFont="1"/>
    <xf numFmtId="168" fontId="9" fillId="9" borderId="0" xfId="0" applyNumberFormat="1" applyFont="1" applyFill="1" applyAlignment="1">
      <alignment horizontal="center"/>
    </xf>
    <xf numFmtId="164" fontId="9" fillId="0" borderId="0" xfId="1" applyNumberFormat="1" applyFont="1" applyBorder="1"/>
    <xf numFmtId="0" fontId="9" fillId="2" borderId="0" xfId="0" applyFont="1" applyFill="1" applyAlignment="1">
      <alignment horizontal="center"/>
    </xf>
    <xf numFmtId="0" fontId="10" fillId="0" borderId="0" xfId="0" applyFont="1" applyAlignment="1">
      <alignment horizontal="left" indent="1"/>
    </xf>
    <xf numFmtId="6" fontId="15" fillId="0" borderId="1" xfId="0" applyNumberFormat="1" applyFont="1" applyBorder="1"/>
    <xf numFmtId="164" fontId="14" fillId="0" borderId="0" xfId="1" applyNumberFormat="1" applyFont="1" applyFill="1"/>
    <xf numFmtId="0" fontId="13" fillId="0" borderId="0" xfId="0" applyFont="1" applyAlignment="1">
      <alignment horizontal="left"/>
    </xf>
    <xf numFmtId="164" fontId="8" fillId="0" borderId="1" xfId="1" applyNumberFormat="1" applyFont="1" applyBorder="1"/>
    <xf numFmtId="164" fontId="8" fillId="0" borderId="0" xfId="1" applyNumberFormat="1" applyFont="1" applyBorder="1"/>
    <xf numFmtId="0" fontId="0" fillId="0" borderId="0" xfId="0" applyAlignment="1">
      <alignment horizontal="left" indent="2"/>
    </xf>
    <xf numFmtId="164" fontId="0" fillId="0" borderId="6" xfId="0" applyNumberFormat="1" applyBorder="1"/>
    <xf numFmtId="164" fontId="0" fillId="0" borderId="0" xfId="0" quotePrefix="1" applyNumberFormat="1" applyAlignment="1">
      <alignment horizontal="left"/>
    </xf>
    <xf numFmtId="0" fontId="9" fillId="0" borderId="6" xfId="0" applyFont="1" applyBorder="1" applyAlignment="1">
      <alignment horizontal="left"/>
    </xf>
    <xf numFmtId="165" fontId="14" fillId="0" borderId="0" xfId="2" applyNumberFormat="1" applyFont="1" applyBorder="1"/>
    <xf numFmtId="164" fontId="14" fillId="0" borderId="0" xfId="0" applyNumberFormat="1" applyFont="1"/>
    <xf numFmtId="43" fontId="14" fillId="0" borderId="0" xfId="0" applyNumberFormat="1" applyFont="1"/>
    <xf numFmtId="0" fontId="10" fillId="0" borderId="8" xfId="0" applyFont="1" applyBorder="1" applyAlignment="1">
      <alignment horizontal="left" indent="1"/>
    </xf>
    <xf numFmtId="0" fontId="10" fillId="0" borderId="10" xfId="0" applyFont="1" applyBorder="1" applyAlignment="1">
      <alignment horizontal="left" indent="1"/>
    </xf>
    <xf numFmtId="0" fontId="10" fillId="0" borderId="12" xfId="0" applyFont="1" applyBorder="1" applyAlignment="1">
      <alignment horizontal="left" indent="1"/>
    </xf>
    <xf numFmtId="165" fontId="9" fillId="0" borderId="6" xfId="0" applyNumberFormat="1" applyFont="1" applyBorder="1"/>
    <xf numFmtId="165" fontId="9" fillId="0" borderId="9" xfId="0" applyNumberFormat="1" applyFont="1" applyBorder="1"/>
    <xf numFmtId="165" fontId="9" fillId="0" borderId="0" xfId="2" applyNumberFormat="1" applyFont="1" applyBorder="1"/>
    <xf numFmtId="165" fontId="9" fillId="0" borderId="11" xfId="2" applyNumberFormat="1" applyFont="1" applyBorder="1"/>
    <xf numFmtId="164" fontId="9" fillId="0" borderId="11" xfId="0" applyNumberFormat="1" applyFont="1" applyBorder="1"/>
    <xf numFmtId="0" fontId="9" fillId="0" borderId="1" xfId="0" applyFont="1" applyBorder="1"/>
    <xf numFmtId="0" fontId="9" fillId="0" borderId="14" xfId="0" applyFont="1" applyBorder="1"/>
    <xf numFmtId="165" fontId="23" fillId="6" borderId="13" xfId="3" applyNumberFormat="1" applyFont="1" applyBorder="1"/>
    <xf numFmtId="164" fontId="12" fillId="0" borderId="0" xfId="1" applyNumberFormat="1" applyFont="1" applyFill="1" applyBorder="1"/>
    <xf numFmtId="0" fontId="0" fillId="2" borderId="0" xfId="0" quotePrefix="1" applyFill="1"/>
    <xf numFmtId="2" fontId="0" fillId="2" borderId="0" xfId="0" applyNumberFormat="1" applyFill="1"/>
    <xf numFmtId="0" fontId="7" fillId="0" borderId="0" xfId="0" applyFont="1" applyAlignment="1">
      <alignment horizontal="left" indent="1"/>
    </xf>
    <xf numFmtId="0" fontId="31" fillId="0" borderId="0" xfId="0" applyFont="1"/>
    <xf numFmtId="0" fontId="0" fillId="2" borderId="0" xfId="0" applyFill="1" applyAlignment="1">
      <alignment horizontal="center"/>
    </xf>
    <xf numFmtId="43" fontId="0" fillId="0" borderId="0" xfId="0" applyNumberFormat="1"/>
    <xf numFmtId="164" fontId="15" fillId="0" borderId="0" xfId="1" applyNumberFormat="1" applyFont="1" applyFill="1"/>
    <xf numFmtId="164" fontId="0" fillId="0" borderId="5" xfId="1" applyNumberFormat="1" applyFont="1" applyFill="1" applyBorder="1"/>
    <xf numFmtId="43" fontId="0" fillId="0" borderId="0" xfId="1" applyFont="1"/>
    <xf numFmtId="0" fontId="10" fillId="4" borderId="0" xfId="0" applyFont="1" applyFill="1" applyAlignment="1">
      <alignment horizontal="right"/>
    </xf>
    <xf numFmtId="164" fontId="9" fillId="0" borderId="18" xfId="0" applyNumberFormat="1" applyFont="1" applyBorder="1" applyAlignment="1">
      <alignment horizontal="left"/>
    </xf>
    <xf numFmtId="166" fontId="9" fillId="4" borderId="0" xfId="0" applyNumberFormat="1" applyFont="1" applyFill="1" applyAlignment="1">
      <alignment horizontal="right"/>
    </xf>
    <xf numFmtId="0" fontId="10" fillId="0" borderId="0" xfId="0" applyFont="1" applyAlignment="1">
      <alignment horizontal="right"/>
    </xf>
    <xf numFmtId="164" fontId="32" fillId="0" borderId="0" xfId="0" applyNumberFormat="1" applyFont="1"/>
    <xf numFmtId="0" fontId="10" fillId="0" borderId="19" xfId="0" applyFont="1" applyBorder="1" applyAlignment="1">
      <alignment horizontal="right"/>
    </xf>
    <xf numFmtId="0" fontId="10" fillId="0" borderId="20" xfId="0" applyFont="1" applyBorder="1" applyAlignment="1">
      <alignment horizontal="right"/>
    </xf>
    <xf numFmtId="0" fontId="10" fillId="0" borderId="21" xfId="0" applyFont="1" applyBorder="1" applyAlignment="1">
      <alignment horizontal="right"/>
    </xf>
    <xf numFmtId="165" fontId="0" fillId="0" borderId="22" xfId="2" applyNumberFormat="1" applyFont="1" applyBorder="1" applyAlignment="1">
      <alignment horizontal="right" indent="2"/>
    </xf>
    <xf numFmtId="164" fontId="0" fillId="0" borderId="23" xfId="0" applyNumberFormat="1" applyBorder="1" applyAlignment="1">
      <alignment horizontal="center"/>
    </xf>
    <xf numFmtId="10" fontId="0" fillId="0" borderId="24" xfId="2" applyNumberFormat="1" applyFont="1" applyBorder="1"/>
    <xf numFmtId="165" fontId="0" fillId="0" borderId="25" xfId="2" applyNumberFormat="1" applyFont="1" applyBorder="1" applyAlignment="1">
      <alignment horizontal="right" indent="2"/>
    </xf>
    <xf numFmtId="164" fontId="0" fillId="0" borderId="26" xfId="0" applyNumberFormat="1" applyBorder="1" applyAlignment="1">
      <alignment horizontal="center"/>
    </xf>
    <xf numFmtId="10" fontId="0" fillId="0" borderId="27" xfId="2" applyNumberFormat="1" applyFont="1" applyBorder="1"/>
    <xf numFmtId="164" fontId="0" fillId="0" borderId="0" xfId="0" applyNumberFormat="1" applyAlignment="1">
      <alignment horizontal="center"/>
    </xf>
    <xf numFmtId="165" fontId="9" fillId="0" borderId="18" xfId="2" applyNumberFormat="1" applyFont="1" applyBorder="1"/>
    <xf numFmtId="165" fontId="9" fillId="4" borderId="0" xfId="0" applyNumberFormat="1" applyFont="1" applyFill="1" applyAlignment="1">
      <alignment horizontal="right"/>
    </xf>
    <xf numFmtId="0" fontId="10" fillId="4" borderId="0" xfId="0" quotePrefix="1" applyFont="1" applyFill="1" applyAlignment="1">
      <alignment horizontal="right"/>
    </xf>
    <xf numFmtId="0" fontId="10" fillId="0" borderId="0" xfId="0" quotePrefix="1" applyFont="1" applyAlignment="1">
      <alignment horizontal="right"/>
    </xf>
    <xf numFmtId="14" fontId="0" fillId="4" borderId="0" xfId="0" applyNumberFormat="1" applyFill="1" applyAlignment="1">
      <alignment horizontal="center"/>
    </xf>
    <xf numFmtId="165" fontId="9" fillId="0" borderId="0" xfId="2" applyNumberFormat="1" applyFont="1"/>
    <xf numFmtId="0" fontId="0" fillId="4" borderId="0" xfId="0" applyFill="1" applyAlignment="1">
      <alignment horizontal="right"/>
    </xf>
    <xf numFmtId="14" fontId="0" fillId="4" borderId="0" xfId="0" applyNumberFormat="1" applyFill="1"/>
    <xf numFmtId="0" fontId="7" fillId="4" borderId="0" xfId="0" applyFont="1" applyFill="1" applyAlignment="1">
      <alignment horizontal="left" indent="1"/>
    </xf>
    <xf numFmtId="3" fontId="9" fillId="4" borderId="0" xfId="0" applyNumberFormat="1" applyFont="1" applyFill="1"/>
    <xf numFmtId="3" fontId="9" fillId="4" borderId="7" xfId="0" applyNumberFormat="1" applyFont="1" applyFill="1" applyBorder="1"/>
    <xf numFmtId="0" fontId="33" fillId="0" borderId="0" xfId="0" applyFont="1"/>
    <xf numFmtId="0" fontId="7" fillId="4" borderId="6" xfId="0" applyFont="1" applyFill="1" applyBorder="1" applyAlignment="1">
      <alignment horizontal="left" indent="1"/>
    </xf>
    <xf numFmtId="9" fontId="0" fillId="0" borderId="6" xfId="0" applyNumberFormat="1" applyBorder="1"/>
    <xf numFmtId="164" fontId="8" fillId="11" borderId="0" xfId="1" applyNumberFormat="1" applyFont="1" applyFill="1"/>
    <xf numFmtId="0" fontId="0" fillId="10" borderId="0" xfId="0" applyFill="1"/>
    <xf numFmtId="164" fontId="14" fillId="0" borderId="1" xfId="1" applyNumberFormat="1" applyFont="1" applyFill="1" applyBorder="1"/>
    <xf numFmtId="0" fontId="0" fillId="2" borderId="0" xfId="0" applyFill="1" applyAlignment="1">
      <alignment horizontal="left" indent="1"/>
    </xf>
    <xf numFmtId="0" fontId="0" fillId="0" borderId="2" xfId="0" applyBorder="1" applyAlignment="1">
      <alignment horizontal="left" indent="1"/>
    </xf>
    <xf numFmtId="170" fontId="0" fillId="2" borderId="0" xfId="4" applyNumberFormat="1" applyFont="1" applyFill="1"/>
    <xf numFmtId="170" fontId="29" fillId="2" borderId="0" xfId="4" applyNumberFormat="1" applyFont="1" applyFill="1"/>
    <xf numFmtId="164" fontId="0" fillId="2" borderId="0" xfId="2" applyNumberFormat="1" applyFont="1" applyFill="1"/>
    <xf numFmtId="165" fontId="15" fillId="0" borderId="0" xfId="2" applyNumberFormat="1" applyFont="1" applyFill="1"/>
    <xf numFmtId="171" fontId="0" fillId="4" borderId="0" xfId="0" applyNumberFormat="1" applyFill="1" applyAlignment="1">
      <alignment horizontal="right"/>
    </xf>
    <xf numFmtId="171" fontId="9" fillId="4" borderId="18" xfId="0" applyNumberFormat="1" applyFont="1" applyFill="1" applyBorder="1" applyAlignment="1">
      <alignment horizontal="right"/>
    </xf>
    <xf numFmtId="0" fontId="0" fillId="2" borderId="0" xfId="0" applyFill="1" applyAlignment="1">
      <alignment horizontal="right"/>
    </xf>
    <xf numFmtId="164" fontId="29" fillId="0" borderId="0" xfId="1" applyNumberFormat="1" applyFont="1"/>
    <xf numFmtId="164" fontId="9" fillId="12" borderId="18" xfId="0" applyNumberFormat="1" applyFont="1" applyFill="1" applyBorder="1" applyAlignment="1">
      <alignment horizontal="left"/>
    </xf>
    <xf numFmtId="164" fontId="0" fillId="0" borderId="28" xfId="1" applyNumberFormat="1" applyFont="1" applyFill="1" applyBorder="1"/>
    <xf numFmtId="164" fontId="12" fillId="0" borderId="0" xfId="1" quotePrefix="1" applyNumberFormat="1" applyFont="1" applyFill="1" applyAlignment="1">
      <alignment horizontal="center"/>
    </xf>
    <xf numFmtId="170" fontId="9" fillId="0" borderId="0" xfId="0" applyNumberFormat="1" applyFont="1"/>
    <xf numFmtId="171" fontId="9" fillId="0" borderId="0" xfId="0" applyNumberFormat="1" applyFont="1"/>
    <xf numFmtId="10" fontId="9" fillId="0" borderId="0" xfId="2" applyNumberFormat="1" applyFont="1"/>
    <xf numFmtId="170" fontId="0" fillId="0" borderId="0" xfId="0" applyNumberFormat="1"/>
    <xf numFmtId="0" fontId="34" fillId="0" borderId="0" xfId="0" applyFont="1"/>
    <xf numFmtId="0" fontId="34" fillId="0" borderId="0" xfId="0" applyFont="1" applyAlignment="1">
      <alignment horizontal="right"/>
    </xf>
    <xf numFmtId="164" fontId="29" fillId="2" borderId="0" xfId="0" applyNumberFormat="1" applyFont="1" applyFill="1"/>
    <xf numFmtId="0" fontId="29" fillId="2" borderId="0" xfId="0" applyFont="1" applyFill="1"/>
    <xf numFmtId="165" fontId="0" fillId="2" borderId="0" xfId="2" applyNumberFormat="1" applyFont="1" applyFill="1"/>
    <xf numFmtId="164" fontId="0" fillId="0" borderId="0" xfId="0" applyNumberFormat="1" applyAlignment="1">
      <alignment horizontal="left" indent="1"/>
    </xf>
    <xf numFmtId="164" fontId="0" fillId="0" borderId="0" xfId="0" quotePrefix="1" applyNumberFormat="1"/>
    <xf numFmtId="168" fontId="29" fillId="0" borderId="0" xfId="1" applyNumberFormat="1" applyFont="1"/>
    <xf numFmtId="165" fontId="15" fillId="0" borderId="0" xfId="0" applyNumberFormat="1" applyFont="1"/>
    <xf numFmtId="0" fontId="21" fillId="0" borderId="6" xfId="0" applyFont="1" applyBorder="1" applyAlignment="1">
      <alignment horizontal="left"/>
    </xf>
    <xf numFmtId="6" fontId="12" fillId="0" borderId="6" xfId="0" applyNumberFormat="1" applyFont="1" applyBorder="1"/>
    <xf numFmtId="164" fontId="0" fillId="2" borderId="0" xfId="1" applyNumberFormat="1" applyFont="1" applyFill="1" applyAlignment="1">
      <alignment horizontal="left"/>
    </xf>
    <xf numFmtId="0" fontId="35" fillId="0" borderId="0" xfId="0" applyFont="1" applyAlignment="1">
      <alignment horizontal="left"/>
    </xf>
    <xf numFmtId="171" fontId="9" fillId="4" borderId="0" xfId="0" applyNumberFormat="1" applyFont="1" applyFill="1" applyAlignment="1">
      <alignment horizontal="right"/>
    </xf>
    <xf numFmtId="164" fontId="9" fillId="0" borderId="18" xfId="2" applyNumberFormat="1" applyFont="1" applyBorder="1"/>
    <xf numFmtId="1" fontId="0" fillId="2" borderId="0" xfId="0" applyNumberFormat="1" applyFill="1"/>
    <xf numFmtId="43" fontId="0" fillId="0" borderId="6" xfId="0" applyNumberFormat="1" applyBorder="1"/>
    <xf numFmtId="0" fontId="0" fillId="0" borderId="0" xfId="0" applyAlignment="1">
      <alignment horizontal="right"/>
    </xf>
    <xf numFmtId="9" fontId="0" fillId="4" borderId="0" xfId="2" applyFont="1" applyFill="1" applyBorder="1"/>
    <xf numFmtId="164" fontId="0" fillId="0" borderId="0" xfId="0" applyNumberFormat="1" applyAlignment="1">
      <alignment horizontal="left"/>
    </xf>
    <xf numFmtId="43" fontId="0" fillId="2" borderId="0" xfId="1" applyFont="1" applyFill="1"/>
    <xf numFmtId="165" fontId="12" fillId="0" borderId="0" xfId="2" applyNumberFormat="1" applyFont="1" applyFill="1"/>
    <xf numFmtId="164" fontId="8" fillId="0" borderId="6" xfId="1" applyNumberFormat="1" applyFont="1" applyBorder="1"/>
    <xf numFmtId="9" fontId="14" fillId="0" borderId="6" xfId="0" applyNumberFormat="1" applyFont="1" applyBorder="1"/>
    <xf numFmtId="9" fontId="12" fillId="2" borderId="0" xfId="0" applyNumberFormat="1" applyFont="1" applyFill="1"/>
    <xf numFmtId="164" fontId="14" fillId="0" borderId="0" xfId="1" applyNumberFormat="1" applyFont="1" applyBorder="1"/>
    <xf numFmtId="164" fontId="14" fillId="0" borderId="0" xfId="1" applyNumberFormat="1" applyFont="1" applyFill="1" applyBorder="1"/>
    <xf numFmtId="10" fontId="12" fillId="0" borderId="0" xfId="2" applyNumberFormat="1" applyFont="1" applyFill="1" applyBorder="1"/>
    <xf numFmtId="164" fontId="20" fillId="0" borderId="6" xfId="1" applyNumberFormat="1" applyFont="1" applyFill="1" applyBorder="1"/>
    <xf numFmtId="0" fontId="0" fillId="0" borderId="0" xfId="0" applyAlignment="1">
      <alignment horizontal="center" wrapText="1"/>
    </xf>
    <xf numFmtId="6" fontId="36" fillId="13" borderId="8" xfId="5" applyNumberFormat="1" applyFont="1" applyFill="1" applyBorder="1" applyAlignment="1">
      <alignment horizontal="centerContinuous"/>
    </xf>
    <xf numFmtId="6" fontId="36" fillId="13" borderId="29" xfId="5" applyNumberFormat="1" applyFont="1" applyFill="1" applyBorder="1" applyAlignment="1">
      <alignment horizontal="centerContinuous"/>
    </xf>
    <xf numFmtId="0" fontId="2" fillId="0" borderId="0" xfId="5"/>
    <xf numFmtId="0" fontId="37" fillId="13" borderId="8" xfId="5" applyFont="1" applyFill="1" applyBorder="1" applyAlignment="1">
      <alignment horizontal="right"/>
    </xf>
    <xf numFmtId="0" fontId="36" fillId="13" borderId="6" xfId="5" applyFont="1" applyFill="1" applyBorder="1" applyAlignment="1">
      <alignment horizontal="center"/>
    </xf>
    <xf numFmtId="0" fontId="36" fillId="13" borderId="9" xfId="5" applyFont="1" applyFill="1" applyBorder="1" applyAlignment="1">
      <alignment horizontal="center"/>
    </xf>
    <xf numFmtId="0" fontId="2" fillId="2" borderId="29" xfId="5" applyFill="1" applyBorder="1" applyAlignment="1">
      <alignment horizontal="right"/>
    </xf>
    <xf numFmtId="14" fontId="38" fillId="0" borderId="29" xfId="5" applyNumberFormat="1" applyFont="1" applyBorder="1" applyAlignment="1">
      <alignment horizontal="center"/>
    </xf>
    <xf numFmtId="0" fontId="37" fillId="13" borderId="10" xfId="5" applyFont="1" applyFill="1" applyBorder="1" applyAlignment="1">
      <alignment horizontal="right"/>
    </xf>
    <xf numFmtId="172" fontId="36" fillId="13" borderId="0" xfId="5" applyNumberFormat="1" applyFont="1" applyFill="1" applyAlignment="1">
      <alignment horizontal="center"/>
    </xf>
    <xf numFmtId="172" fontId="36" fillId="13" borderId="11" xfId="5" applyNumberFormat="1" applyFont="1" applyFill="1" applyBorder="1" applyAlignment="1">
      <alignment horizontal="center"/>
    </xf>
    <xf numFmtId="0" fontId="2" fillId="2" borderId="30" xfId="5" applyFill="1" applyBorder="1" applyAlignment="1">
      <alignment horizontal="right"/>
    </xf>
    <xf numFmtId="1" fontId="38" fillId="0" borderId="30" xfId="5" applyNumberFormat="1" applyFont="1" applyBorder="1" applyAlignment="1">
      <alignment horizontal="center"/>
    </xf>
    <xf numFmtId="0" fontId="2" fillId="14" borderId="30" xfId="5" applyFill="1" applyBorder="1" applyAlignment="1">
      <alignment horizontal="right"/>
    </xf>
    <xf numFmtId="10" fontId="38" fillId="0" borderId="0" xfId="5" applyNumberFormat="1" applyFont="1" applyAlignment="1">
      <alignment horizontal="center"/>
    </xf>
    <xf numFmtId="3" fontId="38" fillId="0" borderId="30" xfId="5" applyNumberFormat="1" applyFont="1" applyBorder="1" applyAlignment="1">
      <alignment horizontal="center"/>
    </xf>
    <xf numFmtId="0" fontId="2" fillId="14" borderId="18" xfId="5" applyFill="1" applyBorder="1" applyAlignment="1">
      <alignment horizontal="right"/>
    </xf>
    <xf numFmtId="10" fontId="2" fillId="0" borderId="18" xfId="5" applyNumberFormat="1" applyBorder="1" applyAlignment="1">
      <alignment horizontal="center"/>
    </xf>
    <xf numFmtId="6" fontId="38" fillId="0" borderId="30" xfId="5" applyNumberFormat="1" applyFont="1" applyBorder="1" applyAlignment="1">
      <alignment horizontal="center"/>
    </xf>
    <xf numFmtId="9" fontId="38" fillId="0" borderId="30" xfId="5" applyNumberFormat="1" applyFont="1" applyBorder="1" applyAlignment="1">
      <alignment horizontal="center"/>
    </xf>
    <xf numFmtId="10" fontId="38" fillId="0" borderId="30" xfId="5" applyNumberFormat="1" applyFont="1" applyBorder="1" applyAlignment="1">
      <alignment horizontal="center"/>
    </xf>
    <xf numFmtId="14" fontId="36" fillId="13" borderId="0" xfId="5" applyNumberFormat="1" applyFont="1" applyFill="1" applyAlignment="1">
      <alignment horizontal="center"/>
    </xf>
    <xf numFmtId="14" fontId="36" fillId="13" borderId="11" xfId="5" applyNumberFormat="1" applyFont="1" applyFill="1" applyBorder="1" applyAlignment="1">
      <alignment horizontal="center"/>
    </xf>
    <xf numFmtId="0" fontId="2" fillId="0" borderId="30" xfId="5" applyBorder="1" applyAlignment="1">
      <alignment horizontal="center"/>
    </xf>
    <xf numFmtId="0" fontId="39" fillId="14" borderId="31" xfId="5" applyFont="1" applyFill="1" applyBorder="1" applyAlignment="1">
      <alignment horizontal="right"/>
    </xf>
    <xf numFmtId="6" fontId="2" fillId="0" borderId="32" xfId="5" applyNumberFormat="1" applyBorder="1" applyAlignment="1">
      <alignment horizontal="center"/>
    </xf>
    <xf numFmtId="6" fontId="2" fillId="0" borderId="33" xfId="5" applyNumberFormat="1" applyBorder="1" applyAlignment="1">
      <alignment horizontal="center"/>
    </xf>
    <xf numFmtId="0" fontId="2" fillId="2" borderId="34" xfId="5" applyFill="1" applyBorder="1" applyAlignment="1">
      <alignment horizontal="right"/>
    </xf>
    <xf numFmtId="0" fontId="2" fillId="0" borderId="34" xfId="5" applyBorder="1" applyAlignment="1">
      <alignment horizontal="center"/>
    </xf>
    <xf numFmtId="0" fontId="2" fillId="2" borderId="0" xfId="5" applyFill="1" applyAlignment="1">
      <alignment horizontal="right"/>
    </xf>
    <xf numFmtId="0" fontId="2" fillId="0" borderId="0" xfId="5" applyAlignment="1">
      <alignment horizontal="center"/>
    </xf>
    <xf numFmtId="1" fontId="7" fillId="0" borderId="30" xfId="5" applyNumberFormat="1" applyFont="1" applyBorder="1" applyAlignment="1">
      <alignment horizontal="center"/>
    </xf>
    <xf numFmtId="9" fontId="38" fillId="0" borderId="34" xfId="5" applyNumberFormat="1" applyFont="1" applyBorder="1" applyAlignment="1">
      <alignment horizontal="center"/>
    </xf>
    <xf numFmtId="6" fontId="36" fillId="13" borderId="35" xfId="5" applyNumberFormat="1" applyFont="1" applyFill="1" applyBorder="1" applyAlignment="1">
      <alignment horizontal="centerContinuous"/>
    </xf>
    <xf numFmtId="9" fontId="38" fillId="0" borderId="29" xfId="5" applyNumberFormat="1" applyFont="1" applyBorder="1" applyAlignment="1">
      <alignment horizontal="center"/>
    </xf>
    <xf numFmtId="0" fontId="2" fillId="2" borderId="8" xfId="5" applyFill="1" applyBorder="1" applyAlignment="1">
      <alignment horizontal="right"/>
    </xf>
    <xf numFmtId="6" fontId="38" fillId="0" borderId="29" xfId="5" applyNumberFormat="1" applyFont="1" applyBorder="1" applyAlignment="1">
      <alignment horizontal="center"/>
    </xf>
    <xf numFmtId="0" fontId="2" fillId="2" borderId="10" xfId="5" applyFill="1" applyBorder="1" applyAlignment="1">
      <alignment horizontal="right"/>
    </xf>
    <xf numFmtId="173" fontId="38" fillId="0" borderId="30" xfId="5" applyNumberFormat="1" applyFont="1" applyBorder="1" applyAlignment="1">
      <alignment horizontal="center"/>
    </xf>
    <xf numFmtId="14" fontId="38" fillId="0" borderId="30" xfId="5" applyNumberFormat="1" applyFont="1" applyBorder="1" applyAlignment="1">
      <alignment horizontal="center"/>
    </xf>
    <xf numFmtId="43" fontId="0" fillId="0" borderId="0" xfId="6" applyFont="1"/>
    <xf numFmtId="3" fontId="7" fillId="0" borderId="30" xfId="5" applyNumberFormat="1" applyFont="1" applyBorder="1" applyAlignment="1">
      <alignment horizontal="center"/>
    </xf>
    <xf numFmtId="6" fontId="2" fillId="0" borderId="0" xfId="5" applyNumberFormat="1"/>
    <xf numFmtId="174" fontId="7" fillId="0" borderId="30" xfId="5" applyNumberFormat="1" applyFont="1" applyBorder="1" applyAlignment="1">
      <alignment horizontal="center"/>
    </xf>
    <xf numFmtId="0" fontId="2" fillId="2" borderId="12" xfId="5" applyFill="1" applyBorder="1" applyAlignment="1">
      <alignment horizontal="right"/>
    </xf>
    <xf numFmtId="0" fontId="2" fillId="2" borderId="35" xfId="5" applyFill="1" applyBorder="1" applyAlignment="1">
      <alignment horizontal="right"/>
    </xf>
    <xf numFmtId="37" fontId="38" fillId="0" borderId="35" xfId="6" applyNumberFormat="1" applyFont="1" applyFill="1" applyBorder="1" applyAlignment="1">
      <alignment horizontal="center"/>
    </xf>
    <xf numFmtId="0" fontId="40" fillId="13" borderId="8" xfId="5" applyFont="1" applyFill="1" applyBorder="1"/>
    <xf numFmtId="0" fontId="2" fillId="14" borderId="29" xfId="5" applyFill="1" applyBorder="1" applyAlignment="1">
      <alignment horizontal="right"/>
    </xf>
    <xf numFmtId="0" fontId="37" fillId="13" borderId="0" xfId="5" applyFont="1" applyFill="1" applyAlignment="1">
      <alignment horizontal="center"/>
    </xf>
    <xf numFmtId="0" fontId="36" fillId="13" borderId="0" xfId="5" applyFont="1" applyFill="1" applyAlignment="1">
      <alignment horizontal="center"/>
    </xf>
    <xf numFmtId="14" fontId="37" fillId="13" borderId="0" xfId="5" applyNumberFormat="1" applyFont="1" applyFill="1" applyAlignment="1">
      <alignment horizontal="right"/>
    </xf>
    <xf numFmtId="38" fontId="2" fillId="0" borderId="6" xfId="5" applyNumberFormat="1" applyBorder="1" applyAlignment="1">
      <alignment horizontal="center"/>
    </xf>
    <xf numFmtId="9" fontId="41" fillId="0" borderId="6" xfId="7" applyFont="1" applyBorder="1" applyAlignment="1">
      <alignment horizontal="center"/>
    </xf>
    <xf numFmtId="0" fontId="39" fillId="14" borderId="30" xfId="5" applyFont="1" applyFill="1" applyBorder="1" applyAlignment="1">
      <alignment horizontal="right"/>
    </xf>
    <xf numFmtId="6" fontId="39" fillId="0" borderId="0" xfId="5" applyNumberFormat="1" applyFont="1" applyAlignment="1">
      <alignment horizontal="center"/>
    </xf>
    <xf numFmtId="0" fontId="2" fillId="14" borderId="36" xfId="5" applyFill="1" applyBorder="1" applyAlignment="1">
      <alignment horizontal="right"/>
    </xf>
    <xf numFmtId="6" fontId="2" fillId="0" borderId="37" xfId="5" applyNumberFormat="1" applyBorder="1" applyAlignment="1">
      <alignment horizontal="center"/>
    </xf>
    <xf numFmtId="0" fontId="39" fillId="14" borderId="38" xfId="5" applyFont="1" applyFill="1" applyBorder="1" applyAlignment="1">
      <alignment horizontal="right"/>
    </xf>
    <xf numFmtId="6" fontId="39" fillId="0" borderId="37" xfId="5" applyNumberFormat="1" applyFont="1" applyBorder="1" applyAlignment="1">
      <alignment horizontal="center"/>
    </xf>
    <xf numFmtId="6" fontId="2" fillId="0" borderId="6" xfId="5" applyNumberFormat="1" applyBorder="1" applyAlignment="1">
      <alignment horizontal="center"/>
    </xf>
    <xf numFmtId="6" fontId="2" fillId="0" borderId="0" xfId="5" applyNumberFormat="1" applyAlignment="1">
      <alignment horizontal="center"/>
    </xf>
    <xf numFmtId="6" fontId="39" fillId="0" borderId="32" xfId="5" applyNumberFormat="1" applyFont="1" applyBorder="1" applyAlignment="1">
      <alignment horizontal="center"/>
    </xf>
    <xf numFmtId="6" fontId="41" fillId="0" borderId="0" xfId="7" applyNumberFormat="1" applyFont="1" applyBorder="1" applyAlignment="1">
      <alignment horizontal="center"/>
    </xf>
    <xf numFmtId="0" fontId="39" fillId="14" borderId="36" xfId="5" applyFont="1" applyFill="1" applyBorder="1" applyAlignment="1">
      <alignment horizontal="right"/>
    </xf>
    <xf numFmtId="0" fontId="2" fillId="0" borderId="16" xfId="5" applyBorder="1"/>
    <xf numFmtId="0" fontId="2" fillId="14" borderId="11" xfId="5" applyFill="1" applyBorder="1" applyAlignment="1">
      <alignment horizontal="right"/>
    </xf>
    <xf numFmtId="8" fontId="2" fillId="0" borderId="0" xfId="5" applyNumberFormat="1"/>
    <xf numFmtId="0" fontId="37" fillId="13" borderId="6" xfId="5" applyFont="1" applyFill="1" applyBorder="1" applyAlignment="1">
      <alignment horizontal="right"/>
    </xf>
    <xf numFmtId="0" fontId="37" fillId="13" borderId="0" xfId="5" applyFont="1" applyFill="1" applyAlignment="1">
      <alignment horizontal="right"/>
    </xf>
    <xf numFmtId="0" fontId="2" fillId="14" borderId="6" xfId="5" applyFill="1" applyBorder="1" applyAlignment="1">
      <alignment horizontal="right"/>
    </xf>
    <xf numFmtId="6" fontId="2" fillId="0" borderId="6" xfId="5" applyNumberFormat="1" applyBorder="1"/>
    <xf numFmtId="6" fontId="2" fillId="0" borderId="9" xfId="5" applyNumberFormat="1" applyBorder="1"/>
    <xf numFmtId="0" fontId="2" fillId="14" borderId="0" xfId="5" applyFill="1" applyAlignment="1">
      <alignment horizontal="right"/>
    </xf>
    <xf numFmtId="6" fontId="2" fillId="0" borderId="11" xfId="5" applyNumberFormat="1" applyBorder="1"/>
    <xf numFmtId="0" fontId="39" fillId="14" borderId="11" xfId="5" applyFont="1" applyFill="1" applyBorder="1" applyAlignment="1">
      <alignment horizontal="right"/>
    </xf>
    <xf numFmtId="0" fontId="39" fillId="14" borderId="0" xfId="5" applyFont="1" applyFill="1" applyAlignment="1">
      <alignment horizontal="right"/>
    </xf>
    <xf numFmtId="10" fontId="0" fillId="14" borderId="0" xfId="7" applyNumberFormat="1" applyFont="1" applyFill="1" applyBorder="1" applyAlignment="1">
      <alignment horizontal="right"/>
    </xf>
    <xf numFmtId="0" fontId="39" fillId="14" borderId="32" xfId="5" applyFont="1" applyFill="1" applyBorder="1" applyAlignment="1">
      <alignment horizontal="right"/>
    </xf>
    <xf numFmtId="6" fontId="2" fillId="0" borderId="32" xfId="5" applyNumberFormat="1" applyBorder="1"/>
    <xf numFmtId="6" fontId="2" fillId="0" borderId="33" xfId="5" applyNumberFormat="1" applyBorder="1"/>
    <xf numFmtId="0" fontId="2" fillId="0" borderId="39" xfId="5" applyBorder="1"/>
    <xf numFmtId="10" fontId="0" fillId="14" borderId="6" xfId="7" applyNumberFormat="1" applyFont="1" applyFill="1" applyBorder="1" applyAlignment="1">
      <alignment horizontal="right"/>
    </xf>
    <xf numFmtId="10" fontId="0" fillId="0" borderId="0" xfId="7" applyNumberFormat="1" applyFont="1"/>
    <xf numFmtId="10" fontId="39" fillId="14" borderId="32" xfId="7" applyNumberFormat="1" applyFont="1" applyFill="1" applyBorder="1" applyAlignment="1">
      <alignment horizontal="right"/>
    </xf>
    <xf numFmtId="10" fontId="0" fillId="14" borderId="9" xfId="7" applyNumberFormat="1" applyFont="1" applyFill="1" applyBorder="1" applyAlignment="1">
      <alignment horizontal="right"/>
    </xf>
    <xf numFmtId="10" fontId="0" fillId="14" borderId="11" xfId="7" applyNumberFormat="1" applyFont="1" applyFill="1" applyBorder="1" applyAlignment="1">
      <alignment horizontal="right"/>
    </xf>
    <xf numFmtId="0" fontId="2" fillId="14" borderId="34" xfId="5" applyFill="1" applyBorder="1" applyAlignment="1">
      <alignment horizontal="right"/>
    </xf>
    <xf numFmtId="10" fontId="0" fillId="14" borderId="1" xfId="7" applyNumberFormat="1" applyFont="1" applyFill="1" applyBorder="1" applyAlignment="1">
      <alignment horizontal="right"/>
    </xf>
    <xf numFmtId="10" fontId="0" fillId="14" borderId="14" xfId="7" applyNumberFormat="1" applyFont="1" applyFill="1" applyBorder="1" applyAlignment="1">
      <alignment horizontal="right"/>
    </xf>
    <xf numFmtId="164" fontId="0" fillId="0" borderId="5" xfId="1" applyNumberFormat="1" applyFont="1" applyFill="1" applyBorder="1" applyAlignment="1">
      <alignment horizontal="center"/>
    </xf>
    <xf numFmtId="10" fontId="7" fillId="0" borderId="8" xfId="5" applyNumberFormat="1" applyFont="1" applyBorder="1" applyAlignment="1">
      <alignment horizontal="center"/>
    </xf>
    <xf numFmtId="10" fontId="7" fillId="0" borderId="6" xfId="5" applyNumberFormat="1" applyFont="1" applyBorder="1" applyAlignment="1">
      <alignment horizontal="center"/>
    </xf>
    <xf numFmtId="10" fontId="7" fillId="0" borderId="9" xfId="5" applyNumberFormat="1" applyFont="1" applyBorder="1" applyAlignment="1">
      <alignment horizontal="center"/>
    </xf>
    <xf numFmtId="6" fontId="7" fillId="0" borderId="10" xfId="5" applyNumberFormat="1" applyFont="1" applyBorder="1" applyAlignment="1">
      <alignment horizontal="center"/>
    </xf>
    <xf numFmtId="6" fontId="38" fillId="0" borderId="10" xfId="5" applyNumberFormat="1" applyFont="1" applyBorder="1" applyAlignment="1">
      <alignment horizontal="center"/>
    </xf>
    <xf numFmtId="10" fontId="38" fillId="0" borderId="12" xfId="5" applyNumberFormat="1" applyFont="1" applyBorder="1" applyAlignment="1">
      <alignment horizontal="center"/>
    </xf>
    <xf numFmtId="10" fontId="38" fillId="0" borderId="0" xfId="0" applyNumberFormat="1" applyFont="1" applyAlignment="1">
      <alignment horizontal="center"/>
    </xf>
    <xf numFmtId="10" fontId="38" fillId="0" borderId="1" xfId="0" applyNumberFormat="1" applyFont="1" applyBorder="1" applyAlignment="1">
      <alignment horizontal="center"/>
    </xf>
    <xf numFmtId="10" fontId="38" fillId="0" borderId="14" xfId="0" applyNumberFormat="1" applyFont="1" applyBorder="1" applyAlignment="1">
      <alignment horizontal="center"/>
    </xf>
    <xf numFmtId="176" fontId="40" fillId="13" borderId="8" xfId="5" applyNumberFormat="1" applyFont="1" applyFill="1" applyBorder="1" applyAlignment="1">
      <alignment horizontal="center"/>
    </xf>
    <xf numFmtId="0" fontId="40" fillId="13" borderId="8" xfId="5" applyFont="1" applyFill="1" applyBorder="1" applyAlignment="1">
      <alignment horizontal="center"/>
    </xf>
    <xf numFmtId="6" fontId="42" fillId="0" borderId="0" xfId="5" applyNumberFormat="1" applyFont="1" applyAlignment="1">
      <alignment horizontal="center"/>
    </xf>
    <xf numFmtId="6" fontId="7" fillId="0" borderId="0" xfId="5" applyNumberFormat="1" applyFont="1" applyAlignment="1">
      <alignment horizontal="center"/>
    </xf>
    <xf numFmtId="175" fontId="40" fillId="0" borderId="0" xfId="5" applyNumberFormat="1" applyFont="1" applyAlignment="1">
      <alignment horizontal="center"/>
    </xf>
    <xf numFmtId="10" fontId="7" fillId="0" borderId="0" xfId="5" applyNumberFormat="1" applyFont="1" applyAlignment="1">
      <alignment horizontal="center"/>
    </xf>
    <xf numFmtId="6" fontId="2" fillId="0" borderId="1" xfId="5" applyNumberFormat="1" applyBorder="1" applyAlignment="1">
      <alignment horizontal="center"/>
    </xf>
    <xf numFmtId="6" fontId="2" fillId="0" borderId="11" xfId="5" applyNumberFormat="1" applyBorder="1" applyAlignment="1">
      <alignment horizontal="center"/>
    </xf>
    <xf numFmtId="6" fontId="2" fillId="0" borderId="14" xfId="5" applyNumberFormat="1" applyBorder="1" applyAlignment="1">
      <alignment horizontal="center"/>
    </xf>
    <xf numFmtId="164" fontId="0" fillId="0" borderId="5" xfId="1" applyNumberFormat="1" applyFont="1" applyFill="1" applyBorder="1" applyAlignment="1"/>
    <xf numFmtId="164" fontId="12" fillId="0" borderId="6" xfId="1" applyNumberFormat="1" applyFont="1" applyBorder="1"/>
    <xf numFmtId="168" fontId="29" fillId="0" borderId="0" xfId="1" applyNumberFormat="1" applyFont="1" applyBorder="1"/>
    <xf numFmtId="0" fontId="13" fillId="0" borderId="0" xfId="0" applyFont="1" applyAlignment="1">
      <alignment horizontal="right" indent="2"/>
    </xf>
    <xf numFmtId="164" fontId="43" fillId="0" borderId="0" xfId="1" applyNumberFormat="1" applyFont="1" applyAlignment="1"/>
    <xf numFmtId="164" fontId="9" fillId="0" borderId="0" xfId="1" applyNumberFormat="1" applyFont="1" applyFill="1"/>
    <xf numFmtId="164" fontId="32" fillId="0" borderId="0" xfId="1" applyNumberFormat="1" applyFont="1"/>
    <xf numFmtId="168" fontId="32" fillId="0" borderId="0" xfId="1" applyNumberFormat="1" applyFont="1" applyAlignment="1">
      <alignment horizontal="right"/>
    </xf>
    <xf numFmtId="164" fontId="20" fillId="0" borderId="0" xfId="1" applyNumberFormat="1" applyFont="1" applyFill="1" applyBorder="1"/>
    <xf numFmtId="0" fontId="3" fillId="0" borderId="0" xfId="0" applyFont="1"/>
    <xf numFmtId="14" fontId="0" fillId="0" borderId="0" xfId="0" applyNumberFormat="1" applyAlignment="1">
      <alignment horizontal="left"/>
    </xf>
    <xf numFmtId="0" fontId="27" fillId="0" borderId="6" xfId="0" applyFont="1" applyBorder="1"/>
    <xf numFmtId="164" fontId="27" fillId="0" borderId="6" xfId="1" applyNumberFormat="1" applyFont="1" applyBorder="1"/>
    <xf numFmtId="164" fontId="27" fillId="0" borderId="6" xfId="1" applyNumberFormat="1" applyFont="1" applyBorder="1" applyAlignment="1">
      <alignment horizontal="left"/>
    </xf>
    <xf numFmtId="0" fontId="34" fillId="0" borderId="0" xfId="0" applyFont="1" applyAlignment="1">
      <alignment horizontal="left"/>
    </xf>
    <xf numFmtId="0" fontId="44" fillId="2" borderId="0" xfId="0" applyFont="1" applyFill="1"/>
    <xf numFmtId="6" fontId="38" fillId="0" borderId="34" xfId="5" applyNumberFormat="1" applyFont="1" applyBorder="1" applyAlignment="1">
      <alignment horizontal="center"/>
    </xf>
    <xf numFmtId="169" fontId="9" fillId="8" borderId="0" xfId="0" applyNumberFormat="1" applyFont="1" applyFill="1"/>
    <xf numFmtId="168" fontId="9" fillId="9" borderId="0" xfId="0" applyNumberFormat="1" applyFont="1" applyFill="1" applyAlignment="1">
      <alignment horizontal="center" wrapText="1"/>
    </xf>
    <xf numFmtId="0" fontId="44" fillId="0" borderId="23" xfId="0" applyFont="1" applyBorder="1"/>
    <xf numFmtId="43" fontId="44" fillId="0" borderId="23" xfId="1" applyFont="1" applyFill="1" applyBorder="1"/>
    <xf numFmtId="43" fontId="44" fillId="2" borderId="0" xfId="1" applyFont="1" applyFill="1"/>
    <xf numFmtId="164" fontId="0" fillId="0" borderId="7" xfId="0" applyNumberFormat="1" applyBorder="1"/>
    <xf numFmtId="164" fontId="12" fillId="0" borderId="6" xfId="1" applyNumberFormat="1" applyFont="1" applyFill="1" applyBorder="1"/>
    <xf numFmtId="167" fontId="15" fillId="0" borderId="0" xfId="1" applyNumberFormat="1" applyFont="1" applyFill="1"/>
    <xf numFmtId="164" fontId="27" fillId="0" borderId="6" xfId="1" applyNumberFormat="1" applyFont="1" applyFill="1" applyBorder="1" applyAlignment="1">
      <alignment horizontal="left"/>
    </xf>
    <xf numFmtId="9" fontId="28" fillId="0" borderId="0" xfId="2" applyFont="1" applyAlignment="1">
      <alignment horizontal="right"/>
    </xf>
    <xf numFmtId="43" fontId="29" fillId="0" borderId="0" xfId="1" applyFont="1"/>
    <xf numFmtId="0" fontId="0" fillId="15" borderId="0" xfId="0" applyFill="1"/>
    <xf numFmtId="44" fontId="0" fillId="15" borderId="0" xfId="4" applyFont="1" applyFill="1"/>
    <xf numFmtId="44" fontId="25" fillId="2" borderId="0" xfId="4" applyFont="1" applyFill="1"/>
    <xf numFmtId="169" fontId="45" fillId="0" borderId="0" xfId="0" applyNumberFormat="1" applyFont="1"/>
    <xf numFmtId="164" fontId="14" fillId="0" borderId="6" xfId="1" applyNumberFormat="1" applyFont="1" applyFill="1" applyBorder="1"/>
    <xf numFmtId="168" fontId="0" fillId="2" borderId="0" xfId="0" applyNumberFormat="1" applyFill="1"/>
    <xf numFmtId="164" fontId="8" fillId="0" borderId="0" xfId="1" applyNumberFormat="1" applyFont="1" applyFill="1"/>
    <xf numFmtId="10" fontId="0" fillId="10" borderId="0" xfId="2" applyNumberFormat="1" applyFont="1" applyFill="1"/>
    <xf numFmtId="165" fontId="14" fillId="0" borderId="0" xfId="0" applyNumberFormat="1" applyFont="1"/>
    <xf numFmtId="165" fontId="9" fillId="0" borderId="18" xfId="2" applyNumberFormat="1" applyFont="1" applyFill="1" applyBorder="1"/>
    <xf numFmtId="164" fontId="44" fillId="0" borderId="5" xfId="1" applyNumberFormat="1" applyFont="1" applyFill="1" applyBorder="1" applyAlignment="1"/>
    <xf numFmtId="164" fontId="44" fillId="0" borderId="0" xfId="1" applyNumberFormat="1" applyFont="1"/>
    <xf numFmtId="165" fontId="44" fillId="0" borderId="0" xfId="2" applyNumberFormat="1" applyFont="1"/>
    <xf numFmtId="43" fontId="44" fillId="0" borderId="0" xfId="1" applyFont="1"/>
    <xf numFmtId="164" fontId="44" fillId="0" borderId="0" xfId="1" applyNumberFormat="1" applyFont="1" applyFill="1" applyBorder="1"/>
    <xf numFmtId="165" fontId="44" fillId="0" borderId="0" xfId="2" applyNumberFormat="1" applyFont="1" applyFill="1" applyBorder="1"/>
    <xf numFmtId="44" fontId="14" fillId="0" borderId="0" xfId="4" applyFont="1" applyAlignment="1">
      <alignment horizontal="left"/>
    </xf>
    <xf numFmtId="44" fontId="12" fillId="0" borderId="0" xfId="4" applyFont="1" applyAlignment="1">
      <alignment horizontal="center"/>
    </xf>
    <xf numFmtId="164" fontId="12" fillId="10" borderId="1" xfId="1" applyNumberFormat="1" applyFont="1" applyFill="1" applyBorder="1"/>
    <xf numFmtId="164" fontId="0" fillId="10" borderId="0" xfId="0" applyNumberFormat="1" applyFill="1"/>
    <xf numFmtId="9" fontId="0" fillId="16" borderId="0" xfId="2" applyFont="1" applyFill="1"/>
    <xf numFmtId="164" fontId="14" fillId="10" borderId="0" xfId="1" applyNumberFormat="1" applyFont="1" applyFill="1"/>
    <xf numFmtId="164" fontId="14" fillId="0" borderId="0" xfId="1" quotePrefix="1" applyNumberFormat="1" applyFont="1"/>
    <xf numFmtId="165" fontId="0" fillId="0" borderId="0" xfId="2" applyNumberFormat="1" applyFont="1" applyBorder="1" applyAlignment="1">
      <alignment horizontal="right" indent="2"/>
    </xf>
    <xf numFmtId="10" fontId="0" fillId="0" borderId="0" xfId="2" applyNumberFormat="1" applyFont="1" applyBorder="1"/>
    <xf numFmtId="165" fontId="0" fillId="0" borderId="0" xfId="2" applyNumberFormat="1" applyFont="1" applyFill="1" applyBorder="1" applyAlignment="1">
      <alignment horizontal="right" indent="2"/>
    </xf>
    <xf numFmtId="164" fontId="15" fillId="0" borderId="0" xfId="1" applyNumberFormat="1" applyFont="1" applyFill="1" applyAlignment="1">
      <alignment horizontal="center"/>
    </xf>
    <xf numFmtId="165" fontId="12" fillId="0" borderId="0" xfId="0" applyNumberFormat="1" applyFont="1"/>
    <xf numFmtId="164" fontId="12" fillId="0" borderId="0" xfId="1" quotePrefix="1" applyNumberFormat="1" applyFont="1" applyFill="1"/>
    <xf numFmtId="10" fontId="12" fillId="0" borderId="1" xfId="2" applyNumberFormat="1" applyFont="1" applyFill="1" applyBorder="1"/>
    <xf numFmtId="43" fontId="12" fillId="0" borderId="0" xfId="1" applyFont="1" applyFill="1"/>
    <xf numFmtId="10" fontId="12" fillId="0" borderId="0" xfId="2" applyNumberFormat="1" applyFont="1" applyFill="1"/>
    <xf numFmtId="9" fontId="12" fillId="0" borderId="0" xfId="2" applyFont="1" applyFill="1"/>
    <xf numFmtId="0" fontId="10" fillId="0" borderId="15" xfId="0" applyFont="1" applyBorder="1" applyAlignment="1">
      <alignment horizontal="left"/>
    </xf>
    <xf numFmtId="0" fontId="0" fillId="0" borderId="16" xfId="0" applyBorder="1"/>
    <xf numFmtId="0" fontId="10" fillId="0" borderId="17" xfId="0" applyFont="1" applyBorder="1" applyAlignment="1">
      <alignment horizontal="left"/>
    </xf>
    <xf numFmtId="0" fontId="10" fillId="0" borderId="16" xfId="0" applyFont="1" applyBorder="1"/>
    <xf numFmtId="165" fontId="9" fillId="0" borderId="0" xfId="2" applyNumberFormat="1" applyFont="1" applyFill="1" applyBorder="1" applyAlignment="1">
      <alignment horizontal="right" indent="2"/>
    </xf>
    <xf numFmtId="164" fontId="9" fillId="0" borderId="0" xfId="0" applyNumberFormat="1" applyFont="1" applyAlignment="1">
      <alignment horizontal="left"/>
    </xf>
    <xf numFmtId="164" fontId="0" fillId="0" borderId="1" xfId="1" applyNumberFormat="1" applyFont="1" applyFill="1" applyBorder="1"/>
    <xf numFmtId="164" fontId="0" fillId="0" borderId="0" xfId="1" applyNumberFormat="1" applyFont="1" applyFill="1" applyBorder="1"/>
    <xf numFmtId="0" fontId="1" fillId="0" borderId="0" xfId="0" applyFont="1" applyAlignment="1">
      <alignment horizontal="left" indent="2"/>
    </xf>
    <xf numFmtId="3" fontId="48" fillId="0" borderId="0" xfId="0" applyNumberFormat="1" applyFont="1"/>
    <xf numFmtId="164" fontId="9" fillId="0" borderId="1" xfId="0" applyNumberFormat="1" applyFont="1" applyBorder="1"/>
    <xf numFmtId="164" fontId="14" fillId="0" borderId="6" xfId="1" applyNumberFormat="1" applyFont="1" applyBorder="1"/>
    <xf numFmtId="10" fontId="12" fillId="0" borderId="0" xfId="0" applyNumberFormat="1" applyFont="1"/>
    <xf numFmtId="164" fontId="0" fillId="2" borderId="0" xfId="0" applyNumberFormat="1" applyFill="1" applyAlignment="1">
      <alignment horizontal="right"/>
    </xf>
    <xf numFmtId="164" fontId="12" fillId="0" borderId="0" xfId="1" applyNumberFormat="1" applyFont="1" applyFill="1" applyAlignment="1">
      <alignment horizontal="right"/>
    </xf>
    <xf numFmtId="171" fontId="0" fillId="0" borderId="0" xfId="0" applyNumberFormat="1" applyAlignment="1">
      <alignment horizontal="right"/>
    </xf>
    <xf numFmtId="0" fontId="10" fillId="0" borderId="0" xfId="0" applyFont="1" applyAlignment="1">
      <alignment horizontal="left"/>
    </xf>
    <xf numFmtId="164" fontId="12" fillId="0" borderId="0" xfId="1" quotePrefix="1" applyNumberFormat="1" applyFont="1" applyFill="1" applyBorder="1"/>
    <xf numFmtId="165" fontId="9" fillId="0" borderId="18" xfId="2" applyNumberFormat="1" applyFont="1" applyBorder="1" applyAlignment="1">
      <alignment horizontal="right"/>
    </xf>
    <xf numFmtId="0" fontId="1" fillId="0" borderId="0" xfId="0" applyFont="1"/>
    <xf numFmtId="0" fontId="1" fillId="0" borderId="0" xfId="0" applyFont="1" applyAlignment="1">
      <alignment horizontal="left" indent="1"/>
    </xf>
    <xf numFmtId="10" fontId="51" fillId="2" borderId="0" xfId="2" applyNumberFormat="1" applyFont="1" applyFill="1"/>
    <xf numFmtId="164" fontId="52" fillId="0" borderId="0" xfId="0" applyNumberFormat="1" applyFont="1"/>
    <xf numFmtId="164" fontId="0" fillId="0" borderId="6" xfId="1" applyNumberFormat="1" applyFont="1" applyFill="1" applyBorder="1"/>
    <xf numFmtId="165" fontId="17" fillId="10" borderId="4" xfId="3" applyNumberFormat="1" applyFill="1"/>
    <xf numFmtId="177" fontId="0" fillId="4" borderId="0" xfId="0" applyNumberFormat="1" applyFill="1" applyAlignment="1">
      <alignment horizontal="center"/>
    </xf>
    <xf numFmtId="177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wrapText="1"/>
    </xf>
    <xf numFmtId="0" fontId="27" fillId="0" borderId="15" xfId="0" applyFont="1" applyBorder="1" applyAlignment="1">
      <alignment horizontal="center"/>
    </xf>
    <xf numFmtId="0" fontId="27" fillId="0" borderId="16" xfId="0" applyFont="1" applyBorder="1" applyAlignment="1">
      <alignment horizontal="center"/>
    </xf>
    <xf numFmtId="0" fontId="27" fillId="0" borderId="17" xfId="0" applyFont="1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9" fillId="7" borderId="0" xfId="0" applyFont="1" applyFill="1" applyAlignment="1">
      <alignment horizontal="center" vertical="center"/>
    </xf>
    <xf numFmtId="169" fontId="9" fillId="8" borderId="0" xfId="0" applyNumberFormat="1" applyFont="1" applyFill="1" applyAlignment="1">
      <alignment horizontal="center" vertical="center"/>
    </xf>
  </cellXfs>
  <cellStyles count="8">
    <cellStyle name="Calculation" xfId="3" builtinId="22"/>
    <cellStyle name="Comma" xfId="1" builtinId="3"/>
    <cellStyle name="Comma 2" xfId="6" xr:uid="{72EF9851-FE48-A245-9A52-5299BF1468DF}"/>
    <cellStyle name="Currency" xfId="4" builtinId="4"/>
    <cellStyle name="Normal" xfId="0" builtinId="0"/>
    <cellStyle name="Normal 2" xfId="5" xr:uid="{3BC7FE25-7BC2-A14C-9525-36F620412D6D}"/>
    <cellStyle name="Percent" xfId="2" builtinId="5"/>
    <cellStyle name="Percent 2" xfId="7" xr:uid="{86563EC1-B54F-CA49-8A5D-7D985A6D10EC}"/>
  </cellStyles>
  <dxfs count="30"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numFmt numFmtId="0" formatCode="General"/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Cumulative LP (Equity) Cash Position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'Returns (PreSales)'!$F$16:$M$16</c:f>
              <c:numCache>
                <c:formatCode>m/d/yy</c:formatCode>
                <c:ptCount val="8"/>
                <c:pt idx="0">
                  <c:v>46023</c:v>
                </c:pt>
                <c:pt idx="1">
                  <c:v>46113</c:v>
                </c:pt>
                <c:pt idx="2">
                  <c:v>46204</c:v>
                </c:pt>
                <c:pt idx="3">
                  <c:v>46296</c:v>
                </c:pt>
                <c:pt idx="4">
                  <c:v>46388</c:v>
                </c:pt>
                <c:pt idx="5">
                  <c:v>46478</c:v>
                </c:pt>
                <c:pt idx="6">
                  <c:v>46569</c:v>
                </c:pt>
                <c:pt idx="7">
                  <c:v>46661</c:v>
                </c:pt>
              </c:numCache>
            </c:numRef>
          </c:cat>
          <c:val>
            <c:numRef>
              <c:f>'Returns (PreSales)'!$F$23:$M$23</c:f>
              <c:numCache>
                <c:formatCode>_(* #,##0_);_(* \(#,##0\);_(* "-"??_);_(@_)</c:formatCode>
                <c:ptCount val="8"/>
                <c:pt idx="0">
                  <c:v>0</c:v>
                </c:pt>
                <c:pt idx="1">
                  <c:v>-15000000</c:v>
                </c:pt>
                <c:pt idx="2">
                  <c:v>-15000000</c:v>
                </c:pt>
                <c:pt idx="3">
                  <c:v>-15000000</c:v>
                </c:pt>
                <c:pt idx="4">
                  <c:v>-15000000</c:v>
                </c:pt>
                <c:pt idx="5">
                  <c:v>-15000000</c:v>
                </c:pt>
                <c:pt idx="6">
                  <c:v>-15000000</c:v>
                </c:pt>
                <c:pt idx="7">
                  <c:v>-3000000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AB-C149-B0D9-D44F98FD9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3887152"/>
        <c:axId val="1163205120"/>
      </c:lineChart>
      <c:dateAx>
        <c:axId val="1163887152"/>
        <c:scaling>
          <c:orientation val="minMax"/>
        </c:scaling>
        <c:delete val="0"/>
        <c:axPos val="b"/>
        <c:numFmt formatCode="[$-409]mmm\-yy;@" sourceLinked="0"/>
        <c:majorTickMark val="cross"/>
        <c:minorTickMark val="none"/>
        <c:tickLblPos val="low"/>
        <c:spPr>
          <a:noFill/>
          <a:ln w="254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3205120"/>
        <c:crosses val="autoZero"/>
        <c:auto val="1"/>
        <c:lblOffset val="100"/>
        <c:baseTimeUnit val="months"/>
        <c:majorUnit val="3"/>
        <c:majorTimeUnit val="months"/>
      </c:dateAx>
      <c:valAx>
        <c:axId val="116320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3887152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/>
    </cs:fontRef>
    <cs:defRPr sz="1000" kern="1200"/>
  </cs:axisTitle>
  <cs:categoryAxis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9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/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/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/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/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/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315071</xdr:colOff>
      <xdr:row>2</xdr:row>
      <xdr:rowOff>161636</xdr:rowOff>
    </xdr:from>
    <xdr:to>
      <xdr:col>28</xdr:col>
      <xdr:colOff>756201</xdr:colOff>
      <xdr:row>16</xdr:row>
      <xdr:rowOff>96812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9A544A9-6AA3-524A-B9AA-71D32F40C8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689671" y="377536"/>
          <a:ext cx="1923855" cy="1890976"/>
        </a:xfrm>
        <a:prstGeom prst="rect">
          <a:avLst/>
        </a:prstGeom>
      </xdr:spPr>
    </xdr:pic>
    <xdr:clientData/>
  </xdr:twoCellAnchor>
  <xdr:twoCellAnchor editAs="oneCell">
    <xdr:from>
      <xdr:col>27</xdr:col>
      <xdr:colOff>130175</xdr:colOff>
      <xdr:row>265</xdr:row>
      <xdr:rowOff>101600</xdr:rowOff>
    </xdr:from>
    <xdr:to>
      <xdr:col>28</xdr:col>
      <xdr:colOff>35</xdr:colOff>
      <xdr:row>269</xdr:row>
      <xdr:rowOff>188384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B0105F0-2A02-D147-99EF-CED24A61CB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504775" y="34239200"/>
          <a:ext cx="1355760" cy="1394883"/>
        </a:xfrm>
        <a:prstGeom prst="rect">
          <a:avLst/>
        </a:prstGeom>
      </xdr:spPr>
    </xdr:pic>
    <xdr:clientData/>
  </xdr:twoCellAnchor>
  <xdr:twoCellAnchor editAs="oneCell">
    <xdr:from>
      <xdr:col>5</xdr:col>
      <xdr:colOff>550708</xdr:colOff>
      <xdr:row>298</xdr:row>
      <xdr:rowOff>130814</xdr:rowOff>
    </xdr:from>
    <xdr:to>
      <xdr:col>6</xdr:col>
      <xdr:colOff>4143</xdr:colOff>
      <xdr:row>302</xdr:row>
      <xdr:rowOff>146340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490D3FB-64EA-0242-B688-C7DB4CB197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909617" y="50572905"/>
          <a:ext cx="850435" cy="88143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342900</xdr:colOff>
          <xdr:row>208</xdr:row>
          <xdr:rowOff>25400</xdr:rowOff>
        </xdr:from>
        <xdr:to>
          <xdr:col>33</xdr:col>
          <xdr:colOff>850900</xdr:colOff>
          <xdr:row>212</xdr:row>
          <xdr:rowOff>88900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0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AMU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267026</xdr:colOff>
      <xdr:row>72</xdr:row>
      <xdr:rowOff>174264</xdr:rowOff>
    </xdr:from>
    <xdr:to>
      <xdr:col>11</xdr:col>
      <xdr:colOff>393700</xdr:colOff>
      <xdr:row>86</xdr:row>
      <xdr:rowOff>102297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80FBCB7-6BA4-274A-A20B-92C9791CCC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709083</xdr:colOff>
      <xdr:row>1</xdr:row>
      <xdr:rowOff>54168</xdr:rowOff>
    </xdr:from>
    <xdr:to>
      <xdr:col>29</xdr:col>
      <xdr:colOff>186456</xdr:colOff>
      <xdr:row>3</xdr:row>
      <xdr:rowOff>207626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46304B6-DC5D-4046-A435-70ECBBFA9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420416" y="54168"/>
          <a:ext cx="1361207" cy="139170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72465</xdr:colOff>
      <xdr:row>1</xdr:row>
      <xdr:rowOff>61381</xdr:rowOff>
    </xdr:from>
    <xdr:to>
      <xdr:col>16</xdr:col>
      <xdr:colOff>1469464</xdr:colOff>
      <xdr:row>3</xdr:row>
      <xdr:rowOff>190497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884465" y="61381"/>
          <a:ext cx="1396999" cy="138641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09F4CD7C-410D-3042-B699-95AD867C94C1}">
  <we:reference id="wa200009404" version="1.0.0.8" store="en-US" storeType="OMEX"/>
  <we:alternateReferences>
    <we:reference id="wa200009404" version="1.0.0.8" store="en-US" storeType="OMEX"/>
  </we:alternateReferences>
  <we:properties>
    <we:property name="Office.AutoShowTaskpaneWithDocument" value="true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946652-58DC-2A44-B9F7-0110C47FFBB9}">
  <sheetPr codeName="Sheet9">
    <tabColor theme="4"/>
    <pageSetUpPr fitToPage="1"/>
  </sheetPr>
  <dimension ref="A1:AT1873"/>
  <sheetViews>
    <sheetView showGridLines="0" tabSelected="1" topLeftCell="B167" zoomScaleNormal="100" zoomScaleSheetLayoutView="90" zoomScalePageLayoutView="50" workbookViewId="0">
      <selection activeCell="I310" sqref="I310"/>
    </sheetView>
  </sheetViews>
  <sheetFormatPr baseColWidth="10" defaultColWidth="11" defaultRowHeight="16" outlineLevelCol="1" x14ac:dyDescent="0.2"/>
  <cols>
    <col min="1" max="1" width="4.33203125" style="7" customWidth="1"/>
    <col min="2" max="2" width="57.83203125" customWidth="1"/>
    <col min="3" max="3" width="18" bestFit="1" customWidth="1"/>
    <col min="4" max="4" width="11.83203125" customWidth="1"/>
    <col min="5" max="5" width="17.5" bestFit="1" customWidth="1"/>
    <col min="6" max="6" width="18.33203125" customWidth="1"/>
    <col min="7" max="7" width="16.5" customWidth="1"/>
    <col min="8" max="8" width="17" customWidth="1"/>
    <col min="9" max="9" width="16.33203125" customWidth="1"/>
    <col min="10" max="10" width="18" customWidth="1"/>
    <col min="11" max="11" width="17" customWidth="1"/>
    <col min="12" max="12" width="16.83203125" customWidth="1"/>
    <col min="13" max="13" width="16.5" customWidth="1"/>
    <col min="14" max="14" width="18" customWidth="1"/>
    <col min="15" max="15" width="16.5" customWidth="1"/>
    <col min="16" max="16" width="18" customWidth="1"/>
    <col min="17" max="17" width="17" customWidth="1"/>
    <col min="18" max="18" width="17.5" customWidth="1"/>
    <col min="19" max="19" width="15.83203125" hidden="1" customWidth="1" outlineLevel="1"/>
    <col min="20" max="20" width="15" hidden="1" customWidth="1" outlineLevel="1"/>
    <col min="21" max="21" width="16.1640625" hidden="1" customWidth="1" outlineLevel="1"/>
    <col min="22" max="27" width="15" hidden="1" customWidth="1" outlineLevel="1"/>
    <col min="28" max="28" width="19.5" bestFit="1" customWidth="1" collapsed="1"/>
    <col min="29" max="29" width="13" customWidth="1"/>
    <col min="30" max="30" width="13.83203125" style="1" customWidth="1"/>
    <col min="31" max="31" width="35" style="1" bestFit="1" customWidth="1"/>
    <col min="32" max="32" width="17" style="1" customWidth="1"/>
    <col min="33" max="33" width="20.5" style="1" bestFit="1" customWidth="1"/>
    <col min="34" max="34" width="24.33203125" style="1" bestFit="1" customWidth="1"/>
    <col min="35" max="35" width="24.33203125" style="1" customWidth="1"/>
    <col min="36" max="36" width="16" bestFit="1" customWidth="1"/>
    <col min="37" max="37" width="16.5" bestFit="1" customWidth="1"/>
    <col min="38" max="38" width="36" bestFit="1" customWidth="1"/>
    <col min="39" max="40" width="16.5" bestFit="1" customWidth="1"/>
    <col min="41" max="41" width="16" customWidth="1"/>
    <col min="42" max="42" width="16.5" bestFit="1" customWidth="1"/>
    <col min="43" max="43" width="15.83203125" bestFit="1" customWidth="1"/>
    <col min="44" max="44" width="17" bestFit="1" customWidth="1"/>
    <col min="45" max="45" width="16.83203125" bestFit="1" customWidth="1"/>
    <col min="46" max="46" width="17" bestFit="1" customWidth="1"/>
  </cols>
  <sheetData>
    <row r="1" spans="1:46" s="1" customFormat="1" ht="12" customHeight="1" x14ac:dyDescent="0.2">
      <c r="A1" s="7"/>
    </row>
    <row r="2" spans="1:46" ht="5.25" customHeight="1" thickBot="1" x14ac:dyDescent="0.5">
      <c r="B2" s="5"/>
      <c r="C2" s="3"/>
      <c r="D2" s="3"/>
      <c r="F2" s="30"/>
      <c r="AJ2" s="1"/>
      <c r="AK2" s="1"/>
      <c r="AL2" s="383" t="s">
        <v>0</v>
      </c>
      <c r="AM2" s="384">
        <f t="shared" ref="AM2:AT2" si="0">+IF(AM17&lt;0,-$C$211*AM17,0)</f>
        <v>0</v>
      </c>
      <c r="AN2" s="384">
        <f t="shared" si="0"/>
        <v>150000</v>
      </c>
      <c r="AO2" s="384">
        <f t="shared" si="0"/>
        <v>150000</v>
      </c>
      <c r="AP2" s="384">
        <f t="shared" si="0"/>
        <v>150000</v>
      </c>
      <c r="AQ2" s="384">
        <f t="shared" si="0"/>
        <v>150000</v>
      </c>
      <c r="AR2" s="384">
        <f t="shared" si="0"/>
        <v>150000</v>
      </c>
      <c r="AS2" s="384">
        <f t="shared" si="0"/>
        <v>150000</v>
      </c>
      <c r="AT2" s="384">
        <f t="shared" si="0"/>
        <v>30000</v>
      </c>
    </row>
    <row r="3" spans="1:46" ht="17" customHeight="1" thickBot="1" x14ac:dyDescent="0.3">
      <c r="B3" s="446" t="s">
        <v>1</v>
      </c>
      <c r="C3" s="447"/>
      <c r="D3" s="447"/>
      <c r="E3" s="448"/>
      <c r="F3" s="17"/>
      <c r="G3" s="446" t="s">
        <v>2</v>
      </c>
      <c r="H3" s="447"/>
      <c r="I3" s="447"/>
      <c r="J3" s="447"/>
      <c r="K3" s="448"/>
      <c r="M3" s="446" t="s">
        <v>3</v>
      </c>
      <c r="N3" s="447"/>
      <c r="O3" s="447"/>
      <c r="P3" s="448"/>
      <c r="R3" s="432"/>
      <c r="T3" s="9"/>
      <c r="U3" s="9"/>
      <c r="V3" s="432"/>
      <c r="AJ3" s="1"/>
      <c r="AK3" s="1"/>
      <c r="AL3" s="383"/>
      <c r="AM3" s="384"/>
      <c r="AN3" s="384"/>
      <c r="AO3" s="384"/>
      <c r="AP3" s="384"/>
      <c r="AQ3" s="384"/>
      <c r="AR3" s="384"/>
      <c r="AS3" s="384"/>
      <c r="AT3" s="384"/>
    </row>
    <row r="4" spans="1:46" ht="5.25" customHeight="1" thickBot="1" x14ac:dyDescent="0.25">
      <c r="E4" s="26"/>
      <c r="K4" s="26"/>
      <c r="M4" s="9"/>
      <c r="P4" s="17"/>
      <c r="R4" s="406"/>
      <c r="S4" s="181"/>
      <c r="T4" s="407"/>
      <c r="AJ4" s="1"/>
      <c r="AK4" s="1"/>
      <c r="AL4" s="383"/>
      <c r="AM4" s="384"/>
      <c r="AN4" s="384"/>
      <c r="AO4" s="384"/>
      <c r="AP4" s="384"/>
      <c r="AQ4" s="384"/>
      <c r="AR4" s="384"/>
      <c r="AS4" s="384"/>
      <c r="AT4" s="384"/>
    </row>
    <row r="5" spans="1:46" ht="17" customHeight="1" thickBot="1" x14ac:dyDescent="0.25">
      <c r="B5" s="170" t="s">
        <v>4</v>
      </c>
      <c r="E5" s="168">
        <f>E237</f>
        <v>53685773.231249996</v>
      </c>
      <c r="I5" s="170" t="s">
        <v>5</v>
      </c>
      <c r="K5" s="168">
        <f>K237</f>
        <v>118352428.96392636</v>
      </c>
      <c r="M5" s="167" t="s">
        <v>6</v>
      </c>
      <c r="P5" s="168">
        <f>E251</f>
        <v>28648704.5</v>
      </c>
      <c r="R5" s="420"/>
      <c r="S5" s="421"/>
      <c r="T5" s="421"/>
      <c r="U5" s="8"/>
      <c r="V5" s="229"/>
      <c r="AJ5" s="1"/>
      <c r="AK5" s="1"/>
      <c r="AL5" s="383"/>
      <c r="AM5" s="384"/>
      <c r="AN5" s="384"/>
      <c r="AO5" s="384"/>
      <c r="AP5" s="384"/>
      <c r="AQ5" s="384"/>
      <c r="AR5" s="384"/>
      <c r="AS5" s="384"/>
      <c r="AT5" s="384"/>
    </row>
    <row r="6" spans="1:46" ht="5.25" customHeight="1" thickBot="1" x14ac:dyDescent="0.25">
      <c r="B6" s="9"/>
      <c r="E6" s="17"/>
      <c r="F6" s="17"/>
      <c r="G6" s="17"/>
      <c r="H6" s="17"/>
      <c r="I6" s="9"/>
      <c r="K6" s="17"/>
      <c r="M6" s="167"/>
      <c r="P6" s="44"/>
      <c r="AJ6" s="1"/>
      <c r="AK6" s="1"/>
      <c r="AL6" s="383"/>
      <c r="AM6" s="384"/>
      <c r="AN6" s="384"/>
      <c r="AO6" s="384"/>
      <c r="AP6" s="384"/>
      <c r="AQ6" s="384"/>
      <c r="AR6" s="384"/>
      <c r="AS6" s="384"/>
      <c r="AT6" s="384"/>
    </row>
    <row r="7" spans="1:46" ht="17" customHeight="1" thickBot="1" x14ac:dyDescent="0.25">
      <c r="B7" s="170" t="s">
        <v>7</v>
      </c>
      <c r="E7" s="168">
        <f>E239</f>
        <v>120742500</v>
      </c>
      <c r="I7" s="185" t="s">
        <v>8</v>
      </c>
      <c r="K7" s="168">
        <f>K239</f>
        <v>89703724.052376851</v>
      </c>
      <c r="M7" s="167" t="s">
        <v>9</v>
      </c>
      <c r="P7" s="206">
        <f>E253</f>
        <v>2.9099136333333333</v>
      </c>
      <c r="AJ7" s="1"/>
      <c r="AK7" s="1"/>
      <c r="AL7" s="383"/>
      <c r="AM7" s="384"/>
      <c r="AN7" s="384"/>
      <c r="AO7" s="384"/>
      <c r="AP7" s="384"/>
      <c r="AQ7" s="384"/>
      <c r="AR7" s="384"/>
      <c r="AS7" s="384"/>
      <c r="AT7" s="384"/>
    </row>
    <row r="8" spans="1:46" ht="5.25" customHeight="1" thickBot="1" x14ac:dyDescent="0.25">
      <c r="B8" s="9"/>
      <c r="E8" s="17"/>
      <c r="F8" s="17"/>
      <c r="G8" s="17"/>
      <c r="H8" s="17"/>
      <c r="I8" s="9"/>
      <c r="K8" s="17"/>
      <c r="M8" s="167"/>
      <c r="P8" s="169"/>
      <c r="AJ8" s="1"/>
      <c r="AK8" s="1"/>
      <c r="AL8" s="383"/>
      <c r="AM8" s="384"/>
      <c r="AN8" s="384"/>
      <c r="AO8" s="384"/>
      <c r="AP8" s="384"/>
      <c r="AQ8" s="384"/>
      <c r="AR8" s="384"/>
      <c r="AS8" s="384"/>
      <c r="AT8" s="384"/>
    </row>
    <row r="9" spans="1:46" ht="17" customHeight="1" thickBot="1" x14ac:dyDescent="0.25">
      <c r="B9" s="167" t="s">
        <v>10</v>
      </c>
      <c r="E9" s="168">
        <f>E241</f>
        <v>27303941.821289062</v>
      </c>
      <c r="I9" s="184" t="s">
        <v>11</v>
      </c>
      <c r="K9" s="209">
        <f>K5-K7</f>
        <v>28648704.911549509</v>
      </c>
      <c r="M9" s="170" t="s">
        <v>12</v>
      </c>
      <c r="P9" s="434">
        <f>E255</f>
        <v>1.9099136333333333</v>
      </c>
      <c r="AJ9" s="1"/>
      <c r="AK9" s="1"/>
      <c r="AL9" s="383"/>
      <c r="AM9" s="384"/>
      <c r="AN9" s="384"/>
      <c r="AO9" s="384"/>
      <c r="AP9" s="384"/>
      <c r="AQ9" s="384"/>
      <c r="AR9" s="384"/>
      <c r="AS9" s="384"/>
      <c r="AT9" s="384"/>
    </row>
    <row r="10" spans="1:46" ht="5.25" customHeight="1" thickBot="1" x14ac:dyDescent="0.25">
      <c r="B10" s="167"/>
      <c r="E10" s="126"/>
      <c r="I10" s="167"/>
      <c r="K10" s="126"/>
      <c r="P10" s="26"/>
      <c r="AJ10" s="1"/>
      <c r="AK10" s="1"/>
      <c r="AL10" s="383"/>
      <c r="AM10" s="384"/>
      <c r="AN10" s="384"/>
      <c r="AO10" s="384"/>
      <c r="AP10" s="384"/>
      <c r="AQ10" s="384"/>
      <c r="AR10" s="384"/>
      <c r="AS10" s="384"/>
      <c r="AT10" s="384"/>
    </row>
    <row r="11" spans="1:46" ht="17" customHeight="1" thickBot="1" x14ac:dyDescent="0.25">
      <c r="B11" s="167" t="s">
        <v>13</v>
      </c>
      <c r="E11" s="434">
        <f>E243</f>
        <v>0.54937122625658397</v>
      </c>
      <c r="I11" s="170" t="s">
        <v>14</v>
      </c>
      <c r="K11" s="182">
        <f>K9/K5</f>
        <v>0.24206266962447887</v>
      </c>
      <c r="M11" s="170" t="s">
        <v>15</v>
      </c>
      <c r="P11" s="434">
        <f>E257</f>
        <v>0.6368719875812533</v>
      </c>
      <c r="AJ11" s="1"/>
      <c r="AK11" s="1"/>
      <c r="AL11" s="383"/>
      <c r="AM11" s="384"/>
      <c r="AN11" s="384"/>
      <c r="AO11" s="384"/>
      <c r="AP11" s="384"/>
      <c r="AQ11" s="384"/>
      <c r="AR11" s="384"/>
      <c r="AS11" s="384"/>
      <c r="AT11" s="384"/>
    </row>
    <row r="12" spans="1:46" ht="5.25" customHeight="1" thickBot="1" x14ac:dyDescent="0.25">
      <c r="B12" s="167"/>
      <c r="E12" s="126"/>
      <c r="K12" s="26"/>
      <c r="AJ12" s="1"/>
      <c r="AK12" s="1"/>
      <c r="AL12" s="383"/>
      <c r="AM12" s="384"/>
      <c r="AN12" s="384"/>
      <c r="AO12" s="384"/>
      <c r="AP12" s="384"/>
      <c r="AQ12" s="384"/>
      <c r="AR12" s="384"/>
      <c r="AS12" s="384"/>
      <c r="AT12" s="384"/>
    </row>
    <row r="13" spans="1:46" ht="17" customHeight="1" thickBot="1" x14ac:dyDescent="0.25">
      <c r="B13" s="167" t="s">
        <v>16</v>
      </c>
      <c r="E13" s="434">
        <f>E245</f>
        <v>0.72059636851297804</v>
      </c>
      <c r="F13" s="17"/>
      <c r="I13" s="170" t="s">
        <v>17</v>
      </c>
      <c r="K13" s="206">
        <f>K245</f>
        <v>1.9099136607699672</v>
      </c>
      <c r="AJ13" s="1"/>
      <c r="AK13" s="1"/>
      <c r="AL13" s="383"/>
      <c r="AM13" s="384"/>
      <c r="AN13" s="384"/>
      <c r="AO13" s="384"/>
      <c r="AP13" s="384"/>
      <c r="AQ13" s="384"/>
      <c r="AR13" s="384"/>
      <c r="AS13" s="384"/>
      <c r="AT13" s="384"/>
    </row>
    <row r="14" spans="1:46" ht="5.25" customHeight="1" thickBot="1" x14ac:dyDescent="0.25">
      <c r="B14" s="167"/>
      <c r="E14" s="183"/>
      <c r="F14" s="17"/>
      <c r="I14" s="170"/>
      <c r="K14" s="229"/>
      <c r="AJ14" s="1"/>
      <c r="AK14" s="1"/>
      <c r="AL14" s="383"/>
      <c r="AM14" s="384"/>
      <c r="AN14" s="384"/>
      <c r="AO14" s="384"/>
      <c r="AP14" s="384"/>
      <c r="AQ14" s="384"/>
      <c r="AR14" s="384"/>
      <c r="AS14" s="384"/>
      <c r="AT14" s="384"/>
    </row>
    <row r="15" spans="1:46" ht="17" customHeight="1" thickBot="1" x14ac:dyDescent="0.25">
      <c r="B15" s="170" t="s">
        <v>18</v>
      </c>
      <c r="E15" s="434">
        <f>E247</f>
        <v>0.65639335698151613</v>
      </c>
      <c r="F15" s="17"/>
      <c r="I15" s="170"/>
      <c r="K15" s="229"/>
      <c r="M15" s="416" t="s">
        <v>19</v>
      </c>
      <c r="N15" s="417"/>
      <c r="O15" s="419" t="s">
        <v>20</v>
      </c>
      <c r="P15" s="419"/>
      <c r="Q15" s="418" t="s">
        <v>21</v>
      </c>
      <c r="AJ15" s="1"/>
      <c r="AK15" s="1"/>
      <c r="AL15" s="383"/>
      <c r="AM15" s="384"/>
      <c r="AN15" s="384"/>
      <c r="AO15" s="384"/>
      <c r="AP15" s="384"/>
      <c r="AQ15" s="384"/>
      <c r="AR15" s="384"/>
      <c r="AS15" s="384"/>
      <c r="AT15" s="384"/>
    </row>
    <row r="16" spans="1:46" ht="5.25" customHeight="1" x14ac:dyDescent="0.45">
      <c r="B16" s="5"/>
      <c r="C16" s="3"/>
      <c r="D16" s="3"/>
      <c r="F16" s="30"/>
      <c r="M16" s="406"/>
      <c r="N16" s="181"/>
      <c r="O16" s="407"/>
      <c r="AJ16" s="1"/>
      <c r="AK16" s="1"/>
      <c r="AL16" s="383"/>
      <c r="AM16" s="384"/>
      <c r="AN16" s="384"/>
      <c r="AO16" s="384"/>
      <c r="AP16" s="384"/>
      <c r="AQ16" s="384"/>
      <c r="AR16" s="384"/>
      <c r="AS16" s="384"/>
      <c r="AT16" s="384"/>
    </row>
    <row r="17" spans="1:46" ht="17" customHeight="1" x14ac:dyDescent="0.25">
      <c r="B17" s="5"/>
      <c r="C17" s="3"/>
      <c r="D17" s="3"/>
      <c r="M17" s="420">
        <f>G251</f>
        <v>0.6368719875812533</v>
      </c>
      <c r="N17" s="421" t="s">
        <v>22</v>
      </c>
      <c r="O17" s="421">
        <f>I251</f>
        <v>14000000</v>
      </c>
      <c r="P17" s="8"/>
      <c r="Q17" s="229">
        <f>K251</f>
        <v>2.9099136333333333</v>
      </c>
      <c r="AJ17" s="1"/>
      <c r="AK17" s="1"/>
      <c r="AL17" s="383" t="s">
        <v>23</v>
      </c>
      <c r="AM17" s="384">
        <f>+'Returns (PreSales)'!F23</f>
        <v>0</v>
      </c>
      <c r="AN17" s="384">
        <f>+'Returns (PreSales)'!G23</f>
        <v>-15000000</v>
      </c>
      <c r="AO17" s="384">
        <f>+'Returns (PreSales)'!H23</f>
        <v>-15000000</v>
      </c>
      <c r="AP17" s="384">
        <f>+'Returns (PreSales)'!I23</f>
        <v>-15000000</v>
      </c>
      <c r="AQ17" s="384">
        <f>+'Returns (PreSales)'!J23</f>
        <v>-15000000</v>
      </c>
      <c r="AR17" s="384">
        <f>+'Returns (PreSales)'!K23</f>
        <v>-15000000</v>
      </c>
      <c r="AS17" s="384">
        <f>+'Returns (PreSales)'!L23</f>
        <v>-15000000</v>
      </c>
      <c r="AT17" s="384">
        <f>+'Returns (PreSales)'!M23</f>
        <v>-3000000</v>
      </c>
    </row>
    <row r="18" spans="1:46" ht="21" x14ac:dyDescent="0.25">
      <c r="B18" s="5" t="s">
        <v>479</v>
      </c>
      <c r="C18" s="3"/>
      <c r="D18" s="3"/>
      <c r="AF18" s="1" t="s">
        <v>24</v>
      </c>
      <c r="AJ18" s="1"/>
      <c r="AK18" s="1"/>
      <c r="AL18" s="1"/>
      <c r="AM18" s="383" t="s">
        <v>25</v>
      </c>
      <c r="AN18" s="383" t="s">
        <v>26</v>
      </c>
      <c r="AO18" s="383" t="s">
        <v>27</v>
      </c>
      <c r="AP18" s="383" t="s">
        <v>28</v>
      </c>
      <c r="AQ18" s="383" t="s">
        <v>29</v>
      </c>
      <c r="AR18" s="383" t="s">
        <v>30</v>
      </c>
      <c r="AS18" s="383" t="s">
        <v>31</v>
      </c>
      <c r="AT18" s="383" t="s">
        <v>32</v>
      </c>
    </row>
    <row r="19" spans="1:46" ht="21" x14ac:dyDescent="0.25">
      <c r="B19" s="4" t="s">
        <v>33</v>
      </c>
      <c r="C19" s="4"/>
      <c r="D19" s="4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F19" s="1" t="s">
        <v>34</v>
      </c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</row>
    <row r="20" spans="1:46" s="1" customFormat="1" x14ac:dyDescent="0.2">
      <c r="A20" s="7"/>
      <c r="E20" s="162" t="s">
        <v>26</v>
      </c>
      <c r="F20" s="162" t="s">
        <v>26</v>
      </c>
      <c r="G20" s="162" t="s">
        <v>26</v>
      </c>
      <c r="H20" s="162" t="s">
        <v>26</v>
      </c>
      <c r="I20" s="162" t="s">
        <v>27</v>
      </c>
      <c r="J20" s="162" t="s">
        <v>27</v>
      </c>
      <c r="K20" s="162" t="s">
        <v>27</v>
      </c>
      <c r="L20" s="162" t="s">
        <v>27</v>
      </c>
      <c r="M20" s="162" t="s">
        <v>28</v>
      </c>
      <c r="N20" s="162" t="s">
        <v>28</v>
      </c>
      <c r="O20" s="162" t="s">
        <v>28</v>
      </c>
      <c r="P20" s="162" t="s">
        <v>28</v>
      </c>
      <c r="Q20" s="162" t="s">
        <v>29</v>
      </c>
      <c r="R20" s="162" t="s">
        <v>29</v>
      </c>
      <c r="S20" s="162" t="s">
        <v>29</v>
      </c>
      <c r="T20" s="162" t="s">
        <v>29</v>
      </c>
      <c r="U20" s="162" t="s">
        <v>30</v>
      </c>
      <c r="V20" s="162" t="s">
        <v>30</v>
      </c>
      <c r="W20" s="162" t="s">
        <v>30</v>
      </c>
      <c r="X20" s="162" t="s">
        <v>30</v>
      </c>
      <c r="Y20" s="162" t="s">
        <v>31</v>
      </c>
      <c r="Z20" s="162" t="s">
        <v>31</v>
      </c>
      <c r="AA20" s="162" t="s">
        <v>31</v>
      </c>
      <c r="AF20" s="23" t="s">
        <v>35</v>
      </c>
      <c r="AJ20" s="370" t="s">
        <v>36</v>
      </c>
      <c r="AK20" s="376">
        <f>SUM(AK21:AK233)</f>
        <v>25757315.397640157</v>
      </c>
    </row>
    <row r="21" spans="1:46" s="8" customFormat="1" x14ac:dyDescent="0.2">
      <c r="A21" s="105"/>
      <c r="E21" s="11" t="s">
        <v>37</v>
      </c>
      <c r="F21" s="11" t="s">
        <v>38</v>
      </c>
      <c r="G21" s="11" t="s">
        <v>39</v>
      </c>
      <c r="H21" s="11" t="s">
        <v>40</v>
      </c>
      <c r="I21" s="11" t="s">
        <v>41</v>
      </c>
      <c r="J21" s="11" t="s">
        <v>42</v>
      </c>
      <c r="K21" s="11" t="s">
        <v>43</v>
      </c>
      <c r="L21" s="11" t="s">
        <v>44</v>
      </c>
      <c r="M21" s="11" t="s">
        <v>45</v>
      </c>
      <c r="N21" s="11" t="s">
        <v>46</v>
      </c>
      <c r="O21" s="11" t="s">
        <v>47</v>
      </c>
      <c r="P21" s="11" t="s">
        <v>48</v>
      </c>
      <c r="Q21" s="11" t="s">
        <v>49</v>
      </c>
      <c r="R21" s="11" t="s">
        <v>50</v>
      </c>
      <c r="S21" s="11" t="s">
        <v>51</v>
      </c>
      <c r="T21" s="11" t="s">
        <v>52</v>
      </c>
      <c r="U21" s="11" t="s">
        <v>53</v>
      </c>
      <c r="V21" s="11" t="s">
        <v>54</v>
      </c>
      <c r="W21" s="11" t="s">
        <v>55</v>
      </c>
      <c r="X21" s="11" t="s">
        <v>56</v>
      </c>
      <c r="Y21" s="11" t="s">
        <v>57</v>
      </c>
      <c r="Z21" s="11" t="s">
        <v>58</v>
      </c>
      <c r="AA21" s="11" t="s">
        <v>59</v>
      </c>
      <c r="AB21" s="12" t="s">
        <v>60</v>
      </c>
      <c r="AD21" s="23"/>
      <c r="AE21" s="1"/>
      <c r="AF21" s="199" t="s">
        <v>61</v>
      </c>
      <c r="AG21" s="23"/>
      <c r="AH21" s="23"/>
      <c r="AI21" s="23"/>
      <c r="AJ21" s="23"/>
    </row>
    <row r="22" spans="1:46" x14ac:dyDescent="0.2">
      <c r="C22" s="449" t="s">
        <v>62</v>
      </c>
      <c r="D22" s="449" t="s">
        <v>63</v>
      </c>
      <c r="E22" s="442">
        <v>46023</v>
      </c>
      <c r="F22" s="442">
        <v>46113</v>
      </c>
      <c r="G22" s="442">
        <v>46204</v>
      </c>
      <c r="H22" s="442">
        <v>46296</v>
      </c>
      <c r="I22" s="442">
        <v>46388</v>
      </c>
      <c r="J22" s="442">
        <v>46478</v>
      </c>
      <c r="K22" s="442">
        <v>46569</v>
      </c>
      <c r="L22" s="442">
        <v>46661</v>
      </c>
      <c r="M22" s="442">
        <v>46753</v>
      </c>
      <c r="N22" s="442">
        <v>46844</v>
      </c>
      <c r="O22" s="442">
        <v>46935</v>
      </c>
      <c r="P22" s="442">
        <v>47027</v>
      </c>
      <c r="Q22" s="442">
        <v>47119</v>
      </c>
      <c r="R22" s="442">
        <v>47209</v>
      </c>
      <c r="S22" s="34">
        <v>47300</v>
      </c>
      <c r="T22" s="34">
        <v>47392</v>
      </c>
      <c r="U22" s="34">
        <v>47484</v>
      </c>
      <c r="V22" s="34">
        <v>47574</v>
      </c>
      <c r="W22" s="34">
        <v>47665</v>
      </c>
      <c r="X22" s="34">
        <v>47757</v>
      </c>
      <c r="Y22" s="34">
        <v>47849</v>
      </c>
      <c r="Z22" s="34">
        <v>47939</v>
      </c>
      <c r="AA22" s="34">
        <v>48030</v>
      </c>
      <c r="AB22" s="12"/>
      <c r="AC22" s="449" t="s">
        <v>64</v>
      </c>
      <c r="AJ22" s="1"/>
    </row>
    <row r="23" spans="1:46" ht="19" x14ac:dyDescent="0.25">
      <c r="A23" s="188"/>
      <c r="B23" s="193" t="s">
        <v>65</v>
      </c>
      <c r="C23" s="449"/>
      <c r="D23" s="449" t="s">
        <v>66</v>
      </c>
      <c r="AC23" s="450"/>
      <c r="AJ23" s="1"/>
    </row>
    <row r="24" spans="1:46" x14ac:dyDescent="0.2">
      <c r="A24" s="188"/>
      <c r="B24" s="200" t="s">
        <v>67</v>
      </c>
      <c r="C24" s="165">
        <v>3500</v>
      </c>
      <c r="D24" s="165">
        <v>4421</v>
      </c>
      <c r="E24" s="399"/>
      <c r="F24" s="14">
        <v>1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>
        <f t="shared" ref="AB24:AB37" si="1">SUM(F24:AA24)</f>
        <v>1</v>
      </c>
      <c r="AC24" s="17">
        <f t="shared" ref="AC24:AC37" si="2">D24*$E$60</f>
        <v>8289375</v>
      </c>
      <c r="AD24" s="107">
        <f t="shared" ref="AD24:AD37" si="3">AB24*AC24</f>
        <v>8289375</v>
      </c>
      <c r="AE24" s="108">
        <f>AD24*0.15</f>
        <v>1243406.25</v>
      </c>
      <c r="AF24" s="107" t="e">
        <f>#REF!*#REF!</f>
        <v>#REF!</v>
      </c>
      <c r="AJ24" s="1"/>
    </row>
    <row r="25" spans="1:46" x14ac:dyDescent="0.2">
      <c r="A25" s="188"/>
      <c r="B25" s="200" t="s">
        <v>68</v>
      </c>
      <c r="C25" s="165">
        <v>3500</v>
      </c>
      <c r="D25" s="165">
        <v>4421</v>
      </c>
      <c r="E25" s="399"/>
      <c r="F25" s="14"/>
      <c r="G25" s="14">
        <v>1</v>
      </c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>
        <f t="shared" si="1"/>
        <v>1</v>
      </c>
      <c r="AC25" s="17">
        <f t="shared" si="2"/>
        <v>8289375</v>
      </c>
      <c r="AD25" s="107">
        <f t="shared" si="3"/>
        <v>8289375</v>
      </c>
      <c r="AE25" s="108">
        <f t="shared" ref="AE25:AE29" si="4">AD25*0.15</f>
        <v>1243406.25</v>
      </c>
      <c r="AF25" s="107"/>
      <c r="AJ25" s="1"/>
    </row>
    <row r="26" spans="1:46" x14ac:dyDescent="0.2">
      <c r="A26" s="188"/>
      <c r="B26" s="200" t="s">
        <v>69</v>
      </c>
      <c r="C26" s="165">
        <v>3500</v>
      </c>
      <c r="D26" s="165">
        <v>4931</v>
      </c>
      <c r="E26" s="400"/>
      <c r="F26" s="14"/>
      <c r="G26" s="14">
        <v>1</v>
      </c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>
        <f t="shared" si="1"/>
        <v>1</v>
      </c>
      <c r="AC26" s="17">
        <f t="shared" si="2"/>
        <v>9245625</v>
      </c>
      <c r="AD26" s="107">
        <f t="shared" si="3"/>
        <v>9245625</v>
      </c>
      <c r="AE26" s="108">
        <f t="shared" si="4"/>
        <v>1386843.75</v>
      </c>
      <c r="AJ26" s="1"/>
    </row>
    <row r="27" spans="1:46" x14ac:dyDescent="0.2">
      <c r="A27" s="188"/>
      <c r="B27" s="200" t="s">
        <v>70</v>
      </c>
      <c r="C27" s="165">
        <v>3500</v>
      </c>
      <c r="D27" s="165">
        <v>4409</v>
      </c>
      <c r="E27" s="399"/>
      <c r="F27" s="116"/>
      <c r="G27" s="14"/>
      <c r="H27" s="14">
        <v>1</v>
      </c>
      <c r="I27" s="14"/>
      <c r="J27" s="14"/>
      <c r="K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>
        <f t="shared" si="1"/>
        <v>1</v>
      </c>
      <c r="AC27" s="17">
        <f t="shared" si="2"/>
        <v>8266875</v>
      </c>
      <c r="AD27" s="107">
        <f t="shared" si="3"/>
        <v>8266875</v>
      </c>
      <c r="AE27" s="108">
        <f t="shared" si="4"/>
        <v>1240031.25</v>
      </c>
      <c r="AJ27" s="1"/>
    </row>
    <row r="28" spans="1:46" x14ac:dyDescent="0.2">
      <c r="A28" s="188"/>
      <c r="B28" s="200" t="s">
        <v>71</v>
      </c>
      <c r="C28" s="165">
        <v>3500</v>
      </c>
      <c r="D28" s="165">
        <v>4931</v>
      </c>
      <c r="E28" s="400"/>
      <c r="F28" s="14"/>
      <c r="G28" s="14"/>
      <c r="H28" s="14">
        <v>1</v>
      </c>
      <c r="I28" s="14"/>
      <c r="J28" s="14"/>
      <c r="K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>
        <f t="shared" si="1"/>
        <v>1</v>
      </c>
      <c r="AC28" s="17">
        <f t="shared" si="2"/>
        <v>9245625</v>
      </c>
      <c r="AD28" s="107">
        <f t="shared" si="3"/>
        <v>9245625</v>
      </c>
      <c r="AE28" s="108">
        <f t="shared" si="4"/>
        <v>1386843.75</v>
      </c>
      <c r="AJ28" s="1"/>
    </row>
    <row r="29" spans="1:46" x14ac:dyDescent="0.2">
      <c r="A29" s="188"/>
      <c r="B29" s="200" t="s">
        <v>72</v>
      </c>
      <c r="C29" s="165">
        <v>3500</v>
      </c>
      <c r="D29" s="165">
        <v>4409</v>
      </c>
      <c r="E29" s="399"/>
      <c r="F29" s="14"/>
      <c r="G29" s="14"/>
      <c r="H29" s="14"/>
      <c r="I29" s="14">
        <v>1</v>
      </c>
      <c r="J29" s="14"/>
      <c r="K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>
        <f t="shared" si="1"/>
        <v>1</v>
      </c>
      <c r="AC29" s="17">
        <f t="shared" si="2"/>
        <v>8266875</v>
      </c>
      <c r="AD29" s="107">
        <f t="shared" si="3"/>
        <v>8266875</v>
      </c>
      <c r="AE29" s="108">
        <f t="shared" si="4"/>
        <v>1240031.25</v>
      </c>
      <c r="AJ29" s="1"/>
    </row>
    <row r="30" spans="1:46" x14ac:dyDescent="0.2">
      <c r="A30" s="188"/>
      <c r="B30" s="200" t="s">
        <v>73</v>
      </c>
      <c r="C30" s="165">
        <v>3500</v>
      </c>
      <c r="D30" s="165">
        <v>4421</v>
      </c>
      <c r="E30" s="14"/>
      <c r="F30" s="14"/>
      <c r="G30" s="14"/>
      <c r="H30" s="14"/>
      <c r="I30" s="14"/>
      <c r="J30" s="14"/>
      <c r="K30" s="14">
        <v>1</v>
      </c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>
        <f t="shared" si="1"/>
        <v>1</v>
      </c>
      <c r="AC30" s="17">
        <f t="shared" si="2"/>
        <v>8289375</v>
      </c>
      <c r="AD30" s="107">
        <f t="shared" si="3"/>
        <v>8289375</v>
      </c>
      <c r="AJ30" s="1"/>
    </row>
    <row r="31" spans="1:46" x14ac:dyDescent="0.2">
      <c r="A31" s="188"/>
      <c r="B31" s="200" t="s">
        <v>74</v>
      </c>
      <c r="C31" s="165">
        <v>3500</v>
      </c>
      <c r="D31" s="165">
        <v>4421</v>
      </c>
      <c r="E31" s="14"/>
      <c r="F31" s="14"/>
      <c r="G31" s="14"/>
      <c r="H31" s="14"/>
      <c r="I31" s="14"/>
      <c r="J31" s="14"/>
      <c r="K31" s="14">
        <v>1</v>
      </c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>
        <f t="shared" si="1"/>
        <v>1</v>
      </c>
      <c r="AC31" s="17">
        <f t="shared" si="2"/>
        <v>8289375</v>
      </c>
      <c r="AD31" s="107">
        <f t="shared" si="3"/>
        <v>8289375</v>
      </c>
      <c r="AE31" s="445" t="s">
        <v>75</v>
      </c>
      <c r="AJ31" s="1"/>
    </row>
    <row r="32" spans="1:46" ht="16" customHeight="1" x14ac:dyDescent="0.2">
      <c r="A32" s="188"/>
      <c r="B32" s="200" t="s">
        <v>76</v>
      </c>
      <c r="C32" s="165">
        <v>3500</v>
      </c>
      <c r="D32" s="165">
        <v>4931</v>
      </c>
      <c r="E32" s="14"/>
      <c r="F32" s="14"/>
      <c r="G32" s="14"/>
      <c r="H32" s="14"/>
      <c r="I32" s="14"/>
      <c r="J32" s="14"/>
      <c r="K32" s="14">
        <v>1</v>
      </c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>
        <f t="shared" si="1"/>
        <v>1</v>
      </c>
      <c r="AC32" s="17">
        <f t="shared" si="2"/>
        <v>9245625</v>
      </c>
      <c r="AD32" s="107">
        <f t="shared" si="3"/>
        <v>9245625</v>
      </c>
      <c r="AE32" s="445"/>
      <c r="AJ32" s="1"/>
    </row>
    <row r="33" spans="1:36" ht="16" customHeight="1" x14ac:dyDescent="0.2">
      <c r="A33" s="188"/>
      <c r="B33" s="200" t="s">
        <v>77</v>
      </c>
      <c r="C33" s="165">
        <v>3500</v>
      </c>
      <c r="D33" s="165">
        <v>4409</v>
      </c>
      <c r="E33" s="14"/>
      <c r="F33" s="14"/>
      <c r="G33" s="14"/>
      <c r="H33" s="14"/>
      <c r="I33" s="14"/>
      <c r="J33" s="14"/>
      <c r="K33" s="14"/>
      <c r="L33" s="14">
        <v>1</v>
      </c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>
        <f t="shared" si="1"/>
        <v>1</v>
      </c>
      <c r="AC33" s="17">
        <f t="shared" si="2"/>
        <v>8266875</v>
      </c>
      <c r="AD33" s="107">
        <f t="shared" si="3"/>
        <v>8266875</v>
      </c>
      <c r="AE33" s="445"/>
      <c r="AJ33" s="1"/>
    </row>
    <row r="34" spans="1:36" ht="16" customHeight="1" x14ac:dyDescent="0.2">
      <c r="A34" s="188"/>
      <c r="B34" s="200" t="s">
        <v>78</v>
      </c>
      <c r="C34" s="165">
        <v>3500</v>
      </c>
      <c r="D34" s="165">
        <v>4931</v>
      </c>
      <c r="E34" s="14"/>
      <c r="F34" s="14"/>
      <c r="G34" s="14"/>
      <c r="H34" s="14"/>
      <c r="I34" s="14"/>
      <c r="J34" s="14"/>
      <c r="K34" s="14"/>
      <c r="L34" s="14">
        <v>1</v>
      </c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>
        <f t="shared" si="1"/>
        <v>1</v>
      </c>
      <c r="AC34" s="17">
        <f t="shared" si="2"/>
        <v>9245625</v>
      </c>
      <c r="AD34" s="107">
        <f t="shared" si="3"/>
        <v>9245625</v>
      </c>
      <c r="AE34" s="445"/>
      <c r="AJ34" s="1"/>
    </row>
    <row r="35" spans="1:36" ht="16" customHeight="1" x14ac:dyDescent="0.2">
      <c r="A35" s="188"/>
      <c r="B35" s="200" t="s">
        <v>79</v>
      </c>
      <c r="C35" s="165">
        <v>3500</v>
      </c>
      <c r="D35" s="165">
        <v>4409</v>
      </c>
      <c r="E35" s="14"/>
      <c r="F35" s="14"/>
      <c r="G35" s="14"/>
      <c r="H35" s="14"/>
      <c r="I35" s="14"/>
      <c r="J35" s="14"/>
      <c r="K35" s="14"/>
      <c r="L35" s="14">
        <v>1</v>
      </c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>
        <f t="shared" si="1"/>
        <v>1</v>
      </c>
      <c r="AC35" s="17">
        <f t="shared" si="2"/>
        <v>8266875</v>
      </c>
      <c r="AD35" s="107">
        <f t="shared" si="3"/>
        <v>8266875</v>
      </c>
      <c r="AE35" s="445"/>
      <c r="AJ35" s="1"/>
    </row>
    <row r="36" spans="1:36" ht="16" customHeight="1" x14ac:dyDescent="0.2">
      <c r="A36" s="188"/>
      <c r="B36" s="200" t="s">
        <v>80</v>
      </c>
      <c r="C36" s="165">
        <v>3500</v>
      </c>
      <c r="D36" s="165">
        <v>4421</v>
      </c>
      <c r="E36" s="14"/>
      <c r="F36" s="14"/>
      <c r="G36" s="14"/>
      <c r="H36" s="14"/>
      <c r="I36" s="14"/>
      <c r="J36" s="14"/>
      <c r="K36" s="14"/>
      <c r="M36" s="14">
        <v>1</v>
      </c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>
        <f t="shared" si="1"/>
        <v>1</v>
      </c>
      <c r="AC36" s="17">
        <f t="shared" si="2"/>
        <v>8289375</v>
      </c>
      <c r="AD36" s="107">
        <f t="shared" si="3"/>
        <v>8289375</v>
      </c>
      <c r="AE36" s="445"/>
      <c r="AJ36" s="1"/>
    </row>
    <row r="37" spans="1:36" ht="16" customHeight="1" x14ac:dyDescent="0.2">
      <c r="A37" s="188"/>
      <c r="B37" s="200" t="s">
        <v>81</v>
      </c>
      <c r="C37" s="165">
        <v>3500</v>
      </c>
      <c r="D37" s="165">
        <v>4931</v>
      </c>
      <c r="E37" s="14"/>
      <c r="F37" s="14"/>
      <c r="G37" s="14"/>
      <c r="H37" s="14"/>
      <c r="I37" s="14"/>
      <c r="J37" s="14"/>
      <c r="K37" s="14"/>
      <c r="M37" s="14">
        <v>1</v>
      </c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>
        <f t="shared" si="1"/>
        <v>1</v>
      </c>
      <c r="AC37" s="17">
        <f t="shared" si="2"/>
        <v>9245625</v>
      </c>
      <c r="AD37" s="107">
        <f t="shared" si="3"/>
        <v>9245625</v>
      </c>
      <c r="AE37" s="445"/>
      <c r="AJ37" s="1"/>
    </row>
    <row r="38" spans="1:36" x14ac:dyDescent="0.2">
      <c r="B38" s="98" t="s">
        <v>82</v>
      </c>
      <c r="C38" s="98"/>
      <c r="D38" s="8"/>
      <c r="E38" s="14"/>
      <c r="F38" s="110">
        <f t="shared" ref="F38:AB38" si="5">SUM(F24:F37)</f>
        <v>1</v>
      </c>
      <c r="G38" s="110">
        <f t="shared" si="5"/>
        <v>2</v>
      </c>
      <c r="H38" s="110">
        <f t="shared" si="5"/>
        <v>2</v>
      </c>
      <c r="I38" s="110">
        <f t="shared" si="5"/>
        <v>1</v>
      </c>
      <c r="J38" s="110">
        <f t="shared" si="5"/>
        <v>0</v>
      </c>
      <c r="K38" s="110">
        <f t="shared" si="5"/>
        <v>3</v>
      </c>
      <c r="L38" s="110">
        <f t="shared" si="5"/>
        <v>3</v>
      </c>
      <c r="M38" s="110">
        <f t="shared" si="5"/>
        <v>2</v>
      </c>
      <c r="N38" s="110">
        <f>SUM(N24:N37)</f>
        <v>0</v>
      </c>
      <c r="O38" s="110">
        <f t="shared" si="5"/>
        <v>0</v>
      </c>
      <c r="P38" s="110">
        <f t="shared" si="5"/>
        <v>0</v>
      </c>
      <c r="Q38" s="110">
        <f t="shared" si="5"/>
        <v>0</v>
      </c>
      <c r="R38" s="110">
        <f t="shared" si="5"/>
        <v>0</v>
      </c>
      <c r="S38" s="110">
        <f t="shared" si="5"/>
        <v>0</v>
      </c>
      <c r="T38" s="110">
        <f t="shared" si="5"/>
        <v>0</v>
      </c>
      <c r="U38" s="110">
        <f t="shared" si="5"/>
        <v>0</v>
      </c>
      <c r="V38" s="110">
        <f t="shared" si="5"/>
        <v>0</v>
      </c>
      <c r="W38" s="110">
        <f t="shared" si="5"/>
        <v>0</v>
      </c>
      <c r="X38" s="110"/>
      <c r="Y38" s="110"/>
      <c r="Z38" s="110"/>
      <c r="AA38" s="110"/>
      <c r="AB38" s="98">
        <f t="shared" si="5"/>
        <v>14</v>
      </c>
      <c r="AC38" s="12" t="s">
        <v>83</v>
      </c>
      <c r="AD38" s="121">
        <f>SUM(AD24:AD37)</f>
        <v>120742500</v>
      </c>
      <c r="AE38" s="445"/>
      <c r="AF38" s="120">
        <f>SUMPRODUCT(D24:D37,AB24:AB37)</f>
        <v>64396</v>
      </c>
      <c r="AG38" s="158" t="s">
        <v>84</v>
      </c>
      <c r="AH38" s="1">
        <f>SUM(AD24:AD37)/AF38</f>
        <v>1875</v>
      </c>
      <c r="AI38" s="1" t="s">
        <v>84</v>
      </c>
      <c r="AJ38" s="1" t="s">
        <v>84</v>
      </c>
    </row>
    <row r="39" spans="1:36" x14ac:dyDescent="0.2">
      <c r="B39" t="s">
        <v>85</v>
      </c>
      <c r="C39" s="20">
        <f>SUMPRODUCT(C24:C37,AB24:AB37)</f>
        <v>49000</v>
      </c>
      <c r="D39" s="221">
        <f>SUMPRODUCT(D24:D37,AB24:AB37)</f>
        <v>64396</v>
      </c>
      <c r="E39" s="222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C39" s="12"/>
      <c r="AD39" s="218">
        <f>AD38/AB38</f>
        <v>8624464.2857142854</v>
      </c>
      <c r="AE39" s="219" t="s">
        <v>86</v>
      </c>
      <c r="AJ39" s="1"/>
    </row>
    <row r="40" spans="1:36" x14ac:dyDescent="0.2">
      <c r="B40" t="s">
        <v>87</v>
      </c>
      <c r="C40" s="166">
        <f>C39/43560</f>
        <v>1.1248852157943068</v>
      </c>
      <c r="D40" s="166" t="s">
        <v>88</v>
      </c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J40" s="1"/>
    </row>
    <row r="41" spans="1:36" ht="8.25" customHeight="1" x14ac:dyDescent="0.2">
      <c r="C41" s="166"/>
      <c r="D41" s="166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J41" s="1"/>
    </row>
    <row r="42" spans="1:36" ht="19" x14ac:dyDescent="0.25">
      <c r="B42" s="193" t="s">
        <v>89</v>
      </c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E42" s="207"/>
      <c r="AF42" s="207"/>
      <c r="AG42" s="207"/>
      <c r="AH42" s="207"/>
      <c r="AI42" s="207"/>
      <c r="AJ42" s="207"/>
    </row>
    <row r="43" spans="1:36" x14ac:dyDescent="0.2">
      <c r="B43" s="200" t="str">
        <f>B24</f>
        <v>806 Lemhi Ct</v>
      </c>
      <c r="C43" s="10">
        <f t="shared" ref="C43:C56" si="6">AB24</f>
        <v>1</v>
      </c>
      <c r="E43" s="14"/>
      <c r="F43" s="12"/>
      <c r="G43" s="12"/>
      <c r="H43" s="12"/>
      <c r="I43" s="12"/>
      <c r="J43" s="12"/>
      <c r="K43" s="12">
        <f>F24</f>
        <v>1</v>
      </c>
      <c r="L43" s="12"/>
      <c r="M43" s="12"/>
      <c r="N43" s="12"/>
      <c r="O43" s="12"/>
      <c r="P43" s="12"/>
      <c r="Q43" s="12"/>
      <c r="R43" s="12"/>
      <c r="S43" s="12">
        <f t="shared" ref="L43:AA56" si="7">N24</f>
        <v>0</v>
      </c>
      <c r="T43" s="12">
        <f t="shared" si="7"/>
        <v>0</v>
      </c>
      <c r="U43" s="12">
        <f t="shared" si="7"/>
        <v>0</v>
      </c>
      <c r="V43" s="12">
        <f t="shared" si="7"/>
        <v>0</v>
      </c>
      <c r="W43" s="12">
        <f t="shared" si="7"/>
        <v>0</v>
      </c>
      <c r="X43" s="12">
        <f t="shared" si="7"/>
        <v>0</v>
      </c>
      <c r="Y43" s="12">
        <f t="shared" si="7"/>
        <v>0</v>
      </c>
      <c r="Z43" s="12">
        <f t="shared" si="7"/>
        <v>0</v>
      </c>
      <c r="AA43" s="12">
        <f t="shared" si="7"/>
        <v>0</v>
      </c>
      <c r="AB43">
        <f t="shared" ref="AB43:AB56" si="8">SUM(F43:AA43)</f>
        <v>1</v>
      </c>
      <c r="AE43" s="388"/>
      <c r="AF43" s="388"/>
      <c r="AG43" s="388"/>
      <c r="AH43" s="388"/>
      <c r="AI43" s="388"/>
      <c r="AJ43" s="388"/>
    </row>
    <row r="44" spans="1:36" x14ac:dyDescent="0.2">
      <c r="B44" s="200" t="str">
        <f t="shared" ref="B44:B56" si="9">B25</f>
        <v>805 Lemhi Ct</v>
      </c>
      <c r="C44" s="10">
        <f t="shared" si="6"/>
        <v>1</v>
      </c>
      <c r="E44" s="14"/>
      <c r="F44" s="12"/>
      <c r="G44" s="12">
        <v>1</v>
      </c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>
        <f t="shared" si="7"/>
        <v>0</v>
      </c>
      <c r="T44" s="12">
        <f t="shared" si="7"/>
        <v>0</v>
      </c>
      <c r="U44" s="12">
        <f t="shared" si="7"/>
        <v>0</v>
      </c>
      <c r="V44" s="12">
        <f t="shared" si="7"/>
        <v>0</v>
      </c>
      <c r="W44" s="12">
        <f t="shared" si="7"/>
        <v>0</v>
      </c>
      <c r="X44" s="12">
        <f t="shared" si="7"/>
        <v>0</v>
      </c>
      <c r="Y44" s="12">
        <f t="shared" si="7"/>
        <v>0</v>
      </c>
      <c r="Z44" s="12">
        <f t="shared" si="7"/>
        <v>0</v>
      </c>
      <c r="AA44" s="12">
        <f t="shared" si="7"/>
        <v>0</v>
      </c>
      <c r="AB44">
        <f t="shared" si="8"/>
        <v>1</v>
      </c>
      <c r="AE44" s="388"/>
      <c r="AF44" s="388"/>
      <c r="AG44" s="388"/>
      <c r="AH44" s="388"/>
      <c r="AI44" s="388"/>
      <c r="AJ44" s="388"/>
    </row>
    <row r="45" spans="1:36" x14ac:dyDescent="0.2">
      <c r="B45" s="200" t="str">
        <f t="shared" si="9"/>
        <v>804 Lemhi Ct</v>
      </c>
      <c r="C45" s="10">
        <f t="shared" si="6"/>
        <v>1</v>
      </c>
      <c r="E45" s="14"/>
      <c r="F45" s="12"/>
      <c r="G45" s="12"/>
      <c r="H45" s="12"/>
      <c r="I45" s="12"/>
      <c r="J45" s="12"/>
      <c r="K45" s="12"/>
      <c r="L45" s="12">
        <f t="shared" si="7"/>
        <v>1</v>
      </c>
      <c r="M45" s="12"/>
      <c r="N45" s="12"/>
      <c r="O45" s="12"/>
      <c r="P45" s="12"/>
      <c r="Q45" s="12"/>
      <c r="R45" s="12"/>
      <c r="S45" s="12">
        <f t="shared" si="7"/>
        <v>0</v>
      </c>
      <c r="T45" s="12">
        <f t="shared" si="7"/>
        <v>0</v>
      </c>
      <c r="U45" s="12">
        <f t="shared" si="7"/>
        <v>0</v>
      </c>
      <c r="V45" s="12">
        <f t="shared" si="7"/>
        <v>0</v>
      </c>
      <c r="W45" s="12">
        <f t="shared" si="7"/>
        <v>0</v>
      </c>
      <c r="X45" s="12">
        <f t="shared" si="7"/>
        <v>0</v>
      </c>
      <c r="Y45" s="12">
        <f t="shared" si="7"/>
        <v>0</v>
      </c>
      <c r="Z45" s="12">
        <f t="shared" si="7"/>
        <v>0</v>
      </c>
      <c r="AA45" s="12">
        <f t="shared" si="7"/>
        <v>0</v>
      </c>
      <c r="AB45">
        <f t="shared" si="8"/>
        <v>1</v>
      </c>
      <c r="AE45" s="388"/>
      <c r="AF45" s="388"/>
      <c r="AG45" s="388"/>
      <c r="AH45" s="388"/>
      <c r="AI45" s="388"/>
      <c r="AJ45" s="388"/>
    </row>
    <row r="46" spans="1:36" x14ac:dyDescent="0.2">
      <c r="B46" s="200" t="str">
        <f t="shared" si="9"/>
        <v>807 Lemhi Ct</v>
      </c>
      <c r="C46" s="10">
        <f t="shared" si="6"/>
        <v>1</v>
      </c>
      <c r="E46" s="14"/>
      <c r="F46" s="12"/>
      <c r="G46" s="12"/>
      <c r="H46" s="12">
        <v>1</v>
      </c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>
        <f t="shared" si="7"/>
        <v>0</v>
      </c>
      <c r="T46" s="12">
        <f t="shared" si="7"/>
        <v>0</v>
      </c>
      <c r="U46" s="12">
        <f t="shared" si="7"/>
        <v>0</v>
      </c>
      <c r="V46" s="12">
        <f t="shared" si="7"/>
        <v>0</v>
      </c>
      <c r="W46" s="12">
        <f t="shared" si="7"/>
        <v>0</v>
      </c>
      <c r="X46" s="12">
        <f t="shared" si="7"/>
        <v>0</v>
      </c>
      <c r="Y46" s="12">
        <f t="shared" si="7"/>
        <v>0</v>
      </c>
      <c r="Z46" s="12">
        <f t="shared" si="7"/>
        <v>0</v>
      </c>
      <c r="AA46" s="12">
        <f t="shared" si="7"/>
        <v>0</v>
      </c>
      <c r="AB46">
        <f t="shared" si="8"/>
        <v>1</v>
      </c>
      <c r="AE46" s="388"/>
      <c r="AF46" s="388"/>
      <c r="AG46" s="388"/>
      <c r="AH46" s="388"/>
      <c r="AI46" s="388"/>
      <c r="AJ46" s="388"/>
    </row>
    <row r="47" spans="1:36" x14ac:dyDescent="0.2">
      <c r="B47" s="200" t="str">
        <f t="shared" si="9"/>
        <v>803 Lemhi Ct</v>
      </c>
      <c r="C47" s="10">
        <f t="shared" si="6"/>
        <v>1</v>
      </c>
      <c r="E47" s="14"/>
      <c r="F47" s="12"/>
      <c r="G47" s="12"/>
      <c r="H47" s="12"/>
      <c r="I47" s="12"/>
      <c r="J47" s="12"/>
      <c r="K47" s="12"/>
      <c r="L47" s="12"/>
      <c r="M47" s="12">
        <f t="shared" si="7"/>
        <v>1</v>
      </c>
      <c r="N47" s="12"/>
      <c r="O47" s="12"/>
      <c r="P47" s="12"/>
      <c r="Q47" s="12"/>
      <c r="R47" s="12"/>
      <c r="S47" s="12">
        <f t="shared" si="7"/>
        <v>0</v>
      </c>
      <c r="T47" s="12">
        <f t="shared" si="7"/>
        <v>0</v>
      </c>
      <c r="U47" s="12">
        <f t="shared" si="7"/>
        <v>0</v>
      </c>
      <c r="V47" s="12">
        <f t="shared" si="7"/>
        <v>0</v>
      </c>
      <c r="W47" s="12">
        <f t="shared" si="7"/>
        <v>0</v>
      </c>
      <c r="X47" s="12">
        <f t="shared" si="7"/>
        <v>0</v>
      </c>
      <c r="Y47" s="12">
        <f t="shared" si="7"/>
        <v>0</v>
      </c>
      <c r="Z47" s="12">
        <f t="shared" si="7"/>
        <v>0</v>
      </c>
      <c r="AA47" s="12">
        <f t="shared" si="7"/>
        <v>0</v>
      </c>
      <c r="AB47">
        <f t="shared" si="8"/>
        <v>1</v>
      </c>
      <c r="AE47" s="388"/>
      <c r="AF47" s="388"/>
      <c r="AG47" s="388"/>
      <c r="AH47" s="388"/>
      <c r="AI47" s="388"/>
      <c r="AJ47" s="388"/>
    </row>
    <row r="48" spans="1:36" x14ac:dyDescent="0.2">
      <c r="B48" s="200" t="str">
        <f t="shared" si="9"/>
        <v>802 Lemhi Ct</v>
      </c>
      <c r="C48" s="10">
        <f t="shared" si="6"/>
        <v>1</v>
      </c>
      <c r="E48" s="14"/>
      <c r="F48" s="12"/>
      <c r="G48" s="12"/>
      <c r="H48" s="12"/>
      <c r="I48" s="12">
        <v>1</v>
      </c>
      <c r="J48" s="12"/>
      <c r="K48" s="12"/>
      <c r="L48" s="12"/>
      <c r="M48" s="12"/>
      <c r="N48" s="12"/>
      <c r="O48" s="12"/>
      <c r="P48" s="12"/>
      <c r="Q48" s="12"/>
      <c r="R48" s="12"/>
      <c r="S48" s="12">
        <f t="shared" si="7"/>
        <v>0</v>
      </c>
      <c r="T48" s="12">
        <f t="shared" si="7"/>
        <v>0</v>
      </c>
      <c r="U48" s="12">
        <f t="shared" si="7"/>
        <v>0</v>
      </c>
      <c r="V48" s="12">
        <f t="shared" si="7"/>
        <v>0</v>
      </c>
      <c r="W48" s="12">
        <f t="shared" si="7"/>
        <v>0</v>
      </c>
      <c r="X48" s="12">
        <f t="shared" si="7"/>
        <v>0</v>
      </c>
      <c r="Y48" s="12">
        <f t="shared" si="7"/>
        <v>0</v>
      </c>
      <c r="Z48" s="12">
        <f t="shared" si="7"/>
        <v>0</v>
      </c>
      <c r="AA48" s="12">
        <f t="shared" si="7"/>
        <v>0</v>
      </c>
      <c r="AB48">
        <f t="shared" si="8"/>
        <v>1</v>
      </c>
      <c r="AC48" t="s">
        <v>90</v>
      </c>
      <c r="AE48" s="388"/>
      <c r="AF48" s="388"/>
      <c r="AG48" s="388"/>
      <c r="AH48" s="388"/>
      <c r="AI48" s="388"/>
      <c r="AJ48" s="388"/>
    </row>
    <row r="49" spans="2:37" x14ac:dyDescent="0.2">
      <c r="B49" s="200" t="str">
        <f t="shared" si="9"/>
        <v>Waahni Ct Unit 1</v>
      </c>
      <c r="C49" s="10">
        <f t="shared" si="6"/>
        <v>1</v>
      </c>
      <c r="E49" s="14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>
        <f t="shared" si="7"/>
        <v>1</v>
      </c>
      <c r="Q49" s="12"/>
      <c r="R49" s="12"/>
      <c r="S49" s="12">
        <f t="shared" si="7"/>
        <v>0</v>
      </c>
      <c r="T49" s="12">
        <f t="shared" si="7"/>
        <v>0</v>
      </c>
      <c r="U49" s="12">
        <f t="shared" si="7"/>
        <v>0</v>
      </c>
      <c r="V49" s="12">
        <f t="shared" si="7"/>
        <v>0</v>
      </c>
      <c r="W49" s="12">
        <f t="shared" si="7"/>
        <v>0</v>
      </c>
      <c r="X49" s="12">
        <f t="shared" si="7"/>
        <v>0</v>
      </c>
      <c r="Y49" s="12">
        <f t="shared" si="7"/>
        <v>0</v>
      </c>
      <c r="Z49" s="12">
        <f t="shared" si="7"/>
        <v>0</v>
      </c>
      <c r="AA49" s="12">
        <f t="shared" si="7"/>
        <v>0</v>
      </c>
      <c r="AB49">
        <f t="shared" si="8"/>
        <v>1</v>
      </c>
      <c r="AE49" s="388"/>
      <c r="AF49" s="388"/>
      <c r="AG49" s="388"/>
      <c r="AH49" s="388"/>
      <c r="AI49" s="388"/>
      <c r="AJ49" s="388"/>
    </row>
    <row r="50" spans="2:37" x14ac:dyDescent="0.2">
      <c r="B50" s="200" t="str">
        <f t="shared" si="9"/>
        <v>Waahni Ct Unit 2</v>
      </c>
      <c r="C50" s="10">
        <f t="shared" si="6"/>
        <v>1</v>
      </c>
      <c r="E50" s="14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>
        <f t="shared" si="7"/>
        <v>1</v>
      </c>
      <c r="Q50" s="12"/>
      <c r="R50" s="12"/>
      <c r="S50" s="12">
        <f t="shared" si="7"/>
        <v>0</v>
      </c>
      <c r="T50" s="12">
        <f t="shared" si="7"/>
        <v>0</v>
      </c>
      <c r="U50" s="12">
        <f t="shared" si="7"/>
        <v>0</v>
      </c>
      <c r="V50" s="12">
        <f t="shared" si="7"/>
        <v>0</v>
      </c>
      <c r="W50" s="12">
        <f t="shared" si="7"/>
        <v>0</v>
      </c>
      <c r="X50" s="12">
        <f t="shared" si="7"/>
        <v>0</v>
      </c>
      <c r="Y50" s="12">
        <f t="shared" si="7"/>
        <v>0</v>
      </c>
      <c r="Z50" s="12">
        <f t="shared" si="7"/>
        <v>0</v>
      </c>
      <c r="AA50" s="12">
        <f t="shared" si="7"/>
        <v>0</v>
      </c>
      <c r="AB50">
        <f t="shared" si="8"/>
        <v>1</v>
      </c>
      <c r="AE50" s="388"/>
      <c r="AF50" s="388"/>
      <c r="AG50" s="388"/>
      <c r="AH50" s="388"/>
      <c r="AI50" s="388"/>
      <c r="AJ50" s="388"/>
    </row>
    <row r="51" spans="2:37" x14ac:dyDescent="0.2">
      <c r="B51" s="200" t="str">
        <f t="shared" si="9"/>
        <v>Waahni Ct Unit 3</v>
      </c>
      <c r="C51" s="10">
        <f t="shared" si="6"/>
        <v>1</v>
      </c>
      <c r="E51" s="14"/>
      <c r="F51" s="12"/>
      <c r="G51" s="12"/>
      <c r="H51" s="12"/>
      <c r="I51" s="12"/>
      <c r="J51" s="12"/>
      <c r="K51" s="12">
        <v>1</v>
      </c>
      <c r="L51" s="12"/>
      <c r="M51" s="12"/>
      <c r="N51" s="12"/>
      <c r="O51" s="12"/>
      <c r="P51" s="12"/>
      <c r="Q51" s="12"/>
      <c r="R51" s="12"/>
      <c r="S51" s="12">
        <f t="shared" si="7"/>
        <v>0</v>
      </c>
      <c r="T51" s="12">
        <f t="shared" si="7"/>
        <v>0</v>
      </c>
      <c r="U51" s="12">
        <f t="shared" si="7"/>
        <v>0</v>
      </c>
      <c r="V51" s="12">
        <f t="shared" si="7"/>
        <v>0</v>
      </c>
      <c r="W51" s="12">
        <f t="shared" si="7"/>
        <v>0</v>
      </c>
      <c r="X51" s="12">
        <f t="shared" si="7"/>
        <v>0</v>
      </c>
      <c r="Y51" s="12">
        <f t="shared" si="7"/>
        <v>0</v>
      </c>
      <c r="Z51" s="12">
        <f t="shared" si="7"/>
        <v>0</v>
      </c>
      <c r="AA51" s="12">
        <f t="shared" si="7"/>
        <v>0</v>
      </c>
      <c r="AB51">
        <f t="shared" si="8"/>
        <v>1</v>
      </c>
      <c r="AE51" s="388"/>
      <c r="AF51" s="388"/>
      <c r="AG51" s="388"/>
      <c r="AH51" s="388"/>
      <c r="AI51" s="388"/>
      <c r="AJ51" s="388"/>
    </row>
    <row r="52" spans="2:37" x14ac:dyDescent="0.2">
      <c r="B52" s="200" t="str">
        <f t="shared" si="9"/>
        <v>Waahni Ct Unit 4</v>
      </c>
      <c r="C52" s="10">
        <f t="shared" si="6"/>
        <v>1</v>
      </c>
      <c r="E52" s="14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>
        <f t="shared" si="7"/>
        <v>1</v>
      </c>
      <c r="R52" s="12"/>
      <c r="S52" s="12">
        <f t="shared" si="7"/>
        <v>0</v>
      </c>
      <c r="T52" s="12">
        <f t="shared" si="7"/>
        <v>0</v>
      </c>
      <c r="U52" s="12">
        <f t="shared" si="7"/>
        <v>0</v>
      </c>
      <c r="V52" s="12">
        <f t="shared" si="7"/>
        <v>0</v>
      </c>
      <c r="W52" s="12">
        <f t="shared" si="7"/>
        <v>0</v>
      </c>
      <c r="X52" s="12">
        <f t="shared" si="7"/>
        <v>0</v>
      </c>
      <c r="Y52" s="12">
        <f t="shared" si="7"/>
        <v>0</v>
      </c>
      <c r="Z52" s="12">
        <f t="shared" si="7"/>
        <v>0</v>
      </c>
      <c r="AA52" s="12">
        <f t="shared" si="7"/>
        <v>0</v>
      </c>
      <c r="AB52">
        <f t="shared" si="8"/>
        <v>1</v>
      </c>
      <c r="AE52" s="388"/>
      <c r="AF52" s="388"/>
      <c r="AG52" s="388"/>
      <c r="AH52" s="388"/>
      <c r="AI52" s="388"/>
      <c r="AJ52" s="388"/>
    </row>
    <row r="53" spans="2:37" x14ac:dyDescent="0.2">
      <c r="B53" s="200" t="str">
        <f t="shared" si="9"/>
        <v>Waahni Ct Unit 5</v>
      </c>
      <c r="C53" s="10">
        <f t="shared" si="6"/>
        <v>1</v>
      </c>
      <c r="E53" s="14"/>
      <c r="F53" s="12"/>
      <c r="G53" s="12"/>
      <c r="H53" s="12"/>
      <c r="I53" s="12"/>
      <c r="J53" s="12"/>
      <c r="K53" s="12"/>
      <c r="L53" s="12">
        <v>1</v>
      </c>
      <c r="M53" s="12"/>
      <c r="N53" s="12"/>
      <c r="O53" s="12"/>
      <c r="P53" s="12"/>
      <c r="Q53" s="12"/>
      <c r="R53" s="12"/>
      <c r="S53" s="12">
        <f t="shared" si="7"/>
        <v>0</v>
      </c>
      <c r="T53" s="12">
        <f t="shared" si="7"/>
        <v>0</v>
      </c>
      <c r="U53" s="12">
        <f t="shared" si="7"/>
        <v>0</v>
      </c>
      <c r="V53" s="12">
        <f t="shared" si="7"/>
        <v>0</v>
      </c>
      <c r="W53" s="12">
        <f t="shared" si="7"/>
        <v>0</v>
      </c>
      <c r="X53" s="12">
        <f t="shared" si="7"/>
        <v>0</v>
      </c>
      <c r="Y53" s="12">
        <f t="shared" si="7"/>
        <v>0</v>
      </c>
      <c r="Z53" s="12">
        <f t="shared" si="7"/>
        <v>0</v>
      </c>
      <c r="AA53" s="12">
        <f t="shared" si="7"/>
        <v>0</v>
      </c>
      <c r="AB53">
        <f t="shared" si="8"/>
        <v>1</v>
      </c>
      <c r="AE53" s="388"/>
      <c r="AF53" s="388"/>
      <c r="AG53" s="388"/>
      <c r="AH53" s="388"/>
      <c r="AI53" s="388"/>
      <c r="AJ53" s="388"/>
    </row>
    <row r="54" spans="2:37" x14ac:dyDescent="0.2">
      <c r="B54" s="200" t="str">
        <f t="shared" si="9"/>
        <v>Waahni Ct Unit 6</v>
      </c>
      <c r="C54" s="10">
        <f t="shared" si="6"/>
        <v>1</v>
      </c>
      <c r="E54" s="14"/>
      <c r="F54" s="12"/>
      <c r="G54" s="12"/>
      <c r="H54" s="12"/>
      <c r="I54" s="12"/>
      <c r="J54" s="12"/>
      <c r="K54" s="12"/>
      <c r="L54" s="12">
        <v>1</v>
      </c>
      <c r="M54" s="12"/>
      <c r="N54" s="12"/>
      <c r="O54" s="12"/>
      <c r="P54" s="12"/>
      <c r="Q54" s="12"/>
      <c r="R54" s="12"/>
      <c r="S54" s="12">
        <f t="shared" si="7"/>
        <v>0</v>
      </c>
      <c r="T54" s="12">
        <f t="shared" si="7"/>
        <v>0</v>
      </c>
      <c r="U54" s="12">
        <f t="shared" si="7"/>
        <v>0</v>
      </c>
      <c r="V54" s="12">
        <f t="shared" si="7"/>
        <v>0</v>
      </c>
      <c r="W54" s="12">
        <f t="shared" si="7"/>
        <v>0</v>
      </c>
      <c r="X54" s="12">
        <f t="shared" si="7"/>
        <v>0</v>
      </c>
      <c r="Y54" s="12">
        <f t="shared" si="7"/>
        <v>0</v>
      </c>
      <c r="Z54" s="12">
        <f t="shared" si="7"/>
        <v>0</v>
      </c>
      <c r="AA54" s="12">
        <f t="shared" si="7"/>
        <v>0</v>
      </c>
      <c r="AB54">
        <f t="shared" si="8"/>
        <v>1</v>
      </c>
      <c r="AE54" s="388"/>
      <c r="AF54" s="388"/>
      <c r="AG54" s="388"/>
      <c r="AH54" s="388"/>
      <c r="AI54" s="388"/>
      <c r="AJ54" s="388"/>
    </row>
    <row r="55" spans="2:37" x14ac:dyDescent="0.2">
      <c r="B55" s="200" t="str">
        <f t="shared" si="9"/>
        <v>Waahni Ct Unit 7</v>
      </c>
      <c r="C55" s="10">
        <f t="shared" si="6"/>
        <v>1</v>
      </c>
      <c r="E55" s="14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>
        <f t="shared" si="7"/>
        <v>1</v>
      </c>
      <c r="S55" s="12">
        <f t="shared" si="7"/>
        <v>0</v>
      </c>
      <c r="T55" s="12">
        <f t="shared" si="7"/>
        <v>0</v>
      </c>
      <c r="U55" s="12">
        <f t="shared" si="7"/>
        <v>0</v>
      </c>
      <c r="V55" s="12">
        <f t="shared" si="7"/>
        <v>0</v>
      </c>
      <c r="W55" s="12">
        <f t="shared" si="7"/>
        <v>0</v>
      </c>
      <c r="X55" s="12">
        <f t="shared" si="7"/>
        <v>0</v>
      </c>
      <c r="Y55" s="12">
        <f t="shared" si="7"/>
        <v>0</v>
      </c>
      <c r="Z55" s="12">
        <f t="shared" si="7"/>
        <v>0</v>
      </c>
      <c r="AA55" s="12">
        <f t="shared" si="7"/>
        <v>0</v>
      </c>
      <c r="AB55">
        <f t="shared" si="8"/>
        <v>1</v>
      </c>
      <c r="AE55" s="388"/>
      <c r="AF55" s="388"/>
      <c r="AG55" s="388"/>
      <c r="AH55" s="388"/>
      <c r="AI55" s="388"/>
      <c r="AJ55" s="388"/>
    </row>
    <row r="56" spans="2:37" x14ac:dyDescent="0.2">
      <c r="B56" s="200" t="str">
        <f t="shared" si="9"/>
        <v>Waahni Ct Unit 8</v>
      </c>
      <c r="C56">
        <f t="shared" si="6"/>
        <v>1</v>
      </c>
      <c r="E56" s="14"/>
      <c r="F56" s="12"/>
      <c r="G56" s="12"/>
      <c r="H56" s="12"/>
      <c r="I56" s="12"/>
      <c r="J56" s="12"/>
      <c r="K56" s="12"/>
      <c r="L56" s="12"/>
      <c r="M56" s="12">
        <v>1</v>
      </c>
      <c r="N56" s="12"/>
      <c r="O56" s="12"/>
      <c r="P56" s="12"/>
      <c r="Q56" s="12"/>
      <c r="R56" s="12"/>
      <c r="S56" s="12">
        <f t="shared" si="7"/>
        <v>0</v>
      </c>
      <c r="T56" s="12">
        <f t="shared" si="7"/>
        <v>0</v>
      </c>
      <c r="U56" s="12">
        <f t="shared" si="7"/>
        <v>0</v>
      </c>
      <c r="V56" s="12">
        <f t="shared" si="7"/>
        <v>0</v>
      </c>
      <c r="W56" s="12">
        <f t="shared" si="7"/>
        <v>0</v>
      </c>
      <c r="X56" s="12">
        <f t="shared" si="7"/>
        <v>0</v>
      </c>
      <c r="Y56" s="12">
        <f t="shared" si="7"/>
        <v>0</v>
      </c>
      <c r="Z56" s="12">
        <f t="shared" si="7"/>
        <v>0</v>
      </c>
      <c r="AA56" s="12">
        <f t="shared" si="7"/>
        <v>0</v>
      </c>
      <c r="AB56">
        <f t="shared" si="8"/>
        <v>1</v>
      </c>
      <c r="AE56" s="388"/>
      <c r="AF56" s="388"/>
      <c r="AG56" s="388"/>
      <c r="AH56" s="388"/>
      <c r="AI56" s="388"/>
      <c r="AJ56" s="388"/>
    </row>
    <row r="57" spans="2:37" x14ac:dyDescent="0.2">
      <c r="B57" s="98" t="s">
        <v>91</v>
      </c>
      <c r="C57" s="98">
        <f>SUM(C43:C56)</f>
        <v>14</v>
      </c>
      <c r="D57" s="8"/>
      <c r="E57" s="15"/>
      <c r="F57" s="110">
        <f t="shared" ref="F57:AB57" si="10">SUM(F43:F56)</f>
        <v>0</v>
      </c>
      <c r="G57" s="110">
        <f t="shared" si="10"/>
        <v>1</v>
      </c>
      <c r="H57" s="110">
        <f t="shared" si="10"/>
        <v>1</v>
      </c>
      <c r="I57" s="110">
        <f t="shared" si="10"/>
        <v>1</v>
      </c>
      <c r="J57" s="110">
        <f t="shared" si="10"/>
        <v>0</v>
      </c>
      <c r="K57" s="110">
        <f t="shared" si="10"/>
        <v>2</v>
      </c>
      <c r="L57" s="110">
        <f>SUM(L43:L56)</f>
        <v>3</v>
      </c>
      <c r="M57" s="110">
        <f t="shared" si="10"/>
        <v>2</v>
      </c>
      <c r="N57" s="110">
        <f t="shared" si="10"/>
        <v>0</v>
      </c>
      <c r="O57" s="110">
        <f t="shared" si="10"/>
        <v>0</v>
      </c>
      <c r="P57" s="110">
        <f t="shared" si="10"/>
        <v>2</v>
      </c>
      <c r="Q57" s="110">
        <f t="shared" si="10"/>
        <v>1</v>
      </c>
      <c r="R57" s="110">
        <f>SUM(R43:R56)</f>
        <v>1</v>
      </c>
      <c r="S57" s="110">
        <f>SUM(S43:S56)</f>
        <v>0</v>
      </c>
      <c r="T57" s="110">
        <f t="shared" ref="T57:AA57" si="11">SUM(T43:T56)</f>
        <v>0</v>
      </c>
      <c r="U57" s="110">
        <f t="shared" si="11"/>
        <v>0</v>
      </c>
      <c r="V57" s="110">
        <f t="shared" si="11"/>
        <v>0</v>
      </c>
      <c r="W57" s="110">
        <f t="shared" si="11"/>
        <v>0</v>
      </c>
      <c r="X57" s="110">
        <f t="shared" si="11"/>
        <v>0</v>
      </c>
      <c r="Y57" s="110">
        <f t="shared" si="11"/>
        <v>0</v>
      </c>
      <c r="Z57" s="110">
        <f t="shared" si="11"/>
        <v>0</v>
      </c>
      <c r="AA57" s="110">
        <f t="shared" si="11"/>
        <v>0</v>
      </c>
      <c r="AB57" s="98">
        <f t="shared" si="10"/>
        <v>14</v>
      </c>
      <c r="AJ57" s="370" t="s">
        <v>92</v>
      </c>
      <c r="AK57" s="374">
        <f>+AB38-AB57</f>
        <v>0</v>
      </c>
    </row>
    <row r="58" spans="2:37" x14ac:dyDescent="0.2">
      <c r="B58" t="s">
        <v>93</v>
      </c>
      <c r="C58" s="428">
        <v>0.05</v>
      </c>
      <c r="D58" s="28"/>
      <c r="E58" s="114">
        <v>1775</v>
      </c>
      <c r="F58" s="123"/>
      <c r="G58" s="443">
        <f>$E58</f>
        <v>1775</v>
      </c>
      <c r="H58" s="443">
        <f>$E58</f>
        <v>1775</v>
      </c>
      <c r="I58" s="443">
        <f>H58*(1+$C$58/4)</f>
        <v>1797.1875</v>
      </c>
      <c r="J58" s="443">
        <f t="shared" ref="J58:P58" si="12">I58*(1+$C$58/4)</f>
        <v>1819.65234375</v>
      </c>
      <c r="K58" s="443">
        <f t="shared" si="12"/>
        <v>1842.3979980468748</v>
      </c>
      <c r="L58" s="443">
        <f t="shared" si="12"/>
        <v>1865.4279730224607</v>
      </c>
      <c r="M58" s="443">
        <f t="shared" si="12"/>
        <v>1888.7458226852414</v>
      </c>
      <c r="N58" s="443">
        <f t="shared" si="12"/>
        <v>1912.3551454688068</v>
      </c>
      <c r="O58" s="443">
        <f t="shared" si="12"/>
        <v>1936.2595847871667</v>
      </c>
      <c r="P58" s="443">
        <f t="shared" si="12"/>
        <v>1960.4628295970062</v>
      </c>
      <c r="Q58" s="443"/>
      <c r="R58" s="443"/>
      <c r="S58" s="443"/>
      <c r="T58" s="443"/>
      <c r="U58" s="443"/>
      <c r="V58" s="443"/>
      <c r="W58" s="443"/>
      <c r="X58" s="443"/>
      <c r="Y58" s="443"/>
      <c r="Z58" s="443"/>
      <c r="AA58" s="443"/>
      <c r="AE58" s="445"/>
      <c r="AJ58" s="1"/>
    </row>
    <row r="59" spans="2:37" x14ac:dyDescent="0.2">
      <c r="C59" s="28"/>
      <c r="D59" s="28"/>
      <c r="E59" s="114"/>
      <c r="F59" s="123"/>
      <c r="G59" s="114"/>
      <c r="H59" s="114"/>
      <c r="I59" s="114"/>
      <c r="J59" s="114"/>
      <c r="K59" s="114"/>
      <c r="L59" s="114"/>
      <c r="M59" s="114"/>
      <c r="N59" s="114"/>
      <c r="O59" s="114"/>
      <c r="P59" s="114"/>
      <c r="Q59" s="114"/>
      <c r="R59" s="114"/>
      <c r="S59" s="114"/>
      <c r="T59" s="114"/>
      <c r="U59" s="114"/>
      <c r="V59" s="114"/>
      <c r="W59" s="114"/>
      <c r="X59" s="114"/>
      <c r="Y59" s="114"/>
      <c r="Z59" s="114"/>
      <c r="AA59" s="114"/>
      <c r="AB59" s="114"/>
      <c r="AE59" s="445"/>
      <c r="AJ59" s="1"/>
    </row>
    <row r="60" spans="2:37" x14ac:dyDescent="0.2">
      <c r="B60" t="s">
        <v>94</v>
      </c>
      <c r="C60" s="428">
        <v>7.4999999999999997E-2</v>
      </c>
      <c r="D60" s="28"/>
      <c r="E60" s="114">
        <v>1875</v>
      </c>
      <c r="F60" s="123"/>
      <c r="G60" s="114"/>
      <c r="H60" s="114"/>
      <c r="I60" s="114"/>
      <c r="J60" s="114"/>
      <c r="K60" s="114">
        <f>E60</f>
        <v>1875</v>
      </c>
      <c r="L60" s="114">
        <f>K60*(1+($C$60/4))</f>
        <v>1910.15625</v>
      </c>
      <c r="M60" s="114">
        <f>L60*(1+($C$60/4))</f>
        <v>1945.9716796875</v>
      </c>
      <c r="N60" s="114">
        <f t="shared" ref="N60:AA60" si="13">M60*(1+($C$60/4))</f>
        <v>1982.4586486816406</v>
      </c>
      <c r="O60" s="114">
        <f t="shared" si="13"/>
        <v>2019.6297483444214</v>
      </c>
      <c r="P60" s="114">
        <f t="shared" si="13"/>
        <v>2057.4978061258794</v>
      </c>
      <c r="Q60" s="114">
        <f t="shared" si="13"/>
        <v>2096.0758899907396</v>
      </c>
      <c r="R60" s="114">
        <f t="shared" si="13"/>
        <v>2135.3773129280662</v>
      </c>
      <c r="S60" s="114">
        <f t="shared" si="13"/>
        <v>2175.4156375454677</v>
      </c>
      <c r="T60" s="114">
        <f t="shared" si="13"/>
        <v>2216.2046807494453</v>
      </c>
      <c r="U60" s="114">
        <f t="shared" si="13"/>
        <v>2257.7585185134976</v>
      </c>
      <c r="V60" s="114">
        <f t="shared" si="13"/>
        <v>2300.0914907356259</v>
      </c>
      <c r="W60" s="114">
        <f t="shared" si="13"/>
        <v>2343.2182061869189</v>
      </c>
      <c r="X60" s="114">
        <f t="shared" si="13"/>
        <v>2387.1535475529236</v>
      </c>
      <c r="Y60" s="114">
        <f t="shared" si="13"/>
        <v>2431.912676569541</v>
      </c>
      <c r="Z60" s="114">
        <f t="shared" si="13"/>
        <v>2477.5110392552201</v>
      </c>
      <c r="AA60" s="114">
        <f t="shared" si="13"/>
        <v>2523.9643712412558</v>
      </c>
      <c r="AB60" s="114"/>
      <c r="AE60" s="445"/>
      <c r="AJ60" s="1"/>
    </row>
    <row r="61" spans="2:37" x14ac:dyDescent="0.2">
      <c r="B61" s="113"/>
      <c r="C61" s="28"/>
      <c r="D61" s="28"/>
      <c r="E61" s="114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>
        <f t="shared" ref="S61:AA61" si="14">IFERROR(SUMPRODUCT($D24:$D37,S43:S56)*S60/S57,0)</f>
        <v>0</v>
      </c>
      <c r="T61" s="115">
        <f t="shared" si="14"/>
        <v>0</v>
      </c>
      <c r="U61" s="115">
        <f t="shared" si="14"/>
        <v>0</v>
      </c>
      <c r="V61" s="115">
        <f t="shared" si="14"/>
        <v>0</v>
      </c>
      <c r="W61" s="115">
        <f t="shared" si="14"/>
        <v>0</v>
      </c>
      <c r="X61" s="115">
        <f t="shared" si="14"/>
        <v>0</v>
      </c>
      <c r="Y61" s="115">
        <f t="shared" si="14"/>
        <v>0</v>
      </c>
      <c r="Z61" s="115">
        <f t="shared" si="14"/>
        <v>0</v>
      </c>
      <c r="AA61" s="115">
        <f t="shared" si="14"/>
        <v>0</v>
      </c>
      <c r="AD61" s="202">
        <f>(AB87+AB89)/AB38</f>
        <v>7342886.4471851522</v>
      </c>
      <c r="AE61" s="445"/>
      <c r="AG61" s="220">
        <f>AD61/AD39</f>
        <v>0.85140203541082993</v>
      </c>
      <c r="AJ61" s="1"/>
    </row>
    <row r="62" spans="2:37" x14ac:dyDescent="0.2">
      <c r="B62" s="59" t="s">
        <v>95</v>
      </c>
      <c r="C62" s="60"/>
      <c r="D62" s="60"/>
      <c r="E62" s="60"/>
      <c r="F62" s="60"/>
      <c r="G62" s="60"/>
      <c r="H62" s="60"/>
      <c r="I62" s="60"/>
      <c r="J62" s="60"/>
      <c r="K62" s="60"/>
      <c r="L62" s="60"/>
      <c r="M62" s="60"/>
      <c r="N62" s="60"/>
      <c r="O62" s="60"/>
      <c r="P62" s="60"/>
      <c r="Q62" s="60"/>
      <c r="R62" s="60"/>
      <c r="S62" s="60"/>
      <c r="T62" s="60"/>
      <c r="U62" s="60"/>
      <c r="V62" s="60"/>
      <c r="W62" s="60"/>
      <c r="X62" s="60"/>
      <c r="Y62" s="60"/>
      <c r="Z62" s="60"/>
      <c r="AA62" s="60"/>
      <c r="AB62" s="60"/>
      <c r="AJ62" s="1"/>
    </row>
    <row r="63" spans="2:37" hidden="1" x14ac:dyDescent="0.2">
      <c r="B63" t="s">
        <v>96</v>
      </c>
      <c r="E63" s="16"/>
      <c r="F63" s="16"/>
      <c r="G63" s="16"/>
      <c r="H63" s="16"/>
      <c r="I63" s="16"/>
      <c r="J63" s="16"/>
      <c r="K63" s="16"/>
      <c r="L63" s="16">
        <v>0</v>
      </c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20">
        <f t="shared" ref="AB63:AB69" si="15">SUM(E63:AA63)</f>
        <v>0</v>
      </c>
      <c r="AJ63" s="1"/>
    </row>
    <row r="64" spans="2:37" ht="17.25" customHeight="1" x14ac:dyDescent="0.2">
      <c r="B64" s="94" t="s">
        <v>97</v>
      </c>
      <c r="E64" s="16"/>
      <c r="F64" s="16">
        <v>14000000</v>
      </c>
      <c r="G64" s="16">
        <v>0</v>
      </c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20">
        <f t="shared" si="15"/>
        <v>14000000</v>
      </c>
      <c r="AD64" s="107">
        <f>SUM(K89:N89)+E94</f>
        <v>27303941.821289062</v>
      </c>
      <c r="AE64" s="1" t="s">
        <v>98</v>
      </c>
      <c r="AJ64" s="1"/>
    </row>
    <row r="65" spans="2:37" x14ac:dyDescent="0.2">
      <c r="B65" s="94" t="s">
        <v>99</v>
      </c>
      <c r="E65" s="20"/>
      <c r="F65" s="16">
        <v>1000000</v>
      </c>
      <c r="G65" s="359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20">
        <f t="shared" si="15"/>
        <v>1000000</v>
      </c>
      <c r="AD65" s="107"/>
      <c r="AJ65" s="1"/>
    </row>
    <row r="66" spans="2:37" ht="17.25" hidden="1" customHeight="1" x14ac:dyDescent="0.2">
      <c r="B66" s="94"/>
      <c r="D66" s="223"/>
      <c r="E66" s="49"/>
      <c r="F66" s="16"/>
      <c r="G66" s="49"/>
      <c r="H66" s="223"/>
      <c r="I66" s="223"/>
      <c r="J66" s="223"/>
      <c r="K66" s="223"/>
      <c r="L66" s="223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20">
        <f t="shared" si="15"/>
        <v>0</v>
      </c>
      <c r="AD66" s="107"/>
      <c r="AJ66" s="1"/>
    </row>
    <row r="67" spans="2:37" ht="17.25" hidden="1" customHeight="1" x14ac:dyDescent="0.2">
      <c r="B67" s="94"/>
      <c r="D67" s="223"/>
      <c r="E67" s="49"/>
      <c r="F67" s="16"/>
      <c r="G67" s="49"/>
      <c r="H67" s="223"/>
      <c r="I67" s="223"/>
      <c r="J67" s="223"/>
      <c r="K67" s="223"/>
      <c r="L67" s="223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20">
        <f t="shared" si="15"/>
        <v>0</v>
      </c>
      <c r="AD67" s="107"/>
      <c r="AJ67" s="1"/>
    </row>
    <row r="68" spans="2:37" ht="17.25" hidden="1" customHeight="1" x14ac:dyDescent="0.2">
      <c r="B68" s="94"/>
      <c r="D68" s="223"/>
      <c r="E68" s="49"/>
      <c r="F68" s="49"/>
      <c r="G68" s="49"/>
      <c r="H68" s="223"/>
      <c r="I68" s="223"/>
      <c r="J68" s="223"/>
      <c r="K68" s="223"/>
      <c r="L68" s="223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20">
        <f t="shared" si="15"/>
        <v>0</v>
      </c>
      <c r="AD68" s="107"/>
      <c r="AE68" s="240">
        <v>0</v>
      </c>
      <c r="AF68" s="1" t="s">
        <v>100</v>
      </c>
      <c r="AJ68" s="1"/>
    </row>
    <row r="69" spans="2:37" ht="17.25" hidden="1" customHeight="1" x14ac:dyDescent="0.2">
      <c r="B69" s="94"/>
      <c r="D69" s="223"/>
      <c r="E69" s="16"/>
      <c r="F69" s="16"/>
      <c r="G69" s="16"/>
      <c r="H69" s="357"/>
      <c r="I69" s="357"/>
      <c r="J69" s="223"/>
      <c r="K69" s="223"/>
      <c r="L69" s="223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20">
        <f t="shared" si="15"/>
        <v>0</v>
      </c>
      <c r="AD69" s="107"/>
      <c r="AE69" s="62">
        <f>1-AE68</f>
        <v>1</v>
      </c>
      <c r="AF69" s="1" t="s">
        <v>101</v>
      </c>
      <c r="AJ69" s="1"/>
    </row>
    <row r="70" spans="2:37" ht="17.25" hidden="1" customHeight="1" x14ac:dyDescent="0.2">
      <c r="B70" s="94"/>
      <c r="D70" s="223"/>
      <c r="E70" s="208"/>
      <c r="F70" s="208"/>
      <c r="G70" s="208"/>
      <c r="H70" s="357"/>
      <c r="I70" s="357"/>
      <c r="J70" s="223"/>
      <c r="K70" s="223"/>
      <c r="L70" s="223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20"/>
      <c r="AD70" s="107"/>
      <c r="AE70" s="62"/>
      <c r="AJ70" s="1"/>
    </row>
    <row r="71" spans="2:37" ht="17.25" hidden="1" customHeight="1" x14ac:dyDescent="0.2">
      <c r="B71" s="94"/>
      <c r="D71" s="223"/>
      <c r="E71" s="93"/>
      <c r="F71" s="93"/>
      <c r="G71" s="208"/>
      <c r="H71" s="357"/>
      <c r="I71" s="357"/>
      <c r="J71" s="223"/>
      <c r="K71" s="223"/>
      <c r="L71" s="223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20"/>
      <c r="AD71" s="107"/>
      <c r="AJ71" s="1"/>
    </row>
    <row r="72" spans="2:37" ht="17.25" customHeight="1" x14ac:dyDescent="0.2">
      <c r="B72" s="109" t="s">
        <v>102</v>
      </c>
      <c r="C72" s="109"/>
      <c r="D72" s="109"/>
      <c r="E72" s="387">
        <f>SUM(E64:E71)</f>
        <v>0</v>
      </c>
      <c r="F72" s="387">
        <f t="shared" ref="F72:W72" si="16">SUM(F64:F71)</f>
        <v>15000000</v>
      </c>
      <c r="G72" s="387">
        <f t="shared" si="16"/>
        <v>0</v>
      </c>
      <c r="H72" s="387">
        <f t="shared" si="16"/>
        <v>0</v>
      </c>
      <c r="I72" s="387">
        <f t="shared" si="16"/>
        <v>0</v>
      </c>
      <c r="J72" s="387">
        <f t="shared" si="16"/>
        <v>0</v>
      </c>
      <c r="K72" s="387">
        <f t="shared" si="16"/>
        <v>0</v>
      </c>
      <c r="L72" s="387">
        <f t="shared" si="16"/>
        <v>0</v>
      </c>
      <c r="M72" s="387">
        <f t="shared" si="16"/>
        <v>0</v>
      </c>
      <c r="N72" s="387">
        <f t="shared" si="16"/>
        <v>0</v>
      </c>
      <c r="O72" s="387">
        <f t="shared" si="16"/>
        <v>0</v>
      </c>
      <c r="P72" s="387">
        <f t="shared" si="16"/>
        <v>0</v>
      </c>
      <c r="Q72" s="387">
        <f t="shared" si="16"/>
        <v>0</v>
      </c>
      <c r="R72" s="387">
        <f t="shared" si="16"/>
        <v>0</v>
      </c>
      <c r="S72" s="387">
        <f t="shared" si="16"/>
        <v>0</v>
      </c>
      <c r="T72" s="387">
        <f t="shared" si="16"/>
        <v>0</v>
      </c>
      <c r="U72" s="387">
        <f t="shared" si="16"/>
        <v>0</v>
      </c>
      <c r="V72" s="387">
        <f t="shared" si="16"/>
        <v>0</v>
      </c>
      <c r="W72" s="387">
        <f t="shared" si="16"/>
        <v>0</v>
      </c>
      <c r="X72" s="356"/>
      <c r="Y72" s="356"/>
      <c r="Z72" s="356"/>
      <c r="AA72" s="356"/>
      <c r="AB72" s="111">
        <f>SUM(E72:AA72)</f>
        <v>15000000</v>
      </c>
      <c r="AD72" s="103">
        <f>(AB72)/AD64</f>
        <v>0.54937122625658397</v>
      </c>
      <c r="AE72" s="1" t="s">
        <v>103</v>
      </c>
      <c r="AF72" s="107">
        <f>25000000-E72</f>
        <v>25000000</v>
      </c>
      <c r="AG72" s="107">
        <f>25000000-F72</f>
        <v>10000000</v>
      </c>
      <c r="AJ72" s="370" t="s">
        <v>104</v>
      </c>
      <c r="AK72" s="375">
        <f>ROUND(40000000-AB72,0)</f>
        <v>25000000</v>
      </c>
    </row>
    <row r="73" spans="2:37" ht="8.25" customHeight="1" x14ac:dyDescent="0.2">
      <c r="B73" s="94"/>
      <c r="D73" s="223"/>
      <c r="E73" s="208"/>
      <c r="F73" s="208"/>
      <c r="G73" s="208"/>
      <c r="H73" s="357"/>
      <c r="I73" s="357"/>
      <c r="J73" s="223"/>
      <c r="K73" s="223"/>
      <c r="L73" s="362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361"/>
      <c r="AD73" s="103"/>
      <c r="AJ73" s="1"/>
    </row>
    <row r="74" spans="2:37" x14ac:dyDescent="0.2">
      <c r="B74" s="94" t="s">
        <v>105</v>
      </c>
      <c r="D74" s="223"/>
      <c r="E74" s="16"/>
      <c r="F74" s="45">
        <f>F144+F145+(F146/2)+(F147/2)+F148+F152+F187</f>
        <v>1170750.95</v>
      </c>
      <c r="G74" s="45">
        <f t="shared" ref="G74:J74" si="17">G144+G145+(G146/2)+(G147/2)+G148+G152+G187</f>
        <v>1749853.0218750001</v>
      </c>
      <c r="H74" s="45">
        <f t="shared" si="17"/>
        <v>2583274.5</v>
      </c>
      <c r="I74" s="45">
        <f t="shared" si="17"/>
        <v>3353728.0750000002</v>
      </c>
      <c r="J74" s="45">
        <f t="shared" si="17"/>
        <v>3666790.7749999999</v>
      </c>
      <c r="K74" s="45">
        <f>K145+(K146/2)+(K147/2)+K148+K152</f>
        <v>3350175</v>
      </c>
      <c r="L74" s="45">
        <f t="shared" ref="L74" si="18">L145+(L146/2)+(L147/2)+L148+L152</f>
        <v>1943662.5</v>
      </c>
      <c r="M74" s="45">
        <f>M145+(M146/2)+(M147/2)+M148</f>
        <v>987306.25</v>
      </c>
      <c r="N74" s="45">
        <f t="shared" ref="N74:Q74" si="19">N145+(N146/2)+(N147/2)+N148</f>
        <v>385787.5</v>
      </c>
      <c r="O74" s="45">
        <f t="shared" si="19"/>
        <v>0</v>
      </c>
      <c r="P74" s="45">
        <f t="shared" si="19"/>
        <v>0</v>
      </c>
      <c r="Q74" s="45">
        <f t="shared" si="19"/>
        <v>0</v>
      </c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20">
        <f>SUM(E74:AA74)</f>
        <v>19191328.571874999</v>
      </c>
      <c r="AD74" s="437"/>
      <c r="AJ74" s="1"/>
    </row>
    <row r="75" spans="2:37" x14ac:dyDescent="0.2">
      <c r="B75" s="94" t="s">
        <v>106</v>
      </c>
      <c r="D75" s="223"/>
      <c r="E75" s="16"/>
      <c r="F75" s="16">
        <f>F141</f>
        <v>0</v>
      </c>
      <c r="G75" s="16">
        <f>G141</f>
        <v>0</v>
      </c>
      <c r="H75" s="16">
        <f>H141</f>
        <v>411625</v>
      </c>
      <c r="I75" s="16">
        <f>I141</f>
        <v>411682.8125</v>
      </c>
      <c r="J75" s="16">
        <f>J141</f>
        <v>0</v>
      </c>
      <c r="K75" s="16">
        <f>K144+(K149/3)+(K150*0.6667)+(K151/2)+K187</f>
        <v>1003697.421875</v>
      </c>
      <c r="L75" s="16">
        <f t="shared" ref="L75" si="20">L144+(L149/3)+(L150*0.6667)+(L151/2)+L187</f>
        <v>2025637.3574999999</v>
      </c>
      <c r="M75" s="16">
        <f>M144+(M149/3)+(M150*0.6667)+(M151/2)+M152+M187</f>
        <v>3300345.058125</v>
      </c>
      <c r="N75" s="16">
        <f t="shared" ref="N75:R75" si="21">N144+(N149/3)+(N150*0.6667)+(N151/2)+N152+N187</f>
        <v>4005895.30375</v>
      </c>
      <c r="O75" s="16">
        <f t="shared" si="21"/>
        <v>3693536.4524999997</v>
      </c>
      <c r="P75" s="16">
        <f t="shared" si="21"/>
        <v>2605660.151875</v>
      </c>
      <c r="Q75" s="16">
        <f t="shared" si="21"/>
        <v>1521502.6012499998</v>
      </c>
      <c r="R75" s="16">
        <f t="shared" si="21"/>
        <v>514862.5</v>
      </c>
      <c r="S75" s="16"/>
      <c r="T75" s="16"/>
      <c r="U75" s="16"/>
      <c r="V75" s="16"/>
      <c r="W75" s="16"/>
      <c r="X75" s="16"/>
      <c r="Y75" s="16"/>
      <c r="Z75" s="16"/>
      <c r="AA75" s="16"/>
      <c r="AB75" s="20">
        <f>SUM(E75:AA75)</f>
        <v>19494444.659375001</v>
      </c>
      <c r="AD75" s="390">
        <f>AB80/(AB72+AB80)</f>
        <v>0.72059636851297804</v>
      </c>
      <c r="AE75" s="197" t="s">
        <v>107</v>
      </c>
      <c r="AJ75" s="1"/>
    </row>
    <row r="76" spans="2:37" ht="17.25" hidden="1" customHeight="1" x14ac:dyDescent="0.2">
      <c r="B76" s="94" t="s">
        <v>108</v>
      </c>
      <c r="D76" s="223"/>
      <c r="E76" s="16"/>
      <c r="F76" s="16"/>
      <c r="G76" s="16"/>
      <c r="I76" s="357"/>
      <c r="J76" s="223"/>
      <c r="K76" s="223"/>
      <c r="L76" s="223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6"/>
      <c r="AB76" s="20">
        <f>SUM(E76:AA76)</f>
        <v>0</v>
      </c>
      <c r="AD76" s="103"/>
      <c r="AJ76" s="1"/>
    </row>
    <row r="77" spans="2:37" ht="17.25" hidden="1" customHeight="1" x14ac:dyDescent="0.2">
      <c r="B77" s="94" t="s">
        <v>109</v>
      </c>
      <c r="D77" s="223"/>
      <c r="E77" s="56"/>
      <c r="F77" s="56"/>
      <c r="G77" s="56"/>
      <c r="H77" s="56"/>
      <c r="I77" s="56"/>
      <c r="J77" s="56"/>
      <c r="K77" s="56"/>
      <c r="L77" s="5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  <c r="AA77" s="16"/>
      <c r="AB77" s="20">
        <f>SUM(E77:AA77)</f>
        <v>0</v>
      </c>
      <c r="AD77" s="390">
        <f>(E74+F75+F76)/(E64+F64+E74+F75+F76)</f>
        <v>0</v>
      </c>
      <c r="AE77" s="197" t="s">
        <v>110</v>
      </c>
      <c r="AJ77" s="1"/>
    </row>
    <row r="78" spans="2:37" ht="17.25" hidden="1" customHeight="1" x14ac:dyDescent="0.2">
      <c r="D78" s="223"/>
      <c r="E78" s="5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  <c r="AA78" s="16"/>
      <c r="AB78" s="20"/>
      <c r="AJ78" s="1"/>
    </row>
    <row r="79" spans="2:37" ht="17.25" customHeight="1" x14ac:dyDescent="0.2">
      <c r="B79" s="94"/>
      <c r="D79" s="223"/>
      <c r="E79" s="16"/>
      <c r="F79" s="16"/>
      <c r="G79" s="16"/>
      <c r="H79" s="16"/>
      <c r="I79" s="425"/>
      <c r="J79" s="425"/>
      <c r="K79" s="425"/>
      <c r="O79" s="425"/>
      <c r="P79" s="425"/>
      <c r="Q79" s="425"/>
      <c r="R79" s="425"/>
      <c r="S79" s="425"/>
      <c r="T79" s="425"/>
      <c r="U79" s="425"/>
      <c r="V79" s="16"/>
      <c r="W79" s="16"/>
      <c r="X79" s="16"/>
      <c r="Y79" s="16"/>
      <c r="Z79" s="16"/>
      <c r="AA79" s="16"/>
      <c r="AB79" s="20"/>
      <c r="AD79" s="390">
        <f>AB80/(AD24+AD25+AD27+AD31+AD33+AD34+AD36)</f>
        <v>0.65639335698151613</v>
      </c>
      <c r="AE79" s="197" t="s">
        <v>111</v>
      </c>
      <c r="AJ79" s="1"/>
    </row>
    <row r="80" spans="2:37" ht="17.25" customHeight="1" x14ac:dyDescent="0.2">
      <c r="B80" s="109" t="s">
        <v>112</v>
      </c>
      <c r="C80" s="239"/>
      <c r="D80" s="239"/>
      <c r="E80" s="238">
        <f>SUM(E74:E79)</f>
        <v>0</v>
      </c>
      <c r="F80" s="238">
        <f t="shared" ref="F80:AA80" si="22">SUM(F74:F79)</f>
        <v>1170750.95</v>
      </c>
      <c r="G80" s="238">
        <f t="shared" si="22"/>
        <v>1749853.0218750001</v>
      </c>
      <c r="H80" s="238">
        <f t="shared" si="22"/>
        <v>2994899.5</v>
      </c>
      <c r="I80" s="238">
        <f t="shared" si="22"/>
        <v>3765410.8875000002</v>
      </c>
      <c r="J80" s="238">
        <f t="shared" si="22"/>
        <v>3666790.7749999999</v>
      </c>
      <c r="K80" s="238">
        <f t="shared" si="22"/>
        <v>4353872.421875</v>
      </c>
      <c r="L80" s="238">
        <f t="shared" si="22"/>
        <v>3969299.8574999999</v>
      </c>
      <c r="M80" s="238">
        <f t="shared" si="22"/>
        <v>4287651.3081250004</v>
      </c>
      <c r="N80" s="238">
        <f t="shared" si="22"/>
        <v>4391682.80375</v>
      </c>
      <c r="O80" s="238">
        <f t="shared" si="22"/>
        <v>3693536.4524999997</v>
      </c>
      <c r="P80" s="238">
        <f>SUM(P74:P79)</f>
        <v>2605660.151875</v>
      </c>
      <c r="Q80" s="238">
        <f>SUM(Q74:Q79)</f>
        <v>1521502.6012499998</v>
      </c>
      <c r="R80" s="238">
        <f>SUM(R74:R79)</f>
        <v>514862.5</v>
      </c>
      <c r="S80" s="238">
        <f t="shared" si="22"/>
        <v>0</v>
      </c>
      <c r="T80" s="238">
        <f t="shared" si="22"/>
        <v>0</v>
      </c>
      <c r="U80" s="238">
        <f t="shared" si="22"/>
        <v>0</v>
      </c>
      <c r="V80" s="238">
        <f t="shared" si="22"/>
        <v>0</v>
      </c>
      <c r="W80" s="238">
        <f t="shared" si="22"/>
        <v>0</v>
      </c>
      <c r="X80" s="238">
        <f t="shared" si="22"/>
        <v>0</v>
      </c>
      <c r="Y80" s="238">
        <f t="shared" si="22"/>
        <v>0</v>
      </c>
      <c r="Z80" s="238">
        <f t="shared" si="22"/>
        <v>0</v>
      </c>
      <c r="AA80" s="238">
        <f t="shared" si="22"/>
        <v>0</v>
      </c>
      <c r="AB80" s="111">
        <f>SUM(E80:AA80)</f>
        <v>38685773.231249996</v>
      </c>
      <c r="AD80" s="390"/>
      <c r="AE80" s="197"/>
      <c r="AF80" s="62">
        <v>0.75</v>
      </c>
      <c r="AJ80" s="1"/>
    </row>
    <row r="81" spans="2:40" ht="8.5" customHeight="1" x14ac:dyDescent="0.2">
      <c r="C81" s="24"/>
      <c r="D81" s="24"/>
      <c r="E81" s="25"/>
      <c r="F81" s="241"/>
      <c r="G81" s="242"/>
      <c r="H81" s="242"/>
      <c r="I81" s="242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20"/>
      <c r="AD81" s="103"/>
      <c r="AJ81" s="1"/>
    </row>
    <row r="82" spans="2:40" x14ac:dyDescent="0.2">
      <c r="B82" s="94" t="s">
        <v>113</v>
      </c>
      <c r="C82" s="91">
        <v>0.15</v>
      </c>
      <c r="D82" s="91"/>
      <c r="E82" s="92"/>
      <c r="F82" s="382"/>
      <c r="G82" s="208">
        <f>((SUMPRODUCT(G$43:G$56,$D$24:$D$37)*G$58)*$C82)</f>
        <v>1177091.25</v>
      </c>
      <c r="H82" s="208">
        <f t="shared" ref="G82:I84" si="23">((SUMPRODUCT(H$43:H$56,$D$24:$D$37)*H$58)*$C82)</f>
        <v>1173896.25</v>
      </c>
      <c r="I82" s="208">
        <f t="shared" si="23"/>
        <v>1188569.953125</v>
      </c>
      <c r="J82" s="208">
        <f t="shared" ref="J82:O84" si="24">((SUMPRODUCT(J$43:J$56,$D$24:$D$37)*J$58)*$C82)</f>
        <v>0</v>
      </c>
      <c r="K82" s="208">
        <f t="shared" ref="K82:M84" si="25">((SUMPRODUCT(K$49:K$56,$D$30:$D$37)*K$58)*$C82)</f>
        <v>1362729.679255371</v>
      </c>
      <c r="L82" s="208">
        <f t="shared" si="25"/>
        <v>2613464.5902044675</v>
      </c>
      <c r="M82" s="208">
        <f t="shared" si="25"/>
        <v>1397010.8477491387</v>
      </c>
      <c r="N82" s="208">
        <f t="shared" si="24"/>
        <v>0</v>
      </c>
      <c r="O82" s="208">
        <f t="shared" si="24"/>
        <v>0</v>
      </c>
      <c r="P82" s="208"/>
      <c r="Q82" s="208"/>
      <c r="R82" s="208"/>
      <c r="S82" s="208">
        <f>((SUMPRODUCT(X$43:X$56,$D$24:$D$37)*X$60)*$C82)</f>
        <v>0</v>
      </c>
      <c r="T82" s="223"/>
      <c r="U82" s="223"/>
      <c r="V82" s="223"/>
      <c r="W82" s="223"/>
      <c r="X82" s="223"/>
      <c r="Y82" s="223"/>
      <c r="Z82" s="223"/>
      <c r="AA82" s="223"/>
      <c r="AB82" s="20"/>
      <c r="AD82" s="103"/>
      <c r="AJ82" s="1"/>
    </row>
    <row r="83" spans="2:40" x14ac:dyDescent="0.2">
      <c r="B83" s="94" t="s">
        <v>114</v>
      </c>
      <c r="C83" s="91">
        <v>0.1</v>
      </c>
      <c r="D83" s="91"/>
      <c r="E83" s="92"/>
      <c r="F83" s="382"/>
      <c r="G83" s="208">
        <f t="shared" si="23"/>
        <v>784727.5</v>
      </c>
      <c r="H83" s="208">
        <f t="shared" si="23"/>
        <v>782597.5</v>
      </c>
      <c r="I83" s="208">
        <f t="shared" si="23"/>
        <v>792379.96875</v>
      </c>
      <c r="J83" s="208">
        <f t="shared" si="24"/>
        <v>0</v>
      </c>
      <c r="K83" s="208">
        <f t="shared" si="25"/>
        <v>908486.45283691399</v>
      </c>
      <c r="L83" s="208">
        <f t="shared" si="25"/>
        <v>1742309.7268029784</v>
      </c>
      <c r="M83" s="208">
        <f t="shared" si="25"/>
        <v>931340.56516609248</v>
      </c>
      <c r="N83" s="208">
        <f t="shared" si="24"/>
        <v>0</v>
      </c>
      <c r="O83" s="208">
        <f t="shared" si="24"/>
        <v>0</v>
      </c>
      <c r="P83" s="208"/>
      <c r="Q83" s="208"/>
      <c r="R83" s="208"/>
      <c r="S83" s="208"/>
      <c r="T83" s="208">
        <f>((SUMPRODUCT(X$43:X$56,$D$24:$D$37)*X$60)*$C83)</f>
        <v>0</v>
      </c>
      <c r="U83" s="223"/>
      <c r="V83" s="223"/>
      <c r="W83" s="223"/>
      <c r="X83" s="223"/>
      <c r="Y83" s="223"/>
      <c r="Z83" s="223"/>
      <c r="AA83" s="223"/>
      <c r="AB83" s="20"/>
      <c r="AD83" s="103"/>
      <c r="AJ83" s="1"/>
    </row>
    <row r="84" spans="2:40" x14ac:dyDescent="0.2">
      <c r="B84" s="94" t="s">
        <v>115</v>
      </c>
      <c r="C84" s="91">
        <v>0.15</v>
      </c>
      <c r="D84" s="91"/>
      <c r="E84" s="92"/>
      <c r="F84" s="382"/>
      <c r="G84" s="208">
        <f>((SUMPRODUCT(G$43:G$56,$D$24:$D$37)*G$58)*$C84)</f>
        <v>1177091.25</v>
      </c>
      <c r="H84" s="208">
        <f t="shared" si="23"/>
        <v>1173896.25</v>
      </c>
      <c r="I84" s="208">
        <f t="shared" si="23"/>
        <v>1188569.953125</v>
      </c>
      <c r="J84" s="208">
        <f t="shared" si="24"/>
        <v>0</v>
      </c>
      <c r="K84" s="208">
        <f t="shared" si="25"/>
        <v>1362729.679255371</v>
      </c>
      <c r="L84" s="208">
        <f t="shared" si="25"/>
        <v>2613464.5902044675</v>
      </c>
      <c r="M84" s="208">
        <f t="shared" si="25"/>
        <v>1397010.8477491387</v>
      </c>
      <c r="N84" s="208">
        <f t="shared" si="24"/>
        <v>0</v>
      </c>
      <c r="O84" s="208">
        <f t="shared" si="24"/>
        <v>0</v>
      </c>
      <c r="P84" s="208"/>
      <c r="Q84" s="208"/>
      <c r="R84" s="208"/>
      <c r="S84" s="223"/>
      <c r="T84" s="208"/>
      <c r="U84" s="208">
        <f>((SUMPRODUCT(X$43:X$56,$D$24:$D$37)*X$60)*$C84)</f>
        <v>0</v>
      </c>
      <c r="V84" s="223"/>
      <c r="W84" s="223"/>
      <c r="X84" s="223"/>
      <c r="Y84" s="223"/>
      <c r="Z84" s="223"/>
      <c r="AA84" s="223"/>
      <c r="AB84" s="20"/>
      <c r="AD84" s="103"/>
      <c r="AJ84" s="1"/>
    </row>
    <row r="85" spans="2:40" x14ac:dyDescent="0.2">
      <c r="B85" s="94" t="s">
        <v>116</v>
      </c>
      <c r="C85" s="91">
        <v>0.1</v>
      </c>
      <c r="D85" s="91"/>
      <c r="E85" s="92"/>
      <c r="F85" s="382"/>
      <c r="G85" s="382"/>
      <c r="H85" s="208">
        <f>((SUMPRODUCT(G$43:G$56,$D$24:$D$37)*G$58)*$C85)</f>
        <v>784727.5</v>
      </c>
      <c r="I85" s="208">
        <f>((SUMPRODUCT(H$43:H$56,$D$24:$D$37)*H$58)*$C85)</f>
        <v>782597.5</v>
      </c>
      <c r="J85" s="208">
        <f t="shared" ref="J85:O85" si="26">((SUMPRODUCT(I$43:I$56,$D$24:$D$37)*I$58)*$C85)</f>
        <v>792379.96875</v>
      </c>
      <c r="K85" s="208"/>
      <c r="L85" s="208">
        <f>((SUMPRODUCT(K$49:K$56,$D$30:$D$37)*K$58)*$C85)</f>
        <v>908486.45283691399</v>
      </c>
      <c r="M85" s="208">
        <f>((SUMPRODUCT(L$49:L$56,$D$30:$D$37)*L$58)*$C85)</f>
        <v>1742309.7268029784</v>
      </c>
      <c r="N85" s="208">
        <f>((SUMPRODUCT(M$49:M$56,$D$30:$D$37)*M$58)*$C85)</f>
        <v>931340.56516609248</v>
      </c>
      <c r="O85" s="208">
        <f t="shared" si="26"/>
        <v>0</v>
      </c>
      <c r="P85" s="208">
        <f>((SUMPRODUCT(O$43:O$56,$D$24:$D$37)*O$58)*$C85)</f>
        <v>0</v>
      </c>
      <c r="Q85" s="208"/>
      <c r="R85" s="208"/>
      <c r="S85" s="223"/>
      <c r="T85" s="223"/>
      <c r="U85" s="208"/>
      <c r="V85" s="208">
        <f>((SUMPRODUCT(X$43:X$56,$D$24:$D$37)*X$60)*$C85)</f>
        <v>0</v>
      </c>
      <c r="W85" s="223"/>
      <c r="X85" s="223"/>
      <c r="Y85" s="223"/>
      <c r="Z85" s="223"/>
      <c r="AA85" s="223"/>
      <c r="AB85" s="20"/>
      <c r="AD85" s="103"/>
      <c r="AJ85" s="1"/>
    </row>
    <row r="86" spans="2:40" x14ac:dyDescent="0.2">
      <c r="B86" s="94" t="s">
        <v>117</v>
      </c>
      <c r="C86" s="91">
        <v>0.15</v>
      </c>
      <c r="D86" s="91"/>
      <c r="E86" s="92"/>
      <c r="F86" s="382"/>
      <c r="G86" s="382"/>
      <c r="H86" s="208"/>
      <c r="I86" s="208">
        <f>((SUMPRODUCT(G$43:G$56,$D$24:$D$37)*G$58)*$C86)</f>
        <v>1177091.25</v>
      </c>
      <c r="J86" s="208">
        <f t="shared" ref="J86:L86" si="27">((SUMPRODUCT(H$43:H$56,$D$24:$D$37)*H$58)*$C86)</f>
        <v>1173896.25</v>
      </c>
      <c r="K86" s="208">
        <f t="shared" si="27"/>
        <v>1188569.953125</v>
      </c>
      <c r="L86" s="208">
        <f t="shared" si="27"/>
        <v>0</v>
      </c>
      <c r="M86" s="208">
        <f>((SUMPRODUCT(K$49:K$56,$D$30:$D$37)*K$58)*$C86)</f>
        <v>1362729.679255371</v>
      </c>
      <c r="N86" s="208">
        <f>((SUMPRODUCT(L$49:L$56,$D$30:$D$37)*L$58)*$C86)</f>
        <v>2613464.5902044675</v>
      </c>
      <c r="O86" s="208">
        <f>((SUMPRODUCT(M$49:M$56,$D$30:$D$37)*M$58)*$C86)</f>
        <v>1397010.8477491387</v>
      </c>
      <c r="P86" s="208">
        <f>((SUMPRODUCT(N$43:N$56,$D$24:$D$37)*N$58)*$C86)</f>
        <v>0</v>
      </c>
      <c r="Q86" s="208"/>
      <c r="R86" s="208"/>
      <c r="S86" s="208">
        <f>((SUMPRODUCT($U$43:$U$56,$D$24:$D$37)*$U$60)*$C86)</f>
        <v>0</v>
      </c>
      <c r="T86" s="382"/>
      <c r="U86" s="382"/>
      <c r="V86" s="208"/>
      <c r="W86" s="208">
        <f>((SUMPRODUCT(X$43:X$56,$D$24:$D$37)*X$60)*$C86)</f>
        <v>0</v>
      </c>
      <c r="X86" s="382"/>
      <c r="Y86" s="382"/>
      <c r="Z86" s="382"/>
      <c r="AA86" s="382">
        <f>((SUMPRODUCT(AA$43:AA$56,$D$24:$D$37)*AA$58)*$C86)</f>
        <v>0</v>
      </c>
      <c r="AB86" s="20"/>
      <c r="AD86" s="103"/>
      <c r="AJ86" s="1"/>
    </row>
    <row r="87" spans="2:40" x14ac:dyDescent="0.2">
      <c r="B87" t="s">
        <v>118</v>
      </c>
      <c r="C87" s="391">
        <f>SUM(C82:C86)</f>
        <v>0.65</v>
      </c>
      <c r="D87" s="24"/>
      <c r="E87" s="427">
        <f t="shared" ref="E87:Y87" si="28">SUM(E82:E86)</f>
        <v>0</v>
      </c>
      <c r="F87" s="427">
        <f t="shared" si="28"/>
        <v>0</v>
      </c>
      <c r="G87" s="427">
        <f t="shared" si="28"/>
        <v>3138910</v>
      </c>
      <c r="H87" s="427">
        <f t="shared" si="28"/>
        <v>3915117.5</v>
      </c>
      <c r="I87" s="427">
        <f t="shared" si="28"/>
        <v>5129208.625</v>
      </c>
      <c r="J87" s="427">
        <f t="shared" si="28"/>
        <v>1966276.21875</v>
      </c>
      <c r="K87" s="427">
        <f t="shared" si="28"/>
        <v>4822515.764472656</v>
      </c>
      <c r="L87" s="427">
        <f t="shared" si="28"/>
        <v>7877725.3600488268</v>
      </c>
      <c r="M87" s="427">
        <f t="shared" si="28"/>
        <v>6830401.6667227196</v>
      </c>
      <c r="N87" s="427">
        <f t="shared" si="28"/>
        <v>3544805.15537056</v>
      </c>
      <c r="O87" s="427">
        <f t="shared" si="28"/>
        <v>1397010.8477491387</v>
      </c>
      <c r="P87" s="427">
        <f t="shared" si="28"/>
        <v>0</v>
      </c>
      <c r="Q87" s="427">
        <f t="shared" si="28"/>
        <v>0</v>
      </c>
      <c r="R87" s="427">
        <f t="shared" si="28"/>
        <v>0</v>
      </c>
      <c r="S87" s="427">
        <f t="shared" si="28"/>
        <v>0</v>
      </c>
      <c r="T87" s="427">
        <f t="shared" si="28"/>
        <v>0</v>
      </c>
      <c r="U87" s="427">
        <f t="shared" si="28"/>
        <v>0</v>
      </c>
      <c r="V87" s="427">
        <f t="shared" si="28"/>
        <v>0</v>
      </c>
      <c r="W87" s="427">
        <f t="shared" si="28"/>
        <v>0</v>
      </c>
      <c r="X87" s="427">
        <f t="shared" si="28"/>
        <v>0</v>
      </c>
      <c r="Y87" s="427">
        <f t="shared" si="28"/>
        <v>0</v>
      </c>
      <c r="Z87" s="427"/>
      <c r="AA87" s="427">
        <f>SUM(AA82:AA86)</f>
        <v>0</v>
      </c>
      <c r="AB87" s="111">
        <f>SUM(E87:AA87)</f>
        <v>38621971.138113901</v>
      </c>
      <c r="AD87" s="119" t="s">
        <v>119</v>
      </c>
      <c r="AJ87" s="1"/>
    </row>
    <row r="88" spans="2:40" x14ac:dyDescent="0.2">
      <c r="B88" s="94" t="s">
        <v>120</v>
      </c>
      <c r="C88" s="391"/>
      <c r="D88" s="24"/>
      <c r="E88" s="241"/>
      <c r="F88" s="241"/>
      <c r="G88" s="241"/>
      <c r="H88" s="241"/>
      <c r="I88" s="241"/>
      <c r="J88" s="241"/>
      <c r="K88" s="241"/>
      <c r="L88" s="241">
        <f>(SUMPRODUCT($D$24:$D$37,G43:G56)*G$58)*(1-$C$87)</f>
        <v>2746546.25</v>
      </c>
      <c r="M88" s="241">
        <f>(SUMPRODUCT($D$24:$D$37,H43:H56)*H$58)*(1-$C$87)</f>
        <v>2739091.25</v>
      </c>
      <c r="N88" s="241">
        <f>(SUMPRODUCT($D$24:$D$37,I43:I56)*I$58)*(1-$C$87)</f>
        <v>2773329.890625</v>
      </c>
      <c r="O88" s="241"/>
      <c r="P88" s="241">
        <f>(SUMPRODUCT($D$30:$D$37,K49:K56)*K$58)*(1-$C$87)</f>
        <v>3179702.584929199</v>
      </c>
      <c r="Q88" s="241">
        <f>(SUMPRODUCT($D$30:$D$37,L49:L56)*L$58)*(1-$C$87)</f>
        <v>6098084.0438104235</v>
      </c>
      <c r="R88" s="241">
        <f>(SUMPRODUCT($D$30:$D$37,M49:M56)*M$58)*(1-$C$87)</f>
        <v>3259691.9780813237</v>
      </c>
      <c r="S88" s="241"/>
      <c r="T88" s="241"/>
      <c r="U88" s="241"/>
      <c r="V88" s="241"/>
      <c r="W88" s="241"/>
      <c r="X88" s="241"/>
      <c r="Y88" s="241"/>
      <c r="Z88" s="241"/>
      <c r="AA88" s="241"/>
      <c r="AB88" s="96">
        <f>SUM(E88:AA88)</f>
        <v>20796445.997445945</v>
      </c>
      <c r="AD88" s="119"/>
      <c r="AJ88" s="1"/>
    </row>
    <row r="89" spans="2:40" x14ac:dyDescent="0.2">
      <c r="B89" s="39" t="s">
        <v>121</v>
      </c>
      <c r="C89" s="90"/>
      <c r="D89" s="90"/>
      <c r="E89" s="198"/>
      <c r="F89" s="198"/>
      <c r="G89" s="198"/>
      <c r="H89" s="198"/>
      <c r="I89" s="198"/>
      <c r="J89" s="198"/>
      <c r="K89" s="198">
        <f>SUMPRODUCT(K$43:K$48,$D24:$D$29)*K60</f>
        <v>8289375</v>
      </c>
      <c r="L89" s="198">
        <f>SUMPRODUCT(L$43:L$48,$D24:$D$29)*L60</f>
        <v>9418980.46875</v>
      </c>
      <c r="M89" s="198">
        <f>SUMPRODUCT(M$43:M$48,$D24:$D$29)*M60</f>
        <v>9595586.3525390625</v>
      </c>
      <c r="N89" s="198">
        <f>SUMPRODUCT(N$43:N$56,$D24:$D$37)*N60</f>
        <v>0</v>
      </c>
      <c r="O89" s="198">
        <f>SUMPRODUCT(O$43:O$56,$D24:$D$37)*O60*(1-$C$87)</f>
        <v>0</v>
      </c>
      <c r="P89" s="198">
        <f>SUMPRODUCT(P$43:P$56,$D24:$D$37)*P60</f>
        <v>18192395.601765025</v>
      </c>
      <c r="Q89" s="198">
        <f>SUMPRODUCT(Q$43:Q$56,$D24:$D$37)*Q60</f>
        <v>9241598.5989691708</v>
      </c>
      <c r="R89" s="198">
        <f>SUMPRODUCT(R$43:R$56,$D24:$D$37)*R60</f>
        <v>9440503.1004549805</v>
      </c>
      <c r="S89" s="198">
        <f>SUMPRODUCT(S$43:S$56,$D24:$D$37)*S60*(1-$C$87)</f>
        <v>0</v>
      </c>
      <c r="T89" s="198">
        <f>SUMPRODUCT(T$43:T$56,$D24:$D$37)*T60</f>
        <v>0</v>
      </c>
      <c r="U89" s="198">
        <f>SUMPRODUCT(U$43:U$56,$D24:$D$37)*U60</f>
        <v>0</v>
      </c>
      <c r="V89" s="198">
        <f>SUMPRODUCT(V$43:V$56,$D24:$D$37)*V60</f>
        <v>0</v>
      </c>
      <c r="W89" s="198">
        <f>SUMPRODUCT(W$43:W$56,$D24:$D$37)*W60</f>
        <v>0</v>
      </c>
      <c r="X89" s="198">
        <f>SUMPRODUCT(X$43:X$56,$D24:$D$37)*X60*(1-$C$87)</f>
        <v>0</v>
      </c>
      <c r="Y89" s="198">
        <f>SUMPRODUCT(Y$43:Y$56,$D24:$D$37)*Y60</f>
        <v>0</v>
      </c>
      <c r="Z89" s="198">
        <f>SUMPRODUCT(Z$43:Z$56,$D24:$D$37)*Z60</f>
        <v>0</v>
      </c>
      <c r="AA89" s="198">
        <f>SUMPRODUCT(AA$43:AA$56,$D24:$D$37)*AA60</f>
        <v>0</v>
      </c>
      <c r="AB89" s="40">
        <f>SUM(E89:AA89)</f>
        <v>64178439.122478232</v>
      </c>
      <c r="AD89" s="120">
        <f>SUM(K61:AB61)</f>
        <v>0</v>
      </c>
      <c r="AE89" s="227">
        <f>AD89/AB38</f>
        <v>0</v>
      </c>
      <c r="AF89" s="231">
        <f>AD89/D39</f>
        <v>0</v>
      </c>
      <c r="AG89" s="107" t="s">
        <v>122</v>
      </c>
      <c r="AJ89" s="1"/>
      <c r="AK89" s="386"/>
      <c r="AL89" s="386"/>
      <c r="AM89" s="386"/>
      <c r="AN89" s="386"/>
    </row>
    <row r="90" spans="2:40" x14ac:dyDescent="0.2">
      <c r="B90" s="54" t="s">
        <v>123</v>
      </c>
      <c r="C90" s="8"/>
      <c r="D90" s="8"/>
      <c r="E90" s="44">
        <f t="shared" ref="E90:L90" si="29">E72+E80+E87+E88+E89</f>
        <v>0</v>
      </c>
      <c r="F90" s="44">
        <f t="shared" si="29"/>
        <v>16170750.949999999</v>
      </c>
      <c r="G90" s="44">
        <f t="shared" si="29"/>
        <v>4888763.0218749996</v>
      </c>
      <c r="H90" s="44">
        <f t="shared" si="29"/>
        <v>6910017</v>
      </c>
      <c r="I90" s="44">
        <f t="shared" si="29"/>
        <v>8894619.5124999993</v>
      </c>
      <c r="J90" s="44">
        <f t="shared" si="29"/>
        <v>5633066.9937500004</v>
      </c>
      <c r="K90" s="44">
        <f t="shared" si="29"/>
        <v>17465763.186347656</v>
      </c>
      <c r="L90" s="44">
        <f t="shared" si="29"/>
        <v>24012551.936298825</v>
      </c>
      <c r="M90" s="44">
        <f t="shared" ref="M90:R90" si="30">M72+M80+M87+M88+M89</f>
        <v>23452730.577386782</v>
      </c>
      <c r="N90" s="44">
        <f t="shared" si="30"/>
        <v>10709817.84974556</v>
      </c>
      <c r="O90" s="44">
        <f t="shared" si="30"/>
        <v>5090547.3002491388</v>
      </c>
      <c r="P90" s="44">
        <f t="shared" si="30"/>
        <v>23977758.338569224</v>
      </c>
      <c r="Q90" s="44">
        <f t="shared" si="30"/>
        <v>16861185.244029596</v>
      </c>
      <c r="R90" s="44">
        <f t="shared" si="30"/>
        <v>13215057.578536304</v>
      </c>
      <c r="S90" s="44">
        <f t="shared" ref="S90:AA90" si="31">S72+S80+S87+S89</f>
        <v>0</v>
      </c>
      <c r="T90" s="44">
        <f t="shared" si="31"/>
        <v>0</v>
      </c>
      <c r="U90" s="44">
        <f t="shared" si="31"/>
        <v>0</v>
      </c>
      <c r="V90" s="44">
        <f t="shared" si="31"/>
        <v>0</v>
      </c>
      <c r="W90" s="44">
        <f t="shared" si="31"/>
        <v>0</v>
      </c>
      <c r="X90" s="44">
        <f t="shared" si="31"/>
        <v>0</v>
      </c>
      <c r="Y90" s="44">
        <f t="shared" si="31"/>
        <v>0</v>
      </c>
      <c r="Z90" s="44">
        <f t="shared" si="31"/>
        <v>0</v>
      </c>
      <c r="AA90" s="44">
        <f t="shared" si="31"/>
        <v>0</v>
      </c>
      <c r="AB90" s="44">
        <f>AB72+AB80+AB87+AB88+AB89</f>
        <v>177282629.48928809</v>
      </c>
      <c r="AD90" s="1" t="s">
        <v>124</v>
      </c>
      <c r="AJ90" s="1"/>
    </row>
    <row r="91" spans="2:40" x14ac:dyDescent="0.2">
      <c r="E91" s="113"/>
      <c r="AB91" s="20"/>
      <c r="AD91" s="107">
        <f>(AB87)+AB88+AB89</f>
        <v>123596856.25803807</v>
      </c>
      <c r="AE91" s="231">
        <f>AD91/D39</f>
        <v>1919.3250552524703</v>
      </c>
      <c r="AF91" s="107" t="s">
        <v>122</v>
      </c>
      <c r="AJ91" s="1"/>
    </row>
    <row r="92" spans="2:40" x14ac:dyDescent="0.2">
      <c r="B92" s="59" t="s">
        <v>125</v>
      </c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  <c r="N92" s="60"/>
      <c r="O92" s="60"/>
      <c r="P92" s="60"/>
      <c r="Q92" s="60"/>
      <c r="R92" s="60"/>
      <c r="S92" s="60"/>
      <c r="T92" s="60"/>
      <c r="U92" s="60"/>
      <c r="V92" s="60"/>
      <c r="W92" s="60"/>
      <c r="X92" s="60"/>
      <c r="Y92" s="60"/>
      <c r="Z92" s="60"/>
      <c r="AA92" s="60"/>
      <c r="AB92" s="61"/>
      <c r="AD92" s="429"/>
      <c r="AJ92" s="1"/>
    </row>
    <row r="93" spans="2:40" x14ac:dyDescent="0.2">
      <c r="B93" s="228" t="s">
        <v>126</v>
      </c>
      <c r="AB93" s="20"/>
      <c r="AF93" s="108">
        <f>E94*0.65</f>
        <v>0</v>
      </c>
      <c r="AG93" s="119">
        <v>0.65</v>
      </c>
      <c r="AJ93" s="1"/>
    </row>
    <row r="94" spans="2:40" x14ac:dyDescent="0.2">
      <c r="B94" s="18" t="s">
        <v>127</v>
      </c>
      <c r="C94" s="45"/>
      <c r="D94" s="45"/>
      <c r="E94" s="45"/>
      <c r="F94" s="45">
        <v>14000000</v>
      </c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>
        <f>SUM(E94:L94)</f>
        <v>14000000</v>
      </c>
      <c r="AF94" s="108">
        <f>E94*0.85</f>
        <v>0</v>
      </c>
      <c r="AG94" s="119">
        <v>0.85</v>
      </c>
      <c r="AJ94" s="1"/>
    </row>
    <row r="95" spans="2:40" hidden="1" x14ac:dyDescent="0.2">
      <c r="B95" s="18" t="s">
        <v>128</v>
      </c>
      <c r="C95" s="45"/>
      <c r="D95" s="45"/>
      <c r="E95" s="122"/>
      <c r="F95" s="122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>
        <f>SUM(E95:L95)</f>
        <v>0</v>
      </c>
      <c r="AF95" s="108">
        <f>E94*0.95</f>
        <v>0</v>
      </c>
      <c r="AG95" s="119">
        <v>0.95</v>
      </c>
      <c r="AJ95" s="1"/>
    </row>
    <row r="96" spans="2:40" ht="17" customHeight="1" x14ac:dyDescent="0.2">
      <c r="B96" s="18" t="s">
        <v>129</v>
      </c>
      <c r="C96" s="237">
        <v>0.01</v>
      </c>
      <c r="D96" s="45"/>
      <c r="E96" s="122">
        <f>SUM(E94:E95)*C96</f>
        <v>0</v>
      </c>
      <c r="F96" s="122">
        <f>SUM(F94:F95)*C96</f>
        <v>140000</v>
      </c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>
        <f>SUM(E96:L96)</f>
        <v>140000</v>
      </c>
      <c r="AF96" s="108"/>
      <c r="AG96" s="119"/>
      <c r="AJ96" s="1"/>
    </row>
    <row r="97" spans="2:36" x14ac:dyDescent="0.2">
      <c r="B97" s="18" t="s">
        <v>130</v>
      </c>
      <c r="C97" s="243">
        <v>1.5E-3</v>
      </c>
      <c r="D97" s="243"/>
      <c r="E97" s="96">
        <f>E94*$C$97</f>
        <v>0</v>
      </c>
      <c r="F97" s="96">
        <f>F94*$C$97</f>
        <v>21000</v>
      </c>
      <c r="G97" s="20"/>
      <c r="H97" s="20"/>
      <c r="I97" s="20"/>
      <c r="J97" s="20"/>
      <c r="K97" s="20"/>
      <c r="L97" s="20"/>
      <c r="M97" s="96"/>
      <c r="N97" s="96"/>
      <c r="O97" s="96"/>
      <c r="P97" s="96"/>
      <c r="Q97" s="96"/>
      <c r="R97" s="96"/>
      <c r="S97" s="96"/>
      <c r="T97" s="96"/>
      <c r="U97" s="96"/>
      <c r="V97" s="96"/>
      <c r="W97" s="96"/>
      <c r="X97" s="96"/>
      <c r="Y97" s="96"/>
      <c r="Z97" s="96"/>
      <c r="AA97" s="96">
        <f>AA94*$C$97</f>
        <v>0</v>
      </c>
      <c r="AB97" s="96">
        <f>SUM(E97:AA97)</f>
        <v>21000</v>
      </c>
      <c r="AF97" s="236">
        <v>18423158</v>
      </c>
      <c r="AG97" s="119">
        <v>1</v>
      </c>
      <c r="AJ97" s="1"/>
    </row>
    <row r="98" spans="2:36" x14ac:dyDescent="0.2">
      <c r="B98" s="225" t="s">
        <v>126</v>
      </c>
      <c r="C98" s="244"/>
      <c r="D98" s="244"/>
      <c r="E98" s="101">
        <f>SUM(E94:E97)</f>
        <v>0</v>
      </c>
      <c r="F98" s="101">
        <f t="shared" ref="F98:AA98" si="32">SUM(F94:F97)</f>
        <v>14161000</v>
      </c>
      <c r="G98" s="101">
        <f t="shared" si="32"/>
        <v>0</v>
      </c>
      <c r="H98" s="101">
        <f t="shared" si="32"/>
        <v>0</v>
      </c>
      <c r="I98" s="101">
        <f t="shared" si="32"/>
        <v>0</v>
      </c>
      <c r="J98" s="101">
        <f t="shared" si="32"/>
        <v>0</v>
      </c>
      <c r="K98" s="101">
        <f t="shared" si="32"/>
        <v>0</v>
      </c>
      <c r="L98" s="101">
        <f t="shared" si="32"/>
        <v>0</v>
      </c>
      <c r="M98" s="101">
        <f t="shared" si="32"/>
        <v>0</v>
      </c>
      <c r="N98" s="101">
        <f t="shared" si="32"/>
        <v>0</v>
      </c>
      <c r="O98" s="101">
        <f t="shared" si="32"/>
        <v>0</v>
      </c>
      <c r="P98" s="101">
        <f t="shared" si="32"/>
        <v>0</v>
      </c>
      <c r="Q98" s="101">
        <f t="shared" si="32"/>
        <v>0</v>
      </c>
      <c r="R98" s="101">
        <f t="shared" si="32"/>
        <v>0</v>
      </c>
      <c r="S98" s="101">
        <f t="shared" si="32"/>
        <v>0</v>
      </c>
      <c r="T98" s="101">
        <f t="shared" si="32"/>
        <v>0</v>
      </c>
      <c r="U98" s="101">
        <f t="shared" si="32"/>
        <v>0</v>
      </c>
      <c r="V98" s="101">
        <f t="shared" si="32"/>
        <v>0</v>
      </c>
      <c r="W98" s="101">
        <f t="shared" si="32"/>
        <v>0</v>
      </c>
      <c r="X98" s="101"/>
      <c r="Y98" s="101"/>
      <c r="Z98" s="101"/>
      <c r="AA98" s="101">
        <f t="shared" si="32"/>
        <v>0</v>
      </c>
      <c r="AB98" s="101">
        <f>SUM(E98:AA98)</f>
        <v>14161000</v>
      </c>
      <c r="AD98" s="108">
        <f>AB98/AB38</f>
        <v>1011500</v>
      </c>
      <c r="AE98" s="158" t="s">
        <v>131</v>
      </c>
      <c r="AJ98" s="1"/>
    </row>
    <row r="99" spans="2:36" hidden="1" x14ac:dyDescent="0.2">
      <c r="B99" s="48"/>
      <c r="C99" s="363"/>
      <c r="D99" s="363"/>
      <c r="E99" s="131"/>
      <c r="F99" s="131"/>
      <c r="G99" s="131"/>
      <c r="H99" s="131"/>
      <c r="I99" s="131"/>
      <c r="J99" s="131"/>
      <c r="K99" s="131"/>
      <c r="L99" s="131"/>
      <c r="M99" s="131"/>
      <c r="N99" s="131"/>
      <c r="O99" s="131"/>
      <c r="P99" s="131"/>
      <c r="Q99" s="131"/>
      <c r="R99" s="131"/>
      <c r="S99" s="131"/>
      <c r="T99" s="131"/>
      <c r="U99" s="131"/>
      <c r="V99" s="131"/>
      <c r="W99" s="131"/>
      <c r="X99" s="131"/>
      <c r="Y99" s="131"/>
      <c r="Z99" s="131"/>
      <c r="AA99" s="131"/>
      <c r="AB99" s="20"/>
      <c r="AD99" s="103">
        <f>AB98/$AD$91</f>
        <v>0.11457411158124861</v>
      </c>
      <c r="AE99" s="1" t="s">
        <v>132</v>
      </c>
      <c r="AJ99" s="1"/>
    </row>
    <row r="100" spans="2:36" hidden="1" x14ac:dyDescent="0.2">
      <c r="B100" s="228" t="s">
        <v>133</v>
      </c>
      <c r="C100" s="363"/>
      <c r="D100" s="363"/>
      <c r="E100" s="131"/>
      <c r="F100" s="131"/>
      <c r="G100" s="131"/>
      <c r="H100" s="131"/>
      <c r="I100" s="131"/>
      <c r="J100" s="131"/>
      <c r="K100" s="131"/>
      <c r="L100" s="131"/>
      <c r="M100" s="131"/>
      <c r="N100" s="131"/>
      <c r="O100" s="131"/>
      <c r="P100" s="131"/>
      <c r="Q100" s="131"/>
      <c r="R100" s="131"/>
      <c r="S100" s="131"/>
      <c r="T100" s="131"/>
      <c r="U100" s="131"/>
      <c r="V100" s="131"/>
      <c r="W100" s="131"/>
      <c r="X100" s="131"/>
      <c r="Y100" s="131"/>
      <c r="Z100" s="131"/>
      <c r="AA100" s="131"/>
      <c r="AB100" s="20">
        <f>SUM(E100:R100)</f>
        <v>0</v>
      </c>
      <c r="AD100" s="108"/>
      <c r="AE100" s="158"/>
      <c r="AJ100" s="1"/>
    </row>
    <row r="101" spans="2:36" hidden="1" x14ac:dyDescent="0.2">
      <c r="B101" s="18" t="s">
        <v>134</v>
      </c>
      <c r="C101" s="363"/>
      <c r="D101" s="363"/>
      <c r="E101" s="138"/>
      <c r="F101" s="138"/>
      <c r="G101" s="138"/>
      <c r="H101" s="138"/>
      <c r="I101" s="138">
        <f>+'Proforma Amenity Ops'!I69</f>
        <v>0</v>
      </c>
      <c r="J101" s="138">
        <f>+'Proforma Amenity Ops'!J69</f>
        <v>0</v>
      </c>
      <c r="K101" s="138">
        <f>+'Proforma Amenity Ops'!K69</f>
        <v>0</v>
      </c>
      <c r="L101" s="138">
        <f>+'Proforma Amenity Ops'!L69</f>
        <v>0</v>
      </c>
      <c r="M101" s="131"/>
      <c r="N101" s="131"/>
      <c r="O101" s="131"/>
      <c r="P101" s="131"/>
      <c r="Q101" s="131"/>
      <c r="R101" s="131"/>
      <c r="S101" s="131"/>
      <c r="T101" s="131"/>
      <c r="U101" s="131"/>
      <c r="V101" s="131"/>
      <c r="W101" s="131"/>
      <c r="X101" s="131"/>
      <c r="Y101" s="131"/>
      <c r="Z101" s="131"/>
      <c r="AA101" s="131"/>
      <c r="AB101" s="20">
        <f>SUM(E101:R101)</f>
        <v>0</v>
      </c>
      <c r="AD101" s="108"/>
      <c r="AE101" s="158"/>
      <c r="AJ101" s="1"/>
    </row>
    <row r="102" spans="2:36" hidden="1" x14ac:dyDescent="0.2">
      <c r="B102" s="18" t="s">
        <v>135</v>
      </c>
      <c r="C102" s="363"/>
      <c r="D102" s="363"/>
      <c r="E102" s="56"/>
      <c r="F102" s="56"/>
      <c r="G102" s="56"/>
      <c r="H102" s="56"/>
      <c r="I102" s="56">
        <f>'Proforma Amenity Ops'!I70</f>
        <v>0</v>
      </c>
      <c r="J102" s="56">
        <f>'Proforma Amenity Ops'!J70</f>
        <v>0</v>
      </c>
      <c r="K102" s="56">
        <f>'Proforma Amenity Ops'!K70</f>
        <v>0</v>
      </c>
      <c r="L102" s="56">
        <f>'Proforma Amenity Ops'!L70</f>
        <v>0</v>
      </c>
      <c r="M102" s="131"/>
      <c r="N102" s="131"/>
      <c r="O102" s="131"/>
      <c r="P102" s="131"/>
      <c r="Q102" s="131"/>
      <c r="R102" s="131"/>
      <c r="S102" s="131"/>
      <c r="T102" s="131"/>
      <c r="U102" s="131"/>
      <c r="V102" s="131"/>
      <c r="W102" s="131"/>
      <c r="X102" s="131"/>
      <c r="Y102" s="131"/>
      <c r="Z102" s="131"/>
      <c r="AA102" s="131"/>
      <c r="AB102" s="20">
        <f>SUM(E102:R102)</f>
        <v>0</v>
      </c>
      <c r="AD102" s="108"/>
      <c r="AE102" s="158"/>
      <c r="AJ102" s="1"/>
    </row>
    <row r="103" spans="2:36" hidden="1" x14ac:dyDescent="0.2">
      <c r="B103" s="225" t="str">
        <f>B100</f>
        <v>AMENITY - USE OF DEBT/EQUITY</v>
      </c>
      <c r="C103" s="226"/>
      <c r="D103" s="226"/>
      <c r="E103" s="100">
        <f>SUM(E100:E102)</f>
        <v>0</v>
      </c>
      <c r="F103" s="100">
        <f t="shared" ref="F103:S103" si="33">SUM(F100:F102)</f>
        <v>0</v>
      </c>
      <c r="G103" s="100">
        <f t="shared" si="33"/>
        <v>0</v>
      </c>
      <c r="H103" s="100">
        <f t="shared" si="33"/>
        <v>0</v>
      </c>
      <c r="I103" s="100">
        <f t="shared" si="33"/>
        <v>0</v>
      </c>
      <c r="J103" s="100">
        <f t="shared" si="33"/>
        <v>0</v>
      </c>
      <c r="K103" s="100">
        <f t="shared" si="33"/>
        <v>0</v>
      </c>
      <c r="L103" s="100">
        <f t="shared" si="33"/>
        <v>0</v>
      </c>
      <c r="M103" s="100">
        <f t="shared" si="33"/>
        <v>0</v>
      </c>
      <c r="N103" s="100">
        <f t="shared" si="33"/>
        <v>0</v>
      </c>
      <c r="O103" s="100">
        <f t="shared" si="33"/>
        <v>0</v>
      </c>
      <c r="P103" s="100">
        <f t="shared" si="33"/>
        <v>0</v>
      </c>
      <c r="Q103" s="100">
        <f t="shared" si="33"/>
        <v>0</v>
      </c>
      <c r="R103" s="100">
        <f t="shared" si="33"/>
        <v>0</v>
      </c>
      <c r="S103" s="100">
        <f t="shared" si="33"/>
        <v>0</v>
      </c>
      <c r="T103" s="100"/>
      <c r="U103" s="100"/>
      <c r="V103" s="100"/>
      <c r="W103" s="100"/>
      <c r="X103" s="100"/>
      <c r="Y103" s="100"/>
      <c r="Z103" s="100"/>
      <c r="AA103" s="100"/>
      <c r="AB103" s="20">
        <f>SUM(E103:R103)</f>
        <v>0</v>
      </c>
      <c r="AD103" s="108"/>
      <c r="AE103" s="158"/>
      <c r="AJ103" s="1"/>
    </row>
    <row r="104" spans="2:36" x14ac:dyDescent="0.2">
      <c r="B104" s="37"/>
      <c r="C104" s="33"/>
      <c r="D104" s="33"/>
      <c r="E104" s="32"/>
      <c r="F104" s="32"/>
      <c r="G104" s="32"/>
      <c r="H104" s="32"/>
      <c r="I104" s="32"/>
      <c r="J104" s="32"/>
      <c r="K104" s="32"/>
      <c r="L104" s="32"/>
      <c r="M104" s="32"/>
      <c r="N104" s="32"/>
      <c r="O104" s="32"/>
      <c r="P104" s="32"/>
      <c r="Q104" s="32"/>
      <c r="R104" s="32"/>
      <c r="S104" s="32"/>
      <c r="T104" s="32"/>
      <c r="U104" s="32"/>
      <c r="V104" s="32"/>
      <c r="W104" s="32"/>
      <c r="X104" s="32"/>
      <c r="Y104" s="32"/>
      <c r="Z104" s="32"/>
      <c r="AA104" s="32"/>
      <c r="AB104" s="20">
        <f>SUM(E104:R104)</f>
        <v>0</v>
      </c>
      <c r="AD104" s="103">
        <f>AB98/$AD$91</f>
        <v>0.11457411158124861</v>
      </c>
      <c r="AE104" s="1" t="s">
        <v>132</v>
      </c>
      <c r="AJ104" s="1"/>
    </row>
    <row r="105" spans="2:36" x14ac:dyDescent="0.2">
      <c r="B105" s="228" t="s">
        <v>136</v>
      </c>
      <c r="C105" s="33"/>
      <c r="D105" s="33"/>
      <c r="E105" s="32"/>
      <c r="F105" s="57"/>
      <c r="G105" s="32"/>
      <c r="H105" s="32"/>
      <c r="I105" s="57"/>
      <c r="J105" s="32"/>
      <c r="K105" s="32"/>
      <c r="L105" s="32"/>
      <c r="M105" s="32"/>
      <c r="N105" s="32"/>
      <c r="O105" s="32"/>
      <c r="P105" s="32"/>
      <c r="Q105" s="32"/>
      <c r="R105" s="32"/>
      <c r="S105" s="32"/>
      <c r="T105" s="32"/>
      <c r="U105" s="32"/>
      <c r="V105" s="32"/>
      <c r="W105" s="32"/>
      <c r="X105" s="32"/>
      <c r="Y105" s="32"/>
      <c r="Z105" s="32"/>
      <c r="AA105" s="32"/>
      <c r="AB105" s="20"/>
      <c r="AJ105" s="1"/>
    </row>
    <row r="106" spans="2:36" hidden="1" x14ac:dyDescent="0.2">
      <c r="B106" s="18" t="s">
        <v>137</v>
      </c>
      <c r="C106" s="21"/>
      <c r="D106" s="21"/>
      <c r="E106" s="20">
        <f>$C$106*0.15</f>
        <v>0</v>
      </c>
      <c r="F106" s="20">
        <f>$C$106*0.25</f>
        <v>0</v>
      </c>
      <c r="G106" s="20">
        <f>$C$106*0.25</f>
        <v>0</v>
      </c>
      <c r="H106" s="20"/>
      <c r="I106" s="20"/>
      <c r="J106" s="20">
        <f>$C$106*0.2</f>
        <v>0</v>
      </c>
      <c r="K106" s="20"/>
      <c r="L106" s="20"/>
      <c r="M106" s="20"/>
      <c r="N106" s="20">
        <f>$C$106*0.15</f>
        <v>0</v>
      </c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>
        <f>SUM(E106:R106)</f>
        <v>0</v>
      </c>
      <c r="AJ106" s="1"/>
    </row>
    <row r="107" spans="2:36" hidden="1" x14ac:dyDescent="0.2">
      <c r="B107" s="18" t="s">
        <v>138</v>
      </c>
      <c r="C107" s="21"/>
      <c r="D107" s="21"/>
      <c r="E107" s="20">
        <f>+$C107*SUM($AB$24:$AB$29)</f>
        <v>0</v>
      </c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>
        <f>SUM(E107:R107)</f>
        <v>0</v>
      </c>
      <c r="AJ107" s="1"/>
    </row>
    <row r="108" spans="2:36" hidden="1" x14ac:dyDescent="0.2">
      <c r="B108" s="18" t="s">
        <v>139</v>
      </c>
      <c r="C108" s="21"/>
      <c r="D108" s="21"/>
      <c r="E108" s="20"/>
      <c r="F108" s="20"/>
      <c r="G108" s="20"/>
      <c r="H108" s="20"/>
      <c r="I108" s="20">
        <f>$C108*SUM($AB$30:$AB$37)</f>
        <v>0</v>
      </c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>
        <f>SUM(E108:R108)</f>
        <v>0</v>
      </c>
      <c r="AJ108" s="1"/>
    </row>
    <row r="109" spans="2:36" hidden="1" x14ac:dyDescent="0.2">
      <c r="B109" s="18" t="s">
        <v>140</v>
      </c>
      <c r="C109" s="164"/>
      <c r="D109" s="164"/>
      <c r="E109" s="122">
        <f>$C109</f>
        <v>0</v>
      </c>
      <c r="F109" s="122">
        <v>0</v>
      </c>
      <c r="G109" s="122">
        <v>0</v>
      </c>
      <c r="H109" s="122">
        <v>0</v>
      </c>
      <c r="I109" s="122">
        <v>0</v>
      </c>
      <c r="J109" s="122">
        <v>0</v>
      </c>
      <c r="K109" s="122">
        <v>0</v>
      </c>
      <c r="L109" s="122">
        <v>0</v>
      </c>
      <c r="M109" s="122">
        <v>0</v>
      </c>
      <c r="N109" s="122">
        <v>0</v>
      </c>
      <c r="O109" s="122">
        <v>0</v>
      </c>
      <c r="P109" s="122">
        <v>0</v>
      </c>
      <c r="Q109" s="122">
        <v>0</v>
      </c>
      <c r="R109" s="122">
        <v>0</v>
      </c>
      <c r="S109" s="122">
        <v>0</v>
      </c>
      <c r="T109" s="122">
        <v>0</v>
      </c>
      <c r="U109" s="122">
        <v>0</v>
      </c>
      <c r="V109" s="122">
        <v>0</v>
      </c>
      <c r="W109" s="122">
        <v>0</v>
      </c>
      <c r="X109" s="122">
        <v>0</v>
      </c>
      <c r="Y109" s="122">
        <v>0</v>
      </c>
      <c r="Z109" s="122">
        <v>0</v>
      </c>
      <c r="AA109" s="122">
        <v>0</v>
      </c>
      <c r="AB109" s="423">
        <f t="shared" ref="AB109:AB141" si="34">SUM(E109:AA109)</f>
        <v>0</v>
      </c>
      <c r="AD109" s="107">
        <f t="shared" ref="AD109:AD138" si="35">C109-AB109</f>
        <v>0</v>
      </c>
      <c r="AJ109" s="1"/>
    </row>
    <row r="110" spans="2:36" hidden="1" x14ac:dyDescent="0.2">
      <c r="B110" s="18" t="s">
        <v>141</v>
      </c>
      <c r="C110" s="164"/>
      <c r="D110" s="164"/>
      <c r="E110" s="122">
        <v>0</v>
      </c>
      <c r="F110" s="122">
        <v>0</v>
      </c>
      <c r="G110" s="122">
        <v>0</v>
      </c>
      <c r="H110" s="122">
        <v>0</v>
      </c>
      <c r="I110" s="122">
        <v>0</v>
      </c>
      <c r="J110" s="122">
        <v>0</v>
      </c>
      <c r="K110" s="122">
        <v>0</v>
      </c>
      <c r="L110" s="122">
        <v>0</v>
      </c>
      <c r="M110" s="122">
        <f>$C110</f>
        <v>0</v>
      </c>
      <c r="N110" s="122">
        <v>0</v>
      </c>
      <c r="O110" s="122">
        <v>0</v>
      </c>
      <c r="P110" s="122">
        <v>0</v>
      </c>
      <c r="Q110" s="122">
        <v>0</v>
      </c>
      <c r="R110" s="122">
        <v>0</v>
      </c>
      <c r="S110" s="122">
        <v>0</v>
      </c>
      <c r="T110" s="122">
        <v>0</v>
      </c>
      <c r="U110" s="122">
        <v>0</v>
      </c>
      <c r="V110" s="122">
        <v>0</v>
      </c>
      <c r="W110" s="122">
        <v>0</v>
      </c>
      <c r="X110" s="122">
        <v>0</v>
      </c>
      <c r="Y110" s="122">
        <v>0</v>
      </c>
      <c r="Z110" s="122">
        <v>0</v>
      </c>
      <c r="AA110" s="122">
        <v>0</v>
      </c>
      <c r="AB110" s="423">
        <f t="shared" si="34"/>
        <v>0</v>
      </c>
      <c r="AD110" s="107">
        <f t="shared" si="35"/>
        <v>0</v>
      </c>
      <c r="AJ110" s="1"/>
    </row>
    <row r="111" spans="2:36" hidden="1" x14ac:dyDescent="0.2">
      <c r="B111" s="18" t="s">
        <v>142</v>
      </c>
      <c r="C111" s="164"/>
      <c r="D111" s="164"/>
      <c r="E111" s="122">
        <f>$C111</f>
        <v>0</v>
      </c>
      <c r="F111" s="122">
        <v>0</v>
      </c>
      <c r="G111" s="122">
        <v>0</v>
      </c>
      <c r="H111" s="122">
        <v>0</v>
      </c>
      <c r="I111" s="122">
        <v>0</v>
      </c>
      <c r="J111" s="122">
        <v>0</v>
      </c>
      <c r="K111" s="122">
        <v>0</v>
      </c>
      <c r="L111" s="122">
        <v>0</v>
      </c>
      <c r="M111" s="122">
        <v>0</v>
      </c>
      <c r="N111" s="122">
        <v>0</v>
      </c>
      <c r="O111" s="122">
        <v>0</v>
      </c>
      <c r="P111" s="122">
        <v>0</v>
      </c>
      <c r="Q111" s="122">
        <v>0</v>
      </c>
      <c r="R111" s="122">
        <v>0</v>
      </c>
      <c r="S111" s="122">
        <v>0</v>
      </c>
      <c r="T111" s="122">
        <v>0</v>
      </c>
      <c r="U111" s="122">
        <v>0</v>
      </c>
      <c r="V111" s="122">
        <v>0</v>
      </c>
      <c r="W111" s="122">
        <v>0</v>
      </c>
      <c r="X111" s="122">
        <v>0</v>
      </c>
      <c r="Y111" s="122">
        <v>0</v>
      </c>
      <c r="Z111" s="122">
        <v>0</v>
      </c>
      <c r="AA111" s="122">
        <v>0</v>
      </c>
      <c r="AB111" s="423">
        <f t="shared" si="34"/>
        <v>0</v>
      </c>
      <c r="AD111" s="107">
        <f t="shared" si="35"/>
        <v>0</v>
      </c>
      <c r="AJ111" s="1"/>
    </row>
    <row r="112" spans="2:36" hidden="1" x14ac:dyDescent="0.2">
      <c r="B112" s="18" t="s">
        <v>143</v>
      </c>
      <c r="C112" s="164"/>
      <c r="D112" s="164"/>
      <c r="E112" s="122">
        <v>0</v>
      </c>
      <c r="F112" s="122">
        <v>0</v>
      </c>
      <c r="G112" s="122">
        <v>0</v>
      </c>
      <c r="H112" s="122">
        <v>0</v>
      </c>
      <c r="I112" s="122">
        <v>0</v>
      </c>
      <c r="J112" s="122">
        <v>0</v>
      </c>
      <c r="K112" s="122">
        <v>0</v>
      </c>
      <c r="L112" s="122">
        <v>0</v>
      </c>
      <c r="M112" s="122">
        <f>$C112</f>
        <v>0</v>
      </c>
      <c r="N112" s="122">
        <v>0</v>
      </c>
      <c r="O112" s="122">
        <v>0</v>
      </c>
      <c r="P112" s="122">
        <v>0</v>
      </c>
      <c r="Q112" s="122">
        <v>0</v>
      </c>
      <c r="R112" s="122">
        <v>0</v>
      </c>
      <c r="S112" s="122">
        <v>0</v>
      </c>
      <c r="T112" s="122">
        <v>0</v>
      </c>
      <c r="U112" s="122">
        <v>0</v>
      </c>
      <c r="V112" s="122">
        <v>0</v>
      </c>
      <c r="W112" s="122">
        <v>0</v>
      </c>
      <c r="X112" s="122">
        <v>0</v>
      </c>
      <c r="Y112" s="122">
        <v>0</v>
      </c>
      <c r="Z112" s="122">
        <v>0</v>
      </c>
      <c r="AA112" s="122">
        <v>0</v>
      </c>
      <c r="AB112" s="423">
        <f t="shared" si="34"/>
        <v>0</v>
      </c>
      <c r="AD112" s="107">
        <f t="shared" si="35"/>
        <v>0</v>
      </c>
      <c r="AJ112" s="1"/>
    </row>
    <row r="113" spans="1:36" hidden="1" x14ac:dyDescent="0.2">
      <c r="A113"/>
      <c r="B113" s="18" t="s">
        <v>144</v>
      </c>
      <c r="C113" s="164"/>
      <c r="D113" s="164"/>
      <c r="E113" s="122">
        <v>0</v>
      </c>
      <c r="F113" s="122">
        <v>0</v>
      </c>
      <c r="G113" s="122">
        <v>0</v>
      </c>
      <c r="H113" s="122">
        <v>0</v>
      </c>
      <c r="I113" s="122">
        <f>$C113</f>
        <v>0</v>
      </c>
      <c r="J113" s="122">
        <v>0</v>
      </c>
      <c r="K113" s="122">
        <v>0</v>
      </c>
      <c r="L113" s="122">
        <v>0</v>
      </c>
      <c r="M113" s="122">
        <v>0</v>
      </c>
      <c r="N113" s="122">
        <v>0</v>
      </c>
      <c r="O113" s="122">
        <v>0</v>
      </c>
      <c r="P113" s="122">
        <v>0</v>
      </c>
      <c r="Q113" s="122">
        <v>0</v>
      </c>
      <c r="R113" s="122">
        <v>0</v>
      </c>
      <c r="S113" s="122">
        <v>0</v>
      </c>
      <c r="T113" s="122">
        <v>0</v>
      </c>
      <c r="U113" s="122">
        <v>0</v>
      </c>
      <c r="V113" s="122">
        <v>0</v>
      </c>
      <c r="W113" s="122">
        <v>0</v>
      </c>
      <c r="X113" s="122">
        <v>0</v>
      </c>
      <c r="Y113" s="122">
        <v>0</v>
      </c>
      <c r="Z113" s="122">
        <v>0</v>
      </c>
      <c r="AA113" s="122">
        <v>0</v>
      </c>
      <c r="AB113" s="423">
        <f t="shared" si="34"/>
        <v>0</v>
      </c>
      <c r="AD113" s="17">
        <f t="shared" si="35"/>
        <v>0</v>
      </c>
      <c r="AE113"/>
      <c r="AF113"/>
      <c r="AG113"/>
      <c r="AH113"/>
      <c r="AI113"/>
    </row>
    <row r="114" spans="1:36" s="197" customFormat="1" x14ac:dyDescent="0.2">
      <c r="A114"/>
      <c r="B114" s="18" t="s">
        <v>145</v>
      </c>
      <c r="C114" s="164">
        <v>250000</v>
      </c>
      <c r="D114" s="164"/>
      <c r="E114" s="122">
        <v>0</v>
      </c>
      <c r="F114" s="122">
        <v>0</v>
      </c>
      <c r="G114" s="122">
        <v>0</v>
      </c>
      <c r="H114" s="122">
        <f>$C114/2</f>
        <v>125000</v>
      </c>
      <c r="I114" s="122">
        <f>$C114/2</f>
        <v>125000</v>
      </c>
      <c r="J114" s="122">
        <v>0</v>
      </c>
      <c r="K114" s="122">
        <v>0</v>
      </c>
      <c r="L114" s="122">
        <v>0</v>
      </c>
      <c r="M114" s="122">
        <v>0</v>
      </c>
      <c r="N114" s="122">
        <v>0</v>
      </c>
      <c r="O114" s="122">
        <v>0</v>
      </c>
      <c r="P114" s="122">
        <v>0</v>
      </c>
      <c r="Q114" s="122">
        <v>0</v>
      </c>
      <c r="R114" s="122">
        <v>0</v>
      </c>
      <c r="S114" s="122">
        <v>0</v>
      </c>
      <c r="T114" s="122">
        <v>0</v>
      </c>
      <c r="U114" s="122">
        <v>0</v>
      </c>
      <c r="V114" s="122">
        <v>0</v>
      </c>
      <c r="W114" s="122">
        <v>0</v>
      </c>
      <c r="X114" s="122">
        <v>0</v>
      </c>
      <c r="Y114" s="122">
        <v>0</v>
      </c>
      <c r="Z114" s="122">
        <v>0</v>
      </c>
      <c r="AA114" s="122">
        <v>0</v>
      </c>
      <c r="AB114" s="423">
        <f t="shared" si="34"/>
        <v>250000</v>
      </c>
      <c r="AC114"/>
      <c r="AD114" s="402">
        <f t="shared" si="35"/>
        <v>0</v>
      </c>
    </row>
    <row r="115" spans="1:36" hidden="1" x14ac:dyDescent="0.2">
      <c r="A115"/>
      <c r="B115" s="18" t="s">
        <v>146</v>
      </c>
      <c r="C115" s="164"/>
      <c r="D115" s="164"/>
      <c r="E115" s="122">
        <f t="shared" ref="E115:E121" si="36">$C115</f>
        <v>0</v>
      </c>
      <c r="F115" s="122">
        <v>0</v>
      </c>
      <c r="G115" s="122">
        <v>0</v>
      </c>
      <c r="H115" s="122">
        <f t="shared" ref="H115:I138" si="37">$C115/2</f>
        <v>0</v>
      </c>
      <c r="I115" s="122">
        <f t="shared" si="37"/>
        <v>0</v>
      </c>
      <c r="J115" s="122">
        <v>0</v>
      </c>
      <c r="K115" s="122">
        <v>0</v>
      </c>
      <c r="L115" s="122">
        <v>0</v>
      </c>
      <c r="M115" s="122">
        <v>0</v>
      </c>
      <c r="N115" s="122">
        <v>0</v>
      </c>
      <c r="O115" s="122">
        <v>0</v>
      </c>
      <c r="P115" s="122">
        <v>0</v>
      </c>
      <c r="Q115" s="122">
        <v>0</v>
      </c>
      <c r="R115" s="122">
        <v>0</v>
      </c>
      <c r="S115" s="122">
        <v>0</v>
      </c>
      <c r="T115" s="122">
        <v>0</v>
      </c>
      <c r="U115" s="122">
        <v>0</v>
      </c>
      <c r="V115" s="122">
        <v>0</v>
      </c>
      <c r="W115" s="122">
        <v>0</v>
      </c>
      <c r="X115" s="122">
        <v>0</v>
      </c>
      <c r="Y115" s="122">
        <v>0</v>
      </c>
      <c r="Z115" s="122">
        <v>0</v>
      </c>
      <c r="AA115" s="122">
        <v>0</v>
      </c>
      <c r="AB115" s="423">
        <f t="shared" si="34"/>
        <v>0</v>
      </c>
      <c r="AD115" s="107">
        <f t="shared" si="35"/>
        <v>0</v>
      </c>
      <c r="AJ115" s="1"/>
    </row>
    <row r="116" spans="1:36" x14ac:dyDescent="0.2">
      <c r="A116"/>
      <c r="B116" s="18" t="s">
        <v>147</v>
      </c>
      <c r="C116" s="164">
        <v>75000</v>
      </c>
      <c r="D116" s="164"/>
      <c r="E116" s="122">
        <v>0</v>
      </c>
      <c r="F116" s="122">
        <v>0</v>
      </c>
      <c r="G116" s="122">
        <v>0</v>
      </c>
      <c r="H116" s="122">
        <f t="shared" si="37"/>
        <v>37500</v>
      </c>
      <c r="I116" s="122">
        <f t="shared" si="37"/>
        <v>37500</v>
      </c>
      <c r="J116" s="122">
        <v>0</v>
      </c>
      <c r="K116" s="122">
        <v>0</v>
      </c>
      <c r="L116" s="122">
        <v>0</v>
      </c>
      <c r="M116" s="122">
        <v>0</v>
      </c>
      <c r="N116" s="122">
        <v>0</v>
      </c>
      <c r="O116" s="122">
        <v>0</v>
      </c>
      <c r="P116" s="122">
        <v>0</v>
      </c>
      <c r="Q116" s="122">
        <v>0</v>
      </c>
      <c r="R116" s="122">
        <v>0</v>
      </c>
      <c r="S116" s="122">
        <v>0</v>
      </c>
      <c r="T116" s="122">
        <v>0</v>
      </c>
      <c r="U116" s="122">
        <v>0</v>
      </c>
      <c r="V116" s="122">
        <v>0</v>
      </c>
      <c r="W116" s="122">
        <v>0</v>
      </c>
      <c r="X116" s="122">
        <v>0</v>
      </c>
      <c r="Y116" s="122">
        <v>0</v>
      </c>
      <c r="Z116" s="122">
        <v>0</v>
      </c>
      <c r="AA116" s="122">
        <v>0</v>
      </c>
      <c r="AB116" s="423">
        <f t="shared" si="34"/>
        <v>75000</v>
      </c>
      <c r="AD116" s="107">
        <f t="shared" si="35"/>
        <v>0</v>
      </c>
      <c r="AJ116" s="1"/>
    </row>
    <row r="117" spans="1:36" hidden="1" x14ac:dyDescent="0.2">
      <c r="A117"/>
      <c r="B117" s="18" t="s">
        <v>148</v>
      </c>
      <c r="C117" s="164"/>
      <c r="D117" s="164"/>
      <c r="E117" s="122">
        <f t="shared" si="36"/>
        <v>0</v>
      </c>
      <c r="F117" s="122">
        <v>0</v>
      </c>
      <c r="G117" s="122">
        <v>0</v>
      </c>
      <c r="H117" s="122">
        <f t="shared" si="37"/>
        <v>0</v>
      </c>
      <c r="I117" s="122">
        <f t="shared" si="37"/>
        <v>0</v>
      </c>
      <c r="J117" s="122">
        <v>0</v>
      </c>
      <c r="K117" s="122">
        <v>0</v>
      </c>
      <c r="L117" s="122">
        <v>0</v>
      </c>
      <c r="M117" s="122">
        <v>0</v>
      </c>
      <c r="N117" s="122">
        <v>0</v>
      </c>
      <c r="O117" s="122">
        <v>0</v>
      </c>
      <c r="P117" s="122">
        <v>0</v>
      </c>
      <c r="Q117" s="122">
        <v>0</v>
      </c>
      <c r="R117" s="122">
        <v>0</v>
      </c>
      <c r="S117" s="122">
        <v>0</v>
      </c>
      <c r="T117" s="122">
        <v>0</v>
      </c>
      <c r="U117" s="122">
        <v>0</v>
      </c>
      <c r="V117" s="122">
        <v>0</v>
      </c>
      <c r="W117" s="122">
        <v>0</v>
      </c>
      <c r="X117" s="122">
        <v>0</v>
      </c>
      <c r="Y117" s="122">
        <v>0</v>
      </c>
      <c r="Z117" s="122">
        <v>0</v>
      </c>
      <c r="AA117" s="122">
        <v>0</v>
      </c>
      <c r="AB117" s="423">
        <f t="shared" si="34"/>
        <v>0</v>
      </c>
      <c r="AD117" s="107">
        <f t="shared" si="35"/>
        <v>0</v>
      </c>
      <c r="AJ117" s="1"/>
    </row>
    <row r="118" spans="1:36" x14ac:dyDescent="0.2">
      <c r="A118"/>
      <c r="B118" s="18" t="s">
        <v>149</v>
      </c>
      <c r="C118" s="164">
        <v>45000</v>
      </c>
      <c r="D118" s="164"/>
      <c r="E118" s="122">
        <v>0</v>
      </c>
      <c r="F118" s="122">
        <v>0</v>
      </c>
      <c r="G118" s="122">
        <v>0</v>
      </c>
      <c r="H118" s="122">
        <f t="shared" si="37"/>
        <v>22500</v>
      </c>
      <c r="I118" s="122">
        <f t="shared" si="37"/>
        <v>22500</v>
      </c>
      <c r="J118" s="122">
        <v>0</v>
      </c>
      <c r="K118" s="122">
        <v>0</v>
      </c>
      <c r="L118" s="122">
        <v>0</v>
      </c>
      <c r="M118" s="122">
        <v>0</v>
      </c>
      <c r="N118" s="122">
        <v>0</v>
      </c>
      <c r="O118" s="122">
        <v>0</v>
      </c>
      <c r="P118" s="122">
        <v>0</v>
      </c>
      <c r="Q118" s="122">
        <v>0</v>
      </c>
      <c r="R118" s="122">
        <v>0</v>
      </c>
      <c r="S118" s="122">
        <v>0</v>
      </c>
      <c r="T118" s="122">
        <v>0</v>
      </c>
      <c r="U118" s="122">
        <v>0</v>
      </c>
      <c r="V118" s="122">
        <v>0</v>
      </c>
      <c r="W118" s="122">
        <v>0</v>
      </c>
      <c r="X118" s="122">
        <v>0</v>
      </c>
      <c r="Y118" s="122">
        <v>0</v>
      </c>
      <c r="Z118" s="122">
        <v>0</v>
      </c>
      <c r="AA118" s="122">
        <v>0</v>
      </c>
      <c r="AB118" s="423">
        <f t="shared" si="34"/>
        <v>45000</v>
      </c>
      <c r="AD118" s="107">
        <f t="shared" si="35"/>
        <v>0</v>
      </c>
      <c r="AJ118" s="1"/>
    </row>
    <row r="119" spans="1:36" hidden="1" x14ac:dyDescent="0.2">
      <c r="A119"/>
      <c r="B119" s="18" t="s">
        <v>150</v>
      </c>
      <c r="C119" s="164"/>
      <c r="D119" s="164"/>
      <c r="E119" s="122">
        <f t="shared" si="36"/>
        <v>0</v>
      </c>
      <c r="F119" s="122">
        <v>0</v>
      </c>
      <c r="G119" s="122">
        <v>0</v>
      </c>
      <c r="H119" s="122">
        <f t="shared" si="37"/>
        <v>0</v>
      </c>
      <c r="I119" s="122">
        <f t="shared" si="37"/>
        <v>0</v>
      </c>
      <c r="J119" s="122">
        <v>0</v>
      </c>
      <c r="K119" s="122">
        <v>0</v>
      </c>
      <c r="L119" s="122">
        <v>0</v>
      </c>
      <c r="M119" s="122">
        <v>0</v>
      </c>
      <c r="N119" s="122">
        <v>0</v>
      </c>
      <c r="O119" s="122">
        <v>0</v>
      </c>
      <c r="P119" s="122">
        <v>0</v>
      </c>
      <c r="Q119" s="122">
        <v>0</v>
      </c>
      <c r="R119" s="122">
        <v>0</v>
      </c>
      <c r="S119" s="122">
        <v>0</v>
      </c>
      <c r="T119" s="122">
        <v>0</v>
      </c>
      <c r="U119" s="122">
        <v>0</v>
      </c>
      <c r="V119" s="122">
        <v>0</v>
      </c>
      <c r="W119" s="122">
        <v>0</v>
      </c>
      <c r="X119" s="122">
        <v>0</v>
      </c>
      <c r="Y119" s="122">
        <v>0</v>
      </c>
      <c r="Z119" s="122">
        <v>0</v>
      </c>
      <c r="AA119" s="122">
        <v>0</v>
      </c>
      <c r="AB119" s="423">
        <f t="shared" si="34"/>
        <v>0</v>
      </c>
      <c r="AD119" s="107">
        <f t="shared" si="35"/>
        <v>0</v>
      </c>
      <c r="AJ119" s="1"/>
    </row>
    <row r="120" spans="1:36" x14ac:dyDescent="0.2">
      <c r="A120"/>
      <c r="B120" s="18" t="s">
        <v>151</v>
      </c>
      <c r="C120" s="164">
        <v>50000</v>
      </c>
      <c r="D120" s="164"/>
      <c r="E120" s="122">
        <v>0</v>
      </c>
      <c r="F120" s="122">
        <v>0</v>
      </c>
      <c r="G120" s="122">
        <v>0</v>
      </c>
      <c r="H120" s="122">
        <f t="shared" si="37"/>
        <v>25000</v>
      </c>
      <c r="I120" s="122">
        <f t="shared" si="37"/>
        <v>25000</v>
      </c>
      <c r="J120" s="122">
        <v>0</v>
      </c>
      <c r="K120" s="122">
        <v>0</v>
      </c>
      <c r="L120" s="122">
        <v>0</v>
      </c>
      <c r="M120" s="122">
        <v>0</v>
      </c>
      <c r="N120" s="122">
        <v>0</v>
      </c>
      <c r="O120" s="122">
        <v>0</v>
      </c>
      <c r="P120" s="122">
        <v>0</v>
      </c>
      <c r="Q120" s="122">
        <v>0</v>
      </c>
      <c r="R120" s="122">
        <v>0</v>
      </c>
      <c r="S120" s="122">
        <v>0</v>
      </c>
      <c r="T120" s="122">
        <v>0</v>
      </c>
      <c r="U120" s="122">
        <v>0</v>
      </c>
      <c r="V120" s="122">
        <v>0</v>
      </c>
      <c r="W120" s="122">
        <v>0</v>
      </c>
      <c r="X120" s="122">
        <v>0</v>
      </c>
      <c r="Y120" s="122">
        <v>0</v>
      </c>
      <c r="Z120" s="122">
        <v>0</v>
      </c>
      <c r="AA120" s="122">
        <v>0</v>
      </c>
      <c r="AB120" s="423">
        <f t="shared" si="34"/>
        <v>50000</v>
      </c>
      <c r="AD120" s="107">
        <f t="shared" si="35"/>
        <v>0</v>
      </c>
      <c r="AJ120" s="1"/>
    </row>
    <row r="121" spans="1:36" hidden="1" x14ac:dyDescent="0.2">
      <c r="A121"/>
      <c r="B121" s="18" t="s">
        <v>152</v>
      </c>
      <c r="C121" s="164"/>
      <c r="D121" s="164"/>
      <c r="E121" s="122">
        <f t="shared" si="36"/>
        <v>0</v>
      </c>
      <c r="F121" s="122">
        <v>0</v>
      </c>
      <c r="G121" s="122">
        <v>0</v>
      </c>
      <c r="H121" s="122">
        <f t="shared" si="37"/>
        <v>0</v>
      </c>
      <c r="I121" s="122">
        <f t="shared" si="37"/>
        <v>0</v>
      </c>
      <c r="J121" s="122">
        <v>0</v>
      </c>
      <c r="K121" s="122">
        <v>0</v>
      </c>
      <c r="L121" s="122">
        <v>0</v>
      </c>
      <c r="M121" s="122">
        <v>0</v>
      </c>
      <c r="N121" s="122">
        <v>0</v>
      </c>
      <c r="O121" s="122">
        <v>0</v>
      </c>
      <c r="P121" s="122">
        <v>0</v>
      </c>
      <c r="Q121" s="122">
        <v>0</v>
      </c>
      <c r="R121" s="122">
        <v>0</v>
      </c>
      <c r="S121" s="122">
        <v>0</v>
      </c>
      <c r="T121" s="122">
        <v>0</v>
      </c>
      <c r="U121" s="122">
        <v>0</v>
      </c>
      <c r="V121" s="122">
        <v>0</v>
      </c>
      <c r="W121" s="122">
        <v>0</v>
      </c>
      <c r="X121" s="122">
        <v>0</v>
      </c>
      <c r="Y121" s="122">
        <v>0</v>
      </c>
      <c r="Z121" s="122">
        <v>0</v>
      </c>
      <c r="AA121" s="122">
        <v>0</v>
      </c>
      <c r="AB121" s="423">
        <f t="shared" si="34"/>
        <v>0</v>
      </c>
      <c r="AD121" s="107">
        <f t="shared" si="35"/>
        <v>0</v>
      </c>
      <c r="AJ121" s="1"/>
    </row>
    <row r="122" spans="1:36" x14ac:dyDescent="0.2">
      <c r="A122"/>
      <c r="B122" s="18" t="s">
        <v>153</v>
      </c>
      <c r="C122" s="164">
        <v>100000</v>
      </c>
      <c r="D122" s="164"/>
      <c r="E122" s="122">
        <v>0</v>
      </c>
      <c r="F122" s="122">
        <v>0</v>
      </c>
      <c r="G122" s="122">
        <v>0</v>
      </c>
      <c r="H122" s="122">
        <f t="shared" si="37"/>
        <v>50000</v>
      </c>
      <c r="I122" s="122">
        <f t="shared" si="37"/>
        <v>50000</v>
      </c>
      <c r="J122" s="122">
        <v>0</v>
      </c>
      <c r="K122" s="122">
        <v>0</v>
      </c>
      <c r="L122" s="122">
        <v>0</v>
      </c>
      <c r="M122" s="122">
        <v>0</v>
      </c>
      <c r="N122" s="122">
        <v>0</v>
      </c>
      <c r="O122" s="122">
        <v>0</v>
      </c>
      <c r="P122" s="122">
        <v>0</v>
      </c>
      <c r="Q122" s="122">
        <v>0</v>
      </c>
      <c r="R122" s="122">
        <v>0</v>
      </c>
      <c r="S122" s="122">
        <v>0</v>
      </c>
      <c r="T122" s="122">
        <v>0</v>
      </c>
      <c r="U122" s="122">
        <v>0</v>
      </c>
      <c r="V122" s="122">
        <v>0</v>
      </c>
      <c r="W122" s="122">
        <v>0</v>
      </c>
      <c r="X122" s="122">
        <v>0</v>
      </c>
      <c r="Y122" s="122">
        <v>0</v>
      </c>
      <c r="Z122" s="122">
        <v>0</v>
      </c>
      <c r="AA122" s="122">
        <v>0</v>
      </c>
      <c r="AB122" s="423">
        <f t="shared" si="34"/>
        <v>100000</v>
      </c>
      <c r="AD122" s="107">
        <f t="shared" si="35"/>
        <v>0</v>
      </c>
      <c r="AJ122" s="1"/>
    </row>
    <row r="123" spans="1:36" hidden="1" x14ac:dyDescent="0.2">
      <c r="A123"/>
      <c r="B123" s="18" t="s">
        <v>154</v>
      </c>
      <c r="C123" s="164"/>
      <c r="D123" s="164"/>
      <c r="E123" s="122">
        <v>0</v>
      </c>
      <c r="F123" s="122">
        <v>0</v>
      </c>
      <c r="G123" s="122">
        <v>0</v>
      </c>
      <c r="H123" s="122">
        <f t="shared" si="37"/>
        <v>0</v>
      </c>
      <c r="I123" s="122">
        <f t="shared" si="37"/>
        <v>0</v>
      </c>
      <c r="J123" s="122">
        <v>0</v>
      </c>
      <c r="K123" s="122">
        <v>0</v>
      </c>
      <c r="L123" s="122">
        <v>0</v>
      </c>
      <c r="M123" s="122">
        <v>0</v>
      </c>
      <c r="N123" s="122">
        <v>0</v>
      </c>
      <c r="O123" s="122">
        <v>0</v>
      </c>
      <c r="P123" s="122">
        <v>0</v>
      </c>
      <c r="Q123" s="122">
        <v>0</v>
      </c>
      <c r="R123" s="122">
        <v>0</v>
      </c>
      <c r="S123" s="122">
        <v>0</v>
      </c>
      <c r="T123" s="122">
        <v>0</v>
      </c>
      <c r="U123" s="122">
        <v>0</v>
      </c>
      <c r="V123" s="122">
        <v>0</v>
      </c>
      <c r="W123" s="122">
        <v>0</v>
      </c>
      <c r="X123" s="122">
        <v>0</v>
      </c>
      <c r="Y123" s="122">
        <v>0</v>
      </c>
      <c r="Z123" s="122">
        <v>0</v>
      </c>
      <c r="AA123" s="122">
        <v>0</v>
      </c>
      <c r="AB123" s="423">
        <f t="shared" si="34"/>
        <v>0</v>
      </c>
      <c r="AD123" s="107">
        <f t="shared" si="35"/>
        <v>0</v>
      </c>
      <c r="AJ123" s="1"/>
    </row>
    <row r="124" spans="1:36" hidden="1" x14ac:dyDescent="0.2">
      <c r="A124"/>
      <c r="B124" s="18" t="s">
        <v>155</v>
      </c>
      <c r="C124" s="164"/>
      <c r="D124" s="164"/>
      <c r="E124" s="122">
        <f>$C124</f>
        <v>0</v>
      </c>
      <c r="F124" s="122">
        <v>0</v>
      </c>
      <c r="G124" s="122">
        <v>0</v>
      </c>
      <c r="H124" s="122">
        <f t="shared" si="37"/>
        <v>0</v>
      </c>
      <c r="I124" s="122">
        <f t="shared" si="37"/>
        <v>0</v>
      </c>
      <c r="J124" s="122">
        <v>0</v>
      </c>
      <c r="K124" s="122">
        <v>0</v>
      </c>
      <c r="L124" s="122">
        <v>0</v>
      </c>
      <c r="M124" s="122">
        <v>0</v>
      </c>
      <c r="N124" s="122">
        <v>0</v>
      </c>
      <c r="O124" s="122">
        <v>0</v>
      </c>
      <c r="P124" s="122">
        <v>0</v>
      </c>
      <c r="Q124" s="122">
        <v>0</v>
      </c>
      <c r="R124" s="122">
        <v>0</v>
      </c>
      <c r="S124" s="122">
        <v>0</v>
      </c>
      <c r="T124" s="122">
        <v>0</v>
      </c>
      <c r="U124" s="122">
        <v>0</v>
      </c>
      <c r="V124" s="122">
        <v>0</v>
      </c>
      <c r="W124" s="122">
        <v>0</v>
      </c>
      <c r="X124" s="122">
        <v>0</v>
      </c>
      <c r="Y124" s="122">
        <v>0</v>
      </c>
      <c r="Z124" s="122">
        <v>0</v>
      </c>
      <c r="AA124" s="122">
        <v>0</v>
      </c>
      <c r="AB124" s="423">
        <f t="shared" si="34"/>
        <v>0</v>
      </c>
      <c r="AD124" s="107">
        <f t="shared" si="35"/>
        <v>0</v>
      </c>
      <c r="AJ124" s="1"/>
    </row>
    <row r="125" spans="1:36" x14ac:dyDescent="0.2">
      <c r="A125"/>
      <c r="B125" s="18" t="s">
        <v>156</v>
      </c>
      <c r="C125" s="164">
        <v>125000</v>
      </c>
      <c r="D125" s="164"/>
      <c r="E125" s="122">
        <v>0</v>
      </c>
      <c r="F125" s="122">
        <v>0</v>
      </c>
      <c r="G125" s="122">
        <v>0</v>
      </c>
      <c r="H125" s="122">
        <f t="shared" si="37"/>
        <v>62500</v>
      </c>
      <c r="I125" s="122">
        <f t="shared" si="37"/>
        <v>62500</v>
      </c>
      <c r="J125" s="122">
        <v>0</v>
      </c>
      <c r="K125" s="122">
        <v>0</v>
      </c>
      <c r="L125" s="122">
        <v>0</v>
      </c>
      <c r="M125" s="122">
        <v>0</v>
      </c>
      <c r="N125" s="122">
        <v>0</v>
      </c>
      <c r="O125" s="122">
        <v>0</v>
      </c>
      <c r="P125" s="122">
        <v>0</v>
      </c>
      <c r="Q125" s="122">
        <v>0</v>
      </c>
      <c r="R125" s="122">
        <v>0</v>
      </c>
      <c r="S125" s="122">
        <v>0</v>
      </c>
      <c r="T125" s="122">
        <v>0</v>
      </c>
      <c r="U125" s="122">
        <v>0</v>
      </c>
      <c r="V125" s="122">
        <v>0</v>
      </c>
      <c r="W125" s="122">
        <v>0</v>
      </c>
      <c r="X125" s="122">
        <v>0</v>
      </c>
      <c r="Y125" s="122">
        <v>0</v>
      </c>
      <c r="Z125" s="122">
        <v>0</v>
      </c>
      <c r="AA125" s="122">
        <v>0</v>
      </c>
      <c r="AB125" s="423">
        <f t="shared" si="34"/>
        <v>125000</v>
      </c>
      <c r="AD125" s="107">
        <f t="shared" si="35"/>
        <v>0</v>
      </c>
      <c r="AJ125" s="1"/>
    </row>
    <row r="126" spans="1:36" hidden="1" x14ac:dyDescent="0.2">
      <c r="A126"/>
      <c r="B126" s="18" t="s">
        <v>157</v>
      </c>
      <c r="C126" s="164"/>
      <c r="D126" s="164"/>
      <c r="E126" s="122">
        <v>0</v>
      </c>
      <c r="F126" s="122">
        <v>0</v>
      </c>
      <c r="G126" s="122">
        <v>0</v>
      </c>
      <c r="H126" s="122">
        <f t="shared" si="37"/>
        <v>0</v>
      </c>
      <c r="I126" s="122">
        <f t="shared" si="37"/>
        <v>0</v>
      </c>
      <c r="J126" s="122">
        <v>0</v>
      </c>
      <c r="K126" s="122">
        <v>0</v>
      </c>
      <c r="L126" s="122">
        <v>0</v>
      </c>
      <c r="M126" s="122">
        <v>0</v>
      </c>
      <c r="N126" s="122">
        <v>0</v>
      </c>
      <c r="O126" s="122">
        <v>0</v>
      </c>
      <c r="P126" s="122">
        <v>0</v>
      </c>
      <c r="Q126" s="122">
        <v>0</v>
      </c>
      <c r="R126" s="122">
        <v>0</v>
      </c>
      <c r="S126" s="122">
        <v>0</v>
      </c>
      <c r="T126" s="122">
        <v>0</v>
      </c>
      <c r="U126" s="122">
        <v>0</v>
      </c>
      <c r="V126" s="122">
        <v>0</v>
      </c>
      <c r="W126" s="122">
        <v>0</v>
      </c>
      <c r="X126" s="122">
        <v>0</v>
      </c>
      <c r="Y126" s="122">
        <v>0</v>
      </c>
      <c r="Z126" s="122">
        <v>0</v>
      </c>
      <c r="AA126" s="122">
        <v>0</v>
      </c>
      <c r="AB126" s="423">
        <f t="shared" si="34"/>
        <v>0</v>
      </c>
      <c r="AD126" s="107">
        <f t="shared" si="35"/>
        <v>0</v>
      </c>
      <c r="AJ126" s="1"/>
    </row>
    <row r="127" spans="1:36" hidden="1" x14ac:dyDescent="0.2">
      <c r="A127"/>
      <c r="B127" s="18" t="s">
        <v>158</v>
      </c>
      <c r="C127" s="164"/>
      <c r="D127" s="164"/>
      <c r="E127" s="122">
        <v>0</v>
      </c>
      <c r="F127" s="122">
        <v>0</v>
      </c>
      <c r="G127" s="122">
        <v>0</v>
      </c>
      <c r="H127" s="122">
        <f t="shared" si="37"/>
        <v>0</v>
      </c>
      <c r="I127" s="122">
        <f t="shared" si="37"/>
        <v>0</v>
      </c>
      <c r="J127" s="122">
        <v>0</v>
      </c>
      <c r="K127" s="122">
        <v>0</v>
      </c>
      <c r="L127" s="122">
        <v>0</v>
      </c>
      <c r="M127" s="122">
        <v>0</v>
      </c>
      <c r="N127" s="122">
        <v>0</v>
      </c>
      <c r="O127" s="122">
        <v>0</v>
      </c>
      <c r="P127" s="122">
        <v>0</v>
      </c>
      <c r="Q127" s="122">
        <v>0</v>
      </c>
      <c r="R127" s="122">
        <v>0</v>
      </c>
      <c r="S127" s="122">
        <v>0</v>
      </c>
      <c r="T127" s="122">
        <v>0</v>
      </c>
      <c r="U127" s="122">
        <v>0</v>
      </c>
      <c r="V127" s="122">
        <v>0</v>
      </c>
      <c r="W127" s="122">
        <v>0</v>
      </c>
      <c r="X127" s="122">
        <v>0</v>
      </c>
      <c r="Y127" s="122">
        <v>0</v>
      </c>
      <c r="Z127" s="122">
        <v>0</v>
      </c>
      <c r="AA127" s="122">
        <v>0</v>
      </c>
      <c r="AB127" s="423">
        <f t="shared" si="34"/>
        <v>0</v>
      </c>
      <c r="AD127" s="107">
        <f t="shared" si="35"/>
        <v>0</v>
      </c>
      <c r="AJ127" s="1"/>
    </row>
    <row r="128" spans="1:36" hidden="1" x14ac:dyDescent="0.2">
      <c r="A128"/>
      <c r="B128" s="18" t="s">
        <v>159</v>
      </c>
      <c r="C128" s="164"/>
      <c r="D128" s="164"/>
      <c r="E128" s="122">
        <v>0</v>
      </c>
      <c r="F128" s="122">
        <v>0</v>
      </c>
      <c r="G128" s="122">
        <v>0</v>
      </c>
      <c r="H128" s="122">
        <f t="shared" si="37"/>
        <v>0</v>
      </c>
      <c r="I128" s="122">
        <f t="shared" si="37"/>
        <v>0</v>
      </c>
      <c r="J128" s="122">
        <v>0</v>
      </c>
      <c r="K128" s="122">
        <v>0</v>
      </c>
      <c r="L128" s="122">
        <v>0</v>
      </c>
      <c r="M128" s="122">
        <v>0</v>
      </c>
      <c r="N128" s="122">
        <v>0</v>
      </c>
      <c r="O128" s="122">
        <v>0</v>
      </c>
      <c r="P128" s="122">
        <v>0</v>
      </c>
      <c r="Q128" s="122">
        <v>0</v>
      </c>
      <c r="R128" s="122">
        <v>0</v>
      </c>
      <c r="S128" s="122">
        <v>0</v>
      </c>
      <c r="T128" s="122">
        <v>0</v>
      </c>
      <c r="U128" s="122">
        <v>0</v>
      </c>
      <c r="V128" s="122">
        <v>0</v>
      </c>
      <c r="W128" s="122">
        <v>0</v>
      </c>
      <c r="X128" s="122">
        <v>0</v>
      </c>
      <c r="Y128" s="122">
        <v>0</v>
      </c>
      <c r="Z128" s="122">
        <v>0</v>
      </c>
      <c r="AA128" s="122">
        <v>0</v>
      </c>
      <c r="AB128" s="423">
        <f t="shared" si="34"/>
        <v>0</v>
      </c>
      <c r="AD128" s="107">
        <f t="shared" si="35"/>
        <v>0</v>
      </c>
      <c r="AJ128" s="1"/>
    </row>
    <row r="129" spans="1:36" hidden="1" x14ac:dyDescent="0.2">
      <c r="A129"/>
      <c r="B129" s="18" t="s">
        <v>160</v>
      </c>
      <c r="C129" s="164"/>
      <c r="D129" s="164"/>
      <c r="E129" s="122">
        <v>0</v>
      </c>
      <c r="F129" s="122">
        <v>0</v>
      </c>
      <c r="G129" s="122">
        <v>0</v>
      </c>
      <c r="H129" s="122">
        <f t="shared" si="37"/>
        <v>0</v>
      </c>
      <c r="I129" s="122">
        <f t="shared" si="37"/>
        <v>0</v>
      </c>
      <c r="J129" s="122">
        <v>0</v>
      </c>
      <c r="K129" s="122">
        <v>0</v>
      </c>
      <c r="L129" s="122">
        <v>0</v>
      </c>
      <c r="M129" s="122">
        <v>0</v>
      </c>
      <c r="N129" s="122">
        <v>0</v>
      </c>
      <c r="O129" s="122">
        <v>0</v>
      </c>
      <c r="P129" s="122">
        <v>0</v>
      </c>
      <c r="Q129" s="122">
        <v>0</v>
      </c>
      <c r="R129" s="122">
        <v>0</v>
      </c>
      <c r="S129" s="122">
        <v>0</v>
      </c>
      <c r="T129" s="122">
        <v>0</v>
      </c>
      <c r="U129" s="122">
        <v>0</v>
      </c>
      <c r="V129" s="122">
        <v>0</v>
      </c>
      <c r="W129" s="122">
        <v>0</v>
      </c>
      <c r="X129" s="122">
        <v>0</v>
      </c>
      <c r="Y129" s="122">
        <v>0</v>
      </c>
      <c r="Z129" s="122">
        <v>0</v>
      </c>
      <c r="AA129" s="122">
        <v>0</v>
      </c>
      <c r="AB129" s="423">
        <f t="shared" si="34"/>
        <v>0</v>
      </c>
      <c r="AD129" s="107">
        <f t="shared" si="35"/>
        <v>0</v>
      </c>
      <c r="AJ129" s="1"/>
    </row>
    <row r="130" spans="1:36" hidden="1" x14ac:dyDescent="0.2">
      <c r="A130"/>
      <c r="B130" s="18" t="s">
        <v>161</v>
      </c>
      <c r="C130" s="164"/>
      <c r="D130" s="164"/>
      <c r="E130" s="122">
        <v>0</v>
      </c>
      <c r="F130" s="122">
        <v>0</v>
      </c>
      <c r="G130" s="122">
        <v>0</v>
      </c>
      <c r="H130" s="122">
        <f t="shared" si="37"/>
        <v>0</v>
      </c>
      <c r="I130" s="122">
        <f t="shared" si="37"/>
        <v>0</v>
      </c>
      <c r="J130" s="122">
        <v>0</v>
      </c>
      <c r="K130" s="122">
        <v>0</v>
      </c>
      <c r="L130" s="122">
        <v>0</v>
      </c>
      <c r="M130" s="122">
        <v>0</v>
      </c>
      <c r="N130" s="122">
        <v>0</v>
      </c>
      <c r="O130" s="122">
        <v>0</v>
      </c>
      <c r="P130" s="122">
        <v>0</v>
      </c>
      <c r="Q130" s="122">
        <v>0</v>
      </c>
      <c r="R130" s="122">
        <v>0</v>
      </c>
      <c r="S130" s="122">
        <v>0</v>
      </c>
      <c r="T130" s="122">
        <v>0</v>
      </c>
      <c r="U130" s="122">
        <v>0</v>
      </c>
      <c r="V130" s="122">
        <v>0</v>
      </c>
      <c r="W130" s="122">
        <v>0</v>
      </c>
      <c r="X130" s="122">
        <v>0</v>
      </c>
      <c r="Y130" s="122">
        <v>0</v>
      </c>
      <c r="Z130" s="122">
        <v>0</v>
      </c>
      <c r="AA130" s="122">
        <v>0</v>
      </c>
      <c r="AB130" s="423">
        <f t="shared" si="34"/>
        <v>0</v>
      </c>
      <c r="AD130" s="107">
        <f t="shared" si="35"/>
        <v>0</v>
      </c>
      <c r="AJ130" s="1"/>
    </row>
    <row r="131" spans="1:36" hidden="1" x14ac:dyDescent="0.2">
      <c r="A131"/>
      <c r="B131" s="18" t="s">
        <v>162</v>
      </c>
      <c r="C131" s="164"/>
      <c r="D131" s="164"/>
      <c r="E131" s="122">
        <v>0</v>
      </c>
      <c r="F131" s="122">
        <v>0</v>
      </c>
      <c r="G131" s="122">
        <v>0</v>
      </c>
      <c r="H131" s="122">
        <f t="shared" si="37"/>
        <v>0</v>
      </c>
      <c r="I131" s="122">
        <f t="shared" si="37"/>
        <v>0</v>
      </c>
      <c r="J131" s="122">
        <v>0</v>
      </c>
      <c r="K131" s="122">
        <v>0</v>
      </c>
      <c r="L131" s="122">
        <v>0</v>
      </c>
      <c r="M131" s="122">
        <v>0</v>
      </c>
      <c r="N131" s="122">
        <v>0</v>
      </c>
      <c r="O131" s="122">
        <v>0</v>
      </c>
      <c r="P131" s="122">
        <v>0</v>
      </c>
      <c r="Q131" s="122">
        <v>0</v>
      </c>
      <c r="R131" s="122">
        <v>0</v>
      </c>
      <c r="S131" s="122">
        <v>0</v>
      </c>
      <c r="T131" s="122">
        <v>0</v>
      </c>
      <c r="U131" s="122">
        <v>0</v>
      </c>
      <c r="V131" s="122">
        <v>0</v>
      </c>
      <c r="W131" s="122">
        <v>0</v>
      </c>
      <c r="X131" s="122">
        <v>0</v>
      </c>
      <c r="Y131" s="122">
        <v>0</v>
      </c>
      <c r="Z131" s="122">
        <v>0</v>
      </c>
      <c r="AA131" s="122">
        <v>0</v>
      </c>
      <c r="AB131" s="423">
        <f t="shared" si="34"/>
        <v>0</v>
      </c>
      <c r="AD131" s="107">
        <f t="shared" si="35"/>
        <v>0</v>
      </c>
      <c r="AJ131" s="1"/>
    </row>
    <row r="132" spans="1:36" hidden="1" x14ac:dyDescent="0.2">
      <c r="A132"/>
      <c r="B132" s="18" t="s">
        <v>163</v>
      </c>
      <c r="C132" s="164"/>
      <c r="D132" s="164"/>
      <c r="E132" s="122"/>
      <c r="F132" s="122">
        <v>0</v>
      </c>
      <c r="G132" s="122">
        <v>0</v>
      </c>
      <c r="H132" s="122">
        <f t="shared" si="37"/>
        <v>0</v>
      </c>
      <c r="I132" s="122">
        <f t="shared" si="37"/>
        <v>0</v>
      </c>
      <c r="J132" s="122">
        <v>0</v>
      </c>
      <c r="K132" s="122">
        <v>0</v>
      </c>
      <c r="L132" s="122">
        <v>0</v>
      </c>
      <c r="M132" s="122">
        <v>0</v>
      </c>
      <c r="N132" s="122">
        <v>0</v>
      </c>
      <c r="O132" s="122">
        <v>0</v>
      </c>
      <c r="P132" s="122">
        <v>0</v>
      </c>
      <c r="Q132" s="122">
        <v>0</v>
      </c>
      <c r="R132" s="122">
        <v>0</v>
      </c>
      <c r="S132" s="122">
        <v>0</v>
      </c>
      <c r="T132" s="122">
        <v>0</v>
      </c>
      <c r="U132" s="122">
        <v>0</v>
      </c>
      <c r="V132" s="122">
        <v>0</v>
      </c>
      <c r="W132" s="122">
        <v>0</v>
      </c>
      <c r="X132" s="122">
        <v>0</v>
      </c>
      <c r="Y132" s="122">
        <v>0</v>
      </c>
      <c r="Z132" s="122">
        <v>0</v>
      </c>
      <c r="AA132" s="122">
        <v>0</v>
      </c>
      <c r="AB132" s="423">
        <f t="shared" si="34"/>
        <v>0</v>
      </c>
      <c r="AD132" s="107">
        <f t="shared" si="35"/>
        <v>0</v>
      </c>
      <c r="AJ132" s="1"/>
    </row>
    <row r="133" spans="1:36" hidden="1" x14ac:dyDescent="0.2">
      <c r="A133"/>
      <c r="B133" s="18" t="s">
        <v>164</v>
      </c>
      <c r="C133" s="164"/>
      <c r="D133" s="164"/>
      <c r="E133" s="122"/>
      <c r="F133" s="122">
        <v>0</v>
      </c>
      <c r="G133" s="122">
        <v>0</v>
      </c>
      <c r="H133" s="122">
        <f t="shared" si="37"/>
        <v>0</v>
      </c>
      <c r="I133" s="122">
        <f t="shared" si="37"/>
        <v>0</v>
      </c>
      <c r="J133" s="122">
        <v>0</v>
      </c>
      <c r="K133" s="122">
        <v>0</v>
      </c>
      <c r="L133" s="122">
        <v>0</v>
      </c>
      <c r="M133" s="122">
        <v>0</v>
      </c>
      <c r="N133" s="122">
        <v>0</v>
      </c>
      <c r="O133" s="122">
        <v>0</v>
      </c>
      <c r="P133" s="122">
        <v>0</v>
      </c>
      <c r="Q133" s="122">
        <v>0</v>
      </c>
      <c r="R133" s="122">
        <v>0</v>
      </c>
      <c r="S133" s="122">
        <v>0</v>
      </c>
      <c r="T133" s="122">
        <v>0</v>
      </c>
      <c r="U133" s="122">
        <v>0</v>
      </c>
      <c r="V133" s="122">
        <v>0</v>
      </c>
      <c r="W133" s="122">
        <v>0</v>
      </c>
      <c r="X133" s="122">
        <v>0</v>
      </c>
      <c r="Y133" s="122">
        <v>0</v>
      </c>
      <c r="Z133" s="122">
        <v>0</v>
      </c>
      <c r="AA133" s="122">
        <v>0</v>
      </c>
      <c r="AB133" s="423">
        <f t="shared" si="34"/>
        <v>0</v>
      </c>
      <c r="AD133" s="107">
        <f t="shared" si="35"/>
        <v>0</v>
      </c>
      <c r="AJ133" s="1"/>
    </row>
    <row r="134" spans="1:36" hidden="1" x14ac:dyDescent="0.2">
      <c r="A134"/>
      <c r="B134" s="18" t="s">
        <v>165</v>
      </c>
      <c r="C134" s="164"/>
      <c r="D134" s="164"/>
      <c r="E134" s="122">
        <v>0</v>
      </c>
      <c r="F134" s="122">
        <v>0</v>
      </c>
      <c r="G134" s="122">
        <v>0</v>
      </c>
      <c r="H134" s="122">
        <f t="shared" si="37"/>
        <v>0</v>
      </c>
      <c r="I134" s="122">
        <f t="shared" si="37"/>
        <v>0</v>
      </c>
      <c r="J134" s="122">
        <v>0</v>
      </c>
      <c r="K134" s="122">
        <v>0</v>
      </c>
      <c r="L134" s="122">
        <v>0</v>
      </c>
      <c r="M134" s="122">
        <v>0</v>
      </c>
      <c r="N134" s="122">
        <v>0</v>
      </c>
      <c r="O134" s="122">
        <v>0</v>
      </c>
      <c r="P134" s="122">
        <v>0</v>
      </c>
      <c r="Q134" s="122">
        <v>0</v>
      </c>
      <c r="R134" s="122">
        <v>0</v>
      </c>
      <c r="S134" s="122">
        <v>0</v>
      </c>
      <c r="T134" s="122">
        <v>0</v>
      </c>
      <c r="U134" s="122">
        <v>0</v>
      </c>
      <c r="V134" s="122">
        <v>0</v>
      </c>
      <c r="W134" s="122">
        <v>0</v>
      </c>
      <c r="X134" s="122">
        <v>0</v>
      </c>
      <c r="Y134" s="122">
        <v>0</v>
      </c>
      <c r="Z134" s="122">
        <v>0</v>
      </c>
      <c r="AA134" s="122">
        <v>0</v>
      </c>
      <c r="AB134" s="423">
        <f t="shared" si="34"/>
        <v>0</v>
      </c>
      <c r="AD134" s="107">
        <f t="shared" si="35"/>
        <v>0</v>
      </c>
      <c r="AJ134" s="1"/>
    </row>
    <row r="135" spans="1:36" hidden="1" x14ac:dyDescent="0.2">
      <c r="A135"/>
      <c r="B135" s="18" t="s">
        <v>166</v>
      </c>
      <c r="C135" s="164"/>
      <c r="D135" s="164"/>
      <c r="E135" s="122">
        <v>0</v>
      </c>
      <c r="F135" s="122">
        <v>0</v>
      </c>
      <c r="G135" s="122">
        <v>0</v>
      </c>
      <c r="H135" s="122">
        <f t="shared" si="37"/>
        <v>0</v>
      </c>
      <c r="I135" s="122">
        <f t="shared" si="37"/>
        <v>0</v>
      </c>
      <c r="R135" s="122">
        <v>0</v>
      </c>
      <c r="S135" s="122">
        <v>0</v>
      </c>
      <c r="T135" s="122">
        <v>0</v>
      </c>
      <c r="U135" s="122">
        <v>0</v>
      </c>
      <c r="V135" s="122">
        <v>0</v>
      </c>
      <c r="W135" s="122">
        <v>0</v>
      </c>
      <c r="X135" s="122">
        <v>0</v>
      </c>
      <c r="Y135" s="122">
        <v>0</v>
      </c>
      <c r="Z135" s="122">
        <v>0</v>
      </c>
      <c r="AA135" s="122">
        <v>0</v>
      </c>
      <c r="AB135" s="423">
        <f t="shared" si="34"/>
        <v>0</v>
      </c>
      <c r="AD135" s="17">
        <f t="shared" si="35"/>
        <v>0</v>
      </c>
      <c r="AE135"/>
      <c r="AF135"/>
      <c r="AG135"/>
      <c r="AH135"/>
      <c r="AI135"/>
    </row>
    <row r="136" spans="1:36" hidden="1" x14ac:dyDescent="0.2">
      <c r="A136"/>
      <c r="B136" s="18" t="s">
        <v>167</v>
      </c>
      <c r="C136" s="164"/>
      <c r="D136" s="164"/>
      <c r="E136" s="122">
        <v>0</v>
      </c>
      <c r="F136" s="122">
        <v>0</v>
      </c>
      <c r="G136" s="122">
        <v>0</v>
      </c>
      <c r="H136" s="122">
        <f t="shared" si="37"/>
        <v>0</v>
      </c>
      <c r="I136" s="122">
        <f t="shared" si="37"/>
        <v>0</v>
      </c>
      <c r="R136" s="122">
        <v>0</v>
      </c>
      <c r="S136" s="122">
        <v>0</v>
      </c>
      <c r="T136" s="122">
        <v>0</v>
      </c>
      <c r="U136" s="122">
        <v>0</v>
      </c>
      <c r="V136" s="122">
        <v>0</v>
      </c>
      <c r="W136" s="122">
        <v>0</v>
      </c>
      <c r="X136" s="122">
        <v>0</v>
      </c>
      <c r="Y136" s="122">
        <v>0</v>
      </c>
      <c r="Z136" s="122">
        <v>0</v>
      </c>
      <c r="AA136" s="122">
        <v>0</v>
      </c>
      <c r="AB136" s="423">
        <f t="shared" si="34"/>
        <v>0</v>
      </c>
      <c r="AD136" s="17">
        <f t="shared" si="35"/>
        <v>0</v>
      </c>
      <c r="AE136"/>
      <c r="AF136"/>
      <c r="AG136"/>
      <c r="AH136"/>
      <c r="AI136"/>
    </row>
    <row r="137" spans="1:36" s="197" customFormat="1" x14ac:dyDescent="0.2">
      <c r="A137"/>
      <c r="B137" s="18" t="s">
        <v>168</v>
      </c>
      <c r="C137" s="164">
        <v>75000</v>
      </c>
      <c r="D137" s="164"/>
      <c r="E137" s="122">
        <v>0</v>
      </c>
      <c r="F137" s="122">
        <v>0</v>
      </c>
      <c r="G137" s="122">
        <v>0</v>
      </c>
      <c r="H137" s="122">
        <f t="shared" si="37"/>
        <v>37500</v>
      </c>
      <c r="I137" s="122">
        <f t="shared" si="37"/>
        <v>37500</v>
      </c>
      <c r="J137" s="122">
        <v>0</v>
      </c>
      <c r="K137" s="122">
        <v>0</v>
      </c>
      <c r="L137" s="122">
        <v>0</v>
      </c>
      <c r="M137" s="122">
        <v>0</v>
      </c>
      <c r="N137" s="122">
        <v>0</v>
      </c>
      <c r="O137" s="122">
        <v>0</v>
      </c>
      <c r="P137" s="122">
        <v>0</v>
      </c>
      <c r="Q137" s="122">
        <v>0</v>
      </c>
      <c r="R137" s="122">
        <v>0</v>
      </c>
      <c r="S137" s="122">
        <v>0</v>
      </c>
      <c r="T137" s="122">
        <v>0</v>
      </c>
      <c r="U137" s="122">
        <v>0</v>
      </c>
      <c r="V137" s="122">
        <v>0</v>
      </c>
      <c r="W137" s="122">
        <v>0</v>
      </c>
      <c r="X137" s="122">
        <v>0</v>
      </c>
      <c r="Y137" s="122">
        <v>0</v>
      </c>
      <c r="Z137" s="122">
        <v>0</v>
      </c>
      <c r="AA137" s="122">
        <v>0</v>
      </c>
      <c r="AB137" s="423">
        <f t="shared" si="34"/>
        <v>75000</v>
      </c>
      <c r="AC137"/>
      <c r="AD137" s="402">
        <f t="shared" si="35"/>
        <v>0</v>
      </c>
    </row>
    <row r="138" spans="1:36" s="197" customFormat="1" x14ac:dyDescent="0.2">
      <c r="A138"/>
      <c r="B138" s="18" t="s">
        <v>169</v>
      </c>
      <c r="C138" s="164">
        <v>20000</v>
      </c>
      <c r="D138" s="164"/>
      <c r="E138" s="122">
        <v>0</v>
      </c>
      <c r="F138" s="122">
        <v>0</v>
      </c>
      <c r="G138" s="122">
        <v>0</v>
      </c>
      <c r="H138" s="122">
        <f t="shared" si="37"/>
        <v>10000</v>
      </c>
      <c r="I138" s="122">
        <f t="shared" si="37"/>
        <v>10000</v>
      </c>
      <c r="J138" s="122">
        <v>0</v>
      </c>
      <c r="K138" s="122">
        <v>0</v>
      </c>
      <c r="L138" s="122">
        <v>0</v>
      </c>
      <c r="M138" s="122">
        <v>0</v>
      </c>
      <c r="N138" s="122">
        <v>0</v>
      </c>
      <c r="O138" s="122">
        <v>0</v>
      </c>
      <c r="P138" s="122">
        <v>0</v>
      </c>
      <c r="Q138" s="122">
        <v>0</v>
      </c>
      <c r="R138" s="122">
        <v>0</v>
      </c>
      <c r="S138" s="122">
        <v>0</v>
      </c>
      <c r="T138" s="122">
        <v>0</v>
      </c>
      <c r="U138" s="122">
        <v>0</v>
      </c>
      <c r="V138" s="122">
        <v>0</v>
      </c>
      <c r="W138" s="122">
        <v>0</v>
      </c>
      <c r="X138" s="122">
        <v>0</v>
      </c>
      <c r="Y138" s="122">
        <v>0</v>
      </c>
      <c r="Z138" s="122">
        <v>0</v>
      </c>
      <c r="AA138" s="122">
        <v>0</v>
      </c>
      <c r="AB138" s="423">
        <f t="shared" si="34"/>
        <v>20000</v>
      </c>
      <c r="AC138"/>
      <c r="AD138" s="402">
        <f t="shared" si="35"/>
        <v>0</v>
      </c>
    </row>
    <row r="139" spans="1:36" x14ac:dyDescent="0.2">
      <c r="B139" s="18" t="s">
        <v>170</v>
      </c>
      <c r="C139" s="224">
        <v>0.05</v>
      </c>
      <c r="D139" s="164"/>
      <c r="E139" s="122"/>
      <c r="F139" s="122">
        <f>SUM(F105:F138,$E139:E139)*($C139/4)</f>
        <v>0</v>
      </c>
      <c r="G139" s="122">
        <f>SUM(G105:G138,$E139:F139)*($C139/4)</f>
        <v>0</v>
      </c>
      <c r="H139" s="122">
        <f>SUM(H105:H138,$E139:G139)*($C139/4)</f>
        <v>4625</v>
      </c>
      <c r="I139" s="122">
        <f>SUM(I105:I138,$E139:H139)*($C139/4)</f>
        <v>4682.8125</v>
      </c>
      <c r="J139" s="122">
        <v>0</v>
      </c>
      <c r="K139" s="122">
        <v>0</v>
      </c>
      <c r="L139" s="122">
        <v>0</v>
      </c>
      <c r="M139" s="122">
        <v>0</v>
      </c>
      <c r="N139" s="122">
        <v>0</v>
      </c>
      <c r="O139" s="122">
        <v>0</v>
      </c>
      <c r="P139" s="122">
        <v>0</v>
      </c>
      <c r="Q139" s="122">
        <v>0</v>
      </c>
      <c r="R139" s="122">
        <v>0</v>
      </c>
      <c r="S139" s="122">
        <v>0</v>
      </c>
      <c r="T139" s="122">
        <v>0</v>
      </c>
      <c r="U139" s="122">
        <v>0</v>
      </c>
      <c r="V139" s="122">
        <v>0</v>
      </c>
      <c r="W139" s="122">
        <v>0</v>
      </c>
      <c r="X139" s="122">
        <v>0</v>
      </c>
      <c r="Y139" s="122">
        <v>0</v>
      </c>
      <c r="Z139" s="122">
        <v>0</v>
      </c>
      <c r="AA139" s="122">
        <v>0</v>
      </c>
      <c r="AB139" s="423">
        <f t="shared" si="34"/>
        <v>9307.8125</v>
      </c>
      <c r="AD139" s="107"/>
      <c r="AF139" s="158"/>
      <c r="AJ139" s="1"/>
    </row>
    <row r="140" spans="1:36" x14ac:dyDescent="0.2">
      <c r="B140" s="38" t="s">
        <v>171</v>
      </c>
      <c r="C140" s="104">
        <v>0.1</v>
      </c>
      <c r="D140" s="104"/>
      <c r="E140" s="42">
        <f t="shared" ref="E140:I140" si="38">SUM(E105:E138)*$C$140</f>
        <v>0</v>
      </c>
      <c r="F140" s="42">
        <f t="shared" si="38"/>
        <v>0</v>
      </c>
      <c r="G140" s="42">
        <f t="shared" si="38"/>
        <v>0</v>
      </c>
      <c r="H140" s="42">
        <f t="shared" si="38"/>
        <v>37000</v>
      </c>
      <c r="I140" s="42">
        <f t="shared" si="38"/>
        <v>37000</v>
      </c>
      <c r="J140" s="42">
        <f>SUM(J105:J138)*$C$140</f>
        <v>0</v>
      </c>
      <c r="K140" s="42">
        <f t="shared" ref="K140:R140" si="39">SUM(K105:K138)*$C$140</f>
        <v>0</v>
      </c>
      <c r="L140" s="42">
        <f t="shared" si="39"/>
        <v>0</v>
      </c>
      <c r="M140" s="42">
        <f t="shared" si="39"/>
        <v>0</v>
      </c>
      <c r="N140" s="42">
        <f t="shared" si="39"/>
        <v>0</v>
      </c>
      <c r="O140" s="42">
        <f t="shared" si="39"/>
        <v>0</v>
      </c>
      <c r="P140" s="42">
        <f t="shared" si="39"/>
        <v>0</v>
      </c>
      <c r="Q140" s="42">
        <f t="shared" si="39"/>
        <v>0</v>
      </c>
      <c r="R140" s="42">
        <f t="shared" si="39"/>
        <v>0</v>
      </c>
      <c r="S140" s="42">
        <v>0</v>
      </c>
      <c r="T140" s="42">
        <v>0</v>
      </c>
      <c r="U140" s="42">
        <v>0</v>
      </c>
      <c r="V140" s="42">
        <v>0</v>
      </c>
      <c r="W140" s="42">
        <v>0</v>
      </c>
      <c r="X140" s="42">
        <v>0</v>
      </c>
      <c r="Y140" s="42">
        <v>0</v>
      </c>
      <c r="Z140" s="42">
        <v>0</v>
      </c>
      <c r="AA140" s="42">
        <v>0</v>
      </c>
      <c r="AB140" s="422">
        <f t="shared" si="34"/>
        <v>74000</v>
      </c>
      <c r="AD140" s="107"/>
      <c r="AJ140" s="1"/>
    </row>
    <row r="141" spans="1:36" x14ac:dyDescent="0.2">
      <c r="B141" s="48" t="str">
        <f>B105</f>
        <v>HARD COSTS - SITE &amp; INFRASTRUCTURE</v>
      </c>
      <c r="C141" s="33"/>
      <c r="D141" s="33"/>
      <c r="E141" s="44">
        <f t="shared" ref="E141:AA141" si="40">SUM(E106:E140)</f>
        <v>0</v>
      </c>
      <c r="F141" s="44">
        <f t="shared" si="40"/>
        <v>0</v>
      </c>
      <c r="G141" s="44">
        <f t="shared" si="40"/>
        <v>0</v>
      </c>
      <c r="H141" s="44">
        <f t="shared" si="40"/>
        <v>411625</v>
      </c>
      <c r="I141" s="44">
        <f t="shared" si="40"/>
        <v>411682.8125</v>
      </c>
      <c r="J141" s="44">
        <f t="shared" si="40"/>
        <v>0</v>
      </c>
      <c r="K141" s="44">
        <f t="shared" si="40"/>
        <v>0</v>
      </c>
      <c r="L141" s="44">
        <f t="shared" si="40"/>
        <v>0</v>
      </c>
      <c r="M141" s="44">
        <f t="shared" si="40"/>
        <v>0</v>
      </c>
      <c r="N141" s="44">
        <f t="shared" si="40"/>
        <v>0</v>
      </c>
      <c r="O141" s="44">
        <f t="shared" si="40"/>
        <v>0</v>
      </c>
      <c r="P141" s="44">
        <f t="shared" si="40"/>
        <v>0</v>
      </c>
      <c r="Q141" s="44">
        <f t="shared" si="40"/>
        <v>0</v>
      </c>
      <c r="R141" s="44">
        <f t="shared" si="40"/>
        <v>0</v>
      </c>
      <c r="S141" s="44">
        <f t="shared" si="40"/>
        <v>0</v>
      </c>
      <c r="T141" s="44">
        <f t="shared" si="40"/>
        <v>0</v>
      </c>
      <c r="U141" s="44">
        <f t="shared" si="40"/>
        <v>0</v>
      </c>
      <c r="V141" s="44">
        <f t="shared" si="40"/>
        <v>0</v>
      </c>
      <c r="W141" s="44">
        <f t="shared" si="40"/>
        <v>0</v>
      </c>
      <c r="X141" s="44">
        <f t="shared" si="40"/>
        <v>0</v>
      </c>
      <c r="Y141" s="44">
        <f t="shared" si="40"/>
        <v>0</v>
      </c>
      <c r="Z141" s="44">
        <f t="shared" si="40"/>
        <v>0</v>
      </c>
      <c r="AA141" s="44">
        <f t="shared" si="40"/>
        <v>0</v>
      </c>
      <c r="AB141" s="43">
        <f t="shared" si="34"/>
        <v>823307.8125</v>
      </c>
      <c r="AD141" s="108">
        <f>AB141/$AB$38</f>
        <v>58807.700892857145</v>
      </c>
      <c r="AE141" s="158" t="s">
        <v>131</v>
      </c>
      <c r="AJ141" s="1"/>
    </row>
    <row r="142" spans="1:36" x14ac:dyDescent="0.2">
      <c r="B142" s="37"/>
      <c r="C142" s="33"/>
      <c r="D142" s="33"/>
      <c r="E142" s="32"/>
      <c r="F142" s="32"/>
      <c r="G142" s="32"/>
      <c r="H142" s="32"/>
      <c r="I142" s="32"/>
      <c r="J142" s="32"/>
      <c r="K142" s="32"/>
      <c r="L142" s="32"/>
      <c r="M142" s="32"/>
      <c r="N142" s="32"/>
      <c r="O142" s="32"/>
      <c r="P142" s="32"/>
      <c r="Q142" s="32"/>
      <c r="R142" s="32"/>
      <c r="S142" s="32"/>
      <c r="T142" s="32"/>
      <c r="U142" s="32"/>
      <c r="V142" s="32"/>
      <c r="W142" s="32"/>
      <c r="X142" s="32"/>
      <c r="Y142" s="32"/>
      <c r="Z142" s="32"/>
      <c r="AA142" s="32"/>
      <c r="AB142" s="20"/>
      <c r="AD142" s="103">
        <f>AB141/$AD$91</f>
        <v>6.661235871413651E-3</v>
      </c>
      <c r="AE142" s="1" t="s">
        <v>132</v>
      </c>
      <c r="AJ142" s="1"/>
    </row>
    <row r="143" spans="1:36" x14ac:dyDescent="0.2">
      <c r="B143" s="228" t="s">
        <v>172</v>
      </c>
      <c r="C143" s="33"/>
      <c r="D143" s="32"/>
      <c r="E143" s="32"/>
      <c r="F143" s="403">
        <v>0.1</v>
      </c>
      <c r="G143" s="403">
        <v>0.15</v>
      </c>
      <c r="H143" s="403">
        <v>0.3</v>
      </c>
      <c r="I143" s="403">
        <v>0.2</v>
      </c>
      <c r="J143" s="403">
        <v>0.15</v>
      </c>
      <c r="K143" s="403">
        <v>0.1</v>
      </c>
      <c r="L143" s="32"/>
      <c r="M143" s="32"/>
      <c r="N143" s="32"/>
      <c r="O143" s="32"/>
      <c r="P143" s="32"/>
      <c r="Q143" s="32"/>
      <c r="R143" s="32"/>
      <c r="S143" s="32"/>
      <c r="T143" s="32"/>
      <c r="U143" s="32"/>
      <c r="V143" s="32"/>
      <c r="W143" s="32"/>
      <c r="X143" s="32"/>
      <c r="Y143" s="32"/>
      <c r="Z143" s="32"/>
      <c r="AA143" s="20"/>
      <c r="AJ143" s="1"/>
    </row>
    <row r="144" spans="1:36" x14ac:dyDescent="0.2">
      <c r="B144" s="18" t="s">
        <v>173</v>
      </c>
      <c r="C144" s="164">
        <v>100000</v>
      </c>
      <c r="D144" s="122"/>
      <c r="E144" s="122"/>
      <c r="F144" s="122">
        <f t="shared" ref="F144:AA144" si="41">$C144*F38</f>
        <v>100000</v>
      </c>
      <c r="G144" s="122">
        <f t="shared" si="41"/>
        <v>200000</v>
      </c>
      <c r="H144" s="122">
        <f t="shared" si="41"/>
        <v>200000</v>
      </c>
      <c r="I144" s="122">
        <f t="shared" si="41"/>
        <v>100000</v>
      </c>
      <c r="J144" s="122">
        <f t="shared" si="41"/>
        <v>0</v>
      </c>
      <c r="K144" s="122">
        <f t="shared" si="41"/>
        <v>300000</v>
      </c>
      <c r="L144" s="122">
        <f t="shared" si="41"/>
        <v>300000</v>
      </c>
      <c r="M144" s="122">
        <f t="shared" si="41"/>
        <v>200000</v>
      </c>
      <c r="N144" s="122">
        <f t="shared" si="41"/>
        <v>0</v>
      </c>
      <c r="O144" s="122">
        <f t="shared" si="41"/>
        <v>0</v>
      </c>
      <c r="P144" s="122">
        <f t="shared" si="41"/>
        <v>0</v>
      </c>
      <c r="Q144" s="122">
        <f t="shared" si="41"/>
        <v>0</v>
      </c>
      <c r="R144" s="122">
        <f t="shared" si="41"/>
        <v>0</v>
      </c>
      <c r="S144" s="122">
        <f t="shared" si="41"/>
        <v>0</v>
      </c>
      <c r="T144" s="122">
        <f t="shared" si="41"/>
        <v>0</v>
      </c>
      <c r="U144" s="122">
        <f t="shared" si="41"/>
        <v>0</v>
      </c>
      <c r="V144" s="122">
        <f t="shared" si="41"/>
        <v>0</v>
      </c>
      <c r="W144" s="122">
        <f t="shared" si="41"/>
        <v>0</v>
      </c>
      <c r="X144" s="122">
        <f t="shared" si="41"/>
        <v>0</v>
      </c>
      <c r="Y144" s="122">
        <f t="shared" si="41"/>
        <v>0</v>
      </c>
      <c r="Z144" s="122">
        <f t="shared" si="41"/>
        <v>0</v>
      </c>
      <c r="AA144" s="122">
        <f t="shared" si="41"/>
        <v>0</v>
      </c>
      <c r="AB144" s="20">
        <f t="shared" ref="AB144:AB155" si="42">SUM(E144:AA144)</f>
        <v>1400000</v>
      </c>
      <c r="AD144" s="107">
        <f t="shared" ref="AD144:AD155" si="43">AB144/$AB$38</f>
        <v>100000</v>
      </c>
      <c r="AE144" s="158" t="s">
        <v>174</v>
      </c>
      <c r="AF144" s="1" t="s">
        <v>175</v>
      </c>
      <c r="AJ144" s="1"/>
    </row>
    <row r="145" spans="2:36" x14ac:dyDescent="0.2">
      <c r="B145" s="18" t="s">
        <v>176</v>
      </c>
      <c r="C145" s="164">
        <v>875</v>
      </c>
      <c r="D145" s="122"/>
      <c r="E145" s="122"/>
      <c r="F145" s="122">
        <f>(((SUMPRODUCT($D$24:$D$37,F$24:F$37))*$C145))*$F$143</f>
        <v>386837.5</v>
      </c>
      <c r="G145" s="122">
        <f>(((SUMPRODUCT($D$24:$D$37,F$24:F$37))*$C145))*$G$143</f>
        <v>580256.25</v>
      </c>
      <c r="H145" s="122">
        <f>(((SUMPRODUCT($D$24:$D$37,F$24:F$37))*$C145))*$H$143</f>
        <v>1160512.5</v>
      </c>
      <c r="I145" s="122">
        <f>(((SUMPRODUCT($D$24:$D$37,F$24:F$37))*$C145))*$I$143</f>
        <v>773675</v>
      </c>
      <c r="J145" s="122">
        <f>(((SUMPRODUCT($D$24:$D$37,F$24:F$37))*$C145))*$J$143</f>
        <v>580256.25</v>
      </c>
      <c r="K145" s="122">
        <f>(((SUMPRODUCT($D$24:$D$37,F$24:F$37))*$C145))*$K$143</f>
        <v>386837.5</v>
      </c>
      <c r="L145" s="122"/>
      <c r="M145" s="122"/>
      <c r="N145" s="122"/>
      <c r="O145" s="122"/>
      <c r="P145" s="122"/>
      <c r="Q145" s="122"/>
      <c r="R145" s="122"/>
      <c r="S145" s="122"/>
      <c r="T145" s="122"/>
      <c r="U145" s="122"/>
      <c r="V145" s="122"/>
      <c r="W145" s="122"/>
      <c r="X145" s="20"/>
      <c r="Y145" s="20"/>
      <c r="Z145" s="20"/>
      <c r="AA145" s="20">
        <f>(((SUMPRODUCT($D$24:$D$37,P24:P37))*$C145)*0.5)+(((SUMPRODUCT($D$24:$D$37,AA24:AA37))*$C145)*0.5)</f>
        <v>0</v>
      </c>
      <c r="AB145" s="20">
        <f t="shared" si="42"/>
        <v>3868375</v>
      </c>
      <c r="AD145" s="107">
        <f>AB145/SUM(D24)</f>
        <v>875</v>
      </c>
      <c r="AE145" s="1" t="s">
        <v>177</v>
      </c>
      <c r="AF145" s="236">
        <f>AB145/1</f>
        <v>3868375</v>
      </c>
      <c r="AJ145" s="1"/>
    </row>
    <row r="146" spans="2:36" x14ac:dyDescent="0.2">
      <c r="B146" s="18" t="s">
        <v>178</v>
      </c>
      <c r="C146" s="164">
        <v>875</v>
      </c>
      <c r="D146" s="122"/>
      <c r="E146" s="122"/>
      <c r="F146" s="122"/>
      <c r="G146" s="122">
        <f>(((SUMPRODUCT($D$24:$D$37,G$24:G$37))*$C146))*$F$143</f>
        <v>818300</v>
      </c>
      <c r="H146" s="122">
        <f>(((SUMPRODUCT($D$24:$D$37,G$24:G$37))*$C146))*$G$143</f>
        <v>1227450</v>
      </c>
      <c r="I146" s="122">
        <f>(((SUMPRODUCT($D$24:$D$37,G$24:G$37))*$C146))*$H$143</f>
        <v>2454900</v>
      </c>
      <c r="J146" s="122">
        <f>(((SUMPRODUCT($D$24:$D$37,G$24:G$37))*$C146))*$I$143</f>
        <v>1636600</v>
      </c>
      <c r="K146" s="122">
        <f>(((SUMPRODUCT($D$24:$D$37,G$24:G$37))*$C146))*$J$143</f>
        <v>1227450</v>
      </c>
      <c r="L146" s="122">
        <f>(((SUMPRODUCT($D$24:$D$37,G$24:G$37))*$C146))*$K$143</f>
        <v>818300</v>
      </c>
      <c r="M146" s="122"/>
      <c r="N146" s="122"/>
      <c r="P146" s="122"/>
      <c r="Q146" s="122"/>
      <c r="R146" s="122"/>
      <c r="S146" s="122"/>
      <c r="T146" s="122"/>
      <c r="U146" s="122"/>
      <c r="V146" s="122"/>
      <c r="W146" s="122"/>
      <c r="X146" s="20"/>
      <c r="Y146" s="20"/>
      <c r="Z146" s="20"/>
      <c r="AA146" s="20"/>
      <c r="AB146" s="20">
        <f t="shared" si="42"/>
        <v>8183000</v>
      </c>
      <c r="AD146" s="107">
        <f>AB146/SUM(D25:D26)</f>
        <v>875</v>
      </c>
      <c r="AE146" s="1" t="s">
        <v>177</v>
      </c>
      <c r="AF146" s="236">
        <f t="shared" ref="AF146" si="44">AB146/3</f>
        <v>2727666.6666666665</v>
      </c>
      <c r="AJ146" s="1"/>
    </row>
    <row r="147" spans="2:36" x14ac:dyDescent="0.2">
      <c r="B147" s="18" t="s">
        <v>176</v>
      </c>
      <c r="C147" s="164">
        <v>875</v>
      </c>
      <c r="D147" s="122"/>
      <c r="E147" s="122"/>
      <c r="F147" s="122"/>
      <c r="G147" s="122"/>
      <c r="H147" s="122">
        <f>(((SUMPRODUCT($D$24:$D$37,H$24:H$37))*$C147))*$F$143</f>
        <v>817250</v>
      </c>
      <c r="I147" s="122">
        <f>(((SUMPRODUCT($D$24:$D$37,H$24:H$37))*$C147))*$G$143</f>
        <v>1225875</v>
      </c>
      <c r="J147" s="122">
        <f>(((SUMPRODUCT($D$24:$D$37,H$24:H$37))*$C147))*$H$143</f>
        <v>2451750</v>
      </c>
      <c r="K147" s="122">
        <f>(((SUMPRODUCT($D$24:$D$37,H$24:H$37))*$C147))*$I$143</f>
        <v>1634500</v>
      </c>
      <c r="L147" s="122">
        <f>(((SUMPRODUCT($D$24:$D$37,H$24:H$37))*$C147))*$J$143</f>
        <v>1225875</v>
      </c>
      <c r="M147" s="122">
        <f>(((SUMPRODUCT($D$24:$D$37,H$24:H$37))*$C147))*$K$143</f>
        <v>817250</v>
      </c>
      <c r="N147" s="122">
        <f>(((SUMPRODUCT($D$24:$D$29,K$24:K$29))*$C147))*$I$143</f>
        <v>0</v>
      </c>
      <c r="O147" s="122">
        <f>(((SUMPRODUCT($D$24:$D$29,K$24:K$29))*$C147))*$J$143</f>
        <v>0</v>
      </c>
      <c r="P147" s="122">
        <f>(((SUMPRODUCT($D$24:$D$29,K$24:K$29))*$C147))*$K$143</f>
        <v>0</v>
      </c>
      <c r="Q147" s="122"/>
      <c r="R147" s="122"/>
      <c r="S147" s="122"/>
      <c r="T147" s="122"/>
      <c r="U147" s="122"/>
      <c r="V147" s="122"/>
      <c r="W147" s="122"/>
      <c r="X147" s="20"/>
      <c r="Y147" s="20"/>
      <c r="Z147" s="20"/>
      <c r="AA147" s="20"/>
      <c r="AB147" s="20">
        <f t="shared" si="42"/>
        <v>8172500</v>
      </c>
      <c r="AD147" s="107">
        <f>AB147/SUM(D27:D28)</f>
        <v>875</v>
      </c>
      <c r="AE147" s="1" t="s">
        <v>177</v>
      </c>
      <c r="AF147" s="236">
        <f>AB147/4</f>
        <v>2043125</v>
      </c>
      <c r="AJ147" s="1"/>
    </row>
    <row r="148" spans="2:36" x14ac:dyDescent="0.2">
      <c r="B148" s="18" t="s">
        <v>176</v>
      </c>
      <c r="C148" s="164">
        <v>875</v>
      </c>
      <c r="D148" s="122"/>
      <c r="E148" s="122"/>
      <c r="F148" s="122"/>
      <c r="G148" s="122"/>
      <c r="H148" s="122"/>
      <c r="I148" s="122">
        <f>(((SUMPRODUCT($D$24:$D$37,I$24:I$37))*$C148))*$F$143</f>
        <v>385787.5</v>
      </c>
      <c r="J148" s="122">
        <f>(((SUMPRODUCT($D$24:$D$37,I$24:I$37))*$C148))*$G$143</f>
        <v>578681.25</v>
      </c>
      <c r="K148" s="122">
        <f>(((SUMPRODUCT($D$24:$D$37,I$24:I$37))*$C148))*$H$143</f>
        <v>1157362.5</v>
      </c>
      <c r="L148" s="122">
        <f>(((SUMPRODUCT($D$24:$D$37,I$24:I$37))*$C148))*$I$143</f>
        <v>771575</v>
      </c>
      <c r="M148" s="122">
        <f>(((SUMPRODUCT($D$24:$D$37,I$24:I$37))*$C148))*$J$143</f>
        <v>578681.25</v>
      </c>
      <c r="N148" s="122">
        <f>(((SUMPRODUCT($D$24:$D$37,I$24:I$37))*$C148))*$K$143</f>
        <v>385787.5</v>
      </c>
      <c r="O148" s="122">
        <f>(((SUMPRODUCT($D$24:$D$29,N$24:N$29))*$C148))*$G$143</f>
        <v>0</v>
      </c>
      <c r="P148" s="122">
        <f>(((SUMPRODUCT($D$24:$D$29,N$24:N$29))*$C148))*$H$143</f>
        <v>0</v>
      </c>
      <c r="Q148" s="122">
        <f>(((SUMPRODUCT($D$24:$D$29,N$24:N$29))*$C148))*$I$143</f>
        <v>0</v>
      </c>
      <c r="R148" s="122">
        <f>(((SUMPRODUCT($D$24:$D$29,N$24:N$29))*$C148))*$J$143</f>
        <v>0</v>
      </c>
      <c r="S148" s="122">
        <f>(((SUMPRODUCT($D$24:$D$29,N$24:N$29))*$C148))*$K$143</f>
        <v>0</v>
      </c>
      <c r="T148" s="122">
        <f>(((SUMPRODUCT($D$24:$D$29,R$24:R$29))*$C148))*$H$143</f>
        <v>0</v>
      </c>
      <c r="U148" s="122">
        <f>(((SUMPRODUCT($D$24:$D$29,R$24:R$29))*$C148))*$I$143</f>
        <v>0</v>
      </c>
      <c r="V148" s="122">
        <f>(((SUMPRODUCT($D$24:$D$29,R$24:R$29))*$C148))*$J$143</f>
        <v>0</v>
      </c>
      <c r="W148" s="122">
        <f>(((SUMPRODUCT($D$24:$D$29,R$24:R$29))*$C148))*$K$143</f>
        <v>0</v>
      </c>
      <c r="X148" s="122"/>
      <c r="Y148" s="122"/>
      <c r="Z148" s="122"/>
      <c r="AA148" s="20"/>
      <c r="AB148" s="20">
        <f t="shared" si="42"/>
        <v>3857875</v>
      </c>
      <c r="AD148" s="107">
        <f>AB148/SUM(D27)</f>
        <v>875</v>
      </c>
      <c r="AE148" s="1" t="s">
        <v>177</v>
      </c>
      <c r="AF148" s="236">
        <f>AB148/4</f>
        <v>964468.75</v>
      </c>
      <c r="AJ148" s="1"/>
    </row>
    <row r="149" spans="2:36" x14ac:dyDescent="0.2">
      <c r="B149" s="18" t="s">
        <v>176</v>
      </c>
      <c r="C149" s="164">
        <v>875</v>
      </c>
      <c r="D149" s="122"/>
      <c r="E149" s="122"/>
      <c r="F149" s="122"/>
      <c r="G149" s="122"/>
      <c r="H149" s="122"/>
      <c r="I149" s="122"/>
      <c r="J149" s="122"/>
      <c r="K149" s="122">
        <f>(((SUMPRODUCT($D$24:$D$37,K$24:K$37))*$C149))*$F$143</f>
        <v>1205137.5</v>
      </c>
      <c r="L149" s="122">
        <f>(((SUMPRODUCT($D$24:$D$37,K$24:K$37))*$C149))*$G$143</f>
        <v>1807706.25</v>
      </c>
      <c r="M149" s="122">
        <f>(((SUMPRODUCT($D$24:$D$37,K$24:K$37))*$C149))*$H$143</f>
        <v>3615412.5</v>
      </c>
      <c r="N149" s="122">
        <f>(((SUMPRODUCT($D$24:$D$37,K$24:K$37))*$C149))*$I$143</f>
        <v>2410275</v>
      </c>
      <c r="O149" s="122">
        <f>(((SUMPRODUCT($D$24:$D$37,K$24:K$37))*$C149))*$J$143</f>
        <v>1807706.25</v>
      </c>
      <c r="P149" s="122">
        <f>(((SUMPRODUCT($D$24:$D$37,K$24:K$37))*$C149))*$K$143</f>
        <v>1205137.5</v>
      </c>
      <c r="Q149" s="122">
        <f>(((SUMPRODUCT($D$24:$D$29,O$24:O$29))*$C149))*$H$143</f>
        <v>0</v>
      </c>
      <c r="R149" s="122">
        <f>(((SUMPRODUCT($D$24:$D$29,O$24:O$29))*$C149))*$I$143</f>
        <v>0</v>
      </c>
      <c r="S149" s="122">
        <f>(((SUMPRODUCT($D$24:$D$29,O$24:O$29))*$C149))*$J$143</f>
        <v>0</v>
      </c>
      <c r="T149" s="122">
        <f>(((SUMPRODUCT($D$24:$D$29,O$24:O$29))*$C149))*$K$143</f>
        <v>0</v>
      </c>
      <c r="U149" s="122">
        <f>(((SUMPRODUCT($D$24:$D$29,U$24:U$29))*$C149))*$F$143</f>
        <v>0</v>
      </c>
      <c r="V149" s="122">
        <f>(((SUMPRODUCT($D$24:$D$29,U$24:U$29))*$C149))*$G$143</f>
        <v>0</v>
      </c>
      <c r="W149" s="122">
        <f>(((SUMPRODUCT($D$24:$D$29,U$24:U$29))*$C149))*$H$143</f>
        <v>0</v>
      </c>
      <c r="X149" s="122">
        <f>(((SUMPRODUCT($D$24:$D$29,U$24:U$29))*$C149))*$I$143</f>
        <v>0</v>
      </c>
      <c r="Y149" s="122">
        <f>(((SUMPRODUCT($D$24:$D$29,U$24:U$29))*$C149))*$J$143</f>
        <v>0</v>
      </c>
      <c r="Z149" s="122">
        <f>(((SUMPRODUCT($D$24:$D$29,U$24:U$29))*$C149))*$K$143</f>
        <v>0</v>
      </c>
      <c r="AA149" s="122"/>
      <c r="AB149" s="20">
        <f t="shared" ref="AB149:AB151" si="45">SUM(E149:AA149)</f>
        <v>12051375</v>
      </c>
      <c r="AD149" s="107">
        <f>AB149/SUM(D30:D32)</f>
        <v>875</v>
      </c>
      <c r="AE149" s="1" t="s">
        <v>177</v>
      </c>
      <c r="AF149" s="236">
        <f>AB149/4</f>
        <v>3012843.75</v>
      </c>
      <c r="AJ149" s="1"/>
    </row>
    <row r="150" spans="2:36" x14ac:dyDescent="0.2">
      <c r="B150" s="18" t="s">
        <v>176</v>
      </c>
      <c r="C150" s="164">
        <v>875</v>
      </c>
      <c r="D150" s="122"/>
      <c r="E150" s="122"/>
      <c r="F150" s="122"/>
      <c r="G150" s="122"/>
      <c r="H150" s="122"/>
      <c r="I150" s="122"/>
      <c r="J150" s="122"/>
      <c r="K150" s="122"/>
      <c r="L150" s="122">
        <f>(((SUMPRODUCT($D$24:$D$37,L$24:L$37))*$C150))*$F$143</f>
        <v>1203037.5</v>
      </c>
      <c r="M150" s="122">
        <f>(((SUMPRODUCT($D$24:$D$37,L$24:L$37))*$C150))*$G$143</f>
        <v>1804556.25</v>
      </c>
      <c r="N150" s="122">
        <f>(((SUMPRODUCT($D$24:$D$37,L$24:L$37))*$C150))*$H$143</f>
        <v>3609112.5</v>
      </c>
      <c r="O150" s="122">
        <f>(((SUMPRODUCT($D$24:$D$37,L$24:L$37))*$C150))*$I$143</f>
        <v>2406075</v>
      </c>
      <c r="P150" s="122">
        <f>(((SUMPRODUCT($D$24:$D$37,L$24:L$37))*$C150))*$J$143</f>
        <v>1804556.25</v>
      </c>
      <c r="Q150" s="122">
        <f>(((SUMPRODUCT($D$24:$D$37,L$24:L$37))*$C150))*$K$143</f>
        <v>1203037.5</v>
      </c>
      <c r="R150" s="122"/>
      <c r="S150" s="122">
        <f>(((SUMPRODUCT($D$24:$D$29,S$24:S$29))*$C150))*$F$143</f>
        <v>0</v>
      </c>
      <c r="T150" s="122">
        <f>(((SUMPRODUCT($D$24:$D$29,S$24:S$29))*$C150))*$G$143</f>
        <v>0</v>
      </c>
      <c r="U150" s="122">
        <f>(((SUMPRODUCT($D$24:$D$29,S$24:S$29))*$C150))*$H$143</f>
        <v>0</v>
      </c>
      <c r="V150" s="122">
        <f>(((SUMPRODUCT($D$24:$D$29,S$24:S$29))*$C150))*$I$143</f>
        <v>0</v>
      </c>
      <c r="W150" s="122">
        <f>(((SUMPRODUCT($D$24:$D$29,S$24:S$29))*$C150))*$J$143</f>
        <v>0</v>
      </c>
      <c r="X150" s="122">
        <f>(((SUMPRODUCT($D$24:$D$29,S$24:S$29))*$C150))*$K$143</f>
        <v>0</v>
      </c>
      <c r="Y150" s="122">
        <f>(((SUMPRODUCT($D$24:$D$29,V$24:V$29))*$C150))*$I$143</f>
        <v>0</v>
      </c>
      <c r="Z150" s="122">
        <f>(((SUMPRODUCT($D$24:$D$29,V$24:V$29))*$C150))*$J$143</f>
        <v>0</v>
      </c>
      <c r="AA150" s="122">
        <f>(((SUMPRODUCT($D$24:$D$29,V$24:V$29))*$C150))*$K$143</f>
        <v>0</v>
      </c>
      <c r="AB150" s="20">
        <f t="shared" si="45"/>
        <v>12030375</v>
      </c>
      <c r="AD150" s="107">
        <f>AB150/SUM(D33:D35)</f>
        <v>875</v>
      </c>
      <c r="AE150" s="1" t="s">
        <v>177</v>
      </c>
      <c r="AF150" s="236">
        <f>AB150/4</f>
        <v>3007593.75</v>
      </c>
      <c r="AJ150" s="1"/>
    </row>
    <row r="151" spans="2:36" x14ac:dyDescent="0.2">
      <c r="B151" s="18" t="s">
        <v>176</v>
      </c>
      <c r="C151" s="164">
        <v>875</v>
      </c>
      <c r="D151" s="122"/>
      <c r="E151" s="122"/>
      <c r="F151" s="122"/>
      <c r="G151" s="122"/>
      <c r="H151" s="122"/>
      <c r="I151" s="122"/>
      <c r="J151" s="122"/>
      <c r="K151" s="122"/>
      <c r="L151" s="122"/>
      <c r="M151" s="122">
        <f>(((SUMPRODUCT($D$24:$D$37,M$24:M$37))*$C151))*$F$143</f>
        <v>818300</v>
      </c>
      <c r="N151" s="122">
        <f>(((SUMPRODUCT($D$24:$D$37,M$24:M$37))*$C151))*$G$143</f>
        <v>1227450</v>
      </c>
      <c r="O151" s="122">
        <f>(((SUMPRODUCT($D$24:$D$37,M$24:M$37))*$C151))*$H$143</f>
        <v>2454900</v>
      </c>
      <c r="P151" s="122">
        <f>(((SUMPRODUCT($D$24:$D$37,M$24:M$37))*$C151))*$I$143</f>
        <v>1636600</v>
      </c>
      <c r="Q151" s="122">
        <f>(((SUMPRODUCT($D$24:$D$37,M$24:M$37))*$C151))*$J$143</f>
        <v>1227450</v>
      </c>
      <c r="R151" s="122">
        <f>(((SUMPRODUCT($D$24:$D$37,M$24:M$37))*$C151))*$K$143</f>
        <v>818300</v>
      </c>
      <c r="S151" s="122">
        <f>(((SUMPRODUCT($D$24:$D$29,S$24:S$29))*$C151))*$F$143</f>
        <v>0</v>
      </c>
      <c r="T151" s="122">
        <f>(((SUMPRODUCT($D$24:$D$29,S$24:S$29))*$C151))*$G$143</f>
        <v>0</v>
      </c>
      <c r="U151" s="122">
        <f>(((SUMPRODUCT($D$24:$D$29,S$24:S$29))*$C151))*$H$143</f>
        <v>0</v>
      </c>
      <c r="V151" s="122">
        <f>(((SUMPRODUCT($D$24:$D$29,S$24:S$29))*$C151))*$I$143</f>
        <v>0</v>
      </c>
      <c r="W151" s="122">
        <f>(((SUMPRODUCT($D$24:$D$29,S$24:S$29))*$C151))*$J$143</f>
        <v>0</v>
      </c>
      <c r="X151" s="122">
        <f>(((SUMPRODUCT($D$24:$D$29,S$24:S$29))*$C151))*$K$143</f>
        <v>0</v>
      </c>
      <c r="Y151" s="122">
        <f>(((SUMPRODUCT($D$24:$D$29,V$24:V$29))*$C151))*$I$143</f>
        <v>0</v>
      </c>
      <c r="Z151" s="122">
        <f>(((SUMPRODUCT($D$24:$D$29,V$24:V$29))*$C151))*$J$143</f>
        <v>0</v>
      </c>
      <c r="AA151" s="122">
        <f>(((SUMPRODUCT($D$24:$D$29,V$24:V$29))*$C151))*$K$143</f>
        <v>0</v>
      </c>
      <c r="AB151" s="20">
        <f t="shared" si="45"/>
        <v>8183000</v>
      </c>
      <c r="AD151" s="107">
        <f>AB151/SUM(D36:D37)</f>
        <v>875</v>
      </c>
      <c r="AE151" s="1" t="s">
        <v>177</v>
      </c>
      <c r="AF151" s="236">
        <f>AB151/4</f>
        <v>2045750</v>
      </c>
      <c r="AJ151" s="1"/>
    </row>
    <row r="152" spans="2:36" x14ac:dyDescent="0.2">
      <c r="B152" s="18" t="s">
        <v>179</v>
      </c>
      <c r="C152" s="409">
        <v>150000</v>
      </c>
      <c r="D152" s="122"/>
      <c r="E152" s="122"/>
      <c r="F152" s="122">
        <f t="shared" ref="F152:Q152" si="46">0.5*$C$152*SUM(G43:H56)</f>
        <v>150000</v>
      </c>
      <c r="G152" s="122">
        <f t="shared" si="46"/>
        <v>150000</v>
      </c>
      <c r="H152" s="122">
        <f t="shared" si="46"/>
        <v>75000</v>
      </c>
      <c r="I152" s="122">
        <f t="shared" si="46"/>
        <v>150000</v>
      </c>
      <c r="J152" s="122">
        <f t="shared" si="46"/>
        <v>375000</v>
      </c>
      <c r="K152" s="122">
        <f t="shared" si="46"/>
        <v>375000</v>
      </c>
      <c r="L152" s="122">
        <f t="shared" si="46"/>
        <v>150000</v>
      </c>
      <c r="M152" s="122">
        <f t="shared" si="46"/>
        <v>0</v>
      </c>
      <c r="N152" s="122">
        <f t="shared" si="46"/>
        <v>150000</v>
      </c>
      <c r="O152" s="122">
        <f t="shared" si="46"/>
        <v>225000</v>
      </c>
      <c r="P152" s="122">
        <f t="shared" si="46"/>
        <v>150000</v>
      </c>
      <c r="Q152" s="122">
        <f t="shared" si="46"/>
        <v>75000</v>
      </c>
      <c r="R152" s="122">
        <f>0.5*$C$152*SUM(R43:R56)</f>
        <v>75000</v>
      </c>
      <c r="S152" s="122">
        <f t="shared" ref="S152:X152" si="47">0.5*$C$152*SUM(T43:U48)</f>
        <v>0</v>
      </c>
      <c r="T152" s="122">
        <f t="shared" si="47"/>
        <v>0</v>
      </c>
      <c r="U152" s="122">
        <f t="shared" si="47"/>
        <v>0</v>
      </c>
      <c r="V152" s="122">
        <f t="shared" si="47"/>
        <v>0</v>
      </c>
      <c r="W152" s="122">
        <f t="shared" si="47"/>
        <v>0</v>
      </c>
      <c r="X152" s="122">
        <f t="shared" si="47"/>
        <v>0</v>
      </c>
      <c r="Y152" s="122">
        <f>0.5*$C$152*SUM(Z43:Z48)</f>
        <v>0</v>
      </c>
      <c r="Z152" s="122">
        <f>0.5*$C$152*SUM(Z43:Z48)</f>
        <v>0</v>
      </c>
      <c r="AA152" s="122">
        <f>0.5*$C$152*SUM(AA43:AA48)</f>
        <v>0</v>
      </c>
      <c r="AB152" s="20">
        <f t="shared" si="42"/>
        <v>2100000</v>
      </c>
      <c r="AD152" s="107">
        <f>AB152/SUM($AB$24:$AB$37)</f>
        <v>150000</v>
      </c>
      <c r="AE152" s="158" t="s">
        <v>174</v>
      </c>
      <c r="AJ152" s="1"/>
    </row>
    <row r="153" spans="2:36" x14ac:dyDescent="0.2">
      <c r="B153" s="18" t="s">
        <v>170</v>
      </c>
      <c r="C153" s="224">
        <v>0.05</v>
      </c>
      <c r="D153" s="20"/>
      <c r="E153" s="122"/>
      <c r="F153" s="122">
        <f t="shared" ref="F153:AA153" si="48">SUM(F144:F152,E153)*($C153/4)</f>
        <v>7960.46875</v>
      </c>
      <c r="G153" s="122">
        <f t="shared" si="48"/>
        <v>21956.458984375</v>
      </c>
      <c r="H153" s="122">
        <f t="shared" si="48"/>
        <v>43777.111987304692</v>
      </c>
      <c r="I153" s="122">
        <f t="shared" si="48"/>
        <v>64175.182649841314</v>
      </c>
      <c r="J153" s="122">
        <f t="shared" si="48"/>
        <v>71080.783533123016</v>
      </c>
      <c r="K153" s="122">
        <f t="shared" si="48"/>
        <v>79467.103544164042</v>
      </c>
      <c r="L153" s="122">
        <f t="shared" si="48"/>
        <v>79449.510669302064</v>
      </c>
      <c r="M153" s="122">
        <f t="shared" si="48"/>
        <v>98920.618883366289</v>
      </c>
      <c r="N153" s="122">
        <f t="shared" si="48"/>
        <v>98519.320236042084</v>
      </c>
      <c r="O153" s="122">
        <f t="shared" si="48"/>
        <v>87402.507127950536</v>
      </c>
      <c r="P153" s="122">
        <f t="shared" si="48"/>
        <v>61046.203214099391</v>
      </c>
      <c r="Q153" s="122">
        <f t="shared" si="48"/>
        <v>32081.67129017624</v>
      </c>
      <c r="R153" s="122">
        <f t="shared" si="48"/>
        <v>11567.270891127204</v>
      </c>
      <c r="S153" s="122">
        <v>0</v>
      </c>
      <c r="T153" s="122">
        <f t="shared" si="48"/>
        <v>0</v>
      </c>
      <c r="U153" s="122">
        <f t="shared" si="48"/>
        <v>0</v>
      </c>
      <c r="V153" s="122">
        <f t="shared" si="48"/>
        <v>0</v>
      </c>
      <c r="W153" s="122">
        <f t="shared" si="48"/>
        <v>0</v>
      </c>
      <c r="X153" s="122">
        <f t="shared" si="48"/>
        <v>0</v>
      </c>
      <c r="Y153" s="122"/>
      <c r="Z153" s="122">
        <f t="shared" si="48"/>
        <v>0</v>
      </c>
      <c r="AA153" s="122">
        <f t="shared" si="48"/>
        <v>0</v>
      </c>
      <c r="AB153" s="20">
        <f t="shared" si="42"/>
        <v>757404.21176087193</v>
      </c>
      <c r="AD153" s="107">
        <f t="shared" si="43"/>
        <v>54100.300840062278</v>
      </c>
      <c r="AE153" s="1" t="s">
        <v>180</v>
      </c>
      <c r="AJ153" s="1"/>
    </row>
    <row r="154" spans="2:36" x14ac:dyDescent="0.2">
      <c r="B154" s="18" t="s">
        <v>171</v>
      </c>
      <c r="C154" s="224">
        <v>3.5000000000000003E-2</v>
      </c>
      <c r="D154" s="17"/>
      <c r="E154" s="17">
        <f>SUM(E143:E152)*$C154</f>
        <v>0</v>
      </c>
      <c r="F154" s="17">
        <f t="shared" ref="F154:W154" si="49">SUM(F144:F152)*$C154</f>
        <v>22289.312500000004</v>
      </c>
      <c r="G154" s="17">
        <f t="shared" si="49"/>
        <v>61199.468750000007</v>
      </c>
      <c r="H154" s="17">
        <f t="shared" si="49"/>
        <v>121807.43750000001</v>
      </c>
      <c r="I154" s="17">
        <f t="shared" si="49"/>
        <v>178158.31250000003</v>
      </c>
      <c r="J154" s="17">
        <f t="shared" si="49"/>
        <v>196780.06250000003</v>
      </c>
      <c r="K154" s="17">
        <f t="shared" si="49"/>
        <v>220020.06250000003</v>
      </c>
      <c r="L154" s="17">
        <f t="shared" si="49"/>
        <v>219677.28125000003</v>
      </c>
      <c r="M154" s="17">
        <f t="shared" si="49"/>
        <v>274197</v>
      </c>
      <c r="N154" s="17">
        <f t="shared" si="49"/>
        <v>272391.875</v>
      </c>
      <c r="O154" s="17">
        <f t="shared" si="49"/>
        <v>241278.84375000003</v>
      </c>
      <c r="P154" s="17">
        <f t="shared" si="49"/>
        <v>167870.28125000003</v>
      </c>
      <c r="Q154" s="17">
        <f t="shared" si="49"/>
        <v>87692.062500000015</v>
      </c>
      <c r="R154" s="17">
        <f t="shared" si="49"/>
        <v>31265.500000000004</v>
      </c>
      <c r="S154" s="17">
        <f t="shared" si="49"/>
        <v>0</v>
      </c>
      <c r="T154" s="17">
        <f t="shared" si="49"/>
        <v>0</v>
      </c>
      <c r="U154" s="17">
        <f t="shared" si="49"/>
        <v>0</v>
      </c>
      <c r="V154" s="17">
        <f t="shared" si="49"/>
        <v>0</v>
      </c>
      <c r="W154" s="17">
        <f t="shared" si="49"/>
        <v>0</v>
      </c>
      <c r="X154" s="17">
        <f t="shared" ref="X154:AA154" si="50">SUM(X144:X152)*$C154</f>
        <v>0</v>
      </c>
      <c r="Y154" s="17">
        <f t="shared" si="50"/>
        <v>0</v>
      </c>
      <c r="Z154" s="17">
        <f t="shared" si="50"/>
        <v>0</v>
      </c>
      <c r="AA154" s="17">
        <f t="shared" si="50"/>
        <v>0</v>
      </c>
      <c r="AB154" s="20">
        <f t="shared" si="42"/>
        <v>2094627.5</v>
      </c>
      <c r="AD154" s="107">
        <f t="shared" si="43"/>
        <v>149616.25</v>
      </c>
      <c r="AE154" s="1" t="s">
        <v>180</v>
      </c>
      <c r="AF154" s="1" t="s">
        <v>181</v>
      </c>
      <c r="AJ154" s="1"/>
    </row>
    <row r="155" spans="2:36" x14ac:dyDescent="0.2">
      <c r="B155" s="225" t="str">
        <f>B143</f>
        <v>HARD COSTS - HOMES</v>
      </c>
      <c r="C155" s="226"/>
      <c r="D155" s="100"/>
      <c r="E155" s="100">
        <f t="shared" ref="E155:AA155" si="51">SUM(E144:E154)</f>
        <v>0</v>
      </c>
      <c r="F155" s="100">
        <f t="shared" si="51"/>
        <v>667087.28125</v>
      </c>
      <c r="G155" s="100">
        <f t="shared" si="51"/>
        <v>1831712.177734375</v>
      </c>
      <c r="H155" s="100">
        <f t="shared" si="51"/>
        <v>3645797.0494873049</v>
      </c>
      <c r="I155" s="100">
        <f t="shared" si="51"/>
        <v>5332570.9951498415</v>
      </c>
      <c r="J155" s="100">
        <f t="shared" si="51"/>
        <v>5890148.3460331233</v>
      </c>
      <c r="K155" s="100">
        <f t="shared" si="51"/>
        <v>6585774.6660441644</v>
      </c>
      <c r="L155" s="100">
        <f t="shared" si="51"/>
        <v>6575620.5419193022</v>
      </c>
      <c r="M155" s="100">
        <f t="shared" si="51"/>
        <v>8207317.6188833667</v>
      </c>
      <c r="N155" s="100">
        <f t="shared" si="51"/>
        <v>8153536.1952360421</v>
      </c>
      <c r="O155" s="100">
        <f t="shared" si="51"/>
        <v>7222362.6008779509</v>
      </c>
      <c r="P155" s="100">
        <f t="shared" si="51"/>
        <v>5025210.2344640996</v>
      </c>
      <c r="Q155" s="100">
        <f t="shared" si="51"/>
        <v>2625261.2337901765</v>
      </c>
      <c r="R155" s="100">
        <f t="shared" si="51"/>
        <v>936132.77089112718</v>
      </c>
      <c r="S155" s="100">
        <f t="shared" si="51"/>
        <v>0</v>
      </c>
      <c r="T155" s="100">
        <f t="shared" si="51"/>
        <v>0</v>
      </c>
      <c r="U155" s="100">
        <f t="shared" si="51"/>
        <v>0</v>
      </c>
      <c r="V155" s="100">
        <f t="shared" si="51"/>
        <v>0</v>
      </c>
      <c r="W155" s="100">
        <f t="shared" si="51"/>
        <v>0</v>
      </c>
      <c r="X155" s="100">
        <f t="shared" si="51"/>
        <v>0</v>
      </c>
      <c r="Y155" s="100">
        <f t="shared" si="51"/>
        <v>0</v>
      </c>
      <c r="Z155" s="100">
        <f t="shared" si="51"/>
        <v>0</v>
      </c>
      <c r="AA155" s="100">
        <f t="shared" si="51"/>
        <v>0</v>
      </c>
      <c r="AB155" s="101">
        <f t="shared" si="42"/>
        <v>62698531.711760871</v>
      </c>
      <c r="AD155" s="107">
        <f t="shared" si="43"/>
        <v>4478466.5508400621</v>
      </c>
      <c r="AE155" s="1" t="s">
        <v>180</v>
      </c>
      <c r="AF155" s="159">
        <f>AB155/$AF$38</f>
        <v>973.64015950929979</v>
      </c>
      <c r="AJ155" s="1"/>
    </row>
    <row r="156" spans="2:36" x14ac:dyDescent="0.2">
      <c r="B156" s="37"/>
      <c r="C156" s="33"/>
      <c r="D156" s="32"/>
      <c r="E156" s="32"/>
      <c r="F156" s="32"/>
      <c r="G156" s="32"/>
      <c r="H156" s="32"/>
      <c r="I156" s="32"/>
      <c r="J156" s="32"/>
      <c r="K156" s="32"/>
      <c r="L156" s="32"/>
      <c r="M156" s="32"/>
      <c r="N156" s="32"/>
      <c r="O156" s="32"/>
      <c r="P156" s="32"/>
      <c r="Q156" s="32"/>
      <c r="R156" s="32"/>
      <c r="S156" s="32"/>
      <c r="T156" s="32"/>
      <c r="U156" s="32"/>
      <c r="V156" s="32"/>
      <c r="W156" s="32"/>
      <c r="X156" s="32"/>
      <c r="Y156" s="32"/>
      <c r="Z156" s="32"/>
      <c r="AA156" s="20"/>
      <c r="AD156" s="103">
        <f>AB155/$AD$91</f>
        <v>0.50728257667705279</v>
      </c>
      <c r="AE156" s="1" t="s">
        <v>132</v>
      </c>
      <c r="AJ156" s="1"/>
    </row>
    <row r="157" spans="2:36" x14ac:dyDescent="0.2">
      <c r="B157" s="216" t="s">
        <v>182</v>
      </c>
      <c r="AB157" s="20"/>
      <c r="AJ157" s="1"/>
    </row>
    <row r="158" spans="2:36" x14ac:dyDescent="0.2">
      <c r="B158" s="18" t="s">
        <v>183</v>
      </c>
      <c r="C158" s="430">
        <f>AB141*0.075</f>
        <v>61748.0859375</v>
      </c>
      <c r="D158" s="16"/>
      <c r="E158" s="135"/>
      <c r="F158" s="135">
        <f t="shared" ref="F158:G160" si="52">$C158/2</f>
        <v>30874.04296875</v>
      </c>
      <c r="G158" s="135">
        <f t="shared" si="52"/>
        <v>30874.04296875</v>
      </c>
      <c r="J158" s="135"/>
      <c r="K158" s="56"/>
      <c r="L158" s="56"/>
      <c r="M158" s="56"/>
      <c r="N158" s="56"/>
      <c r="O158" s="135"/>
      <c r="AB158" s="20">
        <f t="shared" ref="AB158:AB164" si="53">SUM(E158:AA158)</f>
        <v>61748.0859375</v>
      </c>
      <c r="AD158" s="107"/>
      <c r="AJ158" s="1"/>
    </row>
    <row r="159" spans="2:36" x14ac:dyDescent="0.2">
      <c r="B159" s="18" t="s">
        <v>184</v>
      </c>
      <c r="C159" s="430">
        <f>AB141*0.05</f>
        <v>41165.390625</v>
      </c>
      <c r="D159" s="16"/>
      <c r="E159" s="135"/>
      <c r="F159" s="135">
        <f t="shared" si="52"/>
        <v>20582.6953125</v>
      </c>
      <c r="G159" s="135">
        <f t="shared" si="52"/>
        <v>20582.6953125</v>
      </c>
      <c r="I159" s="135"/>
      <c r="J159" s="135"/>
      <c r="O159" s="135"/>
      <c r="AB159" s="20">
        <f t="shared" si="53"/>
        <v>41165.390625</v>
      </c>
      <c r="AD159" s="107"/>
      <c r="AJ159" s="1"/>
    </row>
    <row r="160" spans="2:36" x14ac:dyDescent="0.2">
      <c r="B160" s="18" t="s">
        <v>185</v>
      </c>
      <c r="C160" s="430">
        <v>35000</v>
      </c>
      <c r="D160" s="211"/>
      <c r="E160" s="135"/>
      <c r="F160" s="135">
        <f t="shared" si="52"/>
        <v>17500</v>
      </c>
      <c r="G160" s="135">
        <f t="shared" si="52"/>
        <v>17500</v>
      </c>
      <c r="H160" s="56"/>
      <c r="I160" s="56"/>
      <c r="J160" s="56"/>
      <c r="K160" s="56"/>
      <c r="L160" s="56"/>
      <c r="M160" s="56"/>
      <c r="N160" s="56"/>
      <c r="O160" s="56"/>
      <c r="AB160" s="20">
        <f t="shared" si="53"/>
        <v>35000</v>
      </c>
      <c r="AD160" s="107"/>
      <c r="AJ160" s="1"/>
    </row>
    <row r="161" spans="2:36" x14ac:dyDescent="0.2">
      <c r="B161" s="18" t="s">
        <v>186</v>
      </c>
      <c r="C161" s="45">
        <v>15000</v>
      </c>
      <c r="D161" s="16"/>
      <c r="E161" s="135"/>
      <c r="F161" s="135">
        <f>$C161/3</f>
        <v>5000</v>
      </c>
      <c r="G161" s="135">
        <f>$C161/3</f>
        <v>5000</v>
      </c>
      <c r="H161" s="135">
        <f>$C161/3</f>
        <v>5000</v>
      </c>
      <c r="I161" s="56"/>
      <c r="J161" s="56"/>
      <c r="K161" s="56"/>
      <c r="L161" s="56"/>
      <c r="M161" s="56"/>
      <c r="N161" s="56"/>
      <c r="O161" s="56"/>
      <c r="P161" s="17"/>
      <c r="AB161" s="20">
        <f t="shared" si="53"/>
        <v>15000</v>
      </c>
      <c r="AD161" s="107">
        <f>C161-AB161</f>
        <v>0</v>
      </c>
      <c r="AJ161" s="1"/>
    </row>
    <row r="162" spans="2:36" x14ac:dyDescent="0.2">
      <c r="B162" s="18" t="s">
        <v>187</v>
      </c>
      <c r="C162" s="45">
        <v>5000</v>
      </c>
      <c r="D162" s="16"/>
      <c r="E162" s="122"/>
      <c r="F162" s="122">
        <f>$C$162/3</f>
        <v>1666.6666666666667</v>
      </c>
      <c r="G162" s="122">
        <f>$C$162/3</f>
        <v>1666.6666666666667</v>
      </c>
      <c r="H162" s="122">
        <f>$C$162/3</f>
        <v>1666.6666666666667</v>
      </c>
      <c r="I162" s="122">
        <f t="shared" ref="I162:R162" si="54">$C$162/4</f>
        <v>1250</v>
      </c>
      <c r="J162" s="122">
        <f t="shared" si="54"/>
        <v>1250</v>
      </c>
      <c r="K162" s="122">
        <f t="shared" si="54"/>
        <v>1250</v>
      </c>
      <c r="L162" s="122">
        <f t="shared" si="54"/>
        <v>1250</v>
      </c>
      <c r="M162" s="122">
        <f t="shared" si="54"/>
        <v>1250</v>
      </c>
      <c r="N162" s="122">
        <f t="shared" si="54"/>
        <v>1250</v>
      </c>
      <c r="O162" s="122">
        <f t="shared" si="54"/>
        <v>1250</v>
      </c>
      <c r="P162" s="122">
        <f t="shared" si="54"/>
        <v>1250</v>
      </c>
      <c r="Q162" s="122">
        <f t="shared" si="54"/>
        <v>1250</v>
      </c>
      <c r="R162" s="122">
        <f t="shared" si="54"/>
        <v>1250</v>
      </c>
      <c r="S162" s="122"/>
      <c r="T162" s="122"/>
      <c r="U162" s="122"/>
      <c r="V162" s="122"/>
      <c r="W162" s="122"/>
      <c r="X162" s="122"/>
      <c r="Y162" s="122"/>
      <c r="Z162" s="122"/>
      <c r="AA162" s="122"/>
      <c r="AB162" s="20">
        <f t="shared" si="53"/>
        <v>17500</v>
      </c>
      <c r="AD162" s="107"/>
      <c r="AJ162" s="1"/>
    </row>
    <row r="163" spans="2:36" x14ac:dyDescent="0.2">
      <c r="B163" s="38" t="s">
        <v>188</v>
      </c>
      <c r="C163" s="41">
        <v>0.05</v>
      </c>
      <c r="D163" s="41"/>
      <c r="E163" s="42">
        <f t="shared" ref="E163:R163" si="55">SUM(E157:E162)*$C$163</f>
        <v>0</v>
      </c>
      <c r="F163" s="42">
        <f t="shared" si="55"/>
        <v>3781.1702473958339</v>
      </c>
      <c r="G163" s="42">
        <f t="shared" si="55"/>
        <v>3781.1702473958339</v>
      </c>
      <c r="H163" s="42">
        <f t="shared" si="55"/>
        <v>333.33333333333337</v>
      </c>
      <c r="I163" s="42">
        <f t="shared" si="55"/>
        <v>62.5</v>
      </c>
      <c r="J163" s="42">
        <f t="shared" si="55"/>
        <v>62.5</v>
      </c>
      <c r="K163" s="42">
        <f t="shared" si="55"/>
        <v>62.5</v>
      </c>
      <c r="L163" s="42">
        <f t="shared" si="55"/>
        <v>62.5</v>
      </c>
      <c r="M163" s="42">
        <f t="shared" si="55"/>
        <v>62.5</v>
      </c>
      <c r="N163" s="42">
        <f t="shared" si="55"/>
        <v>62.5</v>
      </c>
      <c r="O163" s="42">
        <f t="shared" si="55"/>
        <v>62.5</v>
      </c>
      <c r="P163" s="42">
        <f t="shared" si="55"/>
        <v>62.5</v>
      </c>
      <c r="Q163" s="42">
        <f t="shared" si="55"/>
        <v>62.5</v>
      </c>
      <c r="R163" s="42">
        <f t="shared" si="55"/>
        <v>62.5</v>
      </c>
      <c r="S163" s="42">
        <f t="shared" ref="S163:W163" si="56">SUM(S157:S162)*$C$163</f>
        <v>0</v>
      </c>
      <c r="T163" s="42">
        <f t="shared" si="56"/>
        <v>0</v>
      </c>
      <c r="U163" s="42">
        <f t="shared" si="56"/>
        <v>0</v>
      </c>
      <c r="V163" s="42">
        <f t="shared" si="56"/>
        <v>0</v>
      </c>
      <c r="W163" s="42">
        <f t="shared" si="56"/>
        <v>0</v>
      </c>
      <c r="X163" s="42">
        <f t="shared" ref="X163:AA163" si="57">SUM(X157:X162)*$C$163</f>
        <v>0</v>
      </c>
      <c r="Y163" s="42">
        <f t="shared" si="57"/>
        <v>0</v>
      </c>
      <c r="Z163" s="42">
        <f t="shared" si="57"/>
        <v>0</v>
      </c>
      <c r="AA163" s="42">
        <f t="shared" si="57"/>
        <v>0</v>
      </c>
      <c r="AB163" s="40">
        <f t="shared" si="53"/>
        <v>8520.673828125</v>
      </c>
      <c r="AD163" s="107"/>
      <c r="AJ163" s="1"/>
    </row>
    <row r="164" spans="2:36" x14ac:dyDescent="0.2">
      <c r="B164" s="8" t="str">
        <f>B157</f>
        <v>SOFT COSTS PROFESSIONALS - SITE &amp; INFRA</v>
      </c>
      <c r="E164" s="44">
        <f t="shared" ref="E164:AA164" si="58">SUM(E157:E163)</f>
        <v>0</v>
      </c>
      <c r="F164" s="44">
        <f t="shared" si="58"/>
        <v>79404.5751953125</v>
      </c>
      <c r="G164" s="44">
        <f t="shared" si="58"/>
        <v>79404.5751953125</v>
      </c>
      <c r="H164" s="44">
        <f t="shared" si="58"/>
        <v>7000</v>
      </c>
      <c r="I164" s="44">
        <f t="shared" si="58"/>
        <v>1312.5</v>
      </c>
      <c r="J164" s="44">
        <f t="shared" si="58"/>
        <v>1312.5</v>
      </c>
      <c r="K164" s="44">
        <f t="shared" si="58"/>
        <v>1312.5</v>
      </c>
      <c r="L164" s="44">
        <f t="shared" si="58"/>
        <v>1312.5</v>
      </c>
      <c r="M164" s="44">
        <f t="shared" si="58"/>
        <v>1312.5</v>
      </c>
      <c r="N164" s="44">
        <f t="shared" si="58"/>
        <v>1312.5</v>
      </c>
      <c r="O164" s="44">
        <f t="shared" si="58"/>
        <v>1312.5</v>
      </c>
      <c r="P164" s="44">
        <f t="shared" si="58"/>
        <v>1312.5</v>
      </c>
      <c r="Q164" s="44">
        <f t="shared" si="58"/>
        <v>1312.5</v>
      </c>
      <c r="R164" s="44">
        <f t="shared" si="58"/>
        <v>1312.5</v>
      </c>
      <c r="S164" s="44">
        <f t="shared" si="58"/>
        <v>0</v>
      </c>
      <c r="T164" s="44">
        <f t="shared" si="58"/>
        <v>0</v>
      </c>
      <c r="U164" s="44">
        <f t="shared" si="58"/>
        <v>0</v>
      </c>
      <c r="V164" s="44">
        <f t="shared" si="58"/>
        <v>0</v>
      </c>
      <c r="W164" s="44">
        <f t="shared" si="58"/>
        <v>0</v>
      </c>
      <c r="X164" s="44"/>
      <c r="Y164" s="44"/>
      <c r="Z164" s="44"/>
      <c r="AA164" s="44">
        <f t="shared" si="58"/>
        <v>0</v>
      </c>
      <c r="AB164" s="43">
        <f t="shared" si="53"/>
        <v>178934.150390625</v>
      </c>
      <c r="AD164" s="108">
        <f>AB164/$AB$38</f>
        <v>12781.0107421875</v>
      </c>
      <c r="AE164" s="158" t="s">
        <v>131</v>
      </c>
      <c r="AJ164" s="1"/>
    </row>
    <row r="165" spans="2:36" x14ac:dyDescent="0.2">
      <c r="B165" s="37"/>
      <c r="C165" s="33"/>
      <c r="D165" s="32"/>
      <c r="E165" s="32"/>
      <c r="F165" s="32"/>
      <c r="G165" s="32"/>
      <c r="H165" s="32"/>
      <c r="I165" s="32"/>
      <c r="J165" s="32"/>
      <c r="K165" s="32"/>
      <c r="L165" s="32"/>
      <c r="M165" s="32"/>
      <c r="N165" s="32"/>
      <c r="O165" s="32"/>
      <c r="P165" s="32"/>
      <c r="Q165" s="32"/>
      <c r="R165" s="32"/>
      <c r="S165" s="32"/>
      <c r="T165" s="32"/>
      <c r="U165" s="32"/>
      <c r="V165" s="32"/>
      <c r="W165" s="32"/>
      <c r="X165" s="32"/>
      <c r="Y165" s="32"/>
      <c r="Z165" s="32"/>
      <c r="AA165" s="20"/>
      <c r="AD165" s="103">
        <f>AB164/$AD$91</f>
        <v>1.4477241234765474E-3</v>
      </c>
      <c r="AE165" s="1" t="s">
        <v>132</v>
      </c>
      <c r="AJ165" s="1"/>
    </row>
    <row r="166" spans="2:36" x14ac:dyDescent="0.2">
      <c r="B166" s="216" t="s">
        <v>189</v>
      </c>
      <c r="AB166" s="20"/>
      <c r="AG166" s="1" t="s">
        <v>190</v>
      </c>
      <c r="AJ166" s="1"/>
    </row>
    <row r="167" spans="2:36" x14ac:dyDescent="0.2">
      <c r="B167" s="18" t="s">
        <v>191</v>
      </c>
      <c r="C167" s="45">
        <v>5000</v>
      </c>
      <c r="D167" s="56"/>
      <c r="E167" s="56"/>
      <c r="G167" s="56"/>
      <c r="H167" s="17">
        <f>C167</f>
        <v>5000</v>
      </c>
      <c r="I167" s="56"/>
      <c r="K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20">
        <f t="shared" ref="AB167:AB187" si="59">SUM(D167:AA167)</f>
        <v>5000</v>
      </c>
      <c r="AD167" s="107">
        <f t="shared" ref="AD167:AD179" si="60">AB167/$AB$38</f>
        <v>357.14285714285717</v>
      </c>
      <c r="AE167" s="158" t="s">
        <v>192</v>
      </c>
      <c r="AF167" s="107">
        <f>AB167/3</f>
        <v>1666.6666666666667</v>
      </c>
      <c r="AG167" s="158" t="s">
        <v>193</v>
      </c>
      <c r="AJ167" s="1"/>
    </row>
    <row r="168" spans="2:36" hidden="1" x14ac:dyDescent="0.2">
      <c r="B168" s="18"/>
      <c r="C168" s="237"/>
      <c r="D168" s="56"/>
      <c r="E168" s="56"/>
      <c r="F168" s="404"/>
      <c r="G168" s="404"/>
      <c r="H168" s="404"/>
      <c r="I168" s="404"/>
      <c r="J168" s="404"/>
      <c r="K168" s="404"/>
      <c r="L168" s="404"/>
      <c r="M168" s="404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20">
        <f t="shared" si="59"/>
        <v>0</v>
      </c>
      <c r="AD168" s="107">
        <f t="shared" si="60"/>
        <v>0</v>
      </c>
      <c r="AE168" s="158" t="s">
        <v>192</v>
      </c>
      <c r="AF168" s="107">
        <f t="shared" ref="AF168:AF179" si="61">AB168/20</f>
        <v>0</v>
      </c>
      <c r="AG168" s="158" t="s">
        <v>193</v>
      </c>
      <c r="AJ168" s="1"/>
    </row>
    <row r="169" spans="2:36" x14ac:dyDescent="0.2">
      <c r="B169" s="18" t="s">
        <v>194</v>
      </c>
      <c r="C169" s="414">
        <v>2.2499999999999999E-2</v>
      </c>
      <c r="D169" s="56"/>
      <c r="F169" s="135">
        <f>$C169*SUM($E$145:$Y$148)*0.5</f>
        <v>270919.6875</v>
      </c>
      <c r="G169" s="135">
        <f>$C169*SUM($E$145:$Y$148)*0.5</f>
        <v>270919.6875</v>
      </c>
      <c r="H169" s="135">
        <f t="shared" ref="H169:R169" si="62">$C169*SUM($E$145:$R$146)*0.5*COUNT(H24:I24)</f>
        <v>0</v>
      </c>
      <c r="I169" s="135">
        <f t="shared" si="62"/>
        <v>0</v>
      </c>
      <c r="J169" s="135">
        <f t="shared" si="62"/>
        <v>0</v>
      </c>
      <c r="K169" s="135">
        <f t="shared" si="62"/>
        <v>0</v>
      </c>
      <c r="L169" s="135">
        <f t="shared" si="62"/>
        <v>0</v>
      </c>
      <c r="M169" s="135">
        <f t="shared" si="62"/>
        <v>0</v>
      </c>
      <c r="N169" s="56">
        <f t="shared" si="62"/>
        <v>0</v>
      </c>
      <c r="O169" s="56">
        <f t="shared" si="62"/>
        <v>0</v>
      </c>
      <c r="P169" s="56">
        <f t="shared" si="62"/>
        <v>0</v>
      </c>
      <c r="Q169" s="56">
        <f t="shared" si="62"/>
        <v>0</v>
      </c>
      <c r="R169" s="56">
        <f t="shared" si="62"/>
        <v>0</v>
      </c>
      <c r="S169" s="135">
        <v>0</v>
      </c>
      <c r="T169" s="135">
        <v>0</v>
      </c>
      <c r="U169" s="135">
        <v>0</v>
      </c>
      <c r="V169" s="135">
        <v>0</v>
      </c>
      <c r="W169" s="135">
        <v>0</v>
      </c>
      <c r="X169" s="135">
        <v>0</v>
      </c>
      <c r="Y169" s="135">
        <v>0</v>
      </c>
      <c r="Z169" s="135">
        <v>0</v>
      </c>
      <c r="AA169" s="135">
        <v>0</v>
      </c>
      <c r="AB169" s="20">
        <f t="shared" si="59"/>
        <v>541839.375</v>
      </c>
      <c r="AD169" s="107">
        <f t="shared" si="60"/>
        <v>38702.8125</v>
      </c>
      <c r="AE169" s="158" t="s">
        <v>192</v>
      </c>
      <c r="AF169" s="107"/>
      <c r="AG169" s="158"/>
      <c r="AJ169" s="1"/>
    </row>
    <row r="170" spans="2:36" x14ac:dyDescent="0.2">
      <c r="B170" s="18" t="s">
        <v>194</v>
      </c>
      <c r="C170" s="414">
        <v>1.4999999999999999E-2</v>
      </c>
      <c r="D170" s="56"/>
      <c r="E170" s="56">
        <v>0</v>
      </c>
      <c r="F170" s="135">
        <v>0</v>
      </c>
      <c r="G170" s="135">
        <v>0</v>
      </c>
      <c r="H170" s="135">
        <v>0</v>
      </c>
      <c r="I170" s="135">
        <v>0</v>
      </c>
      <c r="J170" s="135">
        <v>0</v>
      </c>
      <c r="K170" s="135">
        <v>0</v>
      </c>
      <c r="L170" s="135">
        <f>$C170*SUM($E$149:$Y$151)*0.5</f>
        <v>241985.625</v>
      </c>
      <c r="M170" s="135">
        <f>$C170*SUM($E$149:$Y$151)*0.5</f>
        <v>241985.625</v>
      </c>
      <c r="O170" s="56">
        <f>$C170*SUM($E$147:$AA$148)*0.5*COUNT(N30:O30)</f>
        <v>0</v>
      </c>
      <c r="P170" s="56">
        <f>$C170*SUM($E$147:$AA$148)*0.5*COUNT(O30:P30)</f>
        <v>0</v>
      </c>
      <c r="Q170" s="56">
        <v>0</v>
      </c>
      <c r="R170" s="56">
        <v>0</v>
      </c>
      <c r="S170" s="56">
        <v>0</v>
      </c>
      <c r="T170" s="56">
        <v>0</v>
      </c>
      <c r="U170" s="56">
        <v>0</v>
      </c>
      <c r="V170" s="56">
        <v>0</v>
      </c>
      <c r="W170" s="56">
        <v>0</v>
      </c>
      <c r="X170" s="56">
        <v>0</v>
      </c>
      <c r="Y170" s="56">
        <v>0</v>
      </c>
      <c r="Z170" s="56">
        <v>0</v>
      </c>
      <c r="AA170" s="56">
        <v>0</v>
      </c>
      <c r="AB170" s="20">
        <f t="shared" si="59"/>
        <v>483971.25</v>
      </c>
      <c r="AD170" s="107">
        <f t="shared" si="60"/>
        <v>34569.375</v>
      </c>
      <c r="AE170" s="158" t="s">
        <v>192</v>
      </c>
      <c r="AF170" s="107"/>
      <c r="AG170" s="158"/>
      <c r="AJ170" s="1"/>
    </row>
    <row r="171" spans="2:36" hidden="1" x14ac:dyDescent="0.2">
      <c r="B171" s="18"/>
      <c r="C171" s="45"/>
      <c r="D171" s="1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20">
        <f t="shared" si="59"/>
        <v>0</v>
      </c>
      <c r="AD171" s="107">
        <f t="shared" si="60"/>
        <v>0</v>
      </c>
      <c r="AE171" s="158" t="s">
        <v>192</v>
      </c>
      <c r="AF171" s="107">
        <f t="shared" si="61"/>
        <v>0</v>
      </c>
      <c r="AG171" s="158" t="s">
        <v>193</v>
      </c>
      <c r="AJ171" s="1"/>
    </row>
    <row r="172" spans="2:36" x14ac:dyDescent="0.2">
      <c r="B172" s="18" t="s">
        <v>195</v>
      </c>
      <c r="C172" s="45">
        <v>20000</v>
      </c>
      <c r="D172" s="405" t="s">
        <v>196</v>
      </c>
      <c r="E172" s="56"/>
      <c r="F172" s="56">
        <f>+$C172</f>
        <v>20000</v>
      </c>
      <c r="G172" s="56">
        <f t="shared" ref="G172:R172" si="63">+$C172</f>
        <v>20000</v>
      </c>
      <c r="H172" s="56">
        <f t="shared" si="63"/>
        <v>20000</v>
      </c>
      <c r="I172" s="56">
        <f t="shared" si="63"/>
        <v>20000</v>
      </c>
      <c r="J172" s="56">
        <f t="shared" si="63"/>
        <v>20000</v>
      </c>
      <c r="K172" s="56">
        <f t="shared" si="63"/>
        <v>20000</v>
      </c>
      <c r="L172" s="56">
        <f t="shared" si="63"/>
        <v>20000</v>
      </c>
      <c r="M172" s="56">
        <f t="shared" si="63"/>
        <v>20000</v>
      </c>
      <c r="N172" s="56">
        <f t="shared" si="63"/>
        <v>20000</v>
      </c>
      <c r="O172" s="56">
        <f t="shared" si="63"/>
        <v>20000</v>
      </c>
      <c r="P172" s="56">
        <f t="shared" si="63"/>
        <v>20000</v>
      </c>
      <c r="Q172" s="56">
        <f t="shared" si="63"/>
        <v>20000</v>
      </c>
      <c r="R172" s="56">
        <f t="shared" si="63"/>
        <v>20000</v>
      </c>
      <c r="S172" s="56"/>
      <c r="T172" s="56"/>
      <c r="U172" s="56"/>
      <c r="V172" s="56"/>
      <c r="W172" s="56"/>
      <c r="X172" s="56"/>
      <c r="Y172" s="56"/>
      <c r="Z172" s="56"/>
      <c r="AA172" s="56"/>
      <c r="AB172" s="20">
        <f t="shared" si="59"/>
        <v>260000</v>
      </c>
      <c r="AD172" s="107">
        <f>AB172/SUM($AB$24:$AB$26)</f>
        <v>86666.666666666672</v>
      </c>
      <c r="AE172" s="158" t="s">
        <v>192</v>
      </c>
      <c r="AF172" s="107"/>
      <c r="AG172" s="158"/>
      <c r="AJ172" s="1"/>
    </row>
    <row r="173" spans="2:36" hidden="1" x14ac:dyDescent="0.2">
      <c r="B173" s="18" t="s">
        <v>195</v>
      </c>
      <c r="C173" s="45"/>
      <c r="D173" s="405" t="s">
        <v>197</v>
      </c>
      <c r="E173" s="56">
        <f>(SUM($E$27:$E$29)*$C173)/6</f>
        <v>0</v>
      </c>
      <c r="F173" s="56">
        <f>(SUM($E$27:$F$29)*$C173)/6</f>
        <v>0</v>
      </c>
      <c r="G173" s="56">
        <f>(SUM($E$27:$G$29)*$C173)/6</f>
        <v>0</v>
      </c>
      <c r="H173" s="56">
        <f>(SUM($E$27:$H$29)*$C173)/6</f>
        <v>0</v>
      </c>
      <c r="I173" s="56">
        <f>(SUM($E$27:$I$29)*$C173)/6</f>
        <v>0</v>
      </c>
      <c r="J173" s="56">
        <f>(SUM($E$27:$J$29)*$C173)/6</f>
        <v>0</v>
      </c>
      <c r="K173" s="56">
        <f>(SUM($E$27:$K$29)*$C173)/6</f>
        <v>0</v>
      </c>
      <c r="L173" s="56">
        <f>(SUM($E$27:$L$29)*$C173)/6</f>
        <v>0</v>
      </c>
      <c r="M173" s="56">
        <f>(SUM($E$27:$L$29)*$C173)/6</f>
        <v>0</v>
      </c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20">
        <f t="shared" si="59"/>
        <v>0</v>
      </c>
      <c r="AD173" s="107">
        <f>AB173/SUM($AB$27:$AB$29)</f>
        <v>0</v>
      </c>
      <c r="AE173" s="158" t="s">
        <v>192</v>
      </c>
      <c r="AF173" s="107"/>
      <c r="AG173" s="158"/>
      <c r="AJ173" s="1"/>
    </row>
    <row r="174" spans="2:36" hidden="1" x14ac:dyDescent="0.2">
      <c r="B174" s="18" t="s">
        <v>195</v>
      </c>
      <c r="C174" s="45"/>
      <c r="D174" s="405" t="s">
        <v>197</v>
      </c>
      <c r="E174" s="56">
        <f>(SUM($E$30:$E$33)*$C174)/6</f>
        <v>0</v>
      </c>
      <c r="F174" s="56">
        <f>(SUM($E$30:$F$33)*$C174)/6</f>
        <v>0</v>
      </c>
      <c r="G174" s="56">
        <f>(SUM($E$30:$G$33)*$C174)/6</f>
        <v>0</v>
      </c>
      <c r="H174" s="56">
        <f>(SUM($E$30:$H$33)*$C174)/6</f>
        <v>0</v>
      </c>
      <c r="I174" s="56">
        <f>(SUM($E$30:$I$33)*$C174)/6</f>
        <v>0</v>
      </c>
      <c r="J174" s="56">
        <f>(SUM($E$30:$J$33)*$C174)/6</f>
        <v>0</v>
      </c>
      <c r="K174" s="56">
        <f>(SUM($E$30:$K$33)*$C174)/6</f>
        <v>0</v>
      </c>
      <c r="L174" s="56">
        <f>(SUM($E$30:$L$33)*$C174)/6</f>
        <v>0</v>
      </c>
      <c r="M174" s="56">
        <f>(SUM($E$30:$M$33)*$C174)/6</f>
        <v>0</v>
      </c>
      <c r="N174" s="56">
        <f>(SUM($E$30:$N$33)*$C174)/6</f>
        <v>0</v>
      </c>
      <c r="O174" s="56">
        <f>(SUM($E$30:$O$33)*$C174)/6</f>
        <v>0</v>
      </c>
      <c r="P174" s="56">
        <f t="shared" ref="P174:T174" si="64">(SUM($E$30:$O$33)*$C174)/6</f>
        <v>0</v>
      </c>
      <c r="Q174" s="56">
        <f t="shared" si="64"/>
        <v>0</v>
      </c>
      <c r="R174" s="56">
        <f t="shared" si="64"/>
        <v>0</v>
      </c>
      <c r="S174" s="56">
        <f t="shared" si="64"/>
        <v>0</v>
      </c>
      <c r="T174" s="56">
        <f t="shared" si="64"/>
        <v>0</v>
      </c>
      <c r="U174" s="56">
        <v>0</v>
      </c>
      <c r="V174" s="56">
        <v>0</v>
      </c>
      <c r="W174" s="56">
        <v>0</v>
      </c>
      <c r="X174" s="56">
        <v>0</v>
      </c>
      <c r="Y174" s="56">
        <v>0</v>
      </c>
      <c r="Z174" s="56">
        <v>0</v>
      </c>
      <c r="AA174" s="56">
        <v>0</v>
      </c>
      <c r="AB174" s="20">
        <f t="shared" si="59"/>
        <v>0</v>
      </c>
      <c r="AD174" s="107">
        <f>AB174/SUM($AB$30:$AB$33)</f>
        <v>0</v>
      </c>
      <c r="AE174" s="158" t="s">
        <v>192</v>
      </c>
      <c r="AF174" s="107"/>
      <c r="AG174" s="158"/>
      <c r="AJ174" s="1"/>
    </row>
    <row r="175" spans="2:36" hidden="1" x14ac:dyDescent="0.2">
      <c r="B175" s="18" t="s">
        <v>195</v>
      </c>
      <c r="C175" s="45"/>
      <c r="D175" s="405" t="s">
        <v>197</v>
      </c>
      <c r="E175" s="56">
        <f>(SUM($E$34:$E$37)*$C175)/6</f>
        <v>0</v>
      </c>
      <c r="F175" s="56">
        <f>(SUM($E$34:$F$37)*$C175)/6</f>
        <v>0</v>
      </c>
      <c r="G175" s="56">
        <f>(SUM($E$34:$G$37)*$C175)/6</f>
        <v>0</v>
      </c>
      <c r="H175" s="56">
        <f>(SUM($E$34:$H$37)*$C175)/6</f>
        <v>0</v>
      </c>
      <c r="I175" s="56">
        <f>(SUM($E$34:$I$37)*$C175)/6</f>
        <v>0</v>
      </c>
      <c r="J175" s="56">
        <f>(SUM($E$34:$J$37)*$C175)/6</f>
        <v>0</v>
      </c>
      <c r="K175" s="56">
        <f>(SUM($E$34:$K$37)*$C175)/6</f>
        <v>0</v>
      </c>
      <c r="L175" s="56">
        <f>(SUM($E$34:$N$37)*$C175)/6</f>
        <v>0</v>
      </c>
      <c r="M175" s="56">
        <f>(SUM($E$34:$M$37)*$C175)/6</f>
        <v>0</v>
      </c>
      <c r="N175" s="56">
        <f>(SUM($E$34:$N$37)*$C175)/6</f>
        <v>0</v>
      </c>
      <c r="O175" s="56">
        <f>(SUM($E$34:$O$37)*$C175)/6</f>
        <v>0</v>
      </c>
      <c r="P175" s="56">
        <f>(SUM($E$34:$P$37)*$C175)/6</f>
        <v>0</v>
      </c>
      <c r="Q175" s="56">
        <f>(SUM($E$34:$Q$37)*$C175)/6</f>
        <v>0</v>
      </c>
      <c r="R175" s="56">
        <f t="shared" ref="R175:V175" si="65">(SUM($E$34:$Q$37)*$C175)/6</f>
        <v>0</v>
      </c>
      <c r="S175" s="56">
        <f t="shared" si="65"/>
        <v>0</v>
      </c>
      <c r="T175" s="56">
        <f t="shared" si="65"/>
        <v>0</v>
      </c>
      <c r="U175" s="56">
        <f t="shared" si="65"/>
        <v>0</v>
      </c>
      <c r="V175" s="56">
        <f t="shared" si="65"/>
        <v>0</v>
      </c>
      <c r="W175" s="56">
        <v>0</v>
      </c>
      <c r="X175" s="56">
        <v>0</v>
      </c>
      <c r="Y175" s="56">
        <v>0</v>
      </c>
      <c r="Z175" s="56">
        <v>0</v>
      </c>
      <c r="AA175" s="56">
        <v>0</v>
      </c>
      <c r="AB175" s="20">
        <f t="shared" si="59"/>
        <v>0</v>
      </c>
      <c r="AD175" s="107">
        <f>AB175/SUM($AB$34:$AB$37)</f>
        <v>0</v>
      </c>
      <c r="AE175" s="158" t="s">
        <v>192</v>
      </c>
      <c r="AF175" s="107"/>
      <c r="AG175" s="158"/>
      <c r="AJ175" s="1"/>
    </row>
    <row r="176" spans="2:36" hidden="1" x14ac:dyDescent="0.2">
      <c r="B176" s="18"/>
      <c r="C176" s="237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20">
        <f t="shared" si="59"/>
        <v>0</v>
      </c>
      <c r="AD176" s="107">
        <f t="shared" si="60"/>
        <v>0</v>
      </c>
      <c r="AE176" s="158" t="s">
        <v>192</v>
      </c>
      <c r="AF176" s="107">
        <f t="shared" si="61"/>
        <v>0</v>
      </c>
      <c r="AG176" s="158" t="s">
        <v>193</v>
      </c>
      <c r="AJ176" s="1"/>
    </row>
    <row r="177" spans="2:36" x14ac:dyDescent="0.2">
      <c r="B177" s="18" t="s">
        <v>198</v>
      </c>
      <c r="C177" s="237">
        <v>0.1</v>
      </c>
      <c r="D177" s="56"/>
      <c r="E177" s="56">
        <v>0</v>
      </c>
      <c r="F177" s="56">
        <f>$C177*SUM(B152:V152)*0.25</f>
        <v>56250</v>
      </c>
      <c r="G177" s="56">
        <f>$C177*SUM(C152:W152)*0.25</f>
        <v>56250</v>
      </c>
      <c r="H177" s="56">
        <f>$C177*SUM(D152:X152)*0.25</f>
        <v>52500</v>
      </c>
      <c r="I177" s="56">
        <f>$C177*SUM(E152:Y152)*0.25</f>
        <v>52500</v>
      </c>
      <c r="J177" s="56">
        <v>0</v>
      </c>
      <c r="K177" s="56">
        <v>0</v>
      </c>
      <c r="L177" s="56">
        <v>0</v>
      </c>
      <c r="M177" s="56">
        <v>0</v>
      </c>
      <c r="N177" s="56">
        <v>0</v>
      </c>
      <c r="O177" s="56">
        <v>0</v>
      </c>
      <c r="P177" s="56">
        <v>0</v>
      </c>
      <c r="Q177" s="56">
        <v>0</v>
      </c>
      <c r="R177" s="56">
        <v>0</v>
      </c>
      <c r="S177" s="56">
        <v>0</v>
      </c>
      <c r="T177" s="56">
        <v>0</v>
      </c>
      <c r="U177" s="56">
        <v>0</v>
      </c>
      <c r="V177" s="56">
        <v>0</v>
      </c>
      <c r="W177" s="56">
        <v>0</v>
      </c>
      <c r="X177" s="56">
        <v>0</v>
      </c>
      <c r="Y177" s="56">
        <v>0</v>
      </c>
      <c r="Z177" s="56">
        <v>0</v>
      </c>
      <c r="AA177" s="56">
        <v>0</v>
      </c>
      <c r="AB177" s="20">
        <f t="shared" si="59"/>
        <v>217500</v>
      </c>
      <c r="AD177" s="107">
        <f t="shared" si="60"/>
        <v>15535.714285714286</v>
      </c>
      <c r="AE177" s="158" t="s">
        <v>192</v>
      </c>
      <c r="AF177" s="107"/>
      <c r="AG177" s="158"/>
      <c r="AJ177" s="1"/>
    </row>
    <row r="178" spans="2:36" hidden="1" x14ac:dyDescent="0.2">
      <c r="B178" s="18" t="s">
        <v>198</v>
      </c>
      <c r="C178" s="237">
        <v>0.1</v>
      </c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20">
        <f t="shared" si="59"/>
        <v>0</v>
      </c>
      <c r="AD178" s="107">
        <f t="shared" si="60"/>
        <v>0</v>
      </c>
      <c r="AE178" s="158" t="s">
        <v>192</v>
      </c>
      <c r="AF178" s="107"/>
      <c r="AG178" s="158"/>
      <c r="AJ178" s="1"/>
    </row>
    <row r="179" spans="2:36" hidden="1" x14ac:dyDescent="0.2">
      <c r="B179" s="18"/>
      <c r="C179" s="45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20">
        <f t="shared" si="59"/>
        <v>0</v>
      </c>
      <c r="AD179" s="107">
        <f t="shared" si="60"/>
        <v>0</v>
      </c>
      <c r="AE179" s="158" t="s">
        <v>192</v>
      </c>
      <c r="AF179" s="107">
        <f t="shared" si="61"/>
        <v>0</v>
      </c>
      <c r="AG179" s="158" t="s">
        <v>193</v>
      </c>
      <c r="AJ179" s="1"/>
    </row>
    <row r="180" spans="2:36" x14ac:dyDescent="0.2">
      <c r="B180" s="18" t="s">
        <v>199</v>
      </c>
      <c r="C180" s="414">
        <f>3500/150000</f>
        <v>2.3333333333333334E-2</v>
      </c>
      <c r="D180" s="405"/>
      <c r="E180" s="56">
        <f>+$C$180*(E152)</f>
        <v>0</v>
      </c>
      <c r="F180" s="56">
        <f t="shared" ref="F180:AA180" si="66">+$C$180*(F152)</f>
        <v>3500</v>
      </c>
      <c r="G180" s="56">
        <f t="shared" si="66"/>
        <v>3500</v>
      </c>
      <c r="H180" s="56">
        <f t="shared" si="66"/>
        <v>1750</v>
      </c>
      <c r="I180" s="56">
        <f t="shared" si="66"/>
        <v>3500</v>
      </c>
      <c r="J180" s="56">
        <f t="shared" si="66"/>
        <v>8750</v>
      </c>
      <c r="K180" s="56">
        <f t="shared" si="66"/>
        <v>8750</v>
      </c>
      <c r="L180" s="56">
        <f t="shared" si="66"/>
        <v>3500</v>
      </c>
      <c r="M180" s="56">
        <f t="shared" si="66"/>
        <v>0</v>
      </c>
      <c r="N180" s="56">
        <f t="shared" si="66"/>
        <v>3500</v>
      </c>
      <c r="O180" s="56">
        <f t="shared" si="66"/>
        <v>5250</v>
      </c>
      <c r="P180" s="56">
        <f t="shared" si="66"/>
        <v>3500</v>
      </c>
      <c r="Q180" s="56">
        <f t="shared" si="66"/>
        <v>1750</v>
      </c>
      <c r="R180" s="56">
        <f t="shared" si="66"/>
        <v>1750</v>
      </c>
      <c r="S180" s="56">
        <f t="shared" si="66"/>
        <v>0</v>
      </c>
      <c r="T180" s="56">
        <f t="shared" si="66"/>
        <v>0</v>
      </c>
      <c r="U180" s="56">
        <f t="shared" si="66"/>
        <v>0</v>
      </c>
      <c r="V180" s="56">
        <f t="shared" si="66"/>
        <v>0</v>
      </c>
      <c r="W180" s="56">
        <f t="shared" si="66"/>
        <v>0</v>
      </c>
      <c r="X180" s="56">
        <f t="shared" si="66"/>
        <v>0</v>
      </c>
      <c r="Y180" s="56">
        <f t="shared" si="66"/>
        <v>0</v>
      </c>
      <c r="Z180" s="56">
        <f t="shared" si="66"/>
        <v>0</v>
      </c>
      <c r="AA180" s="56">
        <f t="shared" si="66"/>
        <v>0</v>
      </c>
      <c r="AB180" s="20">
        <f t="shared" si="59"/>
        <v>49000</v>
      </c>
      <c r="AD180" s="107">
        <f>+AB180/SUM(AB24:AB29)</f>
        <v>8166.666666666667</v>
      </c>
      <c r="AE180" s="158" t="s">
        <v>192</v>
      </c>
      <c r="AF180" s="107"/>
      <c r="AG180" s="158"/>
      <c r="AJ180" s="1"/>
    </row>
    <row r="181" spans="2:36" hidden="1" x14ac:dyDescent="0.2">
      <c r="B181" s="18" t="s">
        <v>199</v>
      </c>
      <c r="C181" s="415">
        <f>3500/150000</f>
        <v>2.3333333333333334E-2</v>
      </c>
      <c r="D181" s="405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20">
        <f t="shared" si="59"/>
        <v>0</v>
      </c>
      <c r="AD181" s="107">
        <f>+AB181/SUM(AB30:AB37)</f>
        <v>0</v>
      </c>
      <c r="AE181" s="158" t="s">
        <v>192</v>
      </c>
      <c r="AF181" s="107"/>
      <c r="AG181" s="158"/>
      <c r="AJ181" s="1"/>
    </row>
    <row r="182" spans="2:36" x14ac:dyDescent="0.2">
      <c r="B182" s="18" t="s">
        <v>200</v>
      </c>
      <c r="C182" s="413">
        <v>3.5</v>
      </c>
      <c r="D182" s="16"/>
      <c r="F182" s="20">
        <f>((SUMPRODUCT($D$24:$D$37,F24:F37))*$C182)</f>
        <v>15473.5</v>
      </c>
      <c r="G182" s="20">
        <f>((SUMPRODUCT($D$24:$D$37,G24:G37))*$C182)</f>
        <v>32732</v>
      </c>
      <c r="H182" s="20">
        <f>((SUMPRODUCT($D$24:$D$37,H24:H37))*$C182)</f>
        <v>32690</v>
      </c>
      <c r="I182" s="20">
        <f>((SUMPRODUCT($D$24:$D$37,I24:I37))*$C182)</f>
        <v>15431.5</v>
      </c>
      <c r="J182" s="20">
        <f>((SUMPRODUCT($D$24:$D$37,K24:K37))*$C182)</f>
        <v>48205.5</v>
      </c>
      <c r="K182" s="20">
        <f>((SUMPRODUCT($D$24:$D$37,L24:L37))*$C182)</f>
        <v>48121.5</v>
      </c>
      <c r="L182" s="20">
        <f>((SUMPRODUCT($D$24:$D$37,M24:M37))*$C182)</f>
        <v>32732</v>
      </c>
      <c r="M182" s="20">
        <f>((SUMPRODUCT($D$24:$D$37,N24:N37))*$C182)</f>
        <v>0</v>
      </c>
      <c r="N182" s="20">
        <f>((SUMPRODUCT($D$24:$D$37,N24:N37))*$C182)</f>
        <v>0</v>
      </c>
      <c r="O182" s="20">
        <f>((SUMPRODUCT($D$24:$D$37,O24:O37))*$C182)</f>
        <v>0</v>
      </c>
      <c r="P182" s="20">
        <f>((SUMPRODUCT($D$24:$D$37,P24:P37))*$C182)</f>
        <v>0</v>
      </c>
      <c r="Q182" s="20">
        <f>((SUMPRODUCT($D$24:$D$37,Q24:Q37))*$C182)</f>
        <v>0</v>
      </c>
      <c r="R182" s="20">
        <f t="shared" ref="R182:Z182" si="67">((SUMPRODUCT($D$24:$D$37,S24:S37))*$C182)</f>
        <v>0</v>
      </c>
      <c r="S182" s="20">
        <f t="shared" si="67"/>
        <v>0</v>
      </c>
      <c r="T182" s="20">
        <f t="shared" si="67"/>
        <v>0</v>
      </c>
      <c r="U182" s="20">
        <f t="shared" si="67"/>
        <v>0</v>
      </c>
      <c r="V182" s="20">
        <f t="shared" si="67"/>
        <v>0</v>
      </c>
      <c r="W182" s="20">
        <f t="shared" si="67"/>
        <v>0</v>
      </c>
      <c r="X182" s="20">
        <f t="shared" si="67"/>
        <v>0</v>
      </c>
      <c r="Y182" s="20">
        <f t="shared" si="67"/>
        <v>0</v>
      </c>
      <c r="Z182" s="20">
        <f t="shared" si="67"/>
        <v>0</v>
      </c>
      <c r="AA182" s="20"/>
      <c r="AB182" s="20">
        <f t="shared" si="59"/>
        <v>225386</v>
      </c>
      <c r="AD182" s="107">
        <f t="shared" ref="AD182:AD187" si="68">AB182/$AB$38</f>
        <v>16099</v>
      </c>
      <c r="AE182" s="158" t="s">
        <v>192</v>
      </c>
      <c r="AF182" s="107">
        <f t="shared" ref="AF182:AF187" si="69">AB182/3</f>
        <v>75128.666666666672</v>
      </c>
      <c r="AG182" s="158" t="s">
        <v>193</v>
      </c>
      <c r="AH182" s="159">
        <f>AB182/C116</f>
        <v>3.0051466666666666</v>
      </c>
      <c r="AI182" s="159"/>
      <c r="AJ182" s="159"/>
    </row>
    <row r="183" spans="2:36" x14ac:dyDescent="0.2">
      <c r="B183" s="18" t="s">
        <v>201</v>
      </c>
      <c r="C183" s="414">
        <v>3.5000000000000001E-3</v>
      </c>
      <c r="D183" s="16"/>
      <c r="E183" s="56">
        <v>0</v>
      </c>
      <c r="F183" s="56">
        <f>$C183*SUM(F$145:AA$148)</f>
        <v>84286.125</v>
      </c>
      <c r="G183" s="56">
        <v>0</v>
      </c>
      <c r="H183" s="56">
        <v>0</v>
      </c>
      <c r="I183" s="56">
        <v>0</v>
      </c>
      <c r="J183" s="56"/>
      <c r="K183" s="56">
        <f>$C183*SUM($F$149:$AA$151)</f>
        <v>112926.625</v>
      </c>
      <c r="L183" s="56">
        <v>0</v>
      </c>
      <c r="M183" s="56"/>
      <c r="N183" s="56">
        <v>0</v>
      </c>
      <c r="O183" s="56">
        <v>0</v>
      </c>
      <c r="P183" s="56">
        <v>0</v>
      </c>
      <c r="Q183" s="56">
        <v>0</v>
      </c>
      <c r="R183" s="56">
        <v>0</v>
      </c>
      <c r="S183" s="56">
        <v>0</v>
      </c>
      <c r="T183" s="56">
        <v>0</v>
      </c>
      <c r="U183" s="56">
        <v>0</v>
      </c>
      <c r="V183" s="56">
        <v>0</v>
      </c>
      <c r="W183" s="56">
        <v>0</v>
      </c>
      <c r="X183" s="56">
        <v>0</v>
      </c>
      <c r="Y183" s="56">
        <v>0</v>
      </c>
      <c r="Z183" s="56">
        <v>0</v>
      </c>
      <c r="AA183" s="56">
        <v>0</v>
      </c>
      <c r="AB183" s="20">
        <f t="shared" si="59"/>
        <v>197212.75</v>
      </c>
      <c r="AD183" s="107">
        <f t="shared" si="68"/>
        <v>14086.625</v>
      </c>
      <c r="AE183" s="158" t="s">
        <v>192</v>
      </c>
      <c r="AF183" s="107">
        <f t="shared" si="69"/>
        <v>65737.583333333328</v>
      </c>
      <c r="AG183" s="158" t="s">
        <v>193</v>
      </c>
      <c r="AJ183" s="1"/>
    </row>
    <row r="184" spans="2:36" x14ac:dyDescent="0.2">
      <c r="B184" s="18" t="s">
        <v>202</v>
      </c>
      <c r="C184" s="414">
        <v>2.5000000000000001E-3</v>
      </c>
      <c r="D184" s="16"/>
      <c r="E184" s="56"/>
      <c r="F184" s="56">
        <f>$C184*SUM(F$145:Y$147)</f>
        <v>50559.6875</v>
      </c>
      <c r="G184" s="56">
        <v>0</v>
      </c>
      <c r="H184" s="56">
        <v>0</v>
      </c>
      <c r="I184" s="56">
        <v>0</v>
      </c>
      <c r="J184" s="56">
        <v>0</v>
      </c>
      <c r="K184" s="56">
        <f>$C184*SUM(E$148:Z$151)</f>
        <v>90306.5625</v>
      </c>
      <c r="L184" s="56">
        <v>0</v>
      </c>
      <c r="M184" s="56">
        <v>0</v>
      </c>
      <c r="N184" s="56">
        <v>0</v>
      </c>
      <c r="O184" s="56">
        <v>0</v>
      </c>
      <c r="P184" s="56">
        <v>0</v>
      </c>
      <c r="Q184" s="56">
        <v>0</v>
      </c>
      <c r="R184" s="56">
        <v>0</v>
      </c>
      <c r="S184" s="56">
        <v>0</v>
      </c>
      <c r="T184" s="56">
        <v>0</v>
      </c>
      <c r="U184" s="56">
        <v>0</v>
      </c>
      <c r="V184" s="56">
        <v>0</v>
      </c>
      <c r="W184" s="56">
        <v>0</v>
      </c>
      <c r="X184" s="56">
        <v>0</v>
      </c>
      <c r="Y184" s="56">
        <v>0</v>
      </c>
      <c r="Z184" s="56">
        <v>0</v>
      </c>
      <c r="AA184" s="56">
        <v>0</v>
      </c>
      <c r="AB184" s="20">
        <f t="shared" si="59"/>
        <v>140866.25</v>
      </c>
      <c r="AD184" s="107">
        <f t="shared" si="68"/>
        <v>10061.875</v>
      </c>
      <c r="AE184" s="158" t="s">
        <v>192</v>
      </c>
      <c r="AF184" s="107">
        <f t="shared" si="69"/>
        <v>46955.416666666664</v>
      </c>
      <c r="AG184" s="158" t="s">
        <v>193</v>
      </c>
      <c r="AJ184" s="1"/>
    </row>
    <row r="185" spans="2:36" x14ac:dyDescent="0.2">
      <c r="B185" s="18" t="s">
        <v>203</v>
      </c>
      <c r="C185" s="45">
        <v>7500</v>
      </c>
      <c r="D185" s="405" t="s">
        <v>196</v>
      </c>
      <c r="E185" s="56">
        <v>0</v>
      </c>
      <c r="F185" s="56">
        <f>+$C185</f>
        <v>7500</v>
      </c>
      <c r="G185" s="56">
        <f t="shared" ref="G185:R185" si="70">+$C185</f>
        <v>7500</v>
      </c>
      <c r="H185" s="56">
        <f t="shared" si="70"/>
        <v>7500</v>
      </c>
      <c r="I185" s="56">
        <f t="shared" si="70"/>
        <v>7500</v>
      </c>
      <c r="J185" s="56">
        <f t="shared" si="70"/>
        <v>7500</v>
      </c>
      <c r="K185" s="56">
        <f t="shared" si="70"/>
        <v>7500</v>
      </c>
      <c r="L185" s="56">
        <f t="shared" si="70"/>
        <v>7500</v>
      </c>
      <c r="M185" s="56">
        <f t="shared" si="70"/>
        <v>7500</v>
      </c>
      <c r="N185" s="56">
        <f t="shared" si="70"/>
        <v>7500</v>
      </c>
      <c r="O185" s="56">
        <f t="shared" si="70"/>
        <v>7500</v>
      </c>
      <c r="P185" s="56">
        <f t="shared" si="70"/>
        <v>7500</v>
      </c>
      <c r="Q185" s="56">
        <f t="shared" si="70"/>
        <v>7500</v>
      </c>
      <c r="R185" s="56">
        <f t="shared" si="70"/>
        <v>7500</v>
      </c>
      <c r="S185" s="56"/>
      <c r="T185" s="56"/>
      <c r="U185" s="56"/>
      <c r="V185" s="56"/>
      <c r="W185" s="56"/>
      <c r="X185" s="56"/>
      <c r="Y185" s="56"/>
      <c r="Z185" s="56"/>
      <c r="AA185" s="56"/>
      <c r="AB185" s="20">
        <f t="shared" si="59"/>
        <v>97500</v>
      </c>
      <c r="AD185" s="107">
        <f t="shared" si="68"/>
        <v>6964.2857142857147</v>
      </c>
      <c r="AE185" s="158" t="s">
        <v>192</v>
      </c>
      <c r="AF185" s="107">
        <f t="shared" si="69"/>
        <v>32500</v>
      </c>
      <c r="AG185" s="158" t="s">
        <v>193</v>
      </c>
      <c r="AJ185" s="1"/>
    </row>
    <row r="186" spans="2:36" x14ac:dyDescent="0.2">
      <c r="B186" s="38" t="s">
        <v>188</v>
      </c>
      <c r="C186" s="104">
        <v>0.05</v>
      </c>
      <c r="D186" s="42"/>
      <c r="E186" s="42">
        <f t="shared" ref="E186:Q186" si="71">SUM(E167:E185)*$C186</f>
        <v>0</v>
      </c>
      <c r="F186" s="42">
        <f t="shared" si="71"/>
        <v>25424.45</v>
      </c>
      <c r="G186" s="42">
        <f t="shared" si="71"/>
        <v>19545.084375000002</v>
      </c>
      <c r="H186" s="42">
        <f t="shared" si="71"/>
        <v>5972</v>
      </c>
      <c r="I186" s="42">
        <f t="shared" si="71"/>
        <v>4946.5750000000007</v>
      </c>
      <c r="J186" s="42">
        <f t="shared" si="71"/>
        <v>4222.7750000000005</v>
      </c>
      <c r="K186" s="42">
        <f t="shared" si="71"/>
        <v>14380.234375</v>
      </c>
      <c r="L186" s="42">
        <f t="shared" si="71"/>
        <v>15285.88125</v>
      </c>
      <c r="M186" s="42">
        <f t="shared" si="71"/>
        <v>13474.28125</v>
      </c>
      <c r="N186" s="42">
        <f t="shared" si="71"/>
        <v>1550</v>
      </c>
      <c r="O186" s="42">
        <f t="shared" si="71"/>
        <v>1637.5</v>
      </c>
      <c r="P186" s="42">
        <f t="shared" si="71"/>
        <v>1550</v>
      </c>
      <c r="Q186" s="42">
        <f t="shared" si="71"/>
        <v>1462.5</v>
      </c>
      <c r="R186" s="42">
        <f t="shared" ref="R186:W186" si="72">SUM(R167:R185)*$C186</f>
        <v>1462.5</v>
      </c>
      <c r="S186" s="42">
        <f t="shared" si="72"/>
        <v>0</v>
      </c>
      <c r="T186" s="42">
        <f t="shared" si="72"/>
        <v>0</v>
      </c>
      <c r="U186" s="42">
        <f t="shared" si="72"/>
        <v>0</v>
      </c>
      <c r="V186" s="42">
        <f t="shared" si="72"/>
        <v>0</v>
      </c>
      <c r="W186" s="42">
        <f t="shared" si="72"/>
        <v>0</v>
      </c>
      <c r="X186" s="42">
        <f t="shared" ref="X186:AA186" si="73">SUM(X167:X185)*$C186</f>
        <v>0</v>
      </c>
      <c r="Y186" s="42">
        <f t="shared" si="73"/>
        <v>0</v>
      </c>
      <c r="Z186" s="42">
        <f t="shared" si="73"/>
        <v>0</v>
      </c>
      <c r="AA186" s="42">
        <f t="shared" si="73"/>
        <v>0</v>
      </c>
      <c r="AB186" s="40">
        <f t="shared" si="59"/>
        <v>110913.78125</v>
      </c>
      <c r="AD186" s="107">
        <f t="shared" si="68"/>
        <v>7922.4129464285716</v>
      </c>
      <c r="AE186" s="158" t="s">
        <v>192</v>
      </c>
      <c r="AF186" s="107">
        <f t="shared" si="69"/>
        <v>36971.260416666664</v>
      </c>
      <c r="AG186" s="158" t="s">
        <v>193</v>
      </c>
      <c r="AJ186" s="1"/>
    </row>
    <row r="187" spans="2:36" x14ac:dyDescent="0.2">
      <c r="B187" s="8" t="str">
        <f>B166</f>
        <v>SOFT COSTS PROFESSIONALS - HOMES</v>
      </c>
      <c r="D187" s="44"/>
      <c r="E187" s="44">
        <f t="shared" ref="E187:AA187" si="74">SUM(E166:E186)</f>
        <v>0</v>
      </c>
      <c r="F187" s="44">
        <f t="shared" si="74"/>
        <v>533913.44999999995</v>
      </c>
      <c r="G187" s="44">
        <f t="shared" si="74"/>
        <v>410446.77187499998</v>
      </c>
      <c r="H187" s="44">
        <f t="shared" si="74"/>
        <v>125412</v>
      </c>
      <c r="I187" s="44">
        <f t="shared" si="74"/>
        <v>103878.075</v>
      </c>
      <c r="J187" s="44">
        <f t="shared" si="74"/>
        <v>88678.274999999994</v>
      </c>
      <c r="K187" s="44">
        <f t="shared" si="74"/>
        <v>301984.921875</v>
      </c>
      <c r="L187" s="44">
        <f t="shared" si="74"/>
        <v>321003.50624999998</v>
      </c>
      <c r="M187" s="44">
        <f t="shared" si="74"/>
        <v>282959.90625</v>
      </c>
      <c r="N187" s="44">
        <f t="shared" si="74"/>
        <v>32550</v>
      </c>
      <c r="O187" s="44">
        <f t="shared" si="74"/>
        <v>34387.5</v>
      </c>
      <c r="P187" s="44">
        <f t="shared" si="74"/>
        <v>32550</v>
      </c>
      <c r="Q187" s="44">
        <f t="shared" si="74"/>
        <v>30712.5</v>
      </c>
      <c r="R187" s="44">
        <f t="shared" si="74"/>
        <v>30712.5</v>
      </c>
      <c r="S187" s="44">
        <f t="shared" si="74"/>
        <v>0</v>
      </c>
      <c r="T187" s="44">
        <f t="shared" si="74"/>
        <v>0</v>
      </c>
      <c r="U187" s="44">
        <f t="shared" si="74"/>
        <v>0</v>
      </c>
      <c r="V187" s="44">
        <f t="shared" si="74"/>
        <v>0</v>
      </c>
      <c r="W187" s="44">
        <f t="shared" si="74"/>
        <v>0</v>
      </c>
      <c r="X187" s="44">
        <f t="shared" si="74"/>
        <v>0</v>
      </c>
      <c r="Y187" s="44">
        <f t="shared" si="74"/>
        <v>0</v>
      </c>
      <c r="Z187" s="44">
        <f t="shared" si="74"/>
        <v>0</v>
      </c>
      <c r="AA187" s="44">
        <f t="shared" si="74"/>
        <v>0</v>
      </c>
      <c r="AB187" s="360">
        <f t="shared" si="59"/>
        <v>2329189.4062499995</v>
      </c>
      <c r="AD187" s="107">
        <f t="shared" si="68"/>
        <v>166370.67187499997</v>
      </c>
      <c r="AE187" s="158" t="s">
        <v>192</v>
      </c>
      <c r="AF187" s="107">
        <f t="shared" si="69"/>
        <v>776396.46874999988</v>
      </c>
      <c r="AG187" s="158" t="s">
        <v>193</v>
      </c>
      <c r="AJ187" s="1"/>
    </row>
    <row r="188" spans="2:36" x14ac:dyDescent="0.2">
      <c r="AD188" s="103">
        <f>AB187/$AD$91</f>
        <v>1.8845053804501775E-2</v>
      </c>
      <c r="AE188" s="1" t="s">
        <v>132</v>
      </c>
      <c r="AJ188" s="1"/>
    </row>
    <row r="189" spans="2:36" x14ac:dyDescent="0.2">
      <c r="B189" s="216" t="s">
        <v>204</v>
      </c>
      <c r="AJ189" s="1"/>
    </row>
    <row r="190" spans="2:36" x14ac:dyDescent="0.2">
      <c r="B190" s="18" t="s">
        <v>205</v>
      </c>
      <c r="C190" s="410">
        <v>4.4999999999999998E-2</v>
      </c>
      <c r="D190" s="410"/>
      <c r="E190" s="17">
        <f>SUM(E87:E89)*$C$190</f>
        <v>0</v>
      </c>
      <c r="F190" s="17">
        <f t="shared" ref="F190:H190" si="75">SUM(F89)*$C$190</f>
        <v>0</v>
      </c>
      <c r="G190" s="17">
        <f t="shared" si="75"/>
        <v>0</v>
      </c>
      <c r="H190" s="17">
        <f t="shared" si="75"/>
        <v>0</v>
      </c>
      <c r="I190" s="17">
        <f t="shared" ref="I190:L190" si="76">SUM(I87:I89)*$C$190</f>
        <v>230814.388125</v>
      </c>
      <c r="J190" s="17">
        <f t="shared" si="76"/>
        <v>88482.429843749997</v>
      </c>
      <c r="K190" s="17">
        <f t="shared" si="76"/>
        <v>590035.08440126944</v>
      </c>
      <c r="L190" s="17">
        <f t="shared" si="76"/>
        <v>901946.34354594722</v>
      </c>
      <c r="M190" s="17">
        <f t="shared" ref="M190:W190" si="77">SUM(M87:M89)*$C$190</f>
        <v>862428.56711678009</v>
      </c>
      <c r="N190" s="17">
        <f t="shared" si="77"/>
        <v>284316.07706980017</v>
      </c>
      <c r="O190" s="17">
        <f t="shared" si="77"/>
        <v>62865.488148711243</v>
      </c>
      <c r="P190" s="17">
        <f t="shared" si="77"/>
        <v>961744.41840124002</v>
      </c>
      <c r="Q190" s="17">
        <f t="shared" si="77"/>
        <v>690285.71892508178</v>
      </c>
      <c r="R190" s="17">
        <f t="shared" si="77"/>
        <v>571508.77853413369</v>
      </c>
      <c r="S190" s="17">
        <f t="shared" si="77"/>
        <v>0</v>
      </c>
      <c r="T190" s="17">
        <f t="shared" si="77"/>
        <v>0</v>
      </c>
      <c r="U190" s="17">
        <f t="shared" si="77"/>
        <v>0</v>
      </c>
      <c r="V190" s="17">
        <f t="shared" si="77"/>
        <v>0</v>
      </c>
      <c r="W190" s="17">
        <f t="shared" si="77"/>
        <v>0</v>
      </c>
      <c r="X190" s="17">
        <f t="shared" ref="X190:AA190" si="78">SUM(X87:X89)*$C$190</f>
        <v>0</v>
      </c>
      <c r="Y190" s="17">
        <f t="shared" si="78"/>
        <v>0</v>
      </c>
      <c r="Z190" s="17">
        <f t="shared" si="78"/>
        <v>0</v>
      </c>
      <c r="AA190" s="17">
        <f t="shared" si="78"/>
        <v>0</v>
      </c>
      <c r="AB190" s="20">
        <f>SUM(E190:AA190)</f>
        <v>5244427.2941117138</v>
      </c>
      <c r="AJ190" s="1"/>
    </row>
    <row r="191" spans="2:36" hidden="1" x14ac:dyDescent="0.2">
      <c r="B191" s="18" t="s">
        <v>206</v>
      </c>
      <c r="C191" s="45">
        <v>0</v>
      </c>
      <c r="D191" s="45"/>
      <c r="E191" s="17"/>
      <c r="F191" s="17"/>
      <c r="G191" s="17"/>
      <c r="H191" s="17"/>
      <c r="I191" s="17">
        <f t="shared" ref="I191:P191" si="79">$C$191*I57</f>
        <v>0</v>
      </c>
      <c r="J191" s="17">
        <f t="shared" si="79"/>
        <v>0</v>
      </c>
      <c r="K191" s="17">
        <f t="shared" si="79"/>
        <v>0</v>
      </c>
      <c r="L191" s="17">
        <f t="shared" si="79"/>
        <v>0</v>
      </c>
      <c r="M191" s="17">
        <f t="shared" si="79"/>
        <v>0</v>
      </c>
      <c r="N191" s="17">
        <f t="shared" si="79"/>
        <v>0</v>
      </c>
      <c r="O191" s="17">
        <f t="shared" si="79"/>
        <v>0</v>
      </c>
      <c r="P191" s="17">
        <f t="shared" si="79"/>
        <v>0</v>
      </c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20">
        <f>SUM(E191:P191)</f>
        <v>0</v>
      </c>
      <c r="AJ191" s="1"/>
    </row>
    <row r="192" spans="2:36" x14ac:dyDescent="0.2">
      <c r="B192" s="18" t="s">
        <v>207</v>
      </c>
      <c r="C192" s="45">
        <v>25000</v>
      </c>
      <c r="D192" s="411" t="s">
        <v>208</v>
      </c>
      <c r="E192" s="17">
        <f t="shared" ref="E192:R192" si="80">IF(E38&gt;0,$C$192,0)</f>
        <v>0</v>
      </c>
      <c r="F192" s="17">
        <f t="shared" si="80"/>
        <v>25000</v>
      </c>
      <c r="G192" s="17">
        <f t="shared" si="80"/>
        <v>25000</v>
      </c>
      <c r="H192" s="17">
        <f t="shared" si="80"/>
        <v>25000</v>
      </c>
      <c r="I192" s="17">
        <f t="shared" si="80"/>
        <v>25000</v>
      </c>
      <c r="J192" s="17">
        <f t="shared" si="80"/>
        <v>0</v>
      </c>
      <c r="K192" s="17">
        <f t="shared" si="80"/>
        <v>25000</v>
      </c>
      <c r="L192" s="17">
        <f t="shared" si="80"/>
        <v>25000</v>
      </c>
      <c r="M192" s="17">
        <f t="shared" si="80"/>
        <v>25000</v>
      </c>
      <c r="N192" s="17">
        <f t="shared" si="80"/>
        <v>0</v>
      </c>
      <c r="O192" s="17">
        <f t="shared" si="80"/>
        <v>0</v>
      </c>
      <c r="P192" s="17">
        <f t="shared" si="80"/>
        <v>0</v>
      </c>
      <c r="Q192" s="17">
        <f t="shared" si="80"/>
        <v>0</v>
      </c>
      <c r="R192" s="17">
        <f t="shared" si="80"/>
        <v>0</v>
      </c>
      <c r="S192" s="17">
        <f t="shared" ref="S192:Y192" si="81">IF(N38&gt;0,$C$192,0)</f>
        <v>0</v>
      </c>
      <c r="T192" s="17">
        <f t="shared" si="81"/>
        <v>0</v>
      </c>
      <c r="U192" s="17">
        <f t="shared" si="81"/>
        <v>0</v>
      </c>
      <c r="V192" s="17">
        <f t="shared" si="81"/>
        <v>0</v>
      </c>
      <c r="W192" s="17">
        <f t="shared" si="81"/>
        <v>0</v>
      </c>
      <c r="X192" s="17">
        <f t="shared" si="81"/>
        <v>0</v>
      </c>
      <c r="Y192" s="17">
        <f t="shared" si="81"/>
        <v>0</v>
      </c>
      <c r="Z192" s="17"/>
      <c r="AA192" s="17"/>
      <c r="AB192" s="20">
        <f>SUM(E192:AA192)</f>
        <v>175000</v>
      </c>
      <c r="AJ192" s="1"/>
    </row>
    <row r="193" spans="2:36" hidden="1" x14ac:dyDescent="0.2">
      <c r="B193" s="38" t="s">
        <v>209</v>
      </c>
      <c r="C193" s="39"/>
      <c r="D193" s="39"/>
      <c r="E193" s="39"/>
      <c r="F193" s="39"/>
      <c r="G193" s="39"/>
      <c r="H193" s="39"/>
      <c r="I193" s="39"/>
      <c r="J193" s="40"/>
      <c r="K193" s="40"/>
      <c r="L193" s="39"/>
      <c r="M193" s="39"/>
      <c r="N193" s="42">
        <f>J193/-5</f>
        <v>0</v>
      </c>
      <c r="O193" s="42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  <c r="AA193" s="39"/>
      <c r="AB193" s="40">
        <f>SUM(E193:P193)</f>
        <v>0</v>
      </c>
      <c r="AC193" s="17"/>
      <c r="AJ193" s="1"/>
    </row>
    <row r="194" spans="2:36" x14ac:dyDescent="0.2">
      <c r="B194" s="98" t="s">
        <v>204</v>
      </c>
      <c r="C194" s="109"/>
      <c r="D194" s="109"/>
      <c r="E194" s="101">
        <f>SUM(E190:E193)</f>
        <v>0</v>
      </c>
      <c r="F194" s="101">
        <f t="shared" ref="F194:AA194" si="82">SUM(F190:F193)</f>
        <v>25000</v>
      </c>
      <c r="G194" s="101">
        <f t="shared" si="82"/>
        <v>25000</v>
      </c>
      <c r="H194" s="101">
        <f t="shared" si="82"/>
        <v>25000</v>
      </c>
      <c r="I194" s="101">
        <f t="shared" si="82"/>
        <v>255814.388125</v>
      </c>
      <c r="J194" s="101">
        <f t="shared" si="82"/>
        <v>88482.429843749997</v>
      </c>
      <c r="K194" s="101">
        <f t="shared" si="82"/>
        <v>615035.08440126944</v>
      </c>
      <c r="L194" s="101">
        <f t="shared" si="82"/>
        <v>926946.34354594722</v>
      </c>
      <c r="M194" s="101">
        <f t="shared" si="82"/>
        <v>887428.56711678009</v>
      </c>
      <c r="N194" s="101">
        <f>SUM(N190:N193)</f>
        <v>284316.07706980017</v>
      </c>
      <c r="O194" s="101">
        <f t="shared" si="82"/>
        <v>62865.488148711243</v>
      </c>
      <c r="P194" s="101">
        <f t="shared" si="82"/>
        <v>961744.41840124002</v>
      </c>
      <c r="Q194" s="101">
        <f t="shared" si="82"/>
        <v>690285.71892508178</v>
      </c>
      <c r="R194" s="101">
        <f t="shared" si="82"/>
        <v>571508.77853413369</v>
      </c>
      <c r="S194" s="101">
        <f t="shared" si="82"/>
        <v>0</v>
      </c>
      <c r="T194" s="101">
        <f t="shared" si="82"/>
        <v>0</v>
      </c>
      <c r="U194" s="101">
        <f t="shared" si="82"/>
        <v>0</v>
      </c>
      <c r="V194" s="101">
        <f t="shared" si="82"/>
        <v>0</v>
      </c>
      <c r="W194" s="101">
        <f t="shared" si="82"/>
        <v>0</v>
      </c>
      <c r="X194" s="101">
        <f t="shared" si="82"/>
        <v>0</v>
      </c>
      <c r="Y194" s="101">
        <f t="shared" si="82"/>
        <v>0</v>
      </c>
      <c r="Z194" s="101">
        <f t="shared" si="82"/>
        <v>0</v>
      </c>
      <c r="AA194" s="101">
        <f t="shared" si="82"/>
        <v>0</v>
      </c>
      <c r="AB194" s="101">
        <f>SUM(E194:AA194)</f>
        <v>5419427.2941117138</v>
      </c>
      <c r="AD194" s="103">
        <f>AB194/$AD$91</f>
        <v>4.3847614398843285E-2</v>
      </c>
      <c r="AE194" s="1" t="s">
        <v>132</v>
      </c>
      <c r="AJ194" s="1"/>
    </row>
    <row r="195" spans="2:36" x14ac:dyDescent="0.2">
      <c r="AJ195" s="1"/>
    </row>
    <row r="196" spans="2:36" x14ac:dyDescent="0.2">
      <c r="B196" s="216" t="s">
        <v>210</v>
      </c>
      <c r="AJ196" s="1"/>
    </row>
    <row r="197" spans="2:36" x14ac:dyDescent="0.2">
      <c r="B197" s="18" t="s">
        <v>211</v>
      </c>
      <c r="C197" s="157">
        <v>1500</v>
      </c>
      <c r="D197" s="433" t="s">
        <v>212</v>
      </c>
      <c r="E197" s="117"/>
      <c r="F197" s="20">
        <f>($C$197*($C$57-SUM(E57:F57)))/2</f>
        <v>10500</v>
      </c>
      <c r="G197" s="20"/>
      <c r="H197" s="20">
        <f>($C$197*($C$57-SUM(E57:H57)))/2</f>
        <v>9000</v>
      </c>
      <c r="I197" s="20"/>
      <c r="J197" s="20">
        <f>($C$197*($C$57-SUM(E57:J57)))/2</f>
        <v>8250</v>
      </c>
      <c r="K197" s="20"/>
      <c r="L197" s="20">
        <f>($C$197*($C$57-SUM(E57:L57)))/2</f>
        <v>4500</v>
      </c>
      <c r="M197" s="20"/>
      <c r="N197" s="20">
        <f>($C$197*($C$57-SUM(E57:N57)))/2</f>
        <v>3000</v>
      </c>
      <c r="O197" s="20"/>
      <c r="P197" s="20">
        <f>($C$197*($C$57-SUM(E57:P57)))/2</f>
        <v>1500</v>
      </c>
      <c r="Q197" s="20"/>
      <c r="R197" s="20">
        <f>($C$197*($C$57-SUM(E57:R57)))/2</f>
        <v>0</v>
      </c>
      <c r="S197" s="20"/>
      <c r="T197" s="20">
        <f>($C$197*($C$57-SUM(G57:T57)))/2</f>
        <v>0</v>
      </c>
      <c r="U197" s="20"/>
      <c r="V197" s="20">
        <f>($C$197*($C$57-SUM(F57:V57)))/2</f>
        <v>0</v>
      </c>
      <c r="W197" s="20"/>
      <c r="X197" s="20">
        <f>($C$197*($C$57-SUM(F57:X57)))/2</f>
        <v>0</v>
      </c>
      <c r="Y197" s="20"/>
      <c r="Z197" s="20"/>
      <c r="AA197" s="20"/>
      <c r="AB197" s="20">
        <f>SUM(E197:AA197)</f>
        <v>36750</v>
      </c>
      <c r="AJ197" s="1"/>
    </row>
    <row r="198" spans="2:36" x14ac:dyDescent="0.2">
      <c r="B198" s="38" t="s">
        <v>213</v>
      </c>
      <c r="C198" s="412">
        <v>5.4999999999999997E-3</v>
      </c>
      <c r="D198" s="112"/>
      <c r="E198" s="40">
        <f t="shared" ref="E198:R198" si="83">$C$198*(E141+E155)</f>
        <v>0</v>
      </c>
      <c r="F198" s="40">
        <f t="shared" si="83"/>
        <v>3668.980046875</v>
      </c>
      <c r="G198" s="40">
        <f t="shared" si="83"/>
        <v>10074.416977539062</v>
      </c>
      <c r="H198" s="40">
        <f t="shared" si="83"/>
        <v>22315.821272180176</v>
      </c>
      <c r="I198" s="40">
        <f t="shared" si="83"/>
        <v>31593.395942074127</v>
      </c>
      <c r="J198" s="40">
        <f t="shared" si="83"/>
        <v>32395.815903182178</v>
      </c>
      <c r="K198" s="40">
        <f t="shared" si="83"/>
        <v>36221.760663242902</v>
      </c>
      <c r="L198" s="40">
        <f t="shared" si="83"/>
        <v>36165.912980556161</v>
      </c>
      <c r="M198" s="40">
        <f t="shared" si="83"/>
        <v>45140.246903858511</v>
      </c>
      <c r="N198" s="40">
        <f t="shared" si="83"/>
        <v>44844.449073798227</v>
      </c>
      <c r="O198" s="40">
        <f t="shared" si="83"/>
        <v>39722.994304828724</v>
      </c>
      <c r="P198" s="40">
        <f t="shared" si="83"/>
        <v>27638.656289552546</v>
      </c>
      <c r="Q198" s="40">
        <f t="shared" si="83"/>
        <v>14438.93678584597</v>
      </c>
      <c r="R198" s="40">
        <f t="shared" si="83"/>
        <v>5148.7302399011987</v>
      </c>
      <c r="S198" s="40">
        <f t="shared" ref="S198:AA198" si="84">($C$198*(S141+S155))/4</f>
        <v>0</v>
      </c>
      <c r="T198" s="40">
        <f t="shared" si="84"/>
        <v>0</v>
      </c>
      <c r="U198" s="40">
        <f t="shared" si="84"/>
        <v>0</v>
      </c>
      <c r="V198" s="40">
        <f t="shared" si="84"/>
        <v>0</v>
      </c>
      <c r="W198" s="40">
        <f t="shared" si="84"/>
        <v>0</v>
      </c>
      <c r="X198" s="40">
        <f t="shared" si="84"/>
        <v>0</v>
      </c>
      <c r="Y198" s="40">
        <f t="shared" si="84"/>
        <v>0</v>
      </c>
      <c r="Z198" s="40">
        <f t="shared" si="84"/>
        <v>0</v>
      </c>
      <c r="AA198" s="40">
        <f t="shared" si="84"/>
        <v>0</v>
      </c>
      <c r="AB198" s="40">
        <f>SUM(E198:AA198)</f>
        <v>349370.11738343484</v>
      </c>
      <c r="AJ198" s="1"/>
    </row>
    <row r="199" spans="2:36" x14ac:dyDescent="0.2">
      <c r="B199" s="8" t="s">
        <v>210</v>
      </c>
      <c r="E199" s="43">
        <f>SUM(E197:E198)</f>
        <v>0</v>
      </c>
      <c r="F199" s="43">
        <f t="shared" ref="F199:AA199" si="85">SUM(F197:F198)</f>
        <v>14168.980046875</v>
      </c>
      <c r="G199" s="43">
        <f t="shared" si="85"/>
        <v>10074.416977539062</v>
      </c>
      <c r="H199" s="43">
        <f t="shared" si="85"/>
        <v>31315.821272180176</v>
      </c>
      <c r="I199" s="43">
        <f t="shared" si="85"/>
        <v>31593.395942074127</v>
      </c>
      <c r="J199" s="43">
        <f t="shared" si="85"/>
        <v>40645.815903182178</v>
      </c>
      <c r="K199" s="43">
        <f t="shared" si="85"/>
        <v>36221.760663242902</v>
      </c>
      <c r="L199" s="43">
        <f t="shared" si="85"/>
        <v>40665.912980556161</v>
      </c>
      <c r="M199" s="43">
        <f t="shared" si="85"/>
        <v>45140.246903858511</v>
      </c>
      <c r="N199" s="43">
        <f t="shared" si="85"/>
        <v>47844.449073798227</v>
      </c>
      <c r="O199" s="43">
        <f t="shared" si="85"/>
        <v>39722.994304828724</v>
      </c>
      <c r="P199" s="43">
        <f t="shared" si="85"/>
        <v>29138.656289552546</v>
      </c>
      <c r="Q199" s="43">
        <f t="shared" si="85"/>
        <v>14438.93678584597</v>
      </c>
      <c r="R199" s="43">
        <f t="shared" si="85"/>
        <v>5148.7302399011987</v>
      </c>
      <c r="S199" s="43">
        <f t="shared" si="85"/>
        <v>0</v>
      </c>
      <c r="T199" s="43">
        <f t="shared" si="85"/>
        <v>0</v>
      </c>
      <c r="U199" s="43">
        <f t="shared" si="85"/>
        <v>0</v>
      </c>
      <c r="V199" s="43">
        <f t="shared" si="85"/>
        <v>0</v>
      </c>
      <c r="W199" s="43">
        <f t="shared" si="85"/>
        <v>0</v>
      </c>
      <c r="X199" s="43">
        <f t="shared" si="85"/>
        <v>0</v>
      </c>
      <c r="Y199" s="43">
        <f t="shared" si="85"/>
        <v>0</v>
      </c>
      <c r="Z199" s="43">
        <f t="shared" si="85"/>
        <v>0</v>
      </c>
      <c r="AA199" s="43">
        <f t="shared" si="85"/>
        <v>0</v>
      </c>
      <c r="AB199" s="43">
        <f>SUM(E199:AA199)</f>
        <v>386120.11738343484</v>
      </c>
      <c r="AD199" s="103">
        <f>AB199/$AD$91</f>
        <v>3.1240286288294946E-3</v>
      </c>
      <c r="AE199" s="1" t="s">
        <v>132</v>
      </c>
      <c r="AJ199" s="1"/>
    </row>
    <row r="200" spans="2:36" x14ac:dyDescent="0.2">
      <c r="AJ200" s="1"/>
    </row>
    <row r="201" spans="2:36" x14ac:dyDescent="0.2">
      <c r="B201" s="216" t="s">
        <v>214</v>
      </c>
      <c r="AJ201" s="1"/>
    </row>
    <row r="202" spans="2:36" hidden="1" x14ac:dyDescent="0.2">
      <c r="B202" s="18" t="s">
        <v>215</v>
      </c>
      <c r="C202" s="95">
        <v>0</v>
      </c>
      <c r="D202" s="95"/>
      <c r="E202" s="96">
        <f t="shared" ref="E202:O202" si="86">F38*$C$202</f>
        <v>0</v>
      </c>
      <c r="F202" s="96">
        <f t="shared" si="86"/>
        <v>0</v>
      </c>
      <c r="G202" s="96">
        <f t="shared" si="86"/>
        <v>0</v>
      </c>
      <c r="H202" s="96">
        <f t="shared" si="86"/>
        <v>0</v>
      </c>
      <c r="I202" s="96">
        <f t="shared" si="86"/>
        <v>0</v>
      </c>
      <c r="J202" s="96">
        <f t="shared" si="86"/>
        <v>0</v>
      </c>
      <c r="K202" s="96">
        <f t="shared" si="86"/>
        <v>0</v>
      </c>
      <c r="L202" s="96">
        <f t="shared" si="86"/>
        <v>0</v>
      </c>
      <c r="M202" s="96">
        <f t="shared" si="86"/>
        <v>0</v>
      </c>
      <c r="N202" s="96">
        <f t="shared" si="86"/>
        <v>0</v>
      </c>
      <c r="O202" s="96">
        <f t="shared" si="86"/>
        <v>0</v>
      </c>
      <c r="P202" s="96">
        <f>AA38*$C$202</f>
        <v>0</v>
      </c>
      <c r="Q202" s="96"/>
      <c r="R202" s="96"/>
      <c r="S202" s="96"/>
      <c r="T202" s="96"/>
      <c r="U202" s="96"/>
      <c r="V202" s="96"/>
      <c r="W202" s="96"/>
      <c r="X202" s="96"/>
      <c r="Y202" s="96"/>
      <c r="Z202" s="96"/>
      <c r="AA202" s="96">
        <f>AB38*$C$202</f>
        <v>0</v>
      </c>
      <c r="AB202" s="96">
        <f>SUM(E202:AA202)</f>
        <v>0</v>
      </c>
      <c r="AJ202" s="1"/>
    </row>
    <row r="203" spans="2:36" x14ac:dyDescent="0.2">
      <c r="B203" s="18" t="s">
        <v>216</v>
      </c>
      <c r="C203" s="157"/>
      <c r="D203" s="157"/>
      <c r="E203" s="96">
        <f>C203</f>
        <v>0</v>
      </c>
      <c r="G203" s="96"/>
      <c r="H203" s="96">
        <v>15000</v>
      </c>
      <c r="I203" s="96"/>
      <c r="J203" s="96"/>
      <c r="K203" s="96"/>
      <c r="L203" s="96"/>
      <c r="M203" s="96"/>
      <c r="N203" s="96"/>
      <c r="O203" s="96"/>
      <c r="P203" s="96"/>
      <c r="Q203" s="96"/>
      <c r="R203" s="96"/>
      <c r="S203" s="96"/>
      <c r="T203" s="96"/>
      <c r="U203" s="96"/>
      <c r="V203" s="96"/>
      <c r="W203" s="96"/>
      <c r="X203" s="96"/>
      <c r="Y203" s="96"/>
      <c r="Z203" s="96"/>
      <c r="AA203" s="96"/>
      <c r="AB203" s="96">
        <f>SUM(E203:AA203)</f>
        <v>15000</v>
      </c>
      <c r="AJ203" s="1"/>
    </row>
    <row r="204" spans="2:36" x14ac:dyDescent="0.2">
      <c r="B204" s="18" t="s">
        <v>217</v>
      </c>
      <c r="C204" s="157">
        <f>0.015*AF145</f>
        <v>58025.625</v>
      </c>
      <c r="D204" s="157"/>
      <c r="E204" s="96">
        <f t="shared" ref="E204:W204" si="87">$C204*E38</f>
        <v>0</v>
      </c>
      <c r="F204" s="96">
        <f t="shared" si="87"/>
        <v>58025.625</v>
      </c>
      <c r="G204" s="96">
        <f t="shared" si="87"/>
        <v>116051.25</v>
      </c>
      <c r="H204" s="96">
        <f t="shared" si="87"/>
        <v>116051.25</v>
      </c>
      <c r="I204" s="96">
        <f t="shared" si="87"/>
        <v>58025.625</v>
      </c>
      <c r="J204" s="96">
        <f t="shared" si="87"/>
        <v>0</v>
      </c>
      <c r="K204" s="96">
        <f t="shared" si="87"/>
        <v>174076.875</v>
      </c>
      <c r="L204" s="96">
        <f t="shared" si="87"/>
        <v>174076.875</v>
      </c>
      <c r="M204" s="96">
        <f t="shared" si="87"/>
        <v>116051.25</v>
      </c>
      <c r="N204" s="96">
        <f t="shared" si="87"/>
        <v>0</v>
      </c>
      <c r="O204" s="96">
        <f t="shared" si="87"/>
        <v>0</v>
      </c>
      <c r="P204" s="96">
        <f t="shared" si="87"/>
        <v>0</v>
      </c>
      <c r="Q204" s="96">
        <f t="shared" si="87"/>
        <v>0</v>
      </c>
      <c r="R204" s="96">
        <f t="shared" si="87"/>
        <v>0</v>
      </c>
      <c r="S204" s="96">
        <f t="shared" si="87"/>
        <v>0</v>
      </c>
      <c r="T204" s="96">
        <f t="shared" si="87"/>
        <v>0</v>
      </c>
      <c r="U204" s="96">
        <f t="shared" si="87"/>
        <v>0</v>
      </c>
      <c r="V204" s="96">
        <f t="shared" si="87"/>
        <v>0</v>
      </c>
      <c r="W204" s="96">
        <f t="shared" si="87"/>
        <v>0</v>
      </c>
      <c r="X204" s="96"/>
      <c r="Y204" s="96"/>
      <c r="Z204" s="96"/>
      <c r="AA204" s="96">
        <f>$C204*AA38</f>
        <v>0</v>
      </c>
      <c r="AB204" s="96">
        <f>SUM(E204:AA204)</f>
        <v>812358.75</v>
      </c>
      <c r="AJ204" s="1"/>
    </row>
    <row r="205" spans="2:36" hidden="1" x14ac:dyDescent="0.2">
      <c r="B205" s="38"/>
      <c r="C205" s="401"/>
      <c r="D205" s="50"/>
      <c r="E205" s="40"/>
      <c r="F205" s="40">
        <f>C205</f>
        <v>0</v>
      </c>
      <c r="G205" s="40"/>
      <c r="H205" s="40"/>
      <c r="I205" s="40"/>
      <c r="J205" s="40"/>
      <c r="K205" s="40"/>
      <c r="L205" s="40"/>
      <c r="M205" s="40"/>
      <c r="N205" s="40"/>
      <c r="O205" s="40"/>
      <c r="P205" s="40"/>
      <c r="Q205" s="40"/>
      <c r="R205" s="40"/>
      <c r="S205" s="40"/>
      <c r="T205" s="40"/>
      <c r="U205" s="40"/>
      <c r="V205" s="40"/>
      <c r="W205" s="40"/>
      <c r="X205" s="40"/>
      <c r="Y205" s="40"/>
      <c r="Z205" s="40"/>
      <c r="AA205" s="40"/>
      <c r="AB205" s="40">
        <f>SUM(E205:AA205)</f>
        <v>0</v>
      </c>
      <c r="AJ205" s="1"/>
    </row>
    <row r="206" spans="2:36" x14ac:dyDescent="0.2">
      <c r="B206" s="98" t="s">
        <v>214</v>
      </c>
      <c r="C206" s="111"/>
      <c r="D206" s="111"/>
      <c r="E206" s="101">
        <f t="shared" ref="E206:AA206" si="88">SUM(E202:E205)</f>
        <v>0</v>
      </c>
      <c r="F206" s="101">
        <f t="shared" si="88"/>
        <v>58025.625</v>
      </c>
      <c r="G206" s="101">
        <f t="shared" si="88"/>
        <v>116051.25</v>
      </c>
      <c r="H206" s="101">
        <f t="shared" si="88"/>
        <v>131051.25</v>
      </c>
      <c r="I206" s="101">
        <f t="shared" si="88"/>
        <v>58025.625</v>
      </c>
      <c r="J206" s="101">
        <f t="shared" si="88"/>
        <v>0</v>
      </c>
      <c r="K206" s="101">
        <f t="shared" si="88"/>
        <v>174076.875</v>
      </c>
      <c r="L206" s="101">
        <f t="shared" si="88"/>
        <v>174076.875</v>
      </c>
      <c r="M206" s="101">
        <f t="shared" si="88"/>
        <v>116051.25</v>
      </c>
      <c r="N206" s="101">
        <f t="shared" si="88"/>
        <v>0</v>
      </c>
      <c r="O206" s="101">
        <f t="shared" si="88"/>
        <v>0</v>
      </c>
      <c r="P206" s="101">
        <f t="shared" si="88"/>
        <v>0</v>
      </c>
      <c r="Q206" s="101">
        <f t="shared" si="88"/>
        <v>0</v>
      </c>
      <c r="R206" s="101">
        <f t="shared" si="88"/>
        <v>0</v>
      </c>
      <c r="S206" s="101">
        <f t="shared" si="88"/>
        <v>0</v>
      </c>
      <c r="T206" s="101">
        <f t="shared" si="88"/>
        <v>0</v>
      </c>
      <c r="U206" s="101">
        <f t="shared" si="88"/>
        <v>0</v>
      </c>
      <c r="V206" s="101">
        <f t="shared" si="88"/>
        <v>0</v>
      </c>
      <c r="W206" s="101">
        <f t="shared" si="88"/>
        <v>0</v>
      </c>
      <c r="X206" s="101">
        <f t="shared" si="88"/>
        <v>0</v>
      </c>
      <c r="Y206" s="101">
        <f t="shared" si="88"/>
        <v>0</v>
      </c>
      <c r="Z206" s="101">
        <f t="shared" si="88"/>
        <v>0</v>
      </c>
      <c r="AA206" s="101">
        <f t="shared" si="88"/>
        <v>0</v>
      </c>
      <c r="AB206" s="101">
        <f>SUM(E206:AA206)</f>
        <v>827358.75</v>
      </c>
      <c r="AD206" s="103">
        <f>AB206/$AD$91</f>
        <v>6.6940112802925198E-3</v>
      </c>
      <c r="AE206" s="1" t="s">
        <v>132</v>
      </c>
      <c r="AJ206" s="1"/>
    </row>
    <row r="207" spans="2:36" x14ac:dyDescent="0.2">
      <c r="AJ207" s="1"/>
    </row>
    <row r="208" spans="2:36" x14ac:dyDescent="0.2">
      <c r="B208" s="216" t="s">
        <v>218</v>
      </c>
      <c r="E208" s="17"/>
      <c r="F208" s="17"/>
      <c r="G208" s="17"/>
      <c r="H208" s="17"/>
      <c r="I208" s="17"/>
      <c r="J208" s="17"/>
      <c r="K208" s="17"/>
      <c r="L208" s="17"/>
      <c r="AJ208" s="1"/>
    </row>
    <row r="209" spans="1:37" x14ac:dyDescent="0.2">
      <c r="B209" s="18" t="s">
        <v>219</v>
      </c>
      <c r="C209" s="204">
        <v>0.03</v>
      </c>
      <c r="D209" s="204"/>
      <c r="E209" s="17">
        <f>$C$209*(E141+E155+E164+E187+E192+E199+E206)</f>
        <v>0</v>
      </c>
      <c r="F209" s="17">
        <f>$C$209*(F141+F155+F164+F187+F192+F199+F206)</f>
        <v>41327.997344765623</v>
      </c>
      <c r="G209" s="17">
        <f t="shared" ref="G209:R209" si="89">$C$209*(G141+G155+G164+G187+G192+G199+G206)</f>
        <v>74180.6757534668</v>
      </c>
      <c r="H209" s="17">
        <f t="shared" si="89"/>
        <v>131316.03362278454</v>
      </c>
      <c r="I209" s="17">
        <f t="shared" si="89"/>
        <v>178921.90210775746</v>
      </c>
      <c r="J209" s="17">
        <f t="shared" si="89"/>
        <v>180623.54810808916</v>
      </c>
      <c r="K209" s="17">
        <f t="shared" si="89"/>
        <v>213731.12170747222</v>
      </c>
      <c r="L209" s="17">
        <f t="shared" si="89"/>
        <v>214130.38008449573</v>
      </c>
      <c r="M209" s="17">
        <f t="shared" si="89"/>
        <v>260333.4456611168</v>
      </c>
      <c r="N209" s="17">
        <f t="shared" si="89"/>
        <v>247057.2943292952</v>
      </c>
      <c r="O209" s="17">
        <f t="shared" si="89"/>
        <v>218933.56785548336</v>
      </c>
      <c r="P209" s="17">
        <f t="shared" si="89"/>
        <v>152646.34172260956</v>
      </c>
      <c r="Q209" s="17">
        <f t="shared" si="89"/>
        <v>80151.755117280671</v>
      </c>
      <c r="R209" s="17">
        <f t="shared" si="89"/>
        <v>29199.19503393085</v>
      </c>
      <c r="S209" s="17"/>
      <c r="T209" s="17"/>
      <c r="U209" s="17"/>
      <c r="V209" s="17"/>
      <c r="W209" s="17"/>
      <c r="X209" s="17"/>
      <c r="Y209" s="17"/>
      <c r="Z209" s="17"/>
      <c r="AA209" s="17"/>
      <c r="AB209" s="20">
        <f>SUM(E209:AA209)</f>
        <v>2022553.2584485479</v>
      </c>
      <c r="AD209" s="203">
        <f>(AB141+AB155+AB164+AB187+AB192+AB199+AB206)</f>
        <v>67418441.948284924</v>
      </c>
      <c r="AE209" s="203">
        <f>+AD209*C209</f>
        <v>2022553.2584485477</v>
      </c>
      <c r="AF209" s="103">
        <f>AE209/AD209</f>
        <v>0.03</v>
      </c>
      <c r="AJ209" s="1"/>
    </row>
    <row r="210" spans="1:37" x14ac:dyDescent="0.2">
      <c r="B210" s="18" t="s">
        <v>220</v>
      </c>
      <c r="C210" s="204">
        <v>5.0000000000000001E-3</v>
      </c>
      <c r="D210" s="102"/>
      <c r="E210" s="17">
        <f>$C$210*(E$87+E$88+E$89)</f>
        <v>0</v>
      </c>
      <c r="F210" s="17">
        <f>$C$210*(F87+F88+F89)</f>
        <v>0</v>
      </c>
      <c r="G210" s="17">
        <f>$C$210*(G87+G88+G89)</f>
        <v>15694.550000000001</v>
      </c>
      <c r="H210" s="17">
        <f t="shared" ref="H210:R210" si="90">$C$210*(H87+H88+H89)</f>
        <v>19575.587500000001</v>
      </c>
      <c r="I210" s="17">
        <f t="shared" si="90"/>
        <v>25646.043125</v>
      </c>
      <c r="J210" s="17">
        <f t="shared" si="90"/>
        <v>9831.3810937500002</v>
      </c>
      <c r="K210" s="17">
        <f t="shared" si="90"/>
        <v>65559.453822363284</v>
      </c>
      <c r="L210" s="17">
        <f t="shared" si="90"/>
        <v>100216.26039399413</v>
      </c>
      <c r="M210" s="17">
        <f t="shared" si="90"/>
        <v>95825.396346308902</v>
      </c>
      <c r="N210" s="17">
        <f t="shared" si="90"/>
        <v>31590.675229977798</v>
      </c>
      <c r="O210" s="17">
        <f t="shared" si="90"/>
        <v>6985.0542387456935</v>
      </c>
      <c r="P210" s="17">
        <f t="shared" si="90"/>
        <v>106860.49093347113</v>
      </c>
      <c r="Q210" s="17">
        <f t="shared" si="90"/>
        <v>76698.413213897977</v>
      </c>
      <c r="R210" s="17">
        <f t="shared" si="90"/>
        <v>63500.975392681517</v>
      </c>
      <c r="S210" s="17">
        <f t="shared" ref="S210:AA210" si="91">$C$210*(S87+S89)</f>
        <v>0</v>
      </c>
      <c r="T210" s="17">
        <f t="shared" si="91"/>
        <v>0</v>
      </c>
      <c r="U210" s="17">
        <f t="shared" si="91"/>
        <v>0</v>
      </c>
      <c r="V210" s="17">
        <f t="shared" si="91"/>
        <v>0</v>
      </c>
      <c r="W210" s="17">
        <f t="shared" si="91"/>
        <v>0</v>
      </c>
      <c r="X210" s="17">
        <f t="shared" si="91"/>
        <v>0</v>
      </c>
      <c r="Y210" s="17">
        <f t="shared" si="91"/>
        <v>0</v>
      </c>
      <c r="Z210" s="17">
        <f t="shared" si="91"/>
        <v>0</v>
      </c>
      <c r="AA210" s="17">
        <f t="shared" si="91"/>
        <v>0</v>
      </c>
      <c r="AB210" s="20">
        <f>SUM(E210:AA210)</f>
        <v>617984.28129019053</v>
      </c>
      <c r="AJ210" s="1"/>
    </row>
    <row r="211" spans="1:37" x14ac:dyDescent="0.2">
      <c r="B211" s="18" t="s">
        <v>221</v>
      </c>
      <c r="C211" s="124">
        <v>0.01</v>
      </c>
      <c r="D211" s="379"/>
      <c r="E211" s="17">
        <f>$C$211*(E$87+E$88+E$89)</f>
        <v>0</v>
      </c>
      <c r="F211" s="17">
        <f t="shared" ref="F211:R211" si="92">$C$211*(F$87+F$88+F$89)</f>
        <v>0</v>
      </c>
      <c r="G211" s="17">
        <f t="shared" si="92"/>
        <v>31389.100000000002</v>
      </c>
      <c r="H211" s="17">
        <f t="shared" si="92"/>
        <v>39151.175000000003</v>
      </c>
      <c r="I211" s="17">
        <f t="shared" si="92"/>
        <v>51292.08625</v>
      </c>
      <c r="J211" s="17">
        <f t="shared" si="92"/>
        <v>19662.7621875</v>
      </c>
      <c r="K211" s="17">
        <f t="shared" si="92"/>
        <v>131118.90764472657</v>
      </c>
      <c r="L211" s="17">
        <f t="shared" si="92"/>
        <v>200432.52078798827</v>
      </c>
      <c r="M211" s="17">
        <f t="shared" si="92"/>
        <v>191650.7926926178</v>
      </c>
      <c r="N211" s="17">
        <f t="shared" si="92"/>
        <v>63181.350459955596</v>
      </c>
      <c r="O211" s="17">
        <f t="shared" si="92"/>
        <v>13970.108477491387</v>
      </c>
      <c r="P211" s="17">
        <f t="shared" si="92"/>
        <v>213720.98186694225</v>
      </c>
      <c r="Q211" s="17">
        <f t="shared" si="92"/>
        <v>153396.82642779595</v>
      </c>
      <c r="R211" s="17">
        <f t="shared" si="92"/>
        <v>127001.95078536303</v>
      </c>
      <c r="S211" s="20"/>
      <c r="T211" s="20"/>
      <c r="U211" s="20"/>
      <c r="V211" s="20"/>
      <c r="W211" s="20"/>
      <c r="X211" s="20"/>
      <c r="Y211" s="20"/>
      <c r="Z211" s="20"/>
      <c r="AA211" s="20"/>
      <c r="AB211" s="20">
        <f>SUM(E211:AA211)</f>
        <v>1235968.5625803811</v>
      </c>
      <c r="AJ211" s="370" t="s">
        <v>222</v>
      </c>
      <c r="AK211" s="375">
        <f>SUM(AM2:AT2)-AB211</f>
        <v>-305968.56258038105</v>
      </c>
    </row>
    <row r="212" spans="1:37" hidden="1" x14ac:dyDescent="0.2">
      <c r="B212" s="18"/>
      <c r="C212" s="97"/>
      <c r="D212" s="97"/>
      <c r="E212" s="17"/>
      <c r="F212" s="17"/>
      <c r="G212" s="17"/>
      <c r="H212" s="17"/>
      <c r="I212" s="17"/>
      <c r="J212" s="17"/>
      <c r="K212" s="17"/>
      <c r="L212" s="17"/>
      <c r="M212" s="17">
        <f>$C$212</f>
        <v>0</v>
      </c>
      <c r="N212" s="17">
        <f>$C$212</f>
        <v>0</v>
      </c>
      <c r="O212" s="17">
        <f>$C$212</f>
        <v>0</v>
      </c>
      <c r="P212" s="17">
        <f>$C$212</f>
        <v>0</v>
      </c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>
        <f>SUM(E212:P212)</f>
        <v>0</v>
      </c>
    </row>
    <row r="213" spans="1:37" x14ac:dyDescent="0.2">
      <c r="B213" s="98" t="s">
        <v>223</v>
      </c>
      <c r="C213" s="99"/>
      <c r="D213" s="99"/>
      <c r="E213" s="100">
        <f t="shared" ref="E213:AA213" si="93">SUM(E209:E212)</f>
        <v>0</v>
      </c>
      <c r="F213" s="100">
        <f t="shared" si="93"/>
        <v>41327.997344765623</v>
      </c>
      <c r="G213" s="100">
        <f t="shared" si="93"/>
        <v>121264.32575346681</v>
      </c>
      <c r="H213" s="100">
        <f t="shared" si="93"/>
        <v>190042.79612278455</v>
      </c>
      <c r="I213" s="100">
        <f t="shared" si="93"/>
        <v>255860.03148275745</v>
      </c>
      <c r="J213" s="100">
        <f t="shared" si="93"/>
        <v>210117.69138933916</v>
      </c>
      <c r="K213" s="100">
        <f t="shared" si="93"/>
        <v>410409.4831745621</v>
      </c>
      <c r="L213" s="100">
        <f t="shared" si="93"/>
        <v>514779.16126647813</v>
      </c>
      <c r="M213" s="100">
        <f t="shared" si="93"/>
        <v>547809.63470004359</v>
      </c>
      <c r="N213" s="100">
        <f t="shared" si="93"/>
        <v>341829.32001922856</v>
      </c>
      <c r="O213" s="100">
        <f t="shared" si="93"/>
        <v>239888.73057172043</v>
      </c>
      <c r="P213" s="100">
        <f t="shared" si="93"/>
        <v>473227.81452302297</v>
      </c>
      <c r="Q213" s="100">
        <f t="shared" si="93"/>
        <v>310246.99475897464</v>
      </c>
      <c r="R213" s="100">
        <f t="shared" si="93"/>
        <v>219702.12121197541</v>
      </c>
      <c r="S213" s="100">
        <f t="shared" si="93"/>
        <v>0</v>
      </c>
      <c r="T213" s="100">
        <f t="shared" si="93"/>
        <v>0</v>
      </c>
      <c r="U213" s="100">
        <f t="shared" si="93"/>
        <v>0</v>
      </c>
      <c r="V213" s="100">
        <f t="shared" si="93"/>
        <v>0</v>
      </c>
      <c r="W213" s="100">
        <f t="shared" si="93"/>
        <v>0</v>
      </c>
      <c r="X213" s="100">
        <f t="shared" si="93"/>
        <v>0</v>
      </c>
      <c r="Y213" s="100">
        <f t="shared" si="93"/>
        <v>0</v>
      </c>
      <c r="Z213" s="100">
        <f t="shared" si="93"/>
        <v>0</v>
      </c>
      <c r="AA213" s="100">
        <f t="shared" si="93"/>
        <v>0</v>
      </c>
      <c r="AB213" s="101">
        <f>SUM(E213:AA213)</f>
        <v>3876506.1023191195</v>
      </c>
      <c r="AD213" s="103">
        <f>AB213/$AD$91</f>
        <v>3.1364115720111711E-2</v>
      </c>
      <c r="AE213" s="1" t="s">
        <v>132</v>
      </c>
      <c r="AJ213" s="1"/>
    </row>
    <row r="214" spans="1:37" x14ac:dyDescent="0.2">
      <c r="B214" s="8"/>
      <c r="C214" s="55"/>
      <c r="D214" s="55"/>
      <c r="E214" s="44"/>
      <c r="F214" s="44"/>
      <c r="G214" s="44"/>
      <c r="H214" s="44"/>
      <c r="I214" s="44"/>
      <c r="J214" s="44"/>
      <c r="K214" s="44"/>
      <c r="L214" s="44"/>
      <c r="M214" s="44"/>
      <c r="N214" s="44"/>
      <c r="O214" s="44"/>
      <c r="P214" s="44"/>
      <c r="Q214" s="44"/>
      <c r="R214" s="44"/>
      <c r="S214" s="44"/>
      <c r="T214" s="44"/>
      <c r="U214" s="44"/>
      <c r="V214" s="44"/>
      <c r="W214" s="44"/>
      <c r="X214" s="44"/>
      <c r="Y214" s="44"/>
      <c r="Z214" s="44"/>
      <c r="AA214" s="44"/>
      <c r="AB214" s="43"/>
      <c r="AJ214" s="1"/>
    </row>
    <row r="215" spans="1:37" x14ac:dyDescent="0.2">
      <c r="B215" s="216" t="s">
        <v>224</v>
      </c>
      <c r="C215" s="55"/>
      <c r="D215" s="55"/>
      <c r="E215" s="44"/>
      <c r="F215" s="438">
        <f>F216+F221</f>
        <v>1170750.95</v>
      </c>
      <c r="G215" s="438">
        <f t="shared" ref="G215:R215" si="94">G216+G221</f>
        <v>2920603.9718749998</v>
      </c>
      <c r="H215" s="438">
        <f t="shared" si="94"/>
        <v>5915503.4718749998</v>
      </c>
      <c r="I215" s="438">
        <f t="shared" si="94"/>
        <v>9680914.359375</v>
      </c>
      <c r="J215" s="438">
        <f t="shared" si="94"/>
        <v>13347705.134375</v>
      </c>
      <c r="K215" s="438">
        <f t="shared" si="94"/>
        <v>17701577.556249999</v>
      </c>
      <c r="L215" s="438">
        <f t="shared" si="94"/>
        <v>14210439.913749998</v>
      </c>
      <c r="M215" s="438">
        <f t="shared" si="94"/>
        <v>10021008.799999999</v>
      </c>
      <c r="N215" s="438">
        <f t="shared" si="94"/>
        <v>11544670.453749999</v>
      </c>
      <c r="O215" s="438">
        <f t="shared" si="94"/>
        <v>15238206.90625</v>
      </c>
      <c r="P215" s="438">
        <f t="shared" si="94"/>
        <v>17843867.058125</v>
      </c>
      <c r="Q215" s="438">
        <f t="shared" si="94"/>
        <v>2992213.6177864783</v>
      </c>
      <c r="R215" s="438">
        <f t="shared" si="94"/>
        <v>900650</v>
      </c>
      <c r="S215" s="44"/>
      <c r="T215" s="44"/>
      <c r="U215" s="44"/>
      <c r="V215" s="44"/>
      <c r="W215" s="44"/>
      <c r="X215" s="44"/>
      <c r="Y215" s="44"/>
      <c r="Z215" s="44"/>
      <c r="AA215" s="44"/>
      <c r="AB215" s="43"/>
      <c r="AJ215" s="1"/>
    </row>
    <row r="216" spans="1:37" x14ac:dyDescent="0.2">
      <c r="A216"/>
      <c r="B216" s="424" t="s">
        <v>225</v>
      </c>
      <c r="C216" s="55"/>
      <c r="D216" s="55"/>
      <c r="E216" s="17">
        <f>+D216+E74-D219</f>
        <v>0</v>
      </c>
      <c r="F216" s="17">
        <f>+E216+F74-E219</f>
        <v>1170750.95</v>
      </c>
      <c r="G216" s="17">
        <f t="shared" ref="G216:R216" si="95">+F216+G74-F219</f>
        <v>2920603.9718749998</v>
      </c>
      <c r="H216" s="17">
        <f t="shared" si="95"/>
        <v>5503878.4718749998</v>
      </c>
      <c r="I216" s="17">
        <f t="shared" si="95"/>
        <v>8857606.546875</v>
      </c>
      <c r="J216" s="17">
        <f t="shared" si="95"/>
        <v>12524397.321875</v>
      </c>
      <c r="K216" s="17">
        <f t="shared" si="95"/>
        <v>15874572.321875</v>
      </c>
      <c r="L216" s="17">
        <f t="shared" si="95"/>
        <v>10357797.321874999</v>
      </c>
      <c r="M216" s="17">
        <f t="shared" si="95"/>
        <v>2868021.1499999985</v>
      </c>
      <c r="N216" s="17">
        <f t="shared" si="95"/>
        <v>385787.5</v>
      </c>
      <c r="O216" s="17">
        <f t="shared" si="95"/>
        <v>385787.5</v>
      </c>
      <c r="P216" s="17">
        <f t="shared" si="95"/>
        <v>385787.5</v>
      </c>
      <c r="Q216" s="17">
        <f t="shared" si="95"/>
        <v>385787.5</v>
      </c>
      <c r="R216" s="17">
        <f t="shared" si="95"/>
        <v>385787.5</v>
      </c>
      <c r="S216" s="17">
        <f t="shared" ref="S216:AA216" si="96">+R216+S78-R219</f>
        <v>0</v>
      </c>
      <c r="T216" s="17">
        <f t="shared" si="96"/>
        <v>0</v>
      </c>
      <c r="U216" s="17">
        <f t="shared" si="96"/>
        <v>0</v>
      </c>
      <c r="V216" s="17">
        <f t="shared" si="96"/>
        <v>0</v>
      </c>
      <c r="W216" s="17">
        <f t="shared" si="96"/>
        <v>0</v>
      </c>
      <c r="X216" s="17">
        <f t="shared" si="96"/>
        <v>0</v>
      </c>
      <c r="Y216" s="17">
        <f t="shared" si="96"/>
        <v>0</v>
      </c>
      <c r="Z216" s="17">
        <f t="shared" si="96"/>
        <v>0</v>
      </c>
      <c r="AA216" s="17">
        <f t="shared" si="96"/>
        <v>0</v>
      </c>
      <c r="AB216" s="389"/>
      <c r="AJ216" s="1"/>
    </row>
    <row r="217" spans="1:37" x14ac:dyDescent="0.2">
      <c r="A217"/>
      <c r="B217" s="424" t="s">
        <v>226</v>
      </c>
      <c r="C217" s="22">
        <v>0.1</v>
      </c>
      <c r="D217" s="55"/>
      <c r="E217" s="17">
        <f>(E216*$C$217)/4</f>
        <v>0</v>
      </c>
      <c r="F217" s="17">
        <f t="shared" ref="F217:AA217" si="97">(F216*$C$217)/4</f>
        <v>29268.77375</v>
      </c>
      <c r="G217" s="17">
        <f t="shared" si="97"/>
        <v>73015.099296874992</v>
      </c>
      <c r="H217" s="17">
        <f t="shared" si="97"/>
        <v>137596.961796875</v>
      </c>
      <c r="I217" s="17">
        <f t="shared" si="97"/>
        <v>221440.16367187502</v>
      </c>
      <c r="J217" s="17">
        <f t="shared" si="97"/>
        <v>313109.933046875</v>
      </c>
      <c r="K217" s="17">
        <f t="shared" si="97"/>
        <v>396864.30804687506</v>
      </c>
      <c r="L217" s="17">
        <f t="shared" si="97"/>
        <v>258944.93304687497</v>
      </c>
      <c r="M217" s="17">
        <f t="shared" si="97"/>
        <v>71700.528749999969</v>
      </c>
      <c r="N217" s="17">
        <f t="shared" si="97"/>
        <v>9644.6875</v>
      </c>
      <c r="O217" s="17">
        <f t="shared" si="97"/>
        <v>9644.6875</v>
      </c>
      <c r="P217" s="17">
        <f t="shared" si="97"/>
        <v>9644.6875</v>
      </c>
      <c r="Q217" s="17">
        <f t="shared" si="97"/>
        <v>9644.6875</v>
      </c>
      <c r="R217" s="17">
        <f t="shared" si="97"/>
        <v>9644.6875</v>
      </c>
      <c r="S217" s="17">
        <f t="shared" si="97"/>
        <v>0</v>
      </c>
      <c r="T217" s="17">
        <f t="shared" si="97"/>
        <v>0</v>
      </c>
      <c r="U217" s="17">
        <f t="shared" si="97"/>
        <v>0</v>
      </c>
      <c r="V217" s="17">
        <f t="shared" si="97"/>
        <v>0</v>
      </c>
      <c r="W217" s="17">
        <f t="shared" si="97"/>
        <v>0</v>
      </c>
      <c r="X217" s="17">
        <f t="shared" si="97"/>
        <v>0</v>
      </c>
      <c r="Y217" s="17">
        <f t="shared" si="97"/>
        <v>0</v>
      </c>
      <c r="Z217" s="17">
        <f t="shared" si="97"/>
        <v>0</v>
      </c>
      <c r="AA217" s="17">
        <f t="shared" si="97"/>
        <v>0</v>
      </c>
      <c r="AB217" s="389">
        <f>SUM(E217:AA217)</f>
        <v>1550164.1389062502</v>
      </c>
      <c r="AJ217" s="1"/>
    </row>
    <row r="218" spans="1:37" x14ac:dyDescent="0.2">
      <c r="A218"/>
      <c r="B218" s="424" t="s">
        <v>227</v>
      </c>
      <c r="C218" s="22">
        <v>0.03</v>
      </c>
      <c r="D218" s="55"/>
      <c r="E218" s="17"/>
      <c r="F218" s="17">
        <f>AB74*$C$218</f>
        <v>575739.85715624993</v>
      </c>
      <c r="G218" s="17"/>
      <c r="H218" s="44"/>
      <c r="J218" s="44"/>
      <c r="K218" s="44"/>
      <c r="L218" s="44"/>
      <c r="M218" s="44"/>
      <c r="N218" s="44"/>
      <c r="O218" s="44"/>
      <c r="P218" s="44"/>
      <c r="Q218" s="44"/>
      <c r="R218" s="44"/>
      <c r="S218" s="44"/>
      <c r="T218" s="44"/>
      <c r="U218" s="44"/>
      <c r="V218" s="44"/>
      <c r="W218" s="44"/>
      <c r="X218" s="44"/>
      <c r="Y218" s="44"/>
      <c r="Z218" s="44"/>
      <c r="AA218" s="44"/>
      <c r="AB218" s="389">
        <f>SUM(E218:AA218)</f>
        <v>575739.85715624993</v>
      </c>
      <c r="AJ218" s="1"/>
    </row>
    <row r="219" spans="1:37" x14ac:dyDescent="0.2">
      <c r="A219"/>
      <c r="B219" s="424" t="s">
        <v>228</v>
      </c>
      <c r="C219" s="55"/>
      <c r="D219" s="55"/>
      <c r="E219" s="17"/>
      <c r="F219" s="17"/>
      <c r="G219" s="17"/>
      <c r="H219" s="17"/>
      <c r="I219" s="17"/>
      <c r="J219" s="45"/>
      <c r="K219" s="389">
        <f>IF((K$89*0.9)&lt;K216,(K$89*0.9),K216)</f>
        <v>7460437.5</v>
      </c>
      <c r="L219" s="389">
        <f>IF((L$89*0.9)&lt;L216,(L$89*0.9),L216)</f>
        <v>8477082.421875</v>
      </c>
      <c r="M219" s="389">
        <f>IF((M$89*0.9)&lt;M216,(M$89*0.9),M216)</f>
        <v>2868021.1499999985</v>
      </c>
      <c r="N219" s="45"/>
      <c r="O219" s="45"/>
      <c r="P219" s="45"/>
      <c r="Q219" s="44"/>
      <c r="R219" s="44">
        <f>R216</f>
        <v>385787.5</v>
      </c>
      <c r="S219" s="45"/>
      <c r="T219" s="45"/>
      <c r="U219" s="44"/>
      <c r="V219" s="44"/>
      <c r="W219" s="45"/>
      <c r="X219" s="44"/>
      <c r="Y219" s="45"/>
      <c r="Z219" s="45"/>
      <c r="AA219" s="45"/>
      <c r="AB219" s="389">
        <f>SUM(E219:AA219)</f>
        <v>19191328.571874999</v>
      </c>
      <c r="AJ219" s="1"/>
    </row>
    <row r="220" spans="1:37" x14ac:dyDescent="0.2">
      <c r="A220"/>
      <c r="B220" s="216"/>
      <c r="C220" s="55"/>
      <c r="D220" s="55"/>
      <c r="E220" s="44"/>
      <c r="F220" s="44"/>
      <c r="G220" s="44"/>
      <c r="H220" s="44"/>
      <c r="I220" s="44"/>
      <c r="J220" s="44"/>
      <c r="K220" s="44"/>
      <c r="L220" s="44"/>
      <c r="M220" s="44"/>
      <c r="N220" s="44"/>
      <c r="O220" s="44"/>
      <c r="P220" s="44"/>
      <c r="Q220" s="44"/>
      <c r="R220" s="44"/>
      <c r="S220" s="44"/>
      <c r="T220" s="44"/>
      <c r="U220" s="44"/>
      <c r="V220" s="44"/>
      <c r="W220" s="44"/>
      <c r="X220" s="44"/>
      <c r="Y220" s="44"/>
      <c r="Z220" s="44"/>
      <c r="AA220" s="44"/>
      <c r="AB220" s="360"/>
      <c r="AJ220" s="1"/>
    </row>
    <row r="221" spans="1:37" x14ac:dyDescent="0.2">
      <c r="A221"/>
      <c r="B221" s="424" t="s">
        <v>229</v>
      </c>
      <c r="C221" s="55"/>
      <c r="D221" s="55"/>
      <c r="E221" s="17">
        <f>+D221+E75-D224</f>
        <v>0</v>
      </c>
      <c r="F221" s="17">
        <f t="shared" ref="F221:R221" si="98">+E221+F75-E224</f>
        <v>0</v>
      </c>
      <c r="G221" s="17">
        <f t="shared" si="98"/>
        <v>0</v>
      </c>
      <c r="H221" s="17">
        <f t="shared" si="98"/>
        <v>411625</v>
      </c>
      <c r="I221" s="17">
        <f t="shared" si="98"/>
        <v>823307.8125</v>
      </c>
      <c r="J221" s="17">
        <f t="shared" si="98"/>
        <v>823307.8125</v>
      </c>
      <c r="K221" s="17">
        <f t="shared" si="98"/>
        <v>1827005.234375</v>
      </c>
      <c r="L221" s="17">
        <f t="shared" si="98"/>
        <v>3852642.5918749999</v>
      </c>
      <c r="M221" s="17">
        <f t="shared" si="98"/>
        <v>7152987.6500000004</v>
      </c>
      <c r="N221" s="17">
        <f t="shared" si="98"/>
        <v>11158882.953749999</v>
      </c>
      <c r="O221" s="17">
        <f t="shared" si="98"/>
        <v>14852419.40625</v>
      </c>
      <c r="P221" s="17">
        <f t="shared" si="98"/>
        <v>17458079.558125</v>
      </c>
      <c r="Q221" s="17">
        <f t="shared" si="98"/>
        <v>2606426.1177864783</v>
      </c>
      <c r="R221" s="17">
        <f t="shared" si="98"/>
        <v>514862.5</v>
      </c>
      <c r="S221" s="17">
        <f t="shared" ref="S221:AA221" si="99">+R221+S79-R224</f>
        <v>0</v>
      </c>
      <c r="T221" s="17">
        <f t="shared" si="99"/>
        <v>0</v>
      </c>
      <c r="U221" s="17">
        <f t="shared" si="99"/>
        <v>0</v>
      </c>
      <c r="V221" s="17">
        <f t="shared" si="99"/>
        <v>0</v>
      </c>
      <c r="W221" s="17">
        <f t="shared" si="99"/>
        <v>0</v>
      </c>
      <c r="X221" s="17">
        <f t="shared" si="99"/>
        <v>0</v>
      </c>
      <c r="Y221" s="17">
        <f t="shared" si="99"/>
        <v>0</v>
      </c>
      <c r="Z221" s="17">
        <f t="shared" si="99"/>
        <v>0</v>
      </c>
      <c r="AA221" s="17">
        <f t="shared" si="99"/>
        <v>0</v>
      </c>
      <c r="AB221" s="389"/>
      <c r="AJ221" s="1"/>
    </row>
    <row r="222" spans="1:37" x14ac:dyDescent="0.2">
      <c r="A222"/>
      <c r="B222" s="424" t="s">
        <v>230</v>
      </c>
      <c r="C222" s="22">
        <v>0.1</v>
      </c>
      <c r="D222" s="22"/>
      <c r="E222" s="17">
        <f>(E221*$C$222)/4</f>
        <v>0</v>
      </c>
      <c r="F222" s="17">
        <f t="shared" ref="F222:AA222" si="100">(F221*$C$222)/4</f>
        <v>0</v>
      </c>
      <c r="G222" s="17">
        <f t="shared" si="100"/>
        <v>0</v>
      </c>
      <c r="H222" s="17">
        <f t="shared" si="100"/>
        <v>10290.625</v>
      </c>
      <c r="I222" s="17">
        <f t="shared" si="100"/>
        <v>20582.6953125</v>
      </c>
      <c r="J222" s="17">
        <f t="shared" si="100"/>
        <v>20582.6953125</v>
      </c>
      <c r="K222" s="17">
        <f t="shared" si="100"/>
        <v>45675.130859375</v>
      </c>
      <c r="L222" s="17">
        <f t="shared" si="100"/>
        <v>96316.064796874998</v>
      </c>
      <c r="M222" s="17">
        <f t="shared" si="100"/>
        <v>178824.69125000003</v>
      </c>
      <c r="N222" s="17">
        <f t="shared" si="100"/>
        <v>278972.07384375</v>
      </c>
      <c r="O222" s="17">
        <f t="shared" si="100"/>
        <v>371310.48515625001</v>
      </c>
      <c r="P222" s="17">
        <f t="shared" si="100"/>
        <v>436451.98895312502</v>
      </c>
      <c r="Q222" s="17">
        <f t="shared" si="100"/>
        <v>65160.652944661961</v>
      </c>
      <c r="R222" s="17">
        <f t="shared" si="100"/>
        <v>12871.5625</v>
      </c>
      <c r="S222" s="17">
        <f t="shared" si="100"/>
        <v>0</v>
      </c>
      <c r="T222" s="17">
        <f t="shared" si="100"/>
        <v>0</v>
      </c>
      <c r="U222" s="17">
        <f t="shared" si="100"/>
        <v>0</v>
      </c>
      <c r="V222" s="17">
        <f t="shared" si="100"/>
        <v>0</v>
      </c>
      <c r="W222" s="17">
        <f t="shared" si="100"/>
        <v>0</v>
      </c>
      <c r="X222" s="17">
        <f t="shared" si="100"/>
        <v>0</v>
      </c>
      <c r="Y222" s="17">
        <f t="shared" si="100"/>
        <v>0</v>
      </c>
      <c r="Z222" s="17">
        <f t="shared" si="100"/>
        <v>0</v>
      </c>
      <c r="AA222" s="17">
        <f t="shared" si="100"/>
        <v>0</v>
      </c>
      <c r="AB222" s="389">
        <f>SUM(E222:AA222)</f>
        <v>1537038.6659290369</v>
      </c>
      <c r="AJ222" s="1"/>
    </row>
    <row r="223" spans="1:37" x14ac:dyDescent="0.2">
      <c r="A223"/>
      <c r="B223" s="424" t="s">
        <v>231</v>
      </c>
      <c r="C223" s="22">
        <v>0.03</v>
      </c>
      <c r="D223" s="22"/>
      <c r="H223" s="17">
        <f>$AB$75*$C$223</f>
        <v>584833.33978124999</v>
      </c>
      <c r="I223" s="17"/>
      <c r="J223" s="17"/>
      <c r="K223" s="17"/>
      <c r="L223" s="17"/>
      <c r="M223" s="17"/>
      <c r="N223" s="17"/>
      <c r="O223" s="17"/>
      <c r="P223" s="389"/>
      <c r="Q223" s="17"/>
      <c r="R223" s="44"/>
      <c r="T223" s="17"/>
      <c r="U223" s="17"/>
      <c r="V223" s="17"/>
      <c r="W223" s="17"/>
      <c r="X223" s="17"/>
      <c r="Y223" s="17"/>
      <c r="Z223" s="17"/>
      <c r="AA223" s="17"/>
      <c r="AB223" s="389">
        <f>SUM(F223:AA223)</f>
        <v>584833.33978124999</v>
      </c>
      <c r="AJ223" s="1"/>
    </row>
    <row r="224" spans="1:37" x14ac:dyDescent="0.2">
      <c r="A224"/>
      <c r="B224" s="424" t="s">
        <v>232</v>
      </c>
      <c r="C224" s="22"/>
      <c r="D224" s="22"/>
      <c r="E224" s="17">
        <v>0</v>
      </c>
      <c r="F224" s="25"/>
      <c r="G224" s="25"/>
      <c r="H224" s="25"/>
      <c r="I224" s="25"/>
      <c r="J224" s="25"/>
      <c r="K224" s="25"/>
      <c r="L224" s="25"/>
      <c r="M224" s="25"/>
      <c r="N224" s="25"/>
      <c r="O224" s="25"/>
      <c r="P224" s="389">
        <f>IF((P$89*0.9)&lt;P221,(P$89*0.9),P221)</f>
        <v>16373156.041588522</v>
      </c>
      <c r="Q224" s="389">
        <f>IF((Q$89*0.9)&lt;Q221,(Q$89*0.9),Q221)</f>
        <v>2606426.1177864783</v>
      </c>
      <c r="R224" s="389">
        <f>IF((R$89*0.9)&lt;R221,(R$89*0.9),R221)</f>
        <v>514862.5</v>
      </c>
      <c r="S224" s="25"/>
      <c r="T224" s="25"/>
      <c r="U224" s="25"/>
      <c r="V224" s="25"/>
      <c r="W224" s="25"/>
      <c r="X224" s="25"/>
      <c r="Y224" s="25"/>
      <c r="Z224" s="25"/>
      <c r="AA224" s="25"/>
      <c r="AB224" s="17">
        <f>SUM(E224:AA224)</f>
        <v>19494444.659375001</v>
      </c>
      <c r="AJ224" s="1"/>
    </row>
    <row r="225" spans="1:37" x14ac:dyDescent="0.2">
      <c r="B225" s="8" t="s">
        <v>233</v>
      </c>
      <c r="C225" s="99"/>
      <c r="D225" s="99"/>
      <c r="E225" s="100">
        <f t="shared" ref="E225:AA225" si="101">SUM(E222:E224)+SUM(E217:E219)</f>
        <v>0</v>
      </c>
      <c r="F225" s="100">
        <f t="shared" si="101"/>
        <v>605008.63090624998</v>
      </c>
      <c r="G225" s="100">
        <f t="shared" si="101"/>
        <v>73015.099296874992</v>
      </c>
      <c r="H225" s="100">
        <f t="shared" si="101"/>
        <v>732720.92657812499</v>
      </c>
      <c r="I225" s="100">
        <f t="shared" si="101"/>
        <v>242022.85898437502</v>
      </c>
      <c r="J225" s="100">
        <f t="shared" si="101"/>
        <v>333692.628359375</v>
      </c>
      <c r="K225" s="100">
        <f t="shared" si="101"/>
        <v>7902976.9389062505</v>
      </c>
      <c r="L225" s="100">
        <f t="shared" si="101"/>
        <v>8832343.4197187498</v>
      </c>
      <c r="M225" s="100">
        <f t="shared" si="101"/>
        <v>3118546.3699999987</v>
      </c>
      <c r="N225" s="100">
        <f t="shared" si="101"/>
        <v>288616.76134375</v>
      </c>
      <c r="O225" s="100">
        <f t="shared" si="101"/>
        <v>380955.17265625001</v>
      </c>
      <c r="P225" s="100">
        <f t="shared" si="101"/>
        <v>16819252.718041647</v>
      </c>
      <c r="Q225" s="100">
        <f t="shared" si="101"/>
        <v>2681231.4582311404</v>
      </c>
      <c r="R225" s="100">
        <f t="shared" si="101"/>
        <v>923166.25</v>
      </c>
      <c r="S225" s="100">
        <f t="shared" si="101"/>
        <v>0</v>
      </c>
      <c r="T225" s="100">
        <f t="shared" si="101"/>
        <v>0</v>
      </c>
      <c r="U225" s="100">
        <f t="shared" si="101"/>
        <v>0</v>
      </c>
      <c r="V225" s="100">
        <f t="shared" si="101"/>
        <v>0</v>
      </c>
      <c r="W225" s="100">
        <f t="shared" si="101"/>
        <v>0</v>
      </c>
      <c r="X225" s="100">
        <f t="shared" si="101"/>
        <v>0</v>
      </c>
      <c r="Y225" s="100">
        <f t="shared" si="101"/>
        <v>0</v>
      </c>
      <c r="Z225" s="100">
        <f t="shared" si="101"/>
        <v>0</v>
      </c>
      <c r="AA225" s="100">
        <f t="shared" si="101"/>
        <v>0</v>
      </c>
      <c r="AB225" s="101">
        <f>SUM(E225:AA225)</f>
        <v>42933549.233022787</v>
      </c>
      <c r="AJ225" s="1"/>
    </row>
    <row r="226" spans="1:37" x14ac:dyDescent="0.2">
      <c r="B226" s="8"/>
      <c r="C226" s="55"/>
      <c r="D226" s="55"/>
      <c r="E226" s="44"/>
      <c r="F226" s="44"/>
      <c r="G226" s="44"/>
      <c r="H226" s="44"/>
      <c r="I226" s="44"/>
      <c r="J226" s="44"/>
      <c r="K226" s="44"/>
      <c r="L226" s="44"/>
      <c r="M226" s="44"/>
      <c r="N226" s="426"/>
      <c r="O226" s="44"/>
      <c r="P226" s="44"/>
      <c r="Q226" s="44"/>
      <c r="R226" s="44"/>
      <c r="S226" s="44"/>
      <c r="T226" s="44"/>
      <c r="U226" s="44"/>
      <c r="V226" s="44"/>
      <c r="W226" s="44"/>
      <c r="X226" s="44"/>
      <c r="Y226" s="44"/>
      <c r="Z226" s="44"/>
      <c r="AA226" s="44"/>
      <c r="AB226" s="43"/>
      <c r="AJ226" s="1"/>
    </row>
    <row r="227" spans="1:37" x14ac:dyDescent="0.2">
      <c r="B227" s="98" t="s">
        <v>234</v>
      </c>
      <c r="C227" s="109"/>
      <c r="D227" s="109"/>
      <c r="E227" s="356">
        <v>0</v>
      </c>
      <c r="F227" s="356">
        <v>0</v>
      </c>
      <c r="G227" s="356">
        <v>0</v>
      </c>
      <c r="H227" s="356"/>
      <c r="I227" s="378"/>
      <c r="J227" s="378"/>
      <c r="K227" s="378"/>
      <c r="L227" s="356">
        <v>12000000</v>
      </c>
      <c r="M227" s="356">
        <v>9000000</v>
      </c>
      <c r="N227" s="238"/>
      <c r="O227" s="356"/>
      <c r="P227" s="356"/>
      <c r="Q227" s="356">
        <v>11000000</v>
      </c>
      <c r="R227" s="356">
        <v>11648704.5</v>
      </c>
      <c r="S227" s="356"/>
      <c r="T227" s="356"/>
      <c r="U227" s="356"/>
      <c r="V227" s="356"/>
      <c r="W227" s="356"/>
      <c r="X227" s="356"/>
      <c r="Y227" s="356"/>
      <c r="Z227" s="356"/>
      <c r="AA227" s="356"/>
      <c r="AB227" s="140">
        <f>SUM(E227:AA227)</f>
        <v>43648704.5</v>
      </c>
      <c r="AJ227" s="1"/>
    </row>
    <row r="228" spans="1:37" ht="17" thickBot="1" x14ac:dyDescent="0.25">
      <c r="B228" s="19"/>
      <c r="C228" s="51"/>
      <c r="D228" s="51"/>
      <c r="E228" s="52"/>
      <c r="F228" s="53"/>
      <c r="G228" s="53"/>
      <c r="H228" s="53"/>
      <c r="I228" s="53"/>
      <c r="J228" s="53"/>
      <c r="K228" s="53"/>
      <c r="L228" s="53"/>
      <c r="M228" s="53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J228" s="1"/>
    </row>
    <row r="229" spans="1:37" ht="17" thickTop="1" x14ac:dyDescent="0.2">
      <c r="B229" s="54" t="s">
        <v>235</v>
      </c>
      <c r="C229" s="8"/>
      <c r="D229" s="8"/>
      <c r="E229" s="44">
        <f t="shared" ref="E229:L229" si="102">SUM(E103,E213,E206,E199,E194,E187,E164,E155,E141,E98,E225,E227)</f>
        <v>0</v>
      </c>
      <c r="F229" s="44">
        <f t="shared" si="102"/>
        <v>16184936.539743204</v>
      </c>
      <c r="G229" s="44">
        <f t="shared" si="102"/>
        <v>2666968.6168325683</v>
      </c>
      <c r="H229" s="44">
        <f t="shared" si="102"/>
        <v>5299964.8434603941</v>
      </c>
      <c r="I229" s="44">
        <f t="shared" si="102"/>
        <v>6692760.682184048</v>
      </c>
      <c r="J229" s="44">
        <f t="shared" si="102"/>
        <v>6653077.6865287693</v>
      </c>
      <c r="K229" s="44">
        <f t="shared" si="102"/>
        <v>16027792.230064489</v>
      </c>
      <c r="L229" s="44">
        <f t="shared" si="102"/>
        <v>29386748.260681033</v>
      </c>
      <c r="M229" s="44">
        <f t="shared" ref="M229:AA229" si="103">SUM(M213,M206,M199,M194,M187,M164,M155,M141,M98,M225,M227)</f>
        <v>22206566.093854047</v>
      </c>
      <c r="N229" s="44">
        <f t="shared" si="103"/>
        <v>9150005.3027426191</v>
      </c>
      <c r="O229" s="44">
        <f t="shared" si="103"/>
        <v>7981494.9865594618</v>
      </c>
      <c r="P229" s="44">
        <f t="shared" si="103"/>
        <v>23342436.34171956</v>
      </c>
      <c r="Q229" s="44">
        <f t="shared" si="103"/>
        <v>17353489.342491217</v>
      </c>
      <c r="R229" s="44">
        <f t="shared" si="103"/>
        <v>14336388.150877137</v>
      </c>
      <c r="S229" s="44">
        <f t="shared" si="103"/>
        <v>0</v>
      </c>
      <c r="T229" s="44">
        <f t="shared" si="103"/>
        <v>0</v>
      </c>
      <c r="U229" s="44">
        <f t="shared" si="103"/>
        <v>0</v>
      </c>
      <c r="V229" s="44">
        <f t="shared" si="103"/>
        <v>0</v>
      </c>
      <c r="W229" s="44">
        <f t="shared" si="103"/>
        <v>0</v>
      </c>
      <c r="X229" s="44">
        <f t="shared" si="103"/>
        <v>0</v>
      </c>
      <c r="Y229" s="44">
        <f t="shared" si="103"/>
        <v>0</v>
      </c>
      <c r="Z229" s="44">
        <f t="shared" si="103"/>
        <v>0</v>
      </c>
      <c r="AA229" s="44">
        <f t="shared" si="103"/>
        <v>0</v>
      </c>
      <c r="AB229" s="44">
        <f>SUM(E229:AA229)</f>
        <v>177282629.07773855</v>
      </c>
      <c r="AH229" s="370"/>
      <c r="AJ229" s="370" t="s">
        <v>236</v>
      </c>
      <c r="AK229" s="375">
        <f>+ROUND(AB229-AB90,0)</f>
        <v>0</v>
      </c>
    </row>
    <row r="230" spans="1:37" x14ac:dyDescent="0.2">
      <c r="AJ230" s="1"/>
    </row>
    <row r="231" spans="1:37" x14ac:dyDescent="0.2">
      <c r="B231" s="9" t="s">
        <v>237</v>
      </c>
      <c r="C231" s="31"/>
      <c r="D231" s="31"/>
      <c r="E231" s="17">
        <f>E90-E229</f>
        <v>0</v>
      </c>
      <c r="F231" s="17">
        <f t="shared" ref="F231:AA231" si="104">F90-F229+E231</f>
        <v>-14185.589743204415</v>
      </c>
      <c r="G231" s="17">
        <f t="shared" si="104"/>
        <v>2207608.8152992269</v>
      </c>
      <c r="H231" s="17">
        <f t="shared" si="104"/>
        <v>3817660.9718388328</v>
      </c>
      <c r="I231" s="17">
        <f t="shared" si="104"/>
        <v>6019519.8021547841</v>
      </c>
      <c r="J231" s="17">
        <f t="shared" si="104"/>
        <v>4999509.1093760151</v>
      </c>
      <c r="K231" s="17">
        <f t="shared" si="104"/>
        <v>6437480.0656591821</v>
      </c>
      <c r="L231" s="17">
        <f t="shared" si="104"/>
        <v>1063283.7412769739</v>
      </c>
      <c r="M231" s="17">
        <f t="shared" si="104"/>
        <v>2309448.2248097081</v>
      </c>
      <c r="N231" s="17">
        <f t="shared" si="104"/>
        <v>3869260.7718126494</v>
      </c>
      <c r="O231" s="17">
        <f t="shared" si="104"/>
        <v>978313.08550232649</v>
      </c>
      <c r="P231" s="17">
        <f t="shared" si="104"/>
        <v>1613635.08235199</v>
      </c>
      <c r="Q231" s="17">
        <f t="shared" si="104"/>
        <v>1121330.9838903695</v>
      </c>
      <c r="R231" s="17">
        <f t="shared" si="104"/>
        <v>0.41154953651130199</v>
      </c>
      <c r="S231" s="17">
        <f t="shared" si="104"/>
        <v>0.41154953651130199</v>
      </c>
      <c r="T231" s="17">
        <f t="shared" si="104"/>
        <v>0.41154953651130199</v>
      </c>
      <c r="U231" s="17">
        <f t="shared" si="104"/>
        <v>0.41154953651130199</v>
      </c>
      <c r="V231" s="17">
        <f t="shared" si="104"/>
        <v>0.41154953651130199</v>
      </c>
      <c r="W231" s="17">
        <f t="shared" si="104"/>
        <v>0.41154953651130199</v>
      </c>
      <c r="X231" s="17">
        <f t="shared" si="104"/>
        <v>0.41154953651130199</v>
      </c>
      <c r="Y231" s="17">
        <f t="shared" si="104"/>
        <v>0.41154953651130199</v>
      </c>
      <c r="Z231" s="17">
        <f t="shared" si="104"/>
        <v>0.41154953651130199</v>
      </c>
      <c r="AA231" s="17">
        <f t="shared" si="104"/>
        <v>0.41154953651130199</v>
      </c>
      <c r="AB231" s="17"/>
      <c r="AE231" s="1" t="s">
        <v>238</v>
      </c>
      <c r="AJ231" s="370" t="s">
        <v>239</v>
      </c>
      <c r="AK231" s="375">
        <f>ROUND(L231-0,0)</f>
        <v>1063284</v>
      </c>
    </row>
    <row r="232" spans="1:37" x14ac:dyDescent="0.2">
      <c r="B232" s="9"/>
      <c r="AJ232" s="1"/>
    </row>
    <row r="233" spans="1:37" x14ac:dyDescent="0.2">
      <c r="B233" s="9" t="s">
        <v>240</v>
      </c>
      <c r="E233" s="17">
        <f t="shared" ref="E233:AA233" si="105">-SUM(E63:E71)+E227</f>
        <v>0</v>
      </c>
      <c r="F233" s="17">
        <f t="shared" si="105"/>
        <v>-15000000</v>
      </c>
      <c r="G233" s="17">
        <f t="shared" si="105"/>
        <v>0</v>
      </c>
      <c r="H233" s="17">
        <f t="shared" si="105"/>
        <v>0</v>
      </c>
      <c r="I233" s="17">
        <f t="shared" si="105"/>
        <v>0</v>
      </c>
      <c r="J233" s="17">
        <f t="shared" si="105"/>
        <v>0</v>
      </c>
      <c r="K233" s="17">
        <f t="shared" si="105"/>
        <v>0</v>
      </c>
      <c r="L233" s="17">
        <f t="shared" si="105"/>
        <v>12000000</v>
      </c>
      <c r="M233" s="17">
        <f t="shared" si="105"/>
        <v>9000000</v>
      </c>
      <c r="N233" s="17">
        <f t="shared" si="105"/>
        <v>0</v>
      </c>
      <c r="O233" s="17">
        <f t="shared" si="105"/>
        <v>0</v>
      </c>
      <c r="P233" s="17">
        <f t="shared" si="105"/>
        <v>0</v>
      </c>
      <c r="Q233" s="17">
        <f t="shared" si="105"/>
        <v>11000000</v>
      </c>
      <c r="R233" s="17">
        <f t="shared" si="105"/>
        <v>11648704.5</v>
      </c>
      <c r="S233" s="17">
        <f t="shared" si="105"/>
        <v>0</v>
      </c>
      <c r="T233" s="17">
        <f t="shared" si="105"/>
        <v>0</v>
      </c>
      <c r="U233" s="17">
        <f t="shared" si="105"/>
        <v>0</v>
      </c>
      <c r="V233" s="17">
        <f t="shared" si="105"/>
        <v>0</v>
      </c>
      <c r="W233" s="17">
        <f t="shared" si="105"/>
        <v>0</v>
      </c>
      <c r="X233" s="17">
        <f t="shared" si="105"/>
        <v>0</v>
      </c>
      <c r="Y233" s="17">
        <f t="shared" si="105"/>
        <v>0</v>
      </c>
      <c r="Z233" s="17">
        <f t="shared" si="105"/>
        <v>0</v>
      </c>
      <c r="AA233" s="17">
        <f t="shared" si="105"/>
        <v>0</v>
      </c>
      <c r="AJ233" s="370" t="s">
        <v>241</v>
      </c>
      <c r="AK233" s="375">
        <f>0.08-'Returns (PreSales)'!F55</f>
        <v>-3.9779461622238152E-2</v>
      </c>
    </row>
    <row r="234" spans="1:37" ht="17" thickBot="1" x14ac:dyDescent="0.25">
      <c r="AJ234" s="1"/>
    </row>
    <row r="235" spans="1:37" ht="20" thickBot="1" x14ac:dyDescent="0.3">
      <c r="A235"/>
      <c r="B235" s="446" t="s">
        <v>1</v>
      </c>
      <c r="C235" s="447"/>
      <c r="D235" s="447"/>
      <c r="E235" s="448"/>
      <c r="F235" s="17"/>
      <c r="G235" s="446" t="s">
        <v>2</v>
      </c>
      <c r="H235" s="447"/>
      <c r="I235" s="447"/>
      <c r="J235" s="447"/>
      <c r="K235" s="448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J235" s="370" t="s">
        <v>242</v>
      </c>
      <c r="AK235" s="375">
        <f>SUM(AB275:AB279)-AB280+SUM(AB283:AB294)-AB295</f>
        <v>0</v>
      </c>
    </row>
    <row r="236" spans="1:37" ht="5.25" customHeight="1" thickBot="1" x14ac:dyDescent="0.25">
      <c r="A236"/>
      <c r="E236" s="26"/>
      <c r="K236" s="26"/>
      <c r="AJ236" s="1"/>
    </row>
    <row r="237" spans="1:37" ht="17" thickBot="1" x14ac:dyDescent="0.25">
      <c r="A237"/>
      <c r="B237" s="170" t="s">
        <v>4</v>
      </c>
      <c r="E237" s="168">
        <f>AB72+AB80</f>
        <v>53685773.231249996</v>
      </c>
      <c r="I237" s="170" t="s">
        <v>5</v>
      </c>
      <c r="K237" s="168">
        <f>(AB89+AB88+AB87)-AB190</f>
        <v>118352428.96392636</v>
      </c>
      <c r="M237" s="171"/>
      <c r="AJ237" s="1"/>
    </row>
    <row r="238" spans="1:37" ht="5.25" customHeight="1" thickBot="1" x14ac:dyDescent="0.25">
      <c r="A238"/>
      <c r="B238" s="9"/>
      <c r="E238" s="17"/>
      <c r="F238" s="17"/>
      <c r="G238" s="17"/>
      <c r="H238" s="17"/>
      <c r="I238" s="9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J238" s="1"/>
    </row>
    <row r="239" spans="1:37" ht="17" thickBot="1" x14ac:dyDescent="0.25">
      <c r="A239"/>
      <c r="B239" s="170" t="s">
        <v>7</v>
      </c>
      <c r="E239" s="168">
        <f>AD38</f>
        <v>120742500</v>
      </c>
      <c r="I239" s="185" t="s">
        <v>8</v>
      </c>
      <c r="K239" s="168">
        <f>AB98+AB103+AB141+AB155+AB164+AB187+AB192+AB199+AB206+AB213+AB217+AB218+AB222+AB223</f>
        <v>89703724.052376851</v>
      </c>
      <c r="M239" s="171"/>
      <c r="AC239" s="17"/>
      <c r="AJ239" s="1"/>
    </row>
    <row r="240" spans="1:37" ht="5.25" customHeight="1" thickBot="1" x14ac:dyDescent="0.25">
      <c r="A240"/>
      <c r="B240" s="9"/>
      <c r="E240" s="17"/>
      <c r="F240" s="17"/>
      <c r="G240" s="17"/>
      <c r="H240" s="17"/>
      <c r="I240" s="9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J240" s="1"/>
    </row>
    <row r="241" spans="1:36" ht="17" customHeight="1" thickBot="1" x14ac:dyDescent="0.25">
      <c r="A241"/>
      <c r="B241" s="167" t="s">
        <v>10</v>
      </c>
      <c r="E241" s="230">
        <f>AD64</f>
        <v>27303941.821289062</v>
      </c>
      <c r="I241" s="184" t="s">
        <v>11</v>
      </c>
      <c r="K241" s="209">
        <f>K237-K239</f>
        <v>28648704.911549509</v>
      </c>
      <c r="M241" s="17"/>
      <c r="AJ241" s="1"/>
    </row>
    <row r="242" spans="1:36" ht="5.25" customHeight="1" thickBot="1" x14ac:dyDescent="0.25">
      <c r="A242"/>
      <c r="B242" s="167"/>
      <c r="E242" s="126"/>
      <c r="I242" s="167"/>
      <c r="K242" s="126"/>
      <c r="M242" s="17"/>
      <c r="AJ242" s="1"/>
    </row>
    <row r="243" spans="1:36" ht="17" thickBot="1" x14ac:dyDescent="0.25">
      <c r="A243"/>
      <c r="B243" s="167" t="s">
        <v>13</v>
      </c>
      <c r="E243" s="182">
        <f>AD72</f>
        <v>0.54937122625658397</v>
      </c>
      <c r="I243" s="170" t="s">
        <v>14</v>
      </c>
      <c r="K243" s="182">
        <f>K241/K237</f>
        <v>0.24206266962447887</v>
      </c>
      <c r="M243" s="17"/>
      <c r="AJ243" s="1"/>
    </row>
    <row r="244" spans="1:36" ht="5.25" customHeight="1" thickBot="1" x14ac:dyDescent="0.25">
      <c r="A244"/>
      <c r="B244" s="167"/>
      <c r="E244" s="126"/>
      <c r="K244" s="26"/>
      <c r="M244" s="17"/>
      <c r="AJ244" s="1"/>
    </row>
    <row r="245" spans="1:36" ht="17" thickBot="1" x14ac:dyDescent="0.25">
      <c r="A245"/>
      <c r="B245" s="167" t="s">
        <v>16</v>
      </c>
      <c r="E245" s="182">
        <f>AD75</f>
        <v>0.72059636851297804</v>
      </c>
      <c r="F245" s="17"/>
      <c r="I245" s="170" t="s">
        <v>17</v>
      </c>
      <c r="K245" s="206">
        <f>K241/SUM(AB63:AB71)</f>
        <v>1.9099136607699672</v>
      </c>
      <c r="AD245" s="107">
        <f>K241-E251</f>
        <v>0.41154950857162476</v>
      </c>
      <c r="AJ245" s="1"/>
    </row>
    <row r="246" spans="1:36" ht="5.25" customHeight="1" thickBot="1" x14ac:dyDescent="0.25">
      <c r="A246"/>
      <c r="B246" s="167"/>
      <c r="E246" s="183"/>
      <c r="F246" s="17"/>
      <c r="I246" s="170"/>
      <c r="K246" s="229"/>
      <c r="AJ246" s="1"/>
    </row>
    <row r="247" spans="1:36" ht="17" thickBot="1" x14ac:dyDescent="0.25">
      <c r="A247"/>
      <c r="B247" s="170" t="s">
        <v>18</v>
      </c>
      <c r="E247" s="392">
        <f>AD79</f>
        <v>0.65639335698151613</v>
      </c>
      <c r="F247" s="17"/>
      <c r="I247" s="170"/>
      <c r="K247" s="229"/>
      <c r="AJ247" s="1"/>
    </row>
    <row r="248" spans="1:36" ht="17" thickBot="1" x14ac:dyDescent="0.25">
      <c r="A248"/>
      <c r="B248" s="7"/>
      <c r="AJ248" s="1"/>
    </row>
    <row r="249" spans="1:36" ht="20" thickBot="1" x14ac:dyDescent="0.3">
      <c r="A249"/>
      <c r="B249" s="446" t="s">
        <v>3</v>
      </c>
      <c r="C249" s="447"/>
      <c r="D249" s="447"/>
      <c r="E249" s="448"/>
      <c r="F249" s="17"/>
      <c r="G249" s="416" t="s">
        <v>19</v>
      </c>
      <c r="H249" s="417"/>
      <c r="I249" s="419" t="s">
        <v>20</v>
      </c>
      <c r="J249" s="419"/>
      <c r="K249" s="418" t="s">
        <v>21</v>
      </c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E249" s="446" t="s">
        <v>243</v>
      </c>
      <c r="AF249" s="447"/>
      <c r="AG249" s="447"/>
      <c r="AH249" s="447"/>
      <c r="AI249" s="447"/>
      <c r="AJ249" s="448"/>
    </row>
    <row r="250" spans="1:36" ht="5.25" customHeight="1" thickBot="1" x14ac:dyDescent="0.25">
      <c r="A250"/>
      <c r="B250" s="9"/>
      <c r="E250" s="17"/>
      <c r="F250" s="17"/>
      <c r="G250" s="406"/>
      <c r="H250" s="181"/>
      <c r="I250" s="40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E250" s="17"/>
      <c r="AF250" s="17"/>
      <c r="AG250" s="17"/>
      <c r="AH250" s="17"/>
      <c r="AI250" s="17"/>
      <c r="AJ250" s="17"/>
    </row>
    <row r="251" spans="1:36" ht="17" thickBot="1" x14ac:dyDescent="0.25">
      <c r="A251"/>
      <c r="B251" s="167" t="s">
        <v>6</v>
      </c>
      <c r="E251" s="168">
        <f>SUM(E233:AA233)</f>
        <v>28648704.5</v>
      </c>
      <c r="G251" s="420">
        <f>E257</f>
        <v>0.6368719875812533</v>
      </c>
      <c r="H251" s="421" t="s">
        <v>22</v>
      </c>
      <c r="I251" s="421">
        <f>F94</f>
        <v>14000000</v>
      </c>
      <c r="J251" s="8"/>
      <c r="K251" s="229">
        <f>E253</f>
        <v>2.9099136333333333</v>
      </c>
      <c r="M251" s="17"/>
      <c r="AE251" s="369" t="s">
        <v>244</v>
      </c>
      <c r="AF251"/>
      <c r="AG251" s="216" t="s">
        <v>245</v>
      </c>
      <c r="AH251"/>
      <c r="AI251"/>
      <c r="AJ251" s="217" t="s">
        <v>246</v>
      </c>
    </row>
    <row r="252" spans="1:36" ht="5.25" customHeight="1" thickBot="1" x14ac:dyDescent="0.25">
      <c r="A252"/>
      <c r="B252" s="167"/>
      <c r="E252" s="44"/>
      <c r="G252" s="406"/>
      <c r="H252" s="181"/>
      <c r="I252" s="407"/>
      <c r="M252" s="17"/>
      <c r="AE252"/>
      <c r="AF252"/>
      <c r="AG252"/>
      <c r="AH252"/>
      <c r="AI252"/>
    </row>
    <row r="253" spans="1:36" ht="17" thickBot="1" x14ac:dyDescent="0.25">
      <c r="A253"/>
      <c r="B253" s="167" t="s">
        <v>9</v>
      </c>
      <c r="E253" s="206">
        <f>AB227/SUM(AB72)</f>
        <v>2.9099136333333333</v>
      </c>
      <c r="G253" s="408"/>
      <c r="H253" s="235"/>
      <c r="I253" s="122"/>
      <c r="K253" s="431"/>
      <c r="M253" s="17"/>
      <c r="AE253" s="212">
        <f>AD61</f>
        <v>7342886.4471851522</v>
      </c>
      <c r="AF253"/>
      <c r="AG253" s="213">
        <f>E253</f>
        <v>2.9099136333333333</v>
      </c>
      <c r="AH253"/>
      <c r="AI253"/>
      <c r="AJ253" s="214">
        <f>E257</f>
        <v>0.6368719875812533</v>
      </c>
    </row>
    <row r="254" spans="1:36" ht="5.25" customHeight="1" thickBot="1" x14ac:dyDescent="0.25">
      <c r="A254"/>
      <c r="B254" s="167"/>
      <c r="E254" s="169"/>
      <c r="I254" s="444"/>
      <c r="J254" s="444"/>
      <c r="M254" s="17"/>
      <c r="AE254"/>
      <c r="AF254"/>
      <c r="AG254"/>
      <c r="AH254"/>
      <c r="AI254"/>
    </row>
    <row r="255" spans="1:36" ht="17" thickBot="1" x14ac:dyDescent="0.25">
      <c r="A255"/>
      <c r="B255" s="170" t="s">
        <v>12</v>
      </c>
      <c r="E255" s="182">
        <f>E251/SUM(AB63:AB71)</f>
        <v>1.9099136333333333</v>
      </c>
      <c r="F255" s="17"/>
      <c r="G255" s="408"/>
      <c r="H255" s="235"/>
      <c r="I255" s="122"/>
      <c r="K255" s="431"/>
      <c r="AE255" s="215" t="s">
        <v>247</v>
      </c>
      <c r="AF255"/>
      <c r="AG255" s="215" t="s">
        <v>247</v>
      </c>
      <c r="AH255"/>
      <c r="AI255"/>
      <c r="AJ255" s="215" t="s">
        <v>247</v>
      </c>
    </row>
    <row r="256" spans="1:36" ht="5.25" customHeight="1" thickBot="1" x14ac:dyDescent="0.25">
      <c r="A256"/>
      <c r="E256" s="26"/>
      <c r="AE256"/>
      <c r="AF256"/>
      <c r="AG256"/>
      <c r="AH256"/>
      <c r="AI256"/>
    </row>
    <row r="257" spans="1:39" ht="17" thickBot="1" x14ac:dyDescent="0.25">
      <c r="A257"/>
      <c r="B257" s="170" t="s">
        <v>15</v>
      </c>
      <c r="E257" s="182">
        <f>XIRR(F233:AA233,F22:AA22)</f>
        <v>0.6368719875812533</v>
      </c>
      <c r="M257" s="171"/>
      <c r="AE257" s="215" t="s">
        <v>247</v>
      </c>
      <c r="AF257"/>
      <c r="AG257" s="215" t="s">
        <v>247</v>
      </c>
      <c r="AH257"/>
      <c r="AI257"/>
      <c r="AJ257" s="215" t="s">
        <v>247</v>
      </c>
    </row>
    <row r="258" spans="1:39" x14ac:dyDescent="0.2">
      <c r="A258"/>
      <c r="B258" s="7"/>
      <c r="G258" s="408"/>
      <c r="AE258"/>
      <c r="AF258"/>
      <c r="AG258"/>
      <c r="AH258"/>
      <c r="AI258"/>
    </row>
    <row r="259" spans="1:39" hidden="1" x14ac:dyDescent="0.2">
      <c r="A259"/>
      <c r="B259" s="172" t="s">
        <v>248</v>
      </c>
      <c r="C259" s="173" t="s">
        <v>249</v>
      </c>
      <c r="D259" s="173"/>
      <c r="E259" s="174" t="s">
        <v>250</v>
      </c>
      <c r="AJ259" s="1"/>
      <c r="AK259" s="1"/>
      <c r="AL259" s="1"/>
      <c r="AM259" s="1"/>
    </row>
    <row r="260" spans="1:39" hidden="1" x14ac:dyDescent="0.2">
      <c r="A260"/>
      <c r="B260" s="175">
        <v>0.05</v>
      </c>
      <c r="C260" s="176" t="e">
        <f>NPV(B260,#REF!)+(#REF!+$E$91)</f>
        <v>#REF!</v>
      </c>
      <c r="D260" s="176"/>
      <c r="E260" s="177" t="e">
        <f>(($E$256-C260)+$E$250)/$AB$58</f>
        <v>#REF!</v>
      </c>
      <c r="AJ260" s="1"/>
      <c r="AK260" s="1"/>
      <c r="AL260" s="1"/>
      <c r="AM260" s="1"/>
    </row>
    <row r="261" spans="1:39" hidden="1" x14ac:dyDescent="0.2">
      <c r="A261"/>
      <c r="B261" s="175">
        <v>7.4999999999999997E-2</v>
      </c>
      <c r="C261" s="176" t="e">
        <f>NPV(B261,#REF!)+(#REF!+$E$91)</f>
        <v>#REF!</v>
      </c>
      <c r="D261" s="176"/>
      <c r="E261" s="177" t="e">
        <f>(($E$256-C261)+$E$250)/$AB$58</f>
        <v>#REF!</v>
      </c>
      <c r="AJ261" s="1"/>
      <c r="AK261" s="1"/>
      <c r="AL261" s="1"/>
      <c r="AM261" s="1"/>
    </row>
    <row r="262" spans="1:39" hidden="1" x14ac:dyDescent="0.2">
      <c r="A262"/>
      <c r="B262" s="175">
        <v>0.1</v>
      </c>
      <c r="C262" s="176" t="e">
        <f>NPV(B262,#REF!)+(#REF!+$E$91)</f>
        <v>#REF!</v>
      </c>
      <c r="D262" s="176"/>
      <c r="E262" s="177" t="e">
        <f>(($E$256-C262)+$E$250)/$AB$58</f>
        <v>#REF!</v>
      </c>
      <c r="AJ262" s="1"/>
      <c r="AK262" s="1"/>
      <c r="AL262" s="1"/>
      <c r="AM262" s="1"/>
    </row>
    <row r="263" spans="1:39" s="1" customFormat="1" hidden="1" x14ac:dyDescent="0.2">
      <c r="A263"/>
      <c r="B263" s="175">
        <v>0.125</v>
      </c>
      <c r="C263" s="176" t="e">
        <f>NPV(B263,#REF!)+(#REF!+$E$91)</f>
        <v>#REF!</v>
      </c>
      <c r="D263" s="176"/>
      <c r="E263" s="177" t="e">
        <f>(($E$256-C263)+$E$250)/$AB$58</f>
        <v>#REF!</v>
      </c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</row>
    <row r="264" spans="1:39" s="1" customFormat="1" ht="17" hidden="1" thickBot="1" x14ac:dyDescent="0.25">
      <c r="A264"/>
      <c r="B264" s="178">
        <v>0.15</v>
      </c>
      <c r="C264" s="179" t="e">
        <f>NPV(B264,#REF!)+(#REF!+$E$91)</f>
        <v>#REF!</v>
      </c>
      <c r="D264" s="179"/>
      <c r="E264" s="180" t="e">
        <f>(($E$256-C264)+$E$250)/$AB$58</f>
        <v>#REF!</v>
      </c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</row>
    <row r="265" spans="1:39" s="1" customFormat="1" hidden="1" x14ac:dyDescent="0.2">
      <c r="A265"/>
      <c r="B265" s="29"/>
      <c r="C265" s="29"/>
      <c r="D265" s="29"/>
      <c r="E265" s="181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</row>
    <row r="266" spans="1:39" x14ac:dyDescent="0.2">
      <c r="AJ266" s="1"/>
      <c r="AK266" s="1"/>
    </row>
    <row r="267" spans="1:39" ht="29.25" customHeight="1" x14ac:dyDescent="0.2">
      <c r="AJ267" s="1"/>
      <c r="AK267" s="1"/>
    </row>
    <row r="268" spans="1:39" ht="29.25" customHeight="1" x14ac:dyDescent="0.2">
      <c r="AJ268" s="1"/>
      <c r="AK268" s="1"/>
    </row>
    <row r="269" spans="1:39" ht="29.25" customHeight="1" x14ac:dyDescent="0.2">
      <c r="AJ269" s="1"/>
      <c r="AK269" s="1"/>
    </row>
    <row r="270" spans="1:39" ht="21" x14ac:dyDescent="0.25">
      <c r="B270" s="5" t="str">
        <f>B18</f>
        <v>WEYYAKIN PHASE IV</v>
      </c>
      <c r="E270" s="34"/>
      <c r="F270" s="34"/>
      <c r="G270" s="34"/>
      <c r="H270" s="34"/>
      <c r="I270" s="34"/>
      <c r="J270" s="34"/>
      <c r="K270" s="34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  <c r="AA270" s="34"/>
      <c r="AB270" s="12"/>
      <c r="AJ270" s="1"/>
      <c r="AK270" s="1"/>
    </row>
    <row r="271" spans="1:39" x14ac:dyDescent="0.2">
      <c r="B271" s="8" t="s">
        <v>251</v>
      </c>
      <c r="E271" s="34"/>
      <c r="F271" s="34"/>
      <c r="G271" s="34"/>
      <c r="H271" s="34"/>
      <c r="I271" s="34"/>
      <c r="J271" s="34"/>
      <c r="K271" s="34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  <c r="AA271" s="34"/>
      <c r="AB271" s="12"/>
      <c r="AJ271" s="1"/>
      <c r="AK271" s="1"/>
    </row>
    <row r="272" spans="1:39" s="81" customFormat="1" ht="32.25" customHeight="1" x14ac:dyDescent="0.25">
      <c r="A272" s="106"/>
      <c r="B272" s="79" t="str">
        <f>B62</f>
        <v>SOURCES</v>
      </c>
      <c r="C272" s="79"/>
      <c r="D272" s="79"/>
      <c r="E272" s="80" t="e">
        <f>#REF!</f>
        <v>#REF!</v>
      </c>
      <c r="F272" s="80">
        <f t="shared" ref="F272:R272" si="106">E22</f>
        <v>46023</v>
      </c>
      <c r="G272" s="80">
        <f t="shared" si="106"/>
        <v>46113</v>
      </c>
      <c r="H272" s="80">
        <f t="shared" si="106"/>
        <v>46204</v>
      </c>
      <c r="I272" s="80">
        <f t="shared" si="106"/>
        <v>46296</v>
      </c>
      <c r="J272" s="80">
        <f t="shared" si="106"/>
        <v>46388</v>
      </c>
      <c r="K272" s="80">
        <f t="shared" si="106"/>
        <v>46478</v>
      </c>
      <c r="L272" s="80">
        <f t="shared" si="106"/>
        <v>46569</v>
      </c>
      <c r="M272" s="80">
        <f t="shared" si="106"/>
        <v>46661</v>
      </c>
      <c r="N272" s="80">
        <f t="shared" si="106"/>
        <v>46753</v>
      </c>
      <c r="O272" s="80">
        <f t="shared" si="106"/>
        <v>46844</v>
      </c>
      <c r="P272" s="80">
        <f t="shared" si="106"/>
        <v>46935</v>
      </c>
      <c r="Q272" s="80">
        <f t="shared" si="106"/>
        <v>47027</v>
      </c>
      <c r="R272" s="80">
        <f t="shared" si="106"/>
        <v>47119</v>
      </c>
      <c r="S272" s="80" t="e">
        <f>#REF!</f>
        <v>#REF!</v>
      </c>
      <c r="T272" s="80">
        <f t="shared" ref="T272:AA272" si="107">S22</f>
        <v>47300</v>
      </c>
      <c r="U272" s="80">
        <f t="shared" si="107"/>
        <v>47392</v>
      </c>
      <c r="V272" s="80">
        <f t="shared" si="107"/>
        <v>47484</v>
      </c>
      <c r="W272" s="80">
        <f t="shared" si="107"/>
        <v>47574</v>
      </c>
      <c r="X272" s="80">
        <f t="shared" si="107"/>
        <v>47665</v>
      </c>
      <c r="Y272" s="80">
        <f t="shared" si="107"/>
        <v>47757</v>
      </c>
      <c r="Z272" s="80">
        <f t="shared" si="107"/>
        <v>47849</v>
      </c>
      <c r="AA272" s="80">
        <f t="shared" si="107"/>
        <v>47939</v>
      </c>
      <c r="AB272" s="80" t="s">
        <v>60</v>
      </c>
      <c r="AD272" s="78"/>
      <c r="AE272" s="78" t="s">
        <v>252</v>
      </c>
      <c r="AF272" s="78" t="s">
        <v>253</v>
      </c>
      <c r="AG272" s="78"/>
      <c r="AH272" s="78"/>
      <c r="AI272" s="1"/>
      <c r="AJ272" s="1"/>
      <c r="AK272" s="1"/>
    </row>
    <row r="273" spans="1:37" s="81" customFormat="1" ht="32.25" hidden="1" customHeight="1" x14ac:dyDescent="0.25">
      <c r="A273" s="106"/>
      <c r="B273" s="81" t="str">
        <f>B63</f>
        <v>PURSUIT / DUE DILIGENCE: GP DEVELOPER</v>
      </c>
      <c r="C273" s="82"/>
      <c r="D273" s="82"/>
      <c r="E273" s="83">
        <f t="shared" ref="E273:W273" si="108">E63</f>
        <v>0</v>
      </c>
      <c r="F273" s="83">
        <f t="shared" si="108"/>
        <v>0</v>
      </c>
      <c r="G273" s="83">
        <f t="shared" si="108"/>
        <v>0</v>
      </c>
      <c r="H273" s="83">
        <f t="shared" si="108"/>
        <v>0</v>
      </c>
      <c r="I273" s="83">
        <f t="shared" si="108"/>
        <v>0</v>
      </c>
      <c r="J273" s="83">
        <f t="shared" si="108"/>
        <v>0</v>
      </c>
      <c r="K273" s="83">
        <f t="shared" si="108"/>
        <v>0</v>
      </c>
      <c r="L273" s="83">
        <f t="shared" si="108"/>
        <v>0</v>
      </c>
      <c r="M273" s="83">
        <f t="shared" si="108"/>
        <v>0</v>
      </c>
      <c r="N273" s="83">
        <f t="shared" si="108"/>
        <v>0</v>
      </c>
      <c r="O273" s="83">
        <f t="shared" si="108"/>
        <v>0</v>
      </c>
      <c r="P273" s="83">
        <f t="shared" si="108"/>
        <v>0</v>
      </c>
      <c r="Q273" s="83">
        <f t="shared" si="108"/>
        <v>0</v>
      </c>
      <c r="R273" s="83">
        <f t="shared" si="108"/>
        <v>0</v>
      </c>
      <c r="S273" s="83">
        <f t="shared" si="108"/>
        <v>0</v>
      </c>
      <c r="T273" s="83">
        <f t="shared" si="108"/>
        <v>0</v>
      </c>
      <c r="U273" s="83">
        <f t="shared" si="108"/>
        <v>0</v>
      </c>
      <c r="V273" s="83">
        <f t="shared" si="108"/>
        <v>0</v>
      </c>
      <c r="W273" s="83">
        <f t="shared" si="108"/>
        <v>0</v>
      </c>
      <c r="X273" s="83"/>
      <c r="Y273" s="83"/>
      <c r="Z273" s="83"/>
      <c r="AA273" s="83">
        <f>AA63</f>
        <v>0</v>
      </c>
      <c r="AB273" s="83">
        <f>AB63</f>
        <v>0</v>
      </c>
      <c r="AD273" s="78"/>
      <c r="AE273" s="78"/>
      <c r="AF273" s="78"/>
      <c r="AG273" s="78"/>
      <c r="AH273" s="78"/>
      <c r="AI273" s="1"/>
      <c r="AJ273" s="1"/>
      <c r="AK273" s="1"/>
    </row>
    <row r="274" spans="1:37" s="81" customFormat="1" ht="32.25" hidden="1" customHeight="1" x14ac:dyDescent="0.25">
      <c r="A274" s="106"/>
      <c r="B274" s="81" t="str">
        <f>B64</f>
        <v>LP EQUITY</v>
      </c>
      <c r="C274" s="82"/>
      <c r="D274" s="82"/>
      <c r="E274" s="83">
        <f t="shared" ref="E274:W274" si="109">E64</f>
        <v>0</v>
      </c>
      <c r="F274" s="83"/>
      <c r="G274" s="83">
        <f t="shared" si="109"/>
        <v>0</v>
      </c>
      <c r="H274" s="83">
        <f t="shared" si="109"/>
        <v>0</v>
      </c>
      <c r="I274" s="83">
        <f t="shared" si="109"/>
        <v>0</v>
      </c>
      <c r="J274" s="83">
        <f t="shared" si="109"/>
        <v>0</v>
      </c>
      <c r="K274" s="83">
        <f t="shared" si="109"/>
        <v>0</v>
      </c>
      <c r="L274" s="83">
        <f t="shared" si="109"/>
        <v>0</v>
      </c>
      <c r="M274" s="83">
        <f t="shared" si="109"/>
        <v>0</v>
      </c>
      <c r="N274" s="83">
        <f t="shared" si="109"/>
        <v>0</v>
      </c>
      <c r="O274" s="83">
        <f t="shared" si="109"/>
        <v>0</v>
      </c>
      <c r="P274" s="83">
        <f t="shared" si="109"/>
        <v>0</v>
      </c>
      <c r="Q274" s="83">
        <f t="shared" si="109"/>
        <v>0</v>
      </c>
      <c r="R274" s="83">
        <f t="shared" si="109"/>
        <v>0</v>
      </c>
      <c r="S274" s="83">
        <f t="shared" si="109"/>
        <v>0</v>
      </c>
      <c r="T274" s="83">
        <f t="shared" si="109"/>
        <v>0</v>
      </c>
      <c r="U274" s="83">
        <f t="shared" si="109"/>
        <v>0</v>
      </c>
      <c r="V274" s="83">
        <f t="shared" si="109"/>
        <v>0</v>
      </c>
      <c r="W274" s="83">
        <f t="shared" si="109"/>
        <v>0</v>
      </c>
      <c r="X274" s="83"/>
      <c r="Y274" s="83"/>
      <c r="Z274" s="83"/>
      <c r="AA274" s="83">
        <f>AA64</f>
        <v>0</v>
      </c>
      <c r="AB274" s="83"/>
      <c r="AD274" s="78"/>
      <c r="AE274" s="78"/>
      <c r="AF274" s="78"/>
      <c r="AG274" s="78"/>
      <c r="AH274" s="78"/>
      <c r="AI274" s="1"/>
      <c r="AJ274" s="1"/>
      <c r="AK274" s="1"/>
    </row>
    <row r="275" spans="1:37" s="81" customFormat="1" ht="32.25" customHeight="1" x14ac:dyDescent="0.25">
      <c r="A275" s="106"/>
      <c r="B275" s="81" t="str">
        <f>B72</f>
        <v>EQUITY / PROJECT ACQUISITION</v>
      </c>
      <c r="C275" s="82"/>
      <c r="D275" s="82"/>
      <c r="E275" s="83">
        <f t="shared" ref="E275:AB275" si="110">E72</f>
        <v>0</v>
      </c>
      <c r="F275" s="83">
        <f t="shared" si="110"/>
        <v>15000000</v>
      </c>
      <c r="G275" s="83">
        <f t="shared" si="110"/>
        <v>0</v>
      </c>
      <c r="H275" s="83">
        <f t="shared" si="110"/>
        <v>0</v>
      </c>
      <c r="I275" s="83">
        <f t="shared" si="110"/>
        <v>0</v>
      </c>
      <c r="J275" s="83">
        <f t="shared" si="110"/>
        <v>0</v>
      </c>
      <c r="K275" s="83">
        <f t="shared" si="110"/>
        <v>0</v>
      </c>
      <c r="L275" s="83">
        <f t="shared" si="110"/>
        <v>0</v>
      </c>
      <c r="M275" s="83">
        <f t="shared" si="110"/>
        <v>0</v>
      </c>
      <c r="N275" s="83">
        <f t="shared" si="110"/>
        <v>0</v>
      </c>
      <c r="O275" s="83">
        <f t="shared" si="110"/>
        <v>0</v>
      </c>
      <c r="P275" s="83">
        <f t="shared" si="110"/>
        <v>0</v>
      </c>
      <c r="Q275" s="83">
        <f t="shared" si="110"/>
        <v>0</v>
      </c>
      <c r="R275" s="83">
        <f t="shared" si="110"/>
        <v>0</v>
      </c>
      <c r="S275" s="83">
        <f t="shared" si="110"/>
        <v>0</v>
      </c>
      <c r="T275" s="83">
        <f t="shared" si="110"/>
        <v>0</v>
      </c>
      <c r="U275" s="83">
        <f t="shared" si="110"/>
        <v>0</v>
      </c>
      <c r="V275" s="83">
        <f t="shared" si="110"/>
        <v>0</v>
      </c>
      <c r="W275" s="83">
        <f t="shared" si="110"/>
        <v>0</v>
      </c>
      <c r="X275" s="83">
        <f t="shared" si="110"/>
        <v>0</v>
      </c>
      <c r="Y275" s="83">
        <f t="shared" si="110"/>
        <v>0</v>
      </c>
      <c r="Z275" s="83">
        <f t="shared" si="110"/>
        <v>0</v>
      </c>
      <c r="AA275" s="83">
        <f t="shared" si="110"/>
        <v>0</v>
      </c>
      <c r="AB275" s="83">
        <f t="shared" si="110"/>
        <v>15000000</v>
      </c>
      <c r="AD275" s="78" t="s">
        <v>254</v>
      </c>
      <c r="AE275" s="78" t="s">
        <v>255</v>
      </c>
      <c r="AF275" s="78"/>
      <c r="AG275" s="78"/>
      <c r="AH275" s="78"/>
      <c r="AI275" s="1"/>
      <c r="AJ275" s="1"/>
      <c r="AK275" s="1"/>
    </row>
    <row r="276" spans="1:37" s="81" customFormat="1" ht="32.25" customHeight="1" x14ac:dyDescent="0.25">
      <c r="A276" s="106"/>
      <c r="B276" s="81" t="str">
        <f>B80</f>
        <v>DEBT</v>
      </c>
      <c r="C276" s="82"/>
      <c r="D276" s="82"/>
      <c r="E276" s="83">
        <f t="shared" ref="E276:AB276" si="111">E80</f>
        <v>0</v>
      </c>
      <c r="F276" s="83">
        <f t="shared" si="111"/>
        <v>1170750.95</v>
      </c>
      <c r="G276" s="83">
        <f t="shared" si="111"/>
        <v>1749853.0218750001</v>
      </c>
      <c r="H276" s="83">
        <f t="shared" si="111"/>
        <v>2994899.5</v>
      </c>
      <c r="I276" s="83">
        <f t="shared" si="111"/>
        <v>3765410.8875000002</v>
      </c>
      <c r="J276" s="83">
        <f t="shared" si="111"/>
        <v>3666790.7749999999</v>
      </c>
      <c r="K276" s="83">
        <f t="shared" si="111"/>
        <v>4353872.421875</v>
      </c>
      <c r="L276" s="83">
        <f t="shared" si="111"/>
        <v>3969299.8574999999</v>
      </c>
      <c r="M276" s="83">
        <f t="shared" si="111"/>
        <v>4287651.3081250004</v>
      </c>
      <c r="N276" s="83">
        <f t="shared" si="111"/>
        <v>4391682.80375</v>
      </c>
      <c r="O276" s="83">
        <f t="shared" si="111"/>
        <v>3693536.4524999997</v>
      </c>
      <c r="P276" s="83">
        <f t="shared" si="111"/>
        <v>2605660.151875</v>
      </c>
      <c r="Q276" s="83">
        <f t="shared" si="111"/>
        <v>1521502.6012499998</v>
      </c>
      <c r="R276" s="83">
        <f t="shared" si="111"/>
        <v>514862.5</v>
      </c>
      <c r="S276" s="83">
        <f t="shared" si="111"/>
        <v>0</v>
      </c>
      <c r="T276" s="83">
        <f t="shared" si="111"/>
        <v>0</v>
      </c>
      <c r="U276" s="83">
        <f t="shared" si="111"/>
        <v>0</v>
      </c>
      <c r="V276" s="83">
        <f t="shared" si="111"/>
        <v>0</v>
      </c>
      <c r="W276" s="83">
        <f t="shared" si="111"/>
        <v>0</v>
      </c>
      <c r="X276" s="83">
        <f t="shared" si="111"/>
        <v>0</v>
      </c>
      <c r="Y276" s="83">
        <f t="shared" si="111"/>
        <v>0</v>
      </c>
      <c r="Z276" s="83">
        <f t="shared" si="111"/>
        <v>0</v>
      </c>
      <c r="AA276" s="83">
        <f t="shared" si="111"/>
        <v>0</v>
      </c>
      <c r="AB276" s="83">
        <f t="shared" si="111"/>
        <v>38685773.231249996</v>
      </c>
      <c r="AD276" s="78" t="s">
        <v>100</v>
      </c>
      <c r="AE276" s="385" t="s">
        <v>256</v>
      </c>
      <c r="AF276" s="385" t="s">
        <v>257</v>
      </c>
      <c r="AG276" s="78"/>
      <c r="AH276" s="78"/>
      <c r="AI276" s="1"/>
      <c r="AJ276" s="1"/>
      <c r="AK276" s="1"/>
    </row>
    <row r="277" spans="1:37" s="81" customFormat="1" ht="32.25" hidden="1" customHeight="1" x14ac:dyDescent="0.25">
      <c r="A277" s="106"/>
      <c r="C277" s="82"/>
      <c r="D277" s="82"/>
      <c r="E277" s="83"/>
      <c r="F277" s="83"/>
      <c r="G277" s="83"/>
      <c r="H277" s="83"/>
      <c r="I277" s="83"/>
      <c r="J277" s="83"/>
      <c r="K277" s="83"/>
      <c r="L277" s="83"/>
      <c r="M277" s="83"/>
      <c r="N277" s="83"/>
      <c r="O277" s="83"/>
      <c r="P277" s="83"/>
      <c r="Q277" s="83"/>
      <c r="R277" s="83"/>
      <c r="S277" s="83"/>
      <c r="T277" s="83"/>
      <c r="U277" s="83"/>
      <c r="V277" s="83"/>
      <c r="W277" s="83"/>
      <c r="X277" s="83"/>
      <c r="Y277" s="83"/>
      <c r="Z277" s="83"/>
      <c r="AA277" s="83"/>
      <c r="AB277" s="83"/>
      <c r="AD277" s="78" t="s">
        <v>258</v>
      </c>
      <c r="AE277" s="385">
        <v>1950</v>
      </c>
      <c r="AF277" s="385">
        <v>2000</v>
      </c>
      <c r="AG277" s="78"/>
      <c r="AH277" s="78"/>
      <c r="AI277" s="1"/>
      <c r="AJ277" s="1"/>
      <c r="AK277" s="1"/>
    </row>
    <row r="278" spans="1:37" s="81" customFormat="1" ht="32.25" customHeight="1" x14ac:dyDescent="0.25">
      <c r="A278" s="106"/>
      <c r="B278" s="81" t="str">
        <f>B87</f>
        <v>PRESALE REVENUES</v>
      </c>
      <c r="C278" s="82"/>
      <c r="D278" s="82"/>
      <c r="E278" s="83">
        <f t="shared" ref="E278:AB278" si="112">E87</f>
        <v>0</v>
      </c>
      <c r="F278" s="83">
        <f t="shared" si="112"/>
        <v>0</v>
      </c>
      <c r="G278" s="83">
        <f t="shared" si="112"/>
        <v>3138910</v>
      </c>
      <c r="H278" s="83">
        <f t="shared" si="112"/>
        <v>3915117.5</v>
      </c>
      <c r="I278" s="83">
        <f t="shared" si="112"/>
        <v>5129208.625</v>
      </c>
      <c r="J278" s="83">
        <f t="shared" si="112"/>
        <v>1966276.21875</v>
      </c>
      <c r="K278" s="83">
        <f t="shared" si="112"/>
        <v>4822515.764472656</v>
      </c>
      <c r="L278" s="83">
        <f t="shared" si="112"/>
        <v>7877725.3600488268</v>
      </c>
      <c r="M278" s="83">
        <f t="shared" si="112"/>
        <v>6830401.6667227196</v>
      </c>
      <c r="N278" s="83">
        <f t="shared" si="112"/>
        <v>3544805.15537056</v>
      </c>
      <c r="O278" s="83">
        <f t="shared" si="112"/>
        <v>1397010.8477491387</v>
      </c>
      <c r="P278" s="83">
        <f t="shared" si="112"/>
        <v>0</v>
      </c>
      <c r="Q278" s="83">
        <f t="shared" si="112"/>
        <v>0</v>
      </c>
      <c r="R278" s="83">
        <f t="shared" si="112"/>
        <v>0</v>
      </c>
      <c r="S278" s="83">
        <f t="shared" si="112"/>
        <v>0</v>
      </c>
      <c r="T278" s="83">
        <f t="shared" si="112"/>
        <v>0</v>
      </c>
      <c r="U278" s="83">
        <f t="shared" si="112"/>
        <v>0</v>
      </c>
      <c r="V278" s="83">
        <f t="shared" si="112"/>
        <v>0</v>
      </c>
      <c r="W278" s="83">
        <f t="shared" si="112"/>
        <v>0</v>
      </c>
      <c r="X278" s="83">
        <f t="shared" si="112"/>
        <v>0</v>
      </c>
      <c r="Y278" s="83">
        <f t="shared" si="112"/>
        <v>0</v>
      </c>
      <c r="Z278" s="83">
        <f t="shared" si="112"/>
        <v>0</v>
      </c>
      <c r="AA278" s="83">
        <f t="shared" si="112"/>
        <v>0</v>
      </c>
      <c r="AB278" s="83">
        <f t="shared" si="112"/>
        <v>38621971.138113901</v>
      </c>
      <c r="AD278" s="78"/>
      <c r="AE278" s="78"/>
      <c r="AF278" s="78"/>
      <c r="AG278" s="78"/>
      <c r="AH278" s="78"/>
      <c r="AI278" s="1"/>
      <c r="AJ278" s="1"/>
      <c r="AK278" s="1"/>
    </row>
    <row r="279" spans="1:37" s="81" customFormat="1" ht="32.25" customHeight="1" x14ac:dyDescent="0.25">
      <c r="A279" s="106"/>
      <c r="B279" s="81" t="str">
        <f>B89</f>
        <v>UNIT SALES</v>
      </c>
      <c r="C279" s="82"/>
      <c r="D279" s="82"/>
      <c r="E279" s="83">
        <f t="shared" ref="E279:R279" si="113">E88+E89</f>
        <v>0</v>
      </c>
      <c r="F279" s="83">
        <f t="shared" si="113"/>
        <v>0</v>
      </c>
      <c r="G279" s="83">
        <f t="shared" si="113"/>
        <v>0</v>
      </c>
      <c r="H279" s="83">
        <f t="shared" si="113"/>
        <v>0</v>
      </c>
      <c r="I279" s="83">
        <f t="shared" si="113"/>
        <v>0</v>
      </c>
      <c r="J279" s="83">
        <f t="shared" si="113"/>
        <v>0</v>
      </c>
      <c r="K279" s="83">
        <f t="shared" si="113"/>
        <v>8289375</v>
      </c>
      <c r="L279" s="83">
        <f t="shared" si="113"/>
        <v>12165526.71875</v>
      </c>
      <c r="M279" s="83">
        <f t="shared" si="113"/>
        <v>12334677.602539062</v>
      </c>
      <c r="N279" s="83">
        <f t="shared" si="113"/>
        <v>2773329.890625</v>
      </c>
      <c r="O279" s="83">
        <f t="shared" si="113"/>
        <v>0</v>
      </c>
      <c r="P279" s="83">
        <f t="shared" si="113"/>
        <v>21372098.186694223</v>
      </c>
      <c r="Q279" s="83">
        <f t="shared" si="113"/>
        <v>15339682.642779594</v>
      </c>
      <c r="R279" s="83">
        <f t="shared" si="113"/>
        <v>12700195.078536304</v>
      </c>
      <c r="S279" s="83">
        <f t="shared" ref="S279:AA279" si="114">S89</f>
        <v>0</v>
      </c>
      <c r="T279" s="83">
        <f t="shared" si="114"/>
        <v>0</v>
      </c>
      <c r="U279" s="83">
        <f t="shared" si="114"/>
        <v>0</v>
      </c>
      <c r="V279" s="83">
        <f t="shared" si="114"/>
        <v>0</v>
      </c>
      <c r="W279" s="83">
        <f t="shared" si="114"/>
        <v>0</v>
      </c>
      <c r="X279" s="83">
        <f t="shared" si="114"/>
        <v>0</v>
      </c>
      <c r="Y279" s="83">
        <f t="shared" si="114"/>
        <v>0</v>
      </c>
      <c r="Z279" s="83">
        <f t="shared" si="114"/>
        <v>0</v>
      </c>
      <c r="AA279" s="83">
        <f t="shared" si="114"/>
        <v>0</v>
      </c>
      <c r="AB279" s="83">
        <f>AB88+AB89</f>
        <v>84974885.119924173</v>
      </c>
      <c r="AD279" s="78" t="s">
        <v>101</v>
      </c>
      <c r="AE279" s="78" t="s">
        <v>255</v>
      </c>
      <c r="AF279" s="78" t="s">
        <v>259</v>
      </c>
      <c r="AG279" s="78"/>
      <c r="AH279" s="78"/>
      <c r="AI279" s="1"/>
      <c r="AJ279" s="1"/>
      <c r="AK279" s="1"/>
    </row>
    <row r="280" spans="1:37" s="81" customFormat="1" ht="32.25" customHeight="1" x14ac:dyDescent="0.25">
      <c r="A280" s="106"/>
      <c r="B280" s="366" t="str">
        <f>B90</f>
        <v>TOTAL SOURCES</v>
      </c>
      <c r="C280" s="367"/>
      <c r="D280" s="367"/>
      <c r="E280" s="368">
        <f t="shared" ref="E280:AB280" si="115">E90</f>
        <v>0</v>
      </c>
      <c r="F280" s="368">
        <f t="shared" si="115"/>
        <v>16170750.949999999</v>
      </c>
      <c r="G280" s="368">
        <f t="shared" si="115"/>
        <v>4888763.0218749996</v>
      </c>
      <c r="H280" s="368">
        <f t="shared" si="115"/>
        <v>6910017</v>
      </c>
      <c r="I280" s="368">
        <f t="shared" si="115"/>
        <v>8894619.5124999993</v>
      </c>
      <c r="J280" s="368">
        <f t="shared" si="115"/>
        <v>5633066.9937500004</v>
      </c>
      <c r="K280" s="368">
        <f t="shared" si="115"/>
        <v>17465763.186347656</v>
      </c>
      <c r="L280" s="368">
        <f t="shared" si="115"/>
        <v>24012551.936298825</v>
      </c>
      <c r="M280" s="368">
        <f t="shared" si="115"/>
        <v>23452730.577386782</v>
      </c>
      <c r="N280" s="368">
        <f t="shared" si="115"/>
        <v>10709817.84974556</v>
      </c>
      <c r="O280" s="368">
        <f t="shared" si="115"/>
        <v>5090547.3002491388</v>
      </c>
      <c r="P280" s="368">
        <f t="shared" si="115"/>
        <v>23977758.338569224</v>
      </c>
      <c r="Q280" s="368">
        <f t="shared" si="115"/>
        <v>16861185.244029596</v>
      </c>
      <c r="R280" s="368">
        <f t="shared" si="115"/>
        <v>13215057.578536304</v>
      </c>
      <c r="S280" s="368">
        <f t="shared" si="115"/>
        <v>0</v>
      </c>
      <c r="T280" s="368">
        <f t="shared" si="115"/>
        <v>0</v>
      </c>
      <c r="U280" s="368">
        <f t="shared" si="115"/>
        <v>0</v>
      </c>
      <c r="V280" s="368">
        <f t="shared" si="115"/>
        <v>0</v>
      </c>
      <c r="W280" s="368">
        <f t="shared" si="115"/>
        <v>0</v>
      </c>
      <c r="X280" s="368">
        <f t="shared" si="115"/>
        <v>0</v>
      </c>
      <c r="Y280" s="368">
        <f t="shared" si="115"/>
        <v>0</v>
      </c>
      <c r="Z280" s="368">
        <f t="shared" si="115"/>
        <v>0</v>
      </c>
      <c r="AA280" s="368">
        <f t="shared" si="115"/>
        <v>0</v>
      </c>
      <c r="AB280" s="380">
        <f t="shared" si="115"/>
        <v>177282629.48928809</v>
      </c>
      <c r="AD280" s="78" t="s">
        <v>260</v>
      </c>
      <c r="AE280" s="78" t="s">
        <v>261</v>
      </c>
      <c r="AF280" s="78" t="s">
        <v>262</v>
      </c>
      <c r="AG280" s="78"/>
      <c r="AH280" s="78"/>
      <c r="AI280" s="1"/>
      <c r="AJ280" s="1"/>
      <c r="AK280" s="1"/>
    </row>
    <row r="281" spans="1:37" s="81" customFormat="1" ht="32.25" customHeight="1" x14ac:dyDescent="0.25">
      <c r="A281" s="106"/>
      <c r="C281" s="82"/>
      <c r="D281" s="82"/>
      <c r="E281" s="87"/>
      <c r="F281" s="87"/>
      <c r="G281" s="87"/>
      <c r="H281" s="87"/>
      <c r="I281" s="87"/>
      <c r="J281" s="87"/>
      <c r="K281" s="87"/>
      <c r="L281" s="87"/>
      <c r="M281" s="87"/>
      <c r="N281" s="87"/>
      <c r="O281" s="87"/>
      <c r="P281" s="87"/>
      <c r="Q281" s="87"/>
      <c r="R281" s="87"/>
      <c r="S281" s="87"/>
      <c r="T281" s="87"/>
      <c r="U281" s="87"/>
      <c r="V281" s="87"/>
      <c r="W281" s="87"/>
      <c r="X281" s="87"/>
      <c r="Y281" s="87"/>
      <c r="Z281" s="87"/>
      <c r="AA281" s="87"/>
      <c r="AB281" s="87"/>
      <c r="AD281" s="78"/>
      <c r="AE281" s="78"/>
      <c r="AF281" s="78"/>
      <c r="AG281" s="78"/>
      <c r="AH281" s="78"/>
      <c r="AI281" s="1"/>
      <c r="AJ281" s="1"/>
      <c r="AK281" s="1"/>
    </row>
    <row r="282" spans="1:37" s="81" customFormat="1" ht="32.25" customHeight="1" x14ac:dyDescent="0.25">
      <c r="A282" s="106"/>
      <c r="B282" s="79" t="str">
        <f>B92</f>
        <v>USES</v>
      </c>
      <c r="C282" s="88"/>
      <c r="D282" s="88"/>
      <c r="E282" s="89" t="e">
        <f>#REF!</f>
        <v>#REF!</v>
      </c>
      <c r="F282" s="89">
        <f t="shared" ref="F282:R282" si="116">E22</f>
        <v>46023</v>
      </c>
      <c r="G282" s="89">
        <f t="shared" si="116"/>
        <v>46113</v>
      </c>
      <c r="H282" s="89">
        <f t="shared" si="116"/>
        <v>46204</v>
      </c>
      <c r="I282" s="89">
        <f t="shared" si="116"/>
        <v>46296</v>
      </c>
      <c r="J282" s="89">
        <f t="shared" si="116"/>
        <v>46388</v>
      </c>
      <c r="K282" s="89">
        <f t="shared" si="116"/>
        <v>46478</v>
      </c>
      <c r="L282" s="89">
        <f t="shared" si="116"/>
        <v>46569</v>
      </c>
      <c r="M282" s="89">
        <f t="shared" si="116"/>
        <v>46661</v>
      </c>
      <c r="N282" s="89">
        <f t="shared" si="116"/>
        <v>46753</v>
      </c>
      <c r="O282" s="89">
        <f t="shared" si="116"/>
        <v>46844</v>
      </c>
      <c r="P282" s="89">
        <f t="shared" si="116"/>
        <v>46935</v>
      </c>
      <c r="Q282" s="89">
        <f t="shared" si="116"/>
        <v>47027</v>
      </c>
      <c r="R282" s="89">
        <f t="shared" si="116"/>
        <v>47119</v>
      </c>
      <c r="S282" s="89" t="e">
        <f>#REF!</f>
        <v>#REF!</v>
      </c>
      <c r="T282" s="89">
        <f t="shared" ref="T282:AA282" si="117">S22</f>
        <v>47300</v>
      </c>
      <c r="U282" s="89">
        <f t="shared" si="117"/>
        <v>47392</v>
      </c>
      <c r="V282" s="89">
        <f t="shared" si="117"/>
        <v>47484</v>
      </c>
      <c r="W282" s="89">
        <f t="shared" si="117"/>
        <v>47574</v>
      </c>
      <c r="X282" s="89">
        <f t="shared" si="117"/>
        <v>47665</v>
      </c>
      <c r="Y282" s="89">
        <f t="shared" si="117"/>
        <v>47757</v>
      </c>
      <c r="Z282" s="89">
        <f t="shared" si="117"/>
        <v>47849</v>
      </c>
      <c r="AA282" s="89">
        <f t="shared" si="117"/>
        <v>47939</v>
      </c>
      <c r="AB282" s="89" t="s">
        <v>60</v>
      </c>
      <c r="AD282" s="78"/>
      <c r="AE282" s="78"/>
      <c r="AF282" s="78"/>
      <c r="AG282" s="78"/>
      <c r="AH282" s="78"/>
      <c r="AI282" s="1"/>
      <c r="AJ282" s="1"/>
      <c r="AK282" s="1"/>
    </row>
    <row r="283" spans="1:37" s="81" customFormat="1" ht="32.25" customHeight="1" x14ac:dyDescent="0.25">
      <c r="A283" s="106"/>
      <c r="B283" s="81" t="str">
        <f>B98</f>
        <v>LAND &amp; PROJECT ACQUISITION</v>
      </c>
      <c r="C283" s="82"/>
      <c r="D283" s="82"/>
      <c r="E283" s="83">
        <f t="shared" ref="E283:AB283" si="118">E98</f>
        <v>0</v>
      </c>
      <c r="F283" s="83">
        <f t="shared" si="118"/>
        <v>14161000</v>
      </c>
      <c r="G283" s="83">
        <f t="shared" si="118"/>
        <v>0</v>
      </c>
      <c r="H283" s="83">
        <f t="shared" si="118"/>
        <v>0</v>
      </c>
      <c r="I283" s="83">
        <f t="shared" si="118"/>
        <v>0</v>
      </c>
      <c r="J283" s="83">
        <f t="shared" si="118"/>
        <v>0</v>
      </c>
      <c r="K283" s="83">
        <f t="shared" si="118"/>
        <v>0</v>
      </c>
      <c r="L283" s="83">
        <f t="shared" si="118"/>
        <v>0</v>
      </c>
      <c r="M283" s="83">
        <f t="shared" si="118"/>
        <v>0</v>
      </c>
      <c r="N283" s="83">
        <f t="shared" si="118"/>
        <v>0</v>
      </c>
      <c r="O283" s="83">
        <f t="shared" si="118"/>
        <v>0</v>
      </c>
      <c r="P283" s="83">
        <f t="shared" si="118"/>
        <v>0</v>
      </c>
      <c r="Q283" s="83">
        <f t="shared" si="118"/>
        <v>0</v>
      </c>
      <c r="R283" s="83">
        <f t="shared" si="118"/>
        <v>0</v>
      </c>
      <c r="S283" s="83">
        <f t="shared" si="118"/>
        <v>0</v>
      </c>
      <c r="T283" s="83">
        <f t="shared" si="118"/>
        <v>0</v>
      </c>
      <c r="U283" s="83">
        <f t="shared" si="118"/>
        <v>0</v>
      </c>
      <c r="V283" s="83">
        <f t="shared" si="118"/>
        <v>0</v>
      </c>
      <c r="W283" s="83">
        <f t="shared" si="118"/>
        <v>0</v>
      </c>
      <c r="X283" s="83">
        <f t="shared" si="118"/>
        <v>0</v>
      </c>
      <c r="Y283" s="83">
        <f t="shared" si="118"/>
        <v>0</v>
      </c>
      <c r="Z283" s="83">
        <f t="shared" si="118"/>
        <v>0</v>
      </c>
      <c r="AA283" s="83">
        <f t="shared" si="118"/>
        <v>0</v>
      </c>
      <c r="AB283" s="83">
        <f t="shared" si="118"/>
        <v>14161000</v>
      </c>
      <c r="AD283" s="78"/>
      <c r="AE283" s="78"/>
      <c r="AF283" s="78"/>
      <c r="AG283" s="78"/>
      <c r="AH283" s="78"/>
      <c r="AI283" s="1"/>
      <c r="AJ283" s="1"/>
      <c r="AK283" s="1"/>
    </row>
    <row r="284" spans="1:37" s="81" customFormat="1" ht="32.25" hidden="1" customHeight="1" x14ac:dyDescent="0.25">
      <c r="A284" s="106"/>
      <c r="B284" s="81" t="str">
        <f>B103</f>
        <v>AMENITY - USE OF DEBT/EQUITY</v>
      </c>
      <c r="C284" s="82"/>
      <c r="D284" s="82"/>
      <c r="E284" s="83">
        <f t="shared" ref="E284:AB284" si="119">E103</f>
        <v>0</v>
      </c>
      <c r="F284" s="83">
        <f t="shared" si="119"/>
        <v>0</v>
      </c>
      <c r="G284" s="83">
        <f t="shared" si="119"/>
        <v>0</v>
      </c>
      <c r="H284" s="83">
        <f t="shared" si="119"/>
        <v>0</v>
      </c>
      <c r="I284" s="83">
        <f t="shared" si="119"/>
        <v>0</v>
      </c>
      <c r="J284" s="83">
        <f t="shared" si="119"/>
        <v>0</v>
      </c>
      <c r="K284" s="83">
        <f t="shared" si="119"/>
        <v>0</v>
      </c>
      <c r="L284" s="83">
        <f t="shared" si="119"/>
        <v>0</v>
      </c>
      <c r="M284" s="83">
        <f t="shared" si="119"/>
        <v>0</v>
      </c>
      <c r="N284" s="83">
        <f t="shared" si="119"/>
        <v>0</v>
      </c>
      <c r="O284" s="83">
        <f t="shared" si="119"/>
        <v>0</v>
      </c>
      <c r="P284" s="83">
        <f t="shared" si="119"/>
        <v>0</v>
      </c>
      <c r="Q284" s="83">
        <f t="shared" si="119"/>
        <v>0</v>
      </c>
      <c r="R284" s="83">
        <f t="shared" si="119"/>
        <v>0</v>
      </c>
      <c r="S284" s="83">
        <f t="shared" si="119"/>
        <v>0</v>
      </c>
      <c r="T284" s="83">
        <f t="shared" si="119"/>
        <v>0</v>
      </c>
      <c r="U284" s="83">
        <f t="shared" si="119"/>
        <v>0</v>
      </c>
      <c r="V284" s="83">
        <f t="shared" si="119"/>
        <v>0</v>
      </c>
      <c r="W284" s="83">
        <f t="shared" si="119"/>
        <v>0</v>
      </c>
      <c r="X284" s="83">
        <f t="shared" si="119"/>
        <v>0</v>
      </c>
      <c r="Y284" s="83">
        <f t="shared" si="119"/>
        <v>0</v>
      </c>
      <c r="Z284" s="83">
        <f t="shared" si="119"/>
        <v>0</v>
      </c>
      <c r="AA284" s="83">
        <f t="shared" si="119"/>
        <v>0</v>
      </c>
      <c r="AB284" s="83">
        <f t="shared" si="119"/>
        <v>0</v>
      </c>
      <c r="AD284" s="78"/>
      <c r="AE284" s="78"/>
      <c r="AF284" s="78"/>
      <c r="AG284" s="78"/>
      <c r="AH284" s="78"/>
      <c r="AI284" s="1"/>
      <c r="AJ284" s="1"/>
      <c r="AK284" s="1"/>
    </row>
    <row r="285" spans="1:37" s="81" customFormat="1" ht="32.25" customHeight="1" x14ac:dyDescent="0.25">
      <c r="A285" s="106"/>
      <c r="B285" s="81" t="str">
        <f>B141</f>
        <v>HARD COSTS - SITE &amp; INFRASTRUCTURE</v>
      </c>
      <c r="C285" s="82"/>
      <c r="D285" s="82"/>
      <c r="E285" s="83">
        <f t="shared" ref="E285:AB285" si="120">E141</f>
        <v>0</v>
      </c>
      <c r="F285" s="83">
        <f t="shared" si="120"/>
        <v>0</v>
      </c>
      <c r="G285" s="83">
        <f t="shared" si="120"/>
        <v>0</v>
      </c>
      <c r="H285" s="83">
        <f t="shared" si="120"/>
        <v>411625</v>
      </c>
      <c r="I285" s="83">
        <f t="shared" si="120"/>
        <v>411682.8125</v>
      </c>
      <c r="J285" s="83">
        <f t="shared" si="120"/>
        <v>0</v>
      </c>
      <c r="K285" s="83">
        <f t="shared" si="120"/>
        <v>0</v>
      </c>
      <c r="L285" s="83">
        <f t="shared" si="120"/>
        <v>0</v>
      </c>
      <c r="M285" s="83">
        <f t="shared" si="120"/>
        <v>0</v>
      </c>
      <c r="N285" s="83">
        <f t="shared" si="120"/>
        <v>0</v>
      </c>
      <c r="O285" s="83">
        <f t="shared" si="120"/>
        <v>0</v>
      </c>
      <c r="P285" s="83">
        <f t="shared" si="120"/>
        <v>0</v>
      </c>
      <c r="Q285" s="83">
        <f t="shared" si="120"/>
        <v>0</v>
      </c>
      <c r="R285" s="83">
        <f t="shared" si="120"/>
        <v>0</v>
      </c>
      <c r="S285" s="83">
        <f t="shared" si="120"/>
        <v>0</v>
      </c>
      <c r="T285" s="83">
        <f t="shared" si="120"/>
        <v>0</v>
      </c>
      <c r="U285" s="83">
        <f t="shared" si="120"/>
        <v>0</v>
      </c>
      <c r="V285" s="83">
        <f t="shared" si="120"/>
        <v>0</v>
      </c>
      <c r="W285" s="83">
        <f t="shared" si="120"/>
        <v>0</v>
      </c>
      <c r="X285" s="83">
        <f t="shared" si="120"/>
        <v>0</v>
      </c>
      <c r="Y285" s="83">
        <f t="shared" si="120"/>
        <v>0</v>
      </c>
      <c r="Z285" s="83">
        <f t="shared" si="120"/>
        <v>0</v>
      </c>
      <c r="AA285" s="83">
        <f t="shared" si="120"/>
        <v>0</v>
      </c>
      <c r="AB285" s="83">
        <f t="shared" si="120"/>
        <v>823307.8125</v>
      </c>
      <c r="AD285" s="78"/>
      <c r="AE285" s="78"/>
      <c r="AF285" s="78"/>
      <c r="AG285" s="78"/>
      <c r="AH285" s="78"/>
      <c r="AI285" s="1"/>
      <c r="AJ285" s="1"/>
      <c r="AK285" s="1"/>
    </row>
    <row r="286" spans="1:37" s="81" customFormat="1" ht="32.25" customHeight="1" x14ac:dyDescent="0.25">
      <c r="A286" s="106"/>
      <c r="B286" s="81" t="str">
        <f>B155</f>
        <v>HARD COSTS - HOMES</v>
      </c>
      <c r="C286" s="82"/>
      <c r="D286" s="82"/>
      <c r="E286" s="83">
        <f t="shared" ref="E286:AB286" si="121">E155</f>
        <v>0</v>
      </c>
      <c r="F286" s="83">
        <f t="shared" si="121"/>
        <v>667087.28125</v>
      </c>
      <c r="G286" s="83">
        <f t="shared" si="121"/>
        <v>1831712.177734375</v>
      </c>
      <c r="H286" s="83">
        <f t="shared" si="121"/>
        <v>3645797.0494873049</v>
      </c>
      <c r="I286" s="83">
        <f t="shared" si="121"/>
        <v>5332570.9951498415</v>
      </c>
      <c r="J286" s="83">
        <f t="shared" si="121"/>
        <v>5890148.3460331233</v>
      </c>
      <c r="K286" s="83">
        <f t="shared" si="121"/>
        <v>6585774.6660441644</v>
      </c>
      <c r="L286" s="83">
        <f t="shared" si="121"/>
        <v>6575620.5419193022</v>
      </c>
      <c r="M286" s="83">
        <f t="shared" si="121"/>
        <v>8207317.6188833667</v>
      </c>
      <c r="N286" s="83">
        <f t="shared" si="121"/>
        <v>8153536.1952360421</v>
      </c>
      <c r="O286" s="83">
        <f t="shared" si="121"/>
        <v>7222362.6008779509</v>
      </c>
      <c r="P286" s="83">
        <f t="shared" si="121"/>
        <v>5025210.2344640996</v>
      </c>
      <c r="Q286" s="83">
        <f t="shared" si="121"/>
        <v>2625261.2337901765</v>
      </c>
      <c r="R286" s="83">
        <f t="shared" si="121"/>
        <v>936132.77089112718</v>
      </c>
      <c r="S286" s="83">
        <f t="shared" si="121"/>
        <v>0</v>
      </c>
      <c r="T286" s="83">
        <f t="shared" si="121"/>
        <v>0</v>
      </c>
      <c r="U286" s="83">
        <f t="shared" si="121"/>
        <v>0</v>
      </c>
      <c r="V286" s="83">
        <f t="shared" si="121"/>
        <v>0</v>
      </c>
      <c r="W286" s="83">
        <f t="shared" si="121"/>
        <v>0</v>
      </c>
      <c r="X286" s="83">
        <f t="shared" si="121"/>
        <v>0</v>
      </c>
      <c r="Y286" s="83">
        <f t="shared" si="121"/>
        <v>0</v>
      </c>
      <c r="Z286" s="83">
        <f t="shared" si="121"/>
        <v>0</v>
      </c>
      <c r="AA286" s="83">
        <f t="shared" si="121"/>
        <v>0</v>
      </c>
      <c r="AB286" s="83">
        <f t="shared" si="121"/>
        <v>62698531.711760871</v>
      </c>
      <c r="AD286" s="78"/>
      <c r="AE286" s="78"/>
      <c r="AF286" s="78"/>
      <c r="AG286" s="78"/>
      <c r="AH286" s="78"/>
      <c r="AI286" s="1"/>
      <c r="AJ286" s="1"/>
      <c r="AK286" s="1"/>
    </row>
    <row r="287" spans="1:37" s="81" customFormat="1" ht="32.25" customHeight="1" x14ac:dyDescent="0.25">
      <c r="A287" s="106"/>
      <c r="B287" s="81" t="str">
        <f>B164</f>
        <v>SOFT COSTS PROFESSIONALS - SITE &amp; INFRA</v>
      </c>
      <c r="C287" s="82"/>
      <c r="D287" s="82"/>
      <c r="E287" s="83">
        <f t="shared" ref="E287:AB287" si="122">E164</f>
        <v>0</v>
      </c>
      <c r="F287" s="83">
        <f t="shared" si="122"/>
        <v>79404.5751953125</v>
      </c>
      <c r="G287" s="83">
        <f t="shared" si="122"/>
        <v>79404.5751953125</v>
      </c>
      <c r="H287" s="83">
        <f t="shared" si="122"/>
        <v>7000</v>
      </c>
      <c r="I287" s="83">
        <f t="shared" si="122"/>
        <v>1312.5</v>
      </c>
      <c r="J287" s="83">
        <f t="shared" si="122"/>
        <v>1312.5</v>
      </c>
      <c r="K287" s="83">
        <f t="shared" si="122"/>
        <v>1312.5</v>
      </c>
      <c r="L287" s="83">
        <f t="shared" si="122"/>
        <v>1312.5</v>
      </c>
      <c r="M287" s="83">
        <f t="shared" si="122"/>
        <v>1312.5</v>
      </c>
      <c r="N287" s="83">
        <f t="shared" si="122"/>
        <v>1312.5</v>
      </c>
      <c r="O287" s="83">
        <f t="shared" si="122"/>
        <v>1312.5</v>
      </c>
      <c r="P287" s="83">
        <f t="shared" si="122"/>
        <v>1312.5</v>
      </c>
      <c r="Q287" s="83">
        <f t="shared" si="122"/>
        <v>1312.5</v>
      </c>
      <c r="R287" s="83">
        <f t="shared" si="122"/>
        <v>1312.5</v>
      </c>
      <c r="S287" s="83">
        <f t="shared" si="122"/>
        <v>0</v>
      </c>
      <c r="T287" s="83">
        <f t="shared" si="122"/>
        <v>0</v>
      </c>
      <c r="U287" s="83">
        <f t="shared" si="122"/>
        <v>0</v>
      </c>
      <c r="V287" s="83">
        <f t="shared" si="122"/>
        <v>0</v>
      </c>
      <c r="W287" s="83">
        <f t="shared" si="122"/>
        <v>0</v>
      </c>
      <c r="X287" s="83">
        <f t="shared" si="122"/>
        <v>0</v>
      </c>
      <c r="Y287" s="83">
        <f t="shared" si="122"/>
        <v>0</v>
      </c>
      <c r="Z287" s="83">
        <f t="shared" si="122"/>
        <v>0</v>
      </c>
      <c r="AA287" s="83">
        <f t="shared" si="122"/>
        <v>0</v>
      </c>
      <c r="AB287" s="83">
        <f t="shared" si="122"/>
        <v>178934.150390625</v>
      </c>
      <c r="AD287" s="78"/>
      <c r="AE287" s="78"/>
      <c r="AF287" s="78"/>
      <c r="AG287" s="78"/>
      <c r="AH287" s="78"/>
      <c r="AI287" s="1"/>
      <c r="AJ287" s="1"/>
      <c r="AK287" s="1"/>
    </row>
    <row r="288" spans="1:37" s="81" customFormat="1" ht="32.25" customHeight="1" x14ac:dyDescent="0.25">
      <c r="A288" s="106"/>
      <c r="B288" s="81" t="str">
        <f>B187</f>
        <v>SOFT COSTS PROFESSIONALS - HOMES</v>
      </c>
      <c r="C288" s="82"/>
      <c r="D288" s="82"/>
      <c r="E288" s="83">
        <f t="shared" ref="E288:AB288" si="123">E187</f>
        <v>0</v>
      </c>
      <c r="F288" s="83">
        <f t="shared" si="123"/>
        <v>533913.44999999995</v>
      </c>
      <c r="G288" s="83">
        <f t="shared" si="123"/>
        <v>410446.77187499998</v>
      </c>
      <c r="H288" s="83">
        <f t="shared" si="123"/>
        <v>125412</v>
      </c>
      <c r="I288" s="83">
        <f t="shared" si="123"/>
        <v>103878.075</v>
      </c>
      <c r="J288" s="83">
        <f t="shared" si="123"/>
        <v>88678.274999999994</v>
      </c>
      <c r="K288" s="83">
        <f t="shared" si="123"/>
        <v>301984.921875</v>
      </c>
      <c r="L288" s="83">
        <f t="shared" si="123"/>
        <v>321003.50624999998</v>
      </c>
      <c r="M288" s="83">
        <f t="shared" si="123"/>
        <v>282959.90625</v>
      </c>
      <c r="N288" s="83">
        <f t="shared" si="123"/>
        <v>32550</v>
      </c>
      <c r="O288" s="83">
        <f t="shared" si="123"/>
        <v>34387.5</v>
      </c>
      <c r="P288" s="83">
        <f t="shared" si="123"/>
        <v>32550</v>
      </c>
      <c r="Q288" s="83">
        <f t="shared" si="123"/>
        <v>30712.5</v>
      </c>
      <c r="R288" s="83">
        <f t="shared" si="123"/>
        <v>30712.5</v>
      </c>
      <c r="S288" s="83">
        <f t="shared" si="123"/>
        <v>0</v>
      </c>
      <c r="T288" s="83">
        <f t="shared" si="123"/>
        <v>0</v>
      </c>
      <c r="U288" s="83">
        <f t="shared" si="123"/>
        <v>0</v>
      </c>
      <c r="V288" s="83">
        <f t="shared" si="123"/>
        <v>0</v>
      </c>
      <c r="W288" s="83">
        <f t="shared" si="123"/>
        <v>0</v>
      </c>
      <c r="X288" s="83">
        <f t="shared" si="123"/>
        <v>0</v>
      </c>
      <c r="Y288" s="83">
        <f t="shared" si="123"/>
        <v>0</v>
      </c>
      <c r="Z288" s="83">
        <f t="shared" si="123"/>
        <v>0</v>
      </c>
      <c r="AA288" s="83">
        <f t="shared" si="123"/>
        <v>0</v>
      </c>
      <c r="AB288" s="83">
        <f t="shared" si="123"/>
        <v>2329189.4062499995</v>
      </c>
      <c r="AD288" s="78"/>
      <c r="AE288" s="78"/>
      <c r="AF288" s="78"/>
      <c r="AG288" s="78"/>
      <c r="AH288" s="78"/>
      <c r="AI288" s="1"/>
      <c r="AJ288" s="1"/>
      <c r="AK288" s="1"/>
    </row>
    <row r="289" spans="1:37" s="81" customFormat="1" ht="32.25" customHeight="1" x14ac:dyDescent="0.25">
      <c r="A289" s="106"/>
      <c r="B289" s="81" t="str">
        <f>B194</f>
        <v>SOFT COSTS - SALES</v>
      </c>
      <c r="C289" s="82"/>
      <c r="D289" s="82"/>
      <c r="E289" s="83">
        <f t="shared" ref="E289:AB289" si="124">E194</f>
        <v>0</v>
      </c>
      <c r="F289" s="83">
        <f t="shared" si="124"/>
        <v>25000</v>
      </c>
      <c r="G289" s="83">
        <f t="shared" si="124"/>
        <v>25000</v>
      </c>
      <c r="H289" s="83">
        <f t="shared" si="124"/>
        <v>25000</v>
      </c>
      <c r="I289" s="83">
        <f t="shared" si="124"/>
        <v>255814.388125</v>
      </c>
      <c r="J289" s="83">
        <f t="shared" si="124"/>
        <v>88482.429843749997</v>
      </c>
      <c r="K289" s="83">
        <f t="shared" si="124"/>
        <v>615035.08440126944</v>
      </c>
      <c r="L289" s="83">
        <f t="shared" si="124"/>
        <v>926946.34354594722</v>
      </c>
      <c r="M289" s="83">
        <f t="shared" si="124"/>
        <v>887428.56711678009</v>
      </c>
      <c r="N289" s="83">
        <f t="shared" si="124"/>
        <v>284316.07706980017</v>
      </c>
      <c r="O289" s="83">
        <f t="shared" si="124"/>
        <v>62865.488148711243</v>
      </c>
      <c r="P289" s="83">
        <f t="shared" si="124"/>
        <v>961744.41840124002</v>
      </c>
      <c r="Q289" s="83">
        <f t="shared" si="124"/>
        <v>690285.71892508178</v>
      </c>
      <c r="R289" s="83">
        <f t="shared" si="124"/>
        <v>571508.77853413369</v>
      </c>
      <c r="S289" s="83">
        <f t="shared" si="124"/>
        <v>0</v>
      </c>
      <c r="T289" s="83">
        <f t="shared" si="124"/>
        <v>0</v>
      </c>
      <c r="U289" s="83">
        <f t="shared" si="124"/>
        <v>0</v>
      </c>
      <c r="V289" s="83">
        <f t="shared" si="124"/>
        <v>0</v>
      </c>
      <c r="W289" s="83">
        <f t="shared" si="124"/>
        <v>0</v>
      </c>
      <c r="X289" s="83">
        <f t="shared" si="124"/>
        <v>0</v>
      </c>
      <c r="Y289" s="83">
        <f t="shared" si="124"/>
        <v>0</v>
      </c>
      <c r="Z289" s="83">
        <f t="shared" si="124"/>
        <v>0</v>
      </c>
      <c r="AA289" s="83">
        <f t="shared" si="124"/>
        <v>0</v>
      </c>
      <c r="AB289" s="83">
        <f t="shared" si="124"/>
        <v>5419427.2941117138</v>
      </c>
      <c r="AD289" s="78"/>
      <c r="AE289" s="78"/>
      <c r="AF289" s="78"/>
      <c r="AG289" s="78"/>
      <c r="AH289" s="78"/>
      <c r="AI289" s="1"/>
      <c r="AJ289" s="1"/>
      <c r="AK289" s="1"/>
    </row>
    <row r="290" spans="1:37" s="81" customFormat="1" ht="32.25" customHeight="1" x14ac:dyDescent="0.25">
      <c r="A290" s="106"/>
      <c r="B290" s="81" t="str">
        <f>B199</f>
        <v>SOFT COSTS - TAXES AND INSURANCE</v>
      </c>
      <c r="C290" s="82"/>
      <c r="D290" s="82"/>
      <c r="E290" s="83">
        <f t="shared" ref="E290:AB290" si="125">E199</f>
        <v>0</v>
      </c>
      <c r="F290" s="83">
        <f t="shared" si="125"/>
        <v>14168.980046875</v>
      </c>
      <c r="G290" s="83">
        <f t="shared" si="125"/>
        <v>10074.416977539062</v>
      </c>
      <c r="H290" s="83">
        <f t="shared" si="125"/>
        <v>31315.821272180176</v>
      </c>
      <c r="I290" s="83">
        <f t="shared" si="125"/>
        <v>31593.395942074127</v>
      </c>
      <c r="J290" s="83">
        <f t="shared" si="125"/>
        <v>40645.815903182178</v>
      </c>
      <c r="K290" s="83">
        <f t="shared" si="125"/>
        <v>36221.760663242902</v>
      </c>
      <c r="L290" s="83">
        <f t="shared" si="125"/>
        <v>40665.912980556161</v>
      </c>
      <c r="M290" s="83">
        <f t="shared" si="125"/>
        <v>45140.246903858511</v>
      </c>
      <c r="N290" s="83">
        <f t="shared" si="125"/>
        <v>47844.449073798227</v>
      </c>
      <c r="O290" s="83">
        <f t="shared" si="125"/>
        <v>39722.994304828724</v>
      </c>
      <c r="P290" s="83">
        <f t="shared" si="125"/>
        <v>29138.656289552546</v>
      </c>
      <c r="Q290" s="83">
        <f t="shared" si="125"/>
        <v>14438.93678584597</v>
      </c>
      <c r="R290" s="83">
        <f t="shared" si="125"/>
        <v>5148.7302399011987</v>
      </c>
      <c r="S290" s="83">
        <f t="shared" si="125"/>
        <v>0</v>
      </c>
      <c r="T290" s="83">
        <f t="shared" si="125"/>
        <v>0</v>
      </c>
      <c r="U290" s="83">
        <f t="shared" si="125"/>
        <v>0</v>
      </c>
      <c r="V290" s="83">
        <f t="shared" si="125"/>
        <v>0</v>
      </c>
      <c r="W290" s="83">
        <f t="shared" si="125"/>
        <v>0</v>
      </c>
      <c r="X290" s="83">
        <f t="shared" si="125"/>
        <v>0</v>
      </c>
      <c r="Y290" s="83">
        <f t="shared" si="125"/>
        <v>0</v>
      </c>
      <c r="Z290" s="83">
        <f t="shared" si="125"/>
        <v>0</v>
      </c>
      <c r="AA290" s="83">
        <f t="shared" si="125"/>
        <v>0</v>
      </c>
      <c r="AB290" s="83">
        <f t="shared" si="125"/>
        <v>386120.11738343484</v>
      </c>
      <c r="AD290" s="78"/>
      <c r="AE290" s="78"/>
      <c r="AF290" s="78"/>
      <c r="AG290" s="78"/>
      <c r="AH290" s="78"/>
      <c r="AI290" s="1"/>
      <c r="AJ290" s="1"/>
      <c r="AK290" s="1"/>
    </row>
    <row r="291" spans="1:37" s="81" customFormat="1" ht="32.25" customHeight="1" x14ac:dyDescent="0.25">
      <c r="A291" s="106"/>
      <c r="B291" s="81" t="str">
        <f>B206</f>
        <v>SOFT COSTS - MUNICIPALITY FEES</v>
      </c>
      <c r="C291" s="82"/>
      <c r="D291" s="82"/>
      <c r="E291" s="83">
        <f t="shared" ref="E291:AB291" si="126">E206</f>
        <v>0</v>
      </c>
      <c r="F291" s="83">
        <f t="shared" si="126"/>
        <v>58025.625</v>
      </c>
      <c r="G291" s="83">
        <f t="shared" si="126"/>
        <v>116051.25</v>
      </c>
      <c r="H291" s="83">
        <f t="shared" si="126"/>
        <v>131051.25</v>
      </c>
      <c r="I291" s="83">
        <f t="shared" si="126"/>
        <v>58025.625</v>
      </c>
      <c r="J291" s="83">
        <f t="shared" si="126"/>
        <v>0</v>
      </c>
      <c r="K291" s="83">
        <f t="shared" si="126"/>
        <v>174076.875</v>
      </c>
      <c r="L291" s="83">
        <f t="shared" si="126"/>
        <v>174076.875</v>
      </c>
      <c r="M291" s="83">
        <f t="shared" si="126"/>
        <v>116051.25</v>
      </c>
      <c r="N291" s="83">
        <f t="shared" si="126"/>
        <v>0</v>
      </c>
      <c r="O291" s="83">
        <f t="shared" si="126"/>
        <v>0</v>
      </c>
      <c r="P291" s="83">
        <f t="shared" si="126"/>
        <v>0</v>
      </c>
      <c r="Q291" s="83">
        <f t="shared" si="126"/>
        <v>0</v>
      </c>
      <c r="R291" s="83">
        <f t="shared" si="126"/>
        <v>0</v>
      </c>
      <c r="S291" s="83">
        <f t="shared" si="126"/>
        <v>0</v>
      </c>
      <c r="T291" s="83">
        <f t="shared" si="126"/>
        <v>0</v>
      </c>
      <c r="U291" s="83">
        <f t="shared" si="126"/>
        <v>0</v>
      </c>
      <c r="V291" s="83">
        <f t="shared" si="126"/>
        <v>0</v>
      </c>
      <c r="W291" s="83">
        <f t="shared" si="126"/>
        <v>0</v>
      </c>
      <c r="X291" s="83">
        <f t="shared" si="126"/>
        <v>0</v>
      </c>
      <c r="Y291" s="83">
        <f t="shared" si="126"/>
        <v>0</v>
      </c>
      <c r="Z291" s="83">
        <f t="shared" si="126"/>
        <v>0</v>
      </c>
      <c r="AA291" s="83">
        <f t="shared" si="126"/>
        <v>0</v>
      </c>
      <c r="AB291" s="83">
        <f t="shared" si="126"/>
        <v>827358.75</v>
      </c>
      <c r="AD291" s="78"/>
      <c r="AE291" s="78"/>
      <c r="AF291" s="78"/>
      <c r="AG291" s="78"/>
      <c r="AH291" s="78"/>
      <c r="AI291" s="1"/>
      <c r="AJ291" s="1"/>
      <c r="AK291" s="1"/>
    </row>
    <row r="292" spans="1:37" s="81" customFormat="1" ht="32.25" customHeight="1" x14ac:dyDescent="0.25">
      <c r="A292" s="106"/>
      <c r="B292" s="81" t="str">
        <f>B213</f>
        <v xml:space="preserve">DEVELOPMENT FEES </v>
      </c>
      <c r="C292" s="82"/>
      <c r="D292" s="82"/>
      <c r="E292" s="83">
        <f t="shared" ref="E292:AB292" si="127">E213</f>
        <v>0</v>
      </c>
      <c r="F292" s="83">
        <f t="shared" si="127"/>
        <v>41327.997344765623</v>
      </c>
      <c r="G292" s="83">
        <f t="shared" si="127"/>
        <v>121264.32575346681</v>
      </c>
      <c r="H292" s="83">
        <f t="shared" si="127"/>
        <v>190042.79612278455</v>
      </c>
      <c r="I292" s="83">
        <f t="shared" si="127"/>
        <v>255860.03148275745</v>
      </c>
      <c r="J292" s="83">
        <f t="shared" si="127"/>
        <v>210117.69138933916</v>
      </c>
      <c r="K292" s="83">
        <f t="shared" si="127"/>
        <v>410409.4831745621</v>
      </c>
      <c r="L292" s="83">
        <f t="shared" si="127"/>
        <v>514779.16126647813</v>
      </c>
      <c r="M292" s="83">
        <f t="shared" si="127"/>
        <v>547809.63470004359</v>
      </c>
      <c r="N292" s="83">
        <f t="shared" si="127"/>
        <v>341829.32001922856</v>
      </c>
      <c r="O292" s="83">
        <f t="shared" si="127"/>
        <v>239888.73057172043</v>
      </c>
      <c r="P292" s="83">
        <f t="shared" si="127"/>
        <v>473227.81452302297</v>
      </c>
      <c r="Q292" s="83">
        <f t="shared" si="127"/>
        <v>310246.99475897464</v>
      </c>
      <c r="R292" s="83">
        <f t="shared" si="127"/>
        <v>219702.12121197541</v>
      </c>
      <c r="S292" s="83">
        <f t="shared" si="127"/>
        <v>0</v>
      </c>
      <c r="T292" s="83">
        <f t="shared" si="127"/>
        <v>0</v>
      </c>
      <c r="U292" s="83">
        <f t="shared" si="127"/>
        <v>0</v>
      </c>
      <c r="V292" s="83">
        <f t="shared" si="127"/>
        <v>0</v>
      </c>
      <c r="W292" s="83">
        <f t="shared" si="127"/>
        <v>0</v>
      </c>
      <c r="X292" s="83">
        <f t="shared" si="127"/>
        <v>0</v>
      </c>
      <c r="Y292" s="83">
        <f t="shared" si="127"/>
        <v>0</v>
      </c>
      <c r="Z292" s="83">
        <f t="shared" si="127"/>
        <v>0</v>
      </c>
      <c r="AA292" s="83">
        <f t="shared" si="127"/>
        <v>0</v>
      </c>
      <c r="AB292" s="83">
        <f t="shared" si="127"/>
        <v>3876506.1023191195</v>
      </c>
      <c r="AD292" s="78"/>
      <c r="AE292" s="78"/>
      <c r="AF292" s="78"/>
      <c r="AG292" s="78"/>
      <c r="AH292" s="78"/>
      <c r="AI292" s="1"/>
      <c r="AJ292" s="1"/>
      <c r="AK292" s="1"/>
    </row>
    <row r="293" spans="1:37" s="81" customFormat="1" ht="32.25" customHeight="1" x14ac:dyDescent="0.25">
      <c r="A293" s="106"/>
      <c r="B293" s="81" t="str">
        <f>B225</f>
        <v>FINANCING COSTS &amp; REPAYMENT</v>
      </c>
      <c r="C293" s="82"/>
      <c r="D293" s="82"/>
      <c r="E293" s="83">
        <f t="shared" ref="E293:AB293" si="128">E225</f>
        <v>0</v>
      </c>
      <c r="F293" s="83">
        <f t="shared" si="128"/>
        <v>605008.63090624998</v>
      </c>
      <c r="G293" s="83">
        <f t="shared" si="128"/>
        <v>73015.099296874992</v>
      </c>
      <c r="H293" s="83">
        <f t="shared" si="128"/>
        <v>732720.92657812499</v>
      </c>
      <c r="I293" s="83">
        <f t="shared" si="128"/>
        <v>242022.85898437502</v>
      </c>
      <c r="J293" s="83">
        <f t="shared" si="128"/>
        <v>333692.628359375</v>
      </c>
      <c r="K293" s="83">
        <f t="shared" si="128"/>
        <v>7902976.9389062505</v>
      </c>
      <c r="L293" s="83">
        <f t="shared" si="128"/>
        <v>8832343.4197187498</v>
      </c>
      <c r="M293" s="83">
        <f t="shared" si="128"/>
        <v>3118546.3699999987</v>
      </c>
      <c r="N293" s="83">
        <f t="shared" si="128"/>
        <v>288616.76134375</v>
      </c>
      <c r="O293" s="83">
        <f t="shared" si="128"/>
        <v>380955.17265625001</v>
      </c>
      <c r="P293" s="83">
        <f t="shared" si="128"/>
        <v>16819252.718041647</v>
      </c>
      <c r="Q293" s="83">
        <f t="shared" si="128"/>
        <v>2681231.4582311404</v>
      </c>
      <c r="R293" s="83">
        <f t="shared" si="128"/>
        <v>923166.25</v>
      </c>
      <c r="S293" s="83">
        <f t="shared" si="128"/>
        <v>0</v>
      </c>
      <c r="T293" s="83">
        <f t="shared" si="128"/>
        <v>0</v>
      </c>
      <c r="U293" s="83">
        <f t="shared" si="128"/>
        <v>0</v>
      </c>
      <c r="V293" s="83">
        <f t="shared" si="128"/>
        <v>0</v>
      </c>
      <c r="W293" s="83">
        <f t="shared" si="128"/>
        <v>0</v>
      </c>
      <c r="X293" s="83">
        <f t="shared" si="128"/>
        <v>0</v>
      </c>
      <c r="Y293" s="83">
        <f t="shared" si="128"/>
        <v>0</v>
      </c>
      <c r="Z293" s="83">
        <f t="shared" si="128"/>
        <v>0</v>
      </c>
      <c r="AA293" s="83">
        <f t="shared" si="128"/>
        <v>0</v>
      </c>
      <c r="AB293" s="83">
        <f t="shared" si="128"/>
        <v>42933549.233022787</v>
      </c>
      <c r="AD293" s="78"/>
      <c r="AE293" s="78"/>
      <c r="AF293" s="78"/>
      <c r="AG293" s="78"/>
      <c r="AH293" s="78"/>
      <c r="AI293" s="1"/>
      <c r="AJ293" s="1"/>
      <c r="AK293" s="1"/>
    </row>
    <row r="294" spans="1:37" s="81" customFormat="1" ht="32.25" customHeight="1" x14ac:dyDescent="0.25">
      <c r="A294" s="106"/>
      <c r="B294" s="81" t="str">
        <f>B227</f>
        <v>DISTRIBUTIONS</v>
      </c>
      <c r="C294" s="82"/>
      <c r="D294" s="82"/>
      <c r="E294" s="83">
        <f t="shared" ref="E294:AB294" si="129">E227</f>
        <v>0</v>
      </c>
      <c r="F294" s="83">
        <f t="shared" si="129"/>
        <v>0</v>
      </c>
      <c r="G294" s="83">
        <f t="shared" si="129"/>
        <v>0</v>
      </c>
      <c r="H294" s="83">
        <f t="shared" si="129"/>
        <v>0</v>
      </c>
      <c r="I294" s="83">
        <f t="shared" si="129"/>
        <v>0</v>
      </c>
      <c r="J294" s="83">
        <f t="shared" si="129"/>
        <v>0</v>
      </c>
      <c r="K294" s="83">
        <f t="shared" si="129"/>
        <v>0</v>
      </c>
      <c r="L294" s="83">
        <f t="shared" si="129"/>
        <v>12000000</v>
      </c>
      <c r="M294" s="83">
        <f t="shared" si="129"/>
        <v>9000000</v>
      </c>
      <c r="N294" s="83">
        <f t="shared" si="129"/>
        <v>0</v>
      </c>
      <c r="O294" s="83">
        <f t="shared" si="129"/>
        <v>0</v>
      </c>
      <c r="P294" s="83">
        <f t="shared" si="129"/>
        <v>0</v>
      </c>
      <c r="Q294" s="83">
        <f t="shared" si="129"/>
        <v>11000000</v>
      </c>
      <c r="R294" s="83">
        <f t="shared" si="129"/>
        <v>11648704.5</v>
      </c>
      <c r="S294" s="83">
        <f t="shared" si="129"/>
        <v>0</v>
      </c>
      <c r="T294" s="83">
        <f t="shared" si="129"/>
        <v>0</v>
      </c>
      <c r="U294" s="83">
        <f t="shared" si="129"/>
        <v>0</v>
      </c>
      <c r="V294" s="83">
        <f t="shared" si="129"/>
        <v>0</v>
      </c>
      <c r="W294" s="83">
        <f t="shared" si="129"/>
        <v>0</v>
      </c>
      <c r="X294" s="83">
        <f t="shared" si="129"/>
        <v>0</v>
      </c>
      <c r="Y294" s="83">
        <f t="shared" si="129"/>
        <v>0</v>
      </c>
      <c r="Z294" s="83">
        <f t="shared" si="129"/>
        <v>0</v>
      </c>
      <c r="AA294" s="83">
        <f t="shared" si="129"/>
        <v>0</v>
      </c>
      <c r="AB294" s="83">
        <f t="shared" si="129"/>
        <v>43648704.5</v>
      </c>
      <c r="AD294" s="78"/>
      <c r="AE294" s="78"/>
      <c r="AF294" s="78"/>
      <c r="AG294" s="78"/>
      <c r="AH294" s="78"/>
      <c r="AI294" s="1"/>
      <c r="AJ294" s="1"/>
      <c r="AK294" s="1"/>
    </row>
    <row r="295" spans="1:37" s="81" customFormat="1" ht="32.25" customHeight="1" x14ac:dyDescent="0.25">
      <c r="A295" s="106"/>
      <c r="B295" s="366" t="str">
        <f>B229</f>
        <v>TOTAL USES</v>
      </c>
      <c r="C295" s="367"/>
      <c r="D295" s="367"/>
      <c r="E295" s="368">
        <f t="shared" ref="E295:AB295" si="130">E229</f>
        <v>0</v>
      </c>
      <c r="F295" s="368">
        <f t="shared" si="130"/>
        <v>16184936.539743204</v>
      </c>
      <c r="G295" s="368">
        <f t="shared" si="130"/>
        <v>2666968.6168325683</v>
      </c>
      <c r="H295" s="368">
        <f t="shared" si="130"/>
        <v>5299964.8434603941</v>
      </c>
      <c r="I295" s="368">
        <f t="shared" si="130"/>
        <v>6692760.682184048</v>
      </c>
      <c r="J295" s="368">
        <f t="shared" si="130"/>
        <v>6653077.6865287693</v>
      </c>
      <c r="K295" s="368">
        <f t="shared" si="130"/>
        <v>16027792.230064489</v>
      </c>
      <c r="L295" s="368">
        <f t="shared" si="130"/>
        <v>29386748.260681033</v>
      </c>
      <c r="M295" s="368">
        <f t="shared" si="130"/>
        <v>22206566.093854047</v>
      </c>
      <c r="N295" s="368">
        <f t="shared" si="130"/>
        <v>9150005.3027426191</v>
      </c>
      <c r="O295" s="368">
        <f t="shared" si="130"/>
        <v>7981494.9865594618</v>
      </c>
      <c r="P295" s="368">
        <f t="shared" si="130"/>
        <v>23342436.34171956</v>
      </c>
      <c r="Q295" s="368">
        <f t="shared" si="130"/>
        <v>17353489.342491217</v>
      </c>
      <c r="R295" s="368">
        <f t="shared" si="130"/>
        <v>14336388.150877137</v>
      </c>
      <c r="S295" s="368">
        <f t="shared" si="130"/>
        <v>0</v>
      </c>
      <c r="T295" s="368">
        <f t="shared" si="130"/>
        <v>0</v>
      </c>
      <c r="U295" s="368">
        <f t="shared" si="130"/>
        <v>0</v>
      </c>
      <c r="V295" s="368">
        <f t="shared" si="130"/>
        <v>0</v>
      </c>
      <c r="W295" s="368">
        <f t="shared" si="130"/>
        <v>0</v>
      </c>
      <c r="X295" s="368">
        <f t="shared" si="130"/>
        <v>0</v>
      </c>
      <c r="Y295" s="368">
        <f t="shared" si="130"/>
        <v>0</v>
      </c>
      <c r="Z295" s="368">
        <f t="shared" si="130"/>
        <v>0</v>
      </c>
      <c r="AA295" s="368">
        <f t="shared" si="130"/>
        <v>0</v>
      </c>
      <c r="AB295" s="380">
        <f t="shared" si="130"/>
        <v>177282629.07773855</v>
      </c>
      <c r="AD295" s="78"/>
      <c r="AE295" s="78"/>
      <c r="AF295" s="78"/>
      <c r="AG295" s="78"/>
      <c r="AH295" s="78"/>
      <c r="AI295" s="1"/>
      <c r="AJ295" s="1"/>
      <c r="AK295" s="1"/>
    </row>
    <row r="296" spans="1:37" s="81" customFormat="1" ht="19" x14ac:dyDescent="0.25">
      <c r="A296" s="106"/>
      <c r="B296" s="84"/>
      <c r="C296" s="85"/>
      <c r="D296" s="85"/>
      <c r="E296" s="86"/>
      <c r="F296" s="86"/>
      <c r="G296" s="86"/>
      <c r="H296" s="86"/>
      <c r="I296" s="86"/>
      <c r="J296" s="86"/>
      <c r="K296" s="86"/>
      <c r="L296" s="86"/>
      <c r="M296" s="86"/>
      <c r="N296" s="86"/>
      <c r="O296" s="86"/>
      <c r="P296" s="86"/>
      <c r="Q296" s="86"/>
      <c r="R296" s="86"/>
      <c r="S296" s="86"/>
      <c r="T296" s="86"/>
      <c r="U296" s="86"/>
      <c r="V296" s="86"/>
      <c r="W296" s="86"/>
      <c r="X296" s="86"/>
      <c r="Y296" s="86"/>
      <c r="Z296" s="86"/>
      <c r="AA296" s="86"/>
      <c r="AB296" s="86"/>
      <c r="AD296" s="78"/>
      <c r="AE296" s="78"/>
      <c r="AF296" s="78"/>
      <c r="AG296" s="78"/>
      <c r="AH296" s="78"/>
      <c r="AI296" s="1"/>
      <c r="AJ296" s="1"/>
      <c r="AK296" s="1"/>
    </row>
    <row r="297" spans="1:37" x14ac:dyDescent="0.2">
      <c r="B297" s="365"/>
      <c r="C297" t="s">
        <v>263</v>
      </c>
      <c r="E297" s="17">
        <f>E295-E283-E290-E292-E293-E289-E294</f>
        <v>0</v>
      </c>
      <c r="F297" s="17">
        <f t="shared" ref="F297:R297" si="131">F295-F283-F290-F292-F293-F289-F294</f>
        <v>1338430.9314453132</v>
      </c>
      <c r="G297" s="17">
        <f t="shared" si="131"/>
        <v>2437614.7748046876</v>
      </c>
      <c r="H297" s="17">
        <f t="shared" si="131"/>
        <v>4320885.2994873039</v>
      </c>
      <c r="I297" s="17">
        <f t="shared" si="131"/>
        <v>5907470.0076498417</v>
      </c>
      <c r="J297" s="17">
        <f t="shared" si="131"/>
        <v>5980139.1210331237</v>
      </c>
      <c r="K297" s="17">
        <f t="shared" si="131"/>
        <v>7063148.9629191635</v>
      </c>
      <c r="L297" s="17">
        <f t="shared" si="131"/>
        <v>7072013.4231693</v>
      </c>
      <c r="M297" s="17">
        <f t="shared" si="131"/>
        <v>8607641.2751333676</v>
      </c>
      <c r="N297" s="17">
        <f t="shared" si="131"/>
        <v>8187398.6952360421</v>
      </c>
      <c r="O297" s="17">
        <f t="shared" si="131"/>
        <v>7258062.6008779509</v>
      </c>
      <c r="P297" s="17">
        <f t="shared" si="131"/>
        <v>5059072.7344640987</v>
      </c>
      <c r="Q297" s="17">
        <f t="shared" si="131"/>
        <v>2657286.2337901741</v>
      </c>
      <c r="R297" s="17">
        <f t="shared" si="131"/>
        <v>968157.77089112625</v>
      </c>
      <c r="AJ297" s="1"/>
      <c r="AK297" s="1"/>
    </row>
    <row r="298" spans="1:37" x14ac:dyDescent="0.2">
      <c r="E298" s="13">
        <v>0.03</v>
      </c>
      <c r="F298" s="17">
        <f>$E$298*F297</f>
        <v>40152.927943359391</v>
      </c>
      <c r="G298" s="17">
        <f t="shared" ref="G298:R298" si="132">$E$298*G297</f>
        <v>73128.443244140624</v>
      </c>
      <c r="H298" s="17">
        <f t="shared" si="132"/>
        <v>129626.55898461911</v>
      </c>
      <c r="I298" s="17">
        <f t="shared" si="132"/>
        <v>177224.10022949523</v>
      </c>
      <c r="J298" s="17">
        <f t="shared" si="132"/>
        <v>179404.1736309937</v>
      </c>
      <c r="K298" s="17">
        <f t="shared" si="132"/>
        <v>211894.46888757488</v>
      </c>
      <c r="L298" s="17">
        <f t="shared" si="132"/>
        <v>212160.40269507898</v>
      </c>
      <c r="M298" s="17">
        <f t="shared" si="132"/>
        <v>258229.23825400101</v>
      </c>
      <c r="N298" s="17">
        <f t="shared" si="132"/>
        <v>245621.96085708126</v>
      </c>
      <c r="O298" s="17">
        <f t="shared" si="132"/>
        <v>217741.87802633853</v>
      </c>
      <c r="P298" s="17">
        <f t="shared" si="132"/>
        <v>151772.18203392296</v>
      </c>
      <c r="Q298" s="17">
        <f t="shared" si="132"/>
        <v>79718.587013705226</v>
      </c>
      <c r="R298" s="17">
        <f t="shared" si="132"/>
        <v>29044.733126733787</v>
      </c>
      <c r="AJ298" s="1"/>
      <c r="AK298" s="1"/>
    </row>
    <row r="299" spans="1:37" x14ac:dyDescent="0.2">
      <c r="E299" s="13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AJ299" s="1"/>
      <c r="AK299" s="1"/>
    </row>
    <row r="300" spans="1:37" x14ac:dyDescent="0.2">
      <c r="AJ300" s="1"/>
      <c r="AK300" s="1"/>
    </row>
    <row r="301" spans="1:37" x14ac:dyDescent="0.2">
      <c r="AJ301" s="1"/>
      <c r="AK301" s="1"/>
    </row>
    <row r="302" spans="1:37" ht="19" x14ac:dyDescent="0.25">
      <c r="B302" s="84" t="str">
        <f>B18</f>
        <v>WEYYAKIN PHASE IV</v>
      </c>
      <c r="AJ302" s="1"/>
      <c r="AK302" s="1"/>
    </row>
    <row r="303" spans="1:37" x14ac:dyDescent="0.2">
      <c r="B303" s="8" t="s">
        <v>264</v>
      </c>
      <c r="AJ303" s="1"/>
      <c r="AK303" s="1"/>
    </row>
    <row r="304" spans="1:37" x14ac:dyDescent="0.2">
      <c r="B304" s="70" t="str">
        <f t="shared" ref="B304:B312" si="133">B272</f>
        <v>SOURCES</v>
      </c>
      <c r="C304" s="71" t="s">
        <v>265</v>
      </c>
      <c r="D304" s="72" t="s">
        <v>266</v>
      </c>
      <c r="E304" s="72" t="s">
        <v>267</v>
      </c>
      <c r="F304" s="72" t="s">
        <v>268</v>
      </c>
      <c r="AJ304" s="1"/>
      <c r="AK304" s="1"/>
    </row>
    <row r="305" spans="2:37" hidden="1" x14ac:dyDescent="0.2">
      <c r="B305" s="20" t="str">
        <f t="shared" si="133"/>
        <v>PURSUIT / DUE DILIGENCE: GP DEVELOPER</v>
      </c>
      <c r="C305" s="17">
        <f t="shared" ref="C305:C312" si="134">AB273</f>
        <v>0</v>
      </c>
      <c r="D305" s="163">
        <f>C305/$C$39</f>
        <v>0</v>
      </c>
      <c r="E305" s="17">
        <f t="shared" ref="E305:E312" si="135">C305/$AB$38</f>
        <v>0</v>
      </c>
      <c r="F305" s="29">
        <f t="shared" ref="F305:F312" si="136">E305/$E$312</f>
        <v>0</v>
      </c>
      <c r="AJ305" s="1"/>
      <c r="AK305" s="1"/>
    </row>
    <row r="306" spans="2:37" hidden="1" x14ac:dyDescent="0.2">
      <c r="B306" s="20" t="str">
        <f t="shared" si="133"/>
        <v>LP EQUITY</v>
      </c>
      <c r="C306" s="17">
        <f t="shared" si="134"/>
        <v>0</v>
      </c>
      <c r="D306" s="163">
        <f>C306/$D$39</f>
        <v>0</v>
      </c>
      <c r="E306" s="17">
        <f t="shared" si="135"/>
        <v>0</v>
      </c>
      <c r="F306" s="29">
        <f t="shared" si="136"/>
        <v>0</v>
      </c>
      <c r="AJ306" s="1"/>
      <c r="AK306" s="1"/>
    </row>
    <row r="307" spans="2:37" x14ac:dyDescent="0.2">
      <c r="B307" s="20" t="str">
        <f t="shared" si="133"/>
        <v>EQUITY / PROJECT ACQUISITION</v>
      </c>
      <c r="C307" s="17">
        <f t="shared" si="134"/>
        <v>15000000</v>
      </c>
      <c r="D307" s="163">
        <f t="shared" ref="D307:D312" si="137">C307/$D$39</f>
        <v>232.93372259146531</v>
      </c>
      <c r="E307" s="17">
        <f t="shared" si="135"/>
        <v>1071428.5714285714</v>
      </c>
      <c r="F307" s="29">
        <f t="shared" si="136"/>
        <v>8.4610658377595543E-2</v>
      </c>
      <c r="AJ307" s="1"/>
      <c r="AK307" s="1"/>
    </row>
    <row r="308" spans="2:37" x14ac:dyDescent="0.2">
      <c r="B308" s="20" t="str">
        <f t="shared" si="133"/>
        <v>DEBT</v>
      </c>
      <c r="C308" s="17">
        <f t="shared" si="134"/>
        <v>38685773.231249996</v>
      </c>
      <c r="D308" s="163">
        <f t="shared" si="137"/>
        <v>600.74807800562144</v>
      </c>
      <c r="E308" s="17">
        <f t="shared" si="135"/>
        <v>2763269.5165178566</v>
      </c>
      <c r="F308" s="29">
        <f t="shared" si="136"/>
        <v>0.21821524952949492</v>
      </c>
      <c r="AJ308" s="1"/>
      <c r="AK308" s="1"/>
    </row>
    <row r="309" spans="2:37" hidden="1" x14ac:dyDescent="0.2">
      <c r="B309" s="20">
        <f t="shared" si="133"/>
        <v>0</v>
      </c>
      <c r="C309" s="17">
        <f t="shared" si="134"/>
        <v>0</v>
      </c>
      <c r="D309" s="163">
        <f t="shared" si="137"/>
        <v>0</v>
      </c>
      <c r="E309" s="17">
        <f t="shared" si="135"/>
        <v>0</v>
      </c>
      <c r="F309" s="29">
        <f t="shared" si="136"/>
        <v>0</v>
      </c>
      <c r="AJ309" s="1"/>
      <c r="AK309" s="1"/>
    </row>
    <row r="310" spans="2:37" x14ac:dyDescent="0.2">
      <c r="B310" s="20" t="str">
        <f t="shared" si="133"/>
        <v>PRESALE REVENUES</v>
      </c>
      <c r="C310" s="17">
        <f t="shared" si="134"/>
        <v>38621971.138113901</v>
      </c>
      <c r="D310" s="163">
        <f t="shared" si="137"/>
        <v>599.75730073473358</v>
      </c>
      <c r="E310" s="17">
        <f t="shared" si="135"/>
        <v>2758712.2241509929</v>
      </c>
      <c r="F310" s="29">
        <f t="shared" si="136"/>
        <v>0.21785536038908737</v>
      </c>
      <c r="AJ310" s="1"/>
      <c r="AK310" s="1"/>
    </row>
    <row r="311" spans="2:37" x14ac:dyDescent="0.2">
      <c r="B311" s="40" t="str">
        <f t="shared" si="133"/>
        <v>UNIT SALES</v>
      </c>
      <c r="C311" s="42">
        <f t="shared" si="134"/>
        <v>84974885.119924173</v>
      </c>
      <c r="D311" s="163">
        <f t="shared" si="137"/>
        <v>1319.5677545177366</v>
      </c>
      <c r="E311" s="42">
        <f t="shared" si="135"/>
        <v>6069634.6514231553</v>
      </c>
      <c r="F311" s="74">
        <f t="shared" si="136"/>
        <v>0.47931873170382211</v>
      </c>
      <c r="AJ311" s="1"/>
      <c r="AK311" s="1"/>
    </row>
    <row r="312" spans="2:37" x14ac:dyDescent="0.2">
      <c r="B312" s="43" t="str">
        <f t="shared" si="133"/>
        <v>TOTAL SOURCES</v>
      </c>
      <c r="C312" s="44">
        <f t="shared" si="134"/>
        <v>177282629.48928809</v>
      </c>
      <c r="D312" s="232">
        <f t="shared" si="137"/>
        <v>2753.0068558495573</v>
      </c>
      <c r="E312" s="17">
        <f t="shared" si="135"/>
        <v>12663044.963520577</v>
      </c>
      <c r="F312" s="29">
        <f t="shared" si="136"/>
        <v>1</v>
      </c>
      <c r="AJ312" s="1"/>
      <c r="AK312" s="1"/>
    </row>
    <row r="313" spans="2:37" x14ac:dyDescent="0.2">
      <c r="B313" s="20"/>
      <c r="C313" s="17"/>
      <c r="D313" s="17"/>
      <c r="E313" s="17"/>
      <c r="F313" s="75"/>
      <c r="AJ313" s="1"/>
      <c r="AK313" s="1"/>
    </row>
    <row r="314" spans="2:37" x14ac:dyDescent="0.2">
      <c r="B314" s="70" t="str">
        <f t="shared" ref="B314:B327" si="138">B282</f>
        <v>USES</v>
      </c>
      <c r="C314" s="71" t="s">
        <v>265</v>
      </c>
      <c r="D314" s="72" t="s">
        <v>266</v>
      </c>
      <c r="E314" s="72" t="s">
        <v>267</v>
      </c>
      <c r="F314" s="76" t="s">
        <v>268</v>
      </c>
      <c r="AJ314" s="1"/>
      <c r="AK314" s="1"/>
    </row>
    <row r="315" spans="2:37" x14ac:dyDescent="0.2">
      <c r="B315" s="20" t="str">
        <f t="shared" si="138"/>
        <v>LAND &amp; PROJECT ACQUISITION</v>
      </c>
      <c r="C315" s="17">
        <f t="shared" ref="C315:C327" si="139">AB283</f>
        <v>14161000</v>
      </c>
      <c r="D315" s="163">
        <f>C315/$D$39</f>
        <v>219.90496304118267</v>
      </c>
      <c r="E315" s="17">
        <f t="shared" ref="E315:E327" si="140">C315/$AB$38</f>
        <v>1011500</v>
      </c>
      <c r="F315" s="29">
        <f t="shared" ref="F315:F327" si="141">E315/$E$327</f>
        <v>7.9878102404440265E-2</v>
      </c>
      <c r="AJ315" s="1"/>
      <c r="AK315" s="1"/>
    </row>
    <row r="316" spans="2:37" hidden="1" x14ac:dyDescent="0.2">
      <c r="B316" s="20" t="str">
        <f t="shared" si="138"/>
        <v>AMENITY - USE OF DEBT/EQUITY</v>
      </c>
      <c r="C316" s="17">
        <f t="shared" si="139"/>
        <v>0</v>
      </c>
      <c r="D316" s="163">
        <f>C316/$D$39</f>
        <v>0</v>
      </c>
      <c r="E316" s="17">
        <f t="shared" si="140"/>
        <v>0</v>
      </c>
      <c r="F316" s="29">
        <f t="shared" si="141"/>
        <v>0</v>
      </c>
      <c r="AJ316" s="1"/>
      <c r="AK316" s="1"/>
    </row>
    <row r="317" spans="2:37" x14ac:dyDescent="0.2">
      <c r="B317" s="20" t="str">
        <f t="shared" si="138"/>
        <v>HARD COSTS - SITE &amp; INFRASTRUCTURE</v>
      </c>
      <c r="C317" s="17">
        <f t="shared" si="139"/>
        <v>823307.8125</v>
      </c>
      <c r="D317" s="163">
        <f t="shared" ref="D317:D327" si="142">C317/$D$39</f>
        <v>12.785076906950742</v>
      </c>
      <c r="E317" s="17">
        <f t="shared" si="140"/>
        <v>58807.700892857145</v>
      </c>
      <c r="F317" s="29">
        <f t="shared" si="141"/>
        <v>4.6440410816503573E-3</v>
      </c>
      <c r="AJ317" s="1"/>
      <c r="AK317" s="1"/>
    </row>
    <row r="318" spans="2:37" x14ac:dyDescent="0.2">
      <c r="B318" s="20" t="str">
        <f t="shared" si="138"/>
        <v>HARD COSTS - HOMES</v>
      </c>
      <c r="C318" s="17">
        <f t="shared" si="139"/>
        <v>62698531.711760871</v>
      </c>
      <c r="D318" s="163">
        <f t="shared" si="142"/>
        <v>973.64015950929979</v>
      </c>
      <c r="E318" s="17">
        <f t="shared" si="140"/>
        <v>4478466.5508400621</v>
      </c>
      <c r="F318" s="29">
        <f t="shared" si="141"/>
        <v>0.35366427065038347</v>
      </c>
      <c r="AJ318" s="1"/>
      <c r="AK318" s="1"/>
    </row>
    <row r="319" spans="2:37" x14ac:dyDescent="0.2">
      <c r="B319" s="20" t="str">
        <f t="shared" si="138"/>
        <v>SOFT COSTS PROFESSIONALS - SITE &amp; INFRA</v>
      </c>
      <c r="C319" s="17">
        <f t="shared" si="139"/>
        <v>178934.150390625</v>
      </c>
      <c r="D319" s="163">
        <f t="shared" si="142"/>
        <v>2.7786531832819583</v>
      </c>
      <c r="E319" s="17">
        <f t="shared" si="140"/>
        <v>12781.0107421875</v>
      </c>
      <c r="F319" s="29">
        <f t="shared" si="141"/>
        <v>1.0093157537288226E-3</v>
      </c>
      <c r="AJ319" s="1"/>
      <c r="AK319" s="1"/>
    </row>
    <row r="320" spans="2:37" x14ac:dyDescent="0.2">
      <c r="B320" s="20" t="str">
        <f t="shared" si="138"/>
        <v>SOFT COSTS PROFESSIONALS - HOMES</v>
      </c>
      <c r="C320" s="17">
        <f t="shared" si="139"/>
        <v>2329189.4062499995</v>
      </c>
      <c r="D320" s="163">
        <f t="shared" si="142"/>
        <v>36.169783934561146</v>
      </c>
      <c r="E320" s="17">
        <f t="shared" si="140"/>
        <v>166370.67187499997</v>
      </c>
      <c r="F320" s="29">
        <f t="shared" si="141"/>
        <v>1.3138283307095183E-2</v>
      </c>
      <c r="AJ320" s="1"/>
      <c r="AK320" s="1"/>
    </row>
    <row r="321" spans="2:37" x14ac:dyDescent="0.2">
      <c r="B321" s="20" t="str">
        <f t="shared" si="138"/>
        <v>SOFT COSTS - SALES</v>
      </c>
      <c r="C321" s="17">
        <f t="shared" si="139"/>
        <v>5419427.2941117138</v>
      </c>
      <c r="D321" s="163">
        <f t="shared" si="142"/>
        <v>84.157824928748894</v>
      </c>
      <c r="E321" s="17">
        <f t="shared" si="140"/>
        <v>387101.9495794081</v>
      </c>
      <c r="F321" s="29">
        <f t="shared" si="141"/>
        <v>3.056942082991837E-2</v>
      </c>
      <c r="AJ321" s="1"/>
      <c r="AK321" s="1"/>
    </row>
    <row r="322" spans="2:37" x14ac:dyDescent="0.2">
      <c r="B322" s="20" t="str">
        <f t="shared" si="138"/>
        <v>SOFT COSTS - TAXES AND INSURANCE</v>
      </c>
      <c r="C322" s="17">
        <f t="shared" si="139"/>
        <v>386120.11738343484</v>
      </c>
      <c r="D322" s="163">
        <f t="shared" si="142"/>
        <v>5.9960264206384686</v>
      </c>
      <c r="E322" s="17">
        <f t="shared" si="140"/>
        <v>27580.008384531062</v>
      </c>
      <c r="F322" s="29">
        <f t="shared" si="141"/>
        <v>2.1779918280325195E-3</v>
      </c>
      <c r="AJ322" s="1"/>
      <c r="AK322" s="1"/>
    </row>
    <row r="323" spans="2:37" x14ac:dyDescent="0.2">
      <c r="B323" s="20" t="str">
        <f t="shared" si="138"/>
        <v>SOFT COSTS - MUNICIPALITY FEES</v>
      </c>
      <c r="C323" s="17">
        <f t="shared" si="139"/>
        <v>827358.75</v>
      </c>
      <c r="D323" s="163">
        <f t="shared" si="142"/>
        <v>12.8479835704081</v>
      </c>
      <c r="E323" s="17">
        <f t="shared" si="140"/>
        <v>59097.053571428572</v>
      </c>
      <c r="F323" s="29">
        <f t="shared" si="141"/>
        <v>4.6668912476315015E-3</v>
      </c>
      <c r="AJ323" s="1"/>
      <c r="AK323" s="1"/>
    </row>
    <row r="324" spans="2:37" x14ac:dyDescent="0.2">
      <c r="B324" s="20" t="str">
        <f t="shared" si="138"/>
        <v xml:space="preserve">DEVELOPMENT FEES </v>
      </c>
      <c r="C324" s="17">
        <f t="shared" si="139"/>
        <v>3876506.1023191195</v>
      </c>
      <c r="D324" s="163">
        <f t="shared" si="142"/>
        <v>60.197933137448281</v>
      </c>
      <c r="E324" s="17">
        <f t="shared" si="140"/>
        <v>276893.29302279424</v>
      </c>
      <c r="F324" s="29">
        <f t="shared" si="141"/>
        <v>2.1866248952226833E-2</v>
      </c>
      <c r="AJ324" s="1"/>
      <c r="AK324" s="1"/>
    </row>
    <row r="325" spans="2:37" x14ac:dyDescent="0.2">
      <c r="B325" s="20" t="str">
        <f t="shared" si="138"/>
        <v>FINANCING COSTS &amp; REPAYMENT</v>
      </c>
      <c r="C325" s="17">
        <f t="shared" si="139"/>
        <v>42933549.233022787</v>
      </c>
      <c r="D325" s="163">
        <f t="shared" si="142"/>
        <v>666.71142979412991</v>
      </c>
      <c r="E325" s="17">
        <f t="shared" si="140"/>
        <v>3066682.0880730562</v>
      </c>
      <c r="F325" s="29">
        <f t="shared" si="141"/>
        <v>0.2421757250350591</v>
      </c>
      <c r="AJ325" s="1"/>
      <c r="AK325" s="1"/>
    </row>
    <row r="326" spans="2:37" x14ac:dyDescent="0.2">
      <c r="B326" s="40" t="str">
        <f t="shared" si="138"/>
        <v>DISTRIBUTIONS</v>
      </c>
      <c r="C326" s="42">
        <f t="shared" si="139"/>
        <v>43648704.5</v>
      </c>
      <c r="D326" s="163">
        <f t="shared" si="142"/>
        <v>677.81701503198951</v>
      </c>
      <c r="E326" s="42">
        <f t="shared" si="140"/>
        <v>3117764.6071428573</v>
      </c>
      <c r="F326" s="74">
        <f t="shared" si="141"/>
        <v>0.24620970890983354</v>
      </c>
      <c r="AJ326" s="1"/>
      <c r="AK326" s="1"/>
    </row>
    <row r="327" spans="2:37" x14ac:dyDescent="0.2">
      <c r="B327" s="43" t="str">
        <f t="shared" si="138"/>
        <v>TOTAL USES</v>
      </c>
      <c r="C327" s="44">
        <f t="shared" si="139"/>
        <v>177282629.07773855</v>
      </c>
      <c r="D327" s="232">
        <f t="shared" si="142"/>
        <v>2753.0068494586394</v>
      </c>
      <c r="E327" s="17">
        <f t="shared" si="140"/>
        <v>12663044.934124183</v>
      </c>
      <c r="F327" s="29">
        <f t="shared" si="141"/>
        <v>1</v>
      </c>
      <c r="AJ327" s="1"/>
      <c r="AK327" s="1"/>
    </row>
    <row r="328" spans="2:37" x14ac:dyDescent="0.2">
      <c r="AJ328" s="1"/>
      <c r="AK328" s="1"/>
    </row>
    <row r="329" spans="2:37" x14ac:dyDescent="0.2">
      <c r="B329" s="365"/>
      <c r="AJ329" s="1"/>
      <c r="AK329" s="1"/>
    </row>
    <row r="330" spans="2:37" x14ac:dyDescent="0.2">
      <c r="B330" s="365"/>
      <c r="AJ330" s="1"/>
      <c r="AK330" s="1"/>
    </row>
    <row r="331" spans="2:37" x14ac:dyDescent="0.2">
      <c r="B331" s="365"/>
      <c r="AJ331" s="1"/>
      <c r="AK331" s="1"/>
    </row>
    <row r="332" spans="2:37" x14ac:dyDescent="0.2">
      <c r="C332" s="17"/>
      <c r="D332" s="17"/>
      <c r="AJ332" s="1"/>
      <c r="AK332" s="1"/>
    </row>
    <row r="333" spans="2:37" x14ac:dyDescent="0.2">
      <c r="AJ333" s="1"/>
      <c r="AK333" s="1"/>
    </row>
    <row r="334" spans="2:37" x14ac:dyDescent="0.2">
      <c r="AJ334" s="1"/>
      <c r="AK334" s="1"/>
    </row>
    <row r="335" spans="2:37" x14ac:dyDescent="0.2">
      <c r="C335" s="8"/>
      <c r="D335" s="8"/>
      <c r="E335" s="8"/>
      <c r="F335" s="8"/>
      <c r="G335" s="8"/>
      <c r="H335" s="8"/>
      <c r="AJ335" s="1"/>
      <c r="AK335" s="1"/>
    </row>
    <row r="336" spans="2:37" x14ac:dyDescent="0.2">
      <c r="AJ336" s="1"/>
      <c r="AK336" s="1"/>
    </row>
    <row r="337" spans="2:37" x14ac:dyDescent="0.2">
      <c r="AJ337" s="1"/>
      <c r="AK337" s="1"/>
    </row>
    <row r="338" spans="2:37" x14ac:dyDescent="0.2">
      <c r="AJ338" s="1"/>
      <c r="AK338" s="1"/>
    </row>
    <row r="339" spans="2:37" x14ac:dyDescent="0.2">
      <c r="AJ339" s="1"/>
      <c r="AK339" s="1"/>
    </row>
    <row r="340" spans="2:37" x14ac:dyDescent="0.2">
      <c r="AJ340" s="1"/>
      <c r="AK340" s="1"/>
    </row>
    <row r="341" spans="2:37" x14ac:dyDescent="0.2">
      <c r="AJ341" s="1"/>
      <c r="AK341" s="1"/>
    </row>
    <row r="342" spans="2:37" x14ac:dyDescent="0.2">
      <c r="AJ342" s="1"/>
      <c r="AK342" s="1"/>
    </row>
    <row r="343" spans="2:37" x14ac:dyDescent="0.2">
      <c r="AJ343" s="1"/>
      <c r="AK343" s="1"/>
    </row>
    <row r="344" spans="2:37" x14ac:dyDescent="0.2">
      <c r="AJ344" s="1"/>
      <c r="AK344" s="1"/>
    </row>
    <row r="345" spans="2:37" x14ac:dyDescent="0.2">
      <c r="AJ345" s="1"/>
      <c r="AK345" s="1"/>
    </row>
    <row r="346" spans="2:37" x14ac:dyDescent="0.2">
      <c r="AJ346" s="1"/>
      <c r="AK346" s="1"/>
    </row>
    <row r="347" spans="2:37" x14ac:dyDescent="0.2">
      <c r="AJ347" s="1"/>
      <c r="AK347" s="1"/>
    </row>
    <row r="348" spans="2:37" x14ac:dyDescent="0.2">
      <c r="B348" s="35"/>
      <c r="AJ348" s="1"/>
      <c r="AK348" s="1"/>
    </row>
    <row r="349" spans="2:37" x14ac:dyDescent="0.2">
      <c r="B349" s="35"/>
      <c r="AJ349" s="1"/>
      <c r="AK349" s="1"/>
    </row>
    <row r="350" spans="2:37" x14ac:dyDescent="0.2">
      <c r="B350" s="35"/>
      <c r="AJ350" s="1"/>
      <c r="AK350" s="1"/>
    </row>
    <row r="351" spans="2:37" x14ac:dyDescent="0.2">
      <c r="B351" s="35"/>
      <c r="AJ351" s="1"/>
      <c r="AK351" s="1"/>
    </row>
    <row r="352" spans="2:37" x14ac:dyDescent="0.2">
      <c r="B352" s="35"/>
      <c r="AJ352" s="1"/>
      <c r="AK352" s="1"/>
    </row>
    <row r="353" spans="2:37" x14ac:dyDescent="0.2">
      <c r="B353" s="35"/>
      <c r="AJ353" s="1"/>
      <c r="AK353" s="1"/>
    </row>
    <row r="354" spans="2:37" x14ac:dyDescent="0.2">
      <c r="B354" s="35"/>
      <c r="AJ354" s="1"/>
      <c r="AK354" s="1"/>
    </row>
    <row r="355" spans="2:37" x14ac:dyDescent="0.2">
      <c r="B355" s="35"/>
      <c r="AJ355" s="1"/>
      <c r="AK355" s="1"/>
    </row>
    <row r="356" spans="2:37" x14ac:dyDescent="0.2">
      <c r="B356" s="35"/>
      <c r="AJ356" s="1"/>
      <c r="AK356" s="1"/>
    </row>
    <row r="357" spans="2:37" x14ac:dyDescent="0.2">
      <c r="B357" s="35"/>
      <c r="AJ357" s="1"/>
      <c r="AK357" s="1"/>
    </row>
    <row r="358" spans="2:37" x14ac:dyDescent="0.2">
      <c r="B358" s="35"/>
      <c r="AJ358" s="1"/>
      <c r="AK358" s="1"/>
    </row>
    <row r="359" spans="2:37" x14ac:dyDescent="0.2">
      <c r="B359" s="35"/>
      <c r="AJ359" s="1"/>
      <c r="AK359" s="1"/>
    </row>
    <row r="360" spans="2:37" x14ac:dyDescent="0.2">
      <c r="B360" s="35"/>
      <c r="AJ360" s="1"/>
      <c r="AK360" s="1"/>
    </row>
    <row r="361" spans="2:37" x14ac:dyDescent="0.2">
      <c r="B361" s="35"/>
      <c r="AJ361" s="1"/>
      <c r="AK361" s="1"/>
    </row>
    <row r="362" spans="2:37" x14ac:dyDescent="0.2">
      <c r="B362" s="35"/>
      <c r="AJ362" s="1"/>
      <c r="AK362" s="1"/>
    </row>
    <row r="363" spans="2:37" x14ac:dyDescent="0.2">
      <c r="B363" s="35"/>
      <c r="AJ363" s="1"/>
      <c r="AK363" s="1"/>
    </row>
    <row r="364" spans="2:37" x14ac:dyDescent="0.2">
      <c r="B364" s="35"/>
      <c r="AJ364" s="1"/>
      <c r="AK364" s="1"/>
    </row>
    <row r="365" spans="2:37" x14ac:dyDescent="0.2">
      <c r="B365" s="35"/>
      <c r="AJ365" s="1"/>
      <c r="AK365" s="1"/>
    </row>
    <row r="366" spans="2:37" x14ac:dyDescent="0.2">
      <c r="B366" s="35"/>
      <c r="AJ366" s="1"/>
      <c r="AK366" s="1"/>
    </row>
    <row r="367" spans="2:37" x14ac:dyDescent="0.2">
      <c r="B367" s="35"/>
      <c r="AJ367" s="1"/>
      <c r="AK367" s="1"/>
    </row>
    <row r="368" spans="2:37" x14ac:dyDescent="0.2">
      <c r="B368" s="35"/>
      <c r="AJ368" s="1"/>
      <c r="AK368" s="1"/>
    </row>
    <row r="369" spans="2:37" x14ac:dyDescent="0.2">
      <c r="B369" s="35"/>
      <c r="AJ369" s="1"/>
      <c r="AK369" s="1"/>
    </row>
    <row r="370" spans="2:37" x14ac:dyDescent="0.2">
      <c r="B370" s="35"/>
      <c r="AJ370" s="1"/>
      <c r="AK370" s="1"/>
    </row>
    <row r="371" spans="2:37" x14ac:dyDescent="0.2">
      <c r="B371" s="35"/>
      <c r="AJ371" s="1"/>
      <c r="AK371" s="1"/>
    </row>
    <row r="372" spans="2:37" x14ac:dyDescent="0.2">
      <c r="B372" s="35"/>
      <c r="AJ372" s="1"/>
      <c r="AK372" s="1"/>
    </row>
    <row r="373" spans="2:37" x14ac:dyDescent="0.2">
      <c r="B373" s="35"/>
      <c r="AJ373" s="1"/>
      <c r="AK373" s="1"/>
    </row>
    <row r="374" spans="2:37" x14ac:dyDescent="0.2">
      <c r="B374" s="35"/>
      <c r="AJ374" s="1"/>
      <c r="AK374" s="1"/>
    </row>
    <row r="375" spans="2:37" x14ac:dyDescent="0.2">
      <c r="B375" s="35"/>
      <c r="AJ375" s="1"/>
      <c r="AK375" s="1"/>
    </row>
    <row r="376" spans="2:37" x14ac:dyDescent="0.2">
      <c r="B376" s="35"/>
      <c r="AJ376" s="1"/>
      <c r="AK376" s="1"/>
    </row>
    <row r="377" spans="2:37" x14ac:dyDescent="0.2">
      <c r="B377" s="35"/>
      <c r="AJ377" s="1"/>
      <c r="AK377" s="1"/>
    </row>
    <row r="378" spans="2:37" x14ac:dyDescent="0.2">
      <c r="B378" s="35"/>
      <c r="AJ378" s="1"/>
      <c r="AK378" s="1"/>
    </row>
    <row r="379" spans="2:37" x14ac:dyDescent="0.2">
      <c r="B379" s="35"/>
      <c r="AJ379" s="1"/>
      <c r="AK379" s="1"/>
    </row>
    <row r="380" spans="2:37" x14ac:dyDescent="0.2">
      <c r="B380" s="35"/>
      <c r="AJ380" s="1"/>
      <c r="AK380" s="1"/>
    </row>
    <row r="381" spans="2:37" x14ac:dyDescent="0.2">
      <c r="B381" s="35"/>
      <c r="AJ381" s="1"/>
      <c r="AK381" s="1"/>
    </row>
    <row r="382" spans="2:37" x14ac:dyDescent="0.2">
      <c r="B382" s="36"/>
      <c r="AJ382" s="1"/>
      <c r="AK382" s="1"/>
    </row>
    <row r="383" spans="2:37" x14ac:dyDescent="0.2">
      <c r="B383" s="35"/>
      <c r="AJ383" s="1"/>
      <c r="AK383" s="1"/>
    </row>
    <row r="384" spans="2:37" x14ac:dyDescent="0.2">
      <c r="B384" s="35"/>
      <c r="AJ384" s="1"/>
      <c r="AK384" s="1"/>
    </row>
    <row r="385" spans="2:37" x14ac:dyDescent="0.2">
      <c r="B385" s="35"/>
      <c r="AJ385" s="1"/>
      <c r="AK385" s="1"/>
    </row>
    <row r="386" spans="2:37" x14ac:dyDescent="0.2">
      <c r="B386" s="35"/>
      <c r="AJ386" s="1"/>
      <c r="AK386" s="1"/>
    </row>
    <row r="387" spans="2:37" x14ac:dyDescent="0.2">
      <c r="B387" s="35"/>
      <c r="AJ387" s="1"/>
      <c r="AK387" s="1"/>
    </row>
    <row r="388" spans="2:37" x14ac:dyDescent="0.2">
      <c r="B388" s="36"/>
      <c r="AJ388" s="1"/>
      <c r="AK388" s="1"/>
    </row>
    <row r="389" spans="2:37" x14ac:dyDescent="0.2">
      <c r="B389" s="35"/>
      <c r="AJ389" s="1"/>
      <c r="AK389" s="1"/>
    </row>
    <row r="390" spans="2:37" x14ac:dyDescent="0.2">
      <c r="B390" s="35"/>
      <c r="AJ390" s="1"/>
      <c r="AK390" s="1"/>
    </row>
    <row r="391" spans="2:37" x14ac:dyDescent="0.2">
      <c r="B391" s="35"/>
      <c r="AJ391" s="1"/>
      <c r="AK391" s="1"/>
    </row>
    <row r="392" spans="2:37" x14ac:dyDescent="0.2">
      <c r="B392" s="35"/>
      <c r="AJ392" s="1"/>
      <c r="AK392" s="1"/>
    </row>
    <row r="393" spans="2:37" x14ac:dyDescent="0.2">
      <c r="B393" s="35"/>
      <c r="AJ393" s="1"/>
      <c r="AK393" s="1"/>
    </row>
    <row r="394" spans="2:37" x14ac:dyDescent="0.2">
      <c r="B394" s="35"/>
      <c r="AJ394" s="1"/>
      <c r="AK394" s="1"/>
    </row>
    <row r="395" spans="2:37" x14ac:dyDescent="0.2">
      <c r="AJ395" s="1"/>
      <c r="AK395" s="1"/>
    </row>
    <row r="396" spans="2:37" x14ac:dyDescent="0.2">
      <c r="AJ396" s="1"/>
      <c r="AK396" s="1"/>
    </row>
    <row r="397" spans="2:37" x14ac:dyDescent="0.2">
      <c r="AJ397" s="1"/>
      <c r="AK397" s="1"/>
    </row>
    <row r="398" spans="2:37" x14ac:dyDescent="0.2">
      <c r="AJ398" s="1"/>
      <c r="AK398" s="1"/>
    </row>
    <row r="399" spans="2:37" x14ac:dyDescent="0.2">
      <c r="AJ399" s="1"/>
      <c r="AK399" s="1"/>
    </row>
    <row r="400" spans="2:37" x14ac:dyDescent="0.2">
      <c r="AJ400" s="1"/>
      <c r="AK400" s="1"/>
    </row>
    <row r="401" spans="36:37" x14ac:dyDescent="0.2">
      <c r="AJ401" s="1"/>
      <c r="AK401" s="1"/>
    </row>
    <row r="402" spans="36:37" x14ac:dyDescent="0.2">
      <c r="AJ402" s="1"/>
      <c r="AK402" s="1"/>
    </row>
    <row r="403" spans="36:37" x14ac:dyDescent="0.2">
      <c r="AJ403" s="1"/>
      <c r="AK403" s="1"/>
    </row>
    <row r="404" spans="36:37" x14ac:dyDescent="0.2">
      <c r="AJ404" s="1"/>
      <c r="AK404" s="1"/>
    </row>
    <row r="405" spans="36:37" x14ac:dyDescent="0.2">
      <c r="AJ405" s="1"/>
      <c r="AK405" s="1"/>
    </row>
    <row r="406" spans="36:37" x14ac:dyDescent="0.2">
      <c r="AJ406" s="1"/>
      <c r="AK406" s="1"/>
    </row>
    <row r="407" spans="36:37" x14ac:dyDescent="0.2">
      <c r="AJ407" s="1"/>
      <c r="AK407" s="1"/>
    </row>
    <row r="408" spans="36:37" x14ac:dyDescent="0.2">
      <c r="AJ408" s="1"/>
      <c r="AK408" s="1"/>
    </row>
    <row r="409" spans="36:37" x14ac:dyDescent="0.2">
      <c r="AJ409" s="1"/>
      <c r="AK409" s="1"/>
    </row>
    <row r="410" spans="36:37" x14ac:dyDescent="0.2">
      <c r="AJ410" s="1"/>
      <c r="AK410" s="1"/>
    </row>
    <row r="411" spans="36:37" x14ac:dyDescent="0.2">
      <c r="AJ411" s="1"/>
      <c r="AK411" s="1"/>
    </row>
    <row r="412" spans="36:37" x14ac:dyDescent="0.2">
      <c r="AJ412" s="1"/>
      <c r="AK412" s="1"/>
    </row>
    <row r="413" spans="36:37" x14ac:dyDescent="0.2">
      <c r="AJ413" s="1"/>
      <c r="AK413" s="1"/>
    </row>
    <row r="414" spans="36:37" x14ac:dyDescent="0.2">
      <c r="AJ414" s="1"/>
      <c r="AK414" s="1"/>
    </row>
    <row r="415" spans="36:37" x14ac:dyDescent="0.2">
      <c r="AJ415" s="1"/>
      <c r="AK415" s="1"/>
    </row>
    <row r="416" spans="36:37" x14ac:dyDescent="0.2">
      <c r="AJ416" s="1"/>
      <c r="AK416" s="1"/>
    </row>
    <row r="417" spans="36:37" x14ac:dyDescent="0.2">
      <c r="AJ417" s="1"/>
      <c r="AK417" s="1"/>
    </row>
    <row r="418" spans="36:37" x14ac:dyDescent="0.2">
      <c r="AJ418" s="1"/>
      <c r="AK418" s="1"/>
    </row>
    <row r="419" spans="36:37" x14ac:dyDescent="0.2">
      <c r="AJ419" s="1"/>
      <c r="AK419" s="1"/>
    </row>
    <row r="420" spans="36:37" x14ac:dyDescent="0.2">
      <c r="AJ420" s="1"/>
      <c r="AK420" s="1"/>
    </row>
    <row r="421" spans="36:37" x14ac:dyDescent="0.2">
      <c r="AJ421" s="1"/>
      <c r="AK421" s="1"/>
    </row>
    <row r="422" spans="36:37" x14ac:dyDescent="0.2">
      <c r="AJ422" s="1"/>
      <c r="AK422" s="1"/>
    </row>
    <row r="423" spans="36:37" x14ac:dyDescent="0.2">
      <c r="AJ423" s="1"/>
      <c r="AK423" s="1"/>
    </row>
    <row r="424" spans="36:37" x14ac:dyDescent="0.2">
      <c r="AJ424" s="1"/>
      <c r="AK424" s="1"/>
    </row>
    <row r="425" spans="36:37" x14ac:dyDescent="0.2">
      <c r="AJ425" s="1"/>
      <c r="AK425" s="1"/>
    </row>
    <row r="426" spans="36:37" x14ac:dyDescent="0.2">
      <c r="AJ426" s="1"/>
      <c r="AK426" s="1"/>
    </row>
    <row r="427" spans="36:37" x14ac:dyDescent="0.2">
      <c r="AJ427" s="1"/>
      <c r="AK427" s="1"/>
    </row>
    <row r="428" spans="36:37" x14ac:dyDescent="0.2">
      <c r="AJ428" s="1"/>
      <c r="AK428" s="1"/>
    </row>
    <row r="429" spans="36:37" x14ac:dyDescent="0.2">
      <c r="AJ429" s="1"/>
      <c r="AK429" s="1"/>
    </row>
    <row r="430" spans="36:37" x14ac:dyDescent="0.2">
      <c r="AJ430" s="1"/>
      <c r="AK430" s="1"/>
    </row>
    <row r="431" spans="36:37" x14ac:dyDescent="0.2">
      <c r="AJ431" s="1"/>
      <c r="AK431" s="1"/>
    </row>
    <row r="432" spans="36:37" x14ac:dyDescent="0.2">
      <c r="AJ432" s="1"/>
      <c r="AK432" s="1"/>
    </row>
    <row r="433" spans="36:37" x14ac:dyDescent="0.2">
      <c r="AJ433" s="1"/>
      <c r="AK433" s="1"/>
    </row>
    <row r="434" spans="36:37" x14ac:dyDescent="0.2">
      <c r="AJ434" s="1"/>
      <c r="AK434" s="1"/>
    </row>
    <row r="435" spans="36:37" x14ac:dyDescent="0.2">
      <c r="AJ435" s="1"/>
      <c r="AK435" s="1"/>
    </row>
    <row r="436" spans="36:37" x14ac:dyDescent="0.2">
      <c r="AJ436" s="1"/>
      <c r="AK436" s="1"/>
    </row>
    <row r="437" spans="36:37" x14ac:dyDescent="0.2">
      <c r="AJ437" s="1"/>
      <c r="AK437" s="1"/>
    </row>
    <row r="438" spans="36:37" x14ac:dyDescent="0.2">
      <c r="AJ438" s="1"/>
      <c r="AK438" s="1"/>
    </row>
    <row r="439" spans="36:37" x14ac:dyDescent="0.2">
      <c r="AJ439" s="1"/>
      <c r="AK439" s="1"/>
    </row>
    <row r="440" spans="36:37" x14ac:dyDescent="0.2">
      <c r="AJ440" s="1"/>
      <c r="AK440" s="1"/>
    </row>
    <row r="441" spans="36:37" x14ac:dyDescent="0.2">
      <c r="AJ441" s="1"/>
      <c r="AK441" s="1"/>
    </row>
    <row r="442" spans="36:37" x14ac:dyDescent="0.2">
      <c r="AJ442" s="1"/>
      <c r="AK442" s="1"/>
    </row>
    <row r="443" spans="36:37" x14ac:dyDescent="0.2">
      <c r="AJ443" s="1"/>
      <c r="AK443" s="1"/>
    </row>
    <row r="444" spans="36:37" x14ac:dyDescent="0.2">
      <c r="AJ444" s="1"/>
      <c r="AK444" s="1"/>
    </row>
    <row r="445" spans="36:37" x14ac:dyDescent="0.2">
      <c r="AJ445" s="1"/>
      <c r="AK445" s="1"/>
    </row>
    <row r="446" spans="36:37" x14ac:dyDescent="0.2">
      <c r="AJ446" s="1"/>
      <c r="AK446" s="1"/>
    </row>
    <row r="447" spans="36:37" x14ac:dyDescent="0.2">
      <c r="AJ447" s="1"/>
      <c r="AK447" s="1"/>
    </row>
    <row r="448" spans="36:37" x14ac:dyDescent="0.2">
      <c r="AJ448" s="1"/>
      <c r="AK448" s="1"/>
    </row>
    <row r="449" spans="36:37" x14ac:dyDescent="0.2">
      <c r="AJ449" s="1"/>
      <c r="AK449" s="1"/>
    </row>
    <row r="450" spans="36:37" x14ac:dyDescent="0.2">
      <c r="AJ450" s="1"/>
      <c r="AK450" s="1"/>
    </row>
    <row r="451" spans="36:37" x14ac:dyDescent="0.2">
      <c r="AJ451" s="1"/>
      <c r="AK451" s="1"/>
    </row>
    <row r="452" spans="36:37" x14ac:dyDescent="0.2">
      <c r="AJ452" s="1"/>
      <c r="AK452" s="1"/>
    </row>
    <row r="453" spans="36:37" x14ac:dyDescent="0.2">
      <c r="AJ453" s="1"/>
      <c r="AK453" s="1"/>
    </row>
    <row r="454" spans="36:37" x14ac:dyDescent="0.2">
      <c r="AJ454" s="1"/>
      <c r="AK454" s="1"/>
    </row>
    <row r="455" spans="36:37" x14ac:dyDescent="0.2">
      <c r="AJ455" s="1"/>
      <c r="AK455" s="1"/>
    </row>
    <row r="456" spans="36:37" x14ac:dyDescent="0.2">
      <c r="AJ456" s="1"/>
      <c r="AK456" s="1"/>
    </row>
    <row r="457" spans="36:37" x14ac:dyDescent="0.2">
      <c r="AJ457" s="1"/>
      <c r="AK457" s="1"/>
    </row>
    <row r="458" spans="36:37" x14ac:dyDescent="0.2">
      <c r="AJ458" s="1"/>
      <c r="AK458" s="1"/>
    </row>
    <row r="459" spans="36:37" x14ac:dyDescent="0.2">
      <c r="AJ459" s="1"/>
      <c r="AK459" s="1"/>
    </row>
    <row r="460" spans="36:37" x14ac:dyDescent="0.2">
      <c r="AJ460" s="1"/>
      <c r="AK460" s="1"/>
    </row>
    <row r="461" spans="36:37" x14ac:dyDescent="0.2">
      <c r="AJ461" s="1"/>
      <c r="AK461" s="1"/>
    </row>
    <row r="462" spans="36:37" x14ac:dyDescent="0.2">
      <c r="AJ462" s="1"/>
      <c r="AK462" s="1"/>
    </row>
    <row r="463" spans="36:37" x14ac:dyDescent="0.2">
      <c r="AJ463" s="1"/>
      <c r="AK463" s="1"/>
    </row>
    <row r="464" spans="36:37" x14ac:dyDescent="0.2">
      <c r="AJ464" s="1"/>
      <c r="AK464" s="1"/>
    </row>
    <row r="465" spans="36:37" x14ac:dyDescent="0.2">
      <c r="AJ465" s="1"/>
      <c r="AK465" s="1"/>
    </row>
    <row r="466" spans="36:37" x14ac:dyDescent="0.2">
      <c r="AJ466" s="1"/>
      <c r="AK466" s="1"/>
    </row>
    <row r="467" spans="36:37" x14ac:dyDescent="0.2">
      <c r="AJ467" s="1"/>
      <c r="AK467" s="1"/>
    </row>
    <row r="468" spans="36:37" x14ac:dyDescent="0.2">
      <c r="AJ468" s="1"/>
      <c r="AK468" s="1"/>
    </row>
    <row r="469" spans="36:37" x14ac:dyDescent="0.2">
      <c r="AJ469" s="1"/>
      <c r="AK469" s="1"/>
    </row>
    <row r="470" spans="36:37" x14ac:dyDescent="0.2">
      <c r="AJ470" s="1"/>
      <c r="AK470" s="1"/>
    </row>
    <row r="471" spans="36:37" x14ac:dyDescent="0.2">
      <c r="AJ471" s="1"/>
      <c r="AK471" s="1"/>
    </row>
    <row r="472" spans="36:37" x14ac:dyDescent="0.2">
      <c r="AJ472" s="1"/>
      <c r="AK472" s="1"/>
    </row>
    <row r="473" spans="36:37" x14ac:dyDescent="0.2">
      <c r="AJ473" s="1"/>
      <c r="AK473" s="1"/>
    </row>
    <row r="474" spans="36:37" x14ac:dyDescent="0.2">
      <c r="AJ474" s="1"/>
      <c r="AK474" s="1"/>
    </row>
    <row r="475" spans="36:37" x14ac:dyDescent="0.2">
      <c r="AJ475" s="1"/>
      <c r="AK475" s="1"/>
    </row>
    <row r="476" spans="36:37" x14ac:dyDescent="0.2">
      <c r="AJ476" s="1"/>
      <c r="AK476" s="1"/>
    </row>
    <row r="477" spans="36:37" x14ac:dyDescent="0.2">
      <c r="AJ477" s="1"/>
      <c r="AK477" s="1"/>
    </row>
    <row r="478" spans="36:37" x14ac:dyDescent="0.2">
      <c r="AJ478" s="1"/>
      <c r="AK478" s="1"/>
    </row>
    <row r="479" spans="36:37" x14ac:dyDescent="0.2">
      <c r="AJ479" s="1"/>
      <c r="AK479" s="1"/>
    </row>
    <row r="480" spans="36:37" x14ac:dyDescent="0.2">
      <c r="AJ480" s="1"/>
      <c r="AK480" s="1"/>
    </row>
    <row r="481" spans="36:37" x14ac:dyDescent="0.2">
      <c r="AJ481" s="1"/>
      <c r="AK481" s="1"/>
    </row>
    <row r="482" spans="36:37" x14ac:dyDescent="0.2">
      <c r="AJ482" s="1"/>
      <c r="AK482" s="1"/>
    </row>
    <row r="483" spans="36:37" x14ac:dyDescent="0.2">
      <c r="AJ483" s="1"/>
      <c r="AK483" s="1"/>
    </row>
    <row r="484" spans="36:37" x14ac:dyDescent="0.2">
      <c r="AJ484" s="1"/>
      <c r="AK484" s="1"/>
    </row>
    <row r="485" spans="36:37" x14ac:dyDescent="0.2">
      <c r="AJ485" s="1"/>
      <c r="AK485" s="1"/>
    </row>
    <row r="486" spans="36:37" x14ac:dyDescent="0.2">
      <c r="AJ486" s="1"/>
      <c r="AK486" s="1"/>
    </row>
    <row r="487" spans="36:37" x14ac:dyDescent="0.2">
      <c r="AJ487" s="1"/>
      <c r="AK487" s="1"/>
    </row>
    <row r="488" spans="36:37" x14ac:dyDescent="0.2">
      <c r="AJ488" s="1"/>
      <c r="AK488" s="1"/>
    </row>
    <row r="489" spans="36:37" x14ac:dyDescent="0.2">
      <c r="AJ489" s="1"/>
      <c r="AK489" s="1"/>
    </row>
    <row r="490" spans="36:37" x14ac:dyDescent="0.2">
      <c r="AJ490" s="1"/>
      <c r="AK490" s="1"/>
    </row>
    <row r="491" spans="36:37" x14ac:dyDescent="0.2">
      <c r="AJ491" s="1"/>
      <c r="AK491" s="1"/>
    </row>
    <row r="492" spans="36:37" x14ac:dyDescent="0.2">
      <c r="AJ492" s="1"/>
      <c r="AK492" s="1"/>
    </row>
    <row r="493" spans="36:37" x14ac:dyDescent="0.2">
      <c r="AJ493" s="1"/>
      <c r="AK493" s="1"/>
    </row>
    <row r="494" spans="36:37" x14ac:dyDescent="0.2">
      <c r="AJ494" s="1"/>
      <c r="AK494" s="1"/>
    </row>
    <row r="495" spans="36:37" x14ac:dyDescent="0.2">
      <c r="AJ495" s="1"/>
      <c r="AK495" s="1"/>
    </row>
    <row r="496" spans="36:37" x14ac:dyDescent="0.2">
      <c r="AJ496" s="1"/>
      <c r="AK496" s="1"/>
    </row>
    <row r="497" spans="36:37" x14ac:dyDescent="0.2">
      <c r="AJ497" s="1"/>
      <c r="AK497" s="1"/>
    </row>
    <row r="498" spans="36:37" x14ac:dyDescent="0.2">
      <c r="AJ498" s="1"/>
      <c r="AK498" s="1"/>
    </row>
    <row r="499" spans="36:37" x14ac:dyDescent="0.2">
      <c r="AJ499" s="1"/>
      <c r="AK499" s="1"/>
    </row>
    <row r="500" spans="36:37" x14ac:dyDescent="0.2">
      <c r="AJ500" s="1"/>
      <c r="AK500" s="1"/>
    </row>
    <row r="501" spans="36:37" x14ac:dyDescent="0.2">
      <c r="AJ501" s="1"/>
      <c r="AK501" s="1"/>
    </row>
    <row r="502" spans="36:37" x14ac:dyDescent="0.2">
      <c r="AJ502" s="1"/>
      <c r="AK502" s="1"/>
    </row>
    <row r="503" spans="36:37" x14ac:dyDescent="0.2">
      <c r="AJ503" s="1"/>
      <c r="AK503" s="1"/>
    </row>
    <row r="504" spans="36:37" x14ac:dyDescent="0.2">
      <c r="AJ504" s="1"/>
      <c r="AK504" s="1"/>
    </row>
    <row r="505" spans="36:37" x14ac:dyDescent="0.2">
      <c r="AJ505" s="1"/>
      <c r="AK505" s="1"/>
    </row>
    <row r="506" spans="36:37" x14ac:dyDescent="0.2">
      <c r="AJ506" s="1"/>
      <c r="AK506" s="1"/>
    </row>
    <row r="507" spans="36:37" x14ac:dyDescent="0.2">
      <c r="AJ507" s="1"/>
      <c r="AK507" s="1"/>
    </row>
    <row r="508" spans="36:37" x14ac:dyDescent="0.2">
      <c r="AJ508" s="1"/>
      <c r="AK508" s="1"/>
    </row>
    <row r="509" spans="36:37" x14ac:dyDescent="0.2">
      <c r="AJ509" s="1"/>
      <c r="AK509" s="1"/>
    </row>
    <row r="510" spans="36:37" x14ac:dyDescent="0.2">
      <c r="AJ510" s="1"/>
      <c r="AK510" s="1"/>
    </row>
    <row r="511" spans="36:37" x14ac:dyDescent="0.2">
      <c r="AJ511" s="1"/>
      <c r="AK511" s="1"/>
    </row>
    <row r="512" spans="36:37" x14ac:dyDescent="0.2">
      <c r="AJ512" s="1"/>
      <c r="AK512" s="1"/>
    </row>
    <row r="513" spans="36:37" x14ac:dyDescent="0.2">
      <c r="AJ513" s="1"/>
      <c r="AK513" s="1"/>
    </row>
    <row r="514" spans="36:37" x14ac:dyDescent="0.2">
      <c r="AJ514" s="1"/>
      <c r="AK514" s="1"/>
    </row>
    <row r="515" spans="36:37" x14ac:dyDescent="0.2">
      <c r="AJ515" s="1"/>
      <c r="AK515" s="1"/>
    </row>
    <row r="516" spans="36:37" x14ac:dyDescent="0.2">
      <c r="AJ516" s="1"/>
      <c r="AK516" s="1"/>
    </row>
    <row r="517" spans="36:37" x14ac:dyDescent="0.2">
      <c r="AJ517" s="1"/>
      <c r="AK517" s="1"/>
    </row>
    <row r="518" spans="36:37" x14ac:dyDescent="0.2">
      <c r="AJ518" s="1"/>
      <c r="AK518" s="1"/>
    </row>
    <row r="519" spans="36:37" x14ac:dyDescent="0.2">
      <c r="AJ519" s="1"/>
      <c r="AK519" s="1"/>
    </row>
    <row r="520" spans="36:37" x14ac:dyDescent="0.2">
      <c r="AJ520" s="1"/>
      <c r="AK520" s="1"/>
    </row>
    <row r="521" spans="36:37" x14ac:dyDescent="0.2">
      <c r="AJ521" s="1"/>
      <c r="AK521" s="1"/>
    </row>
    <row r="522" spans="36:37" x14ac:dyDescent="0.2">
      <c r="AJ522" s="1"/>
      <c r="AK522" s="1"/>
    </row>
    <row r="523" spans="36:37" x14ac:dyDescent="0.2">
      <c r="AJ523" s="1"/>
      <c r="AK523" s="1"/>
    </row>
    <row r="524" spans="36:37" x14ac:dyDescent="0.2">
      <c r="AJ524" s="1"/>
      <c r="AK524" s="1"/>
    </row>
    <row r="525" spans="36:37" x14ac:dyDescent="0.2">
      <c r="AJ525" s="1"/>
      <c r="AK525" s="1"/>
    </row>
    <row r="526" spans="36:37" x14ac:dyDescent="0.2">
      <c r="AJ526" s="1"/>
      <c r="AK526" s="1"/>
    </row>
    <row r="527" spans="36:37" x14ac:dyDescent="0.2">
      <c r="AJ527" s="1"/>
      <c r="AK527" s="1"/>
    </row>
    <row r="528" spans="36:37" x14ac:dyDescent="0.2">
      <c r="AJ528" s="1"/>
      <c r="AK528" s="1"/>
    </row>
    <row r="529" spans="36:37" x14ac:dyDescent="0.2">
      <c r="AJ529" s="1"/>
      <c r="AK529" s="1"/>
    </row>
    <row r="530" spans="36:37" x14ac:dyDescent="0.2">
      <c r="AJ530" s="1"/>
      <c r="AK530" s="1"/>
    </row>
    <row r="531" spans="36:37" x14ac:dyDescent="0.2">
      <c r="AJ531" s="1"/>
      <c r="AK531" s="1"/>
    </row>
    <row r="532" spans="36:37" x14ac:dyDescent="0.2">
      <c r="AJ532" s="1"/>
      <c r="AK532" s="1"/>
    </row>
    <row r="533" spans="36:37" x14ac:dyDescent="0.2">
      <c r="AJ533" s="1"/>
      <c r="AK533" s="1"/>
    </row>
    <row r="534" spans="36:37" x14ac:dyDescent="0.2">
      <c r="AJ534" s="1"/>
      <c r="AK534" s="1"/>
    </row>
    <row r="535" spans="36:37" x14ac:dyDescent="0.2">
      <c r="AJ535" s="1"/>
      <c r="AK535" s="1"/>
    </row>
    <row r="536" spans="36:37" x14ac:dyDescent="0.2">
      <c r="AJ536" s="1"/>
      <c r="AK536" s="1"/>
    </row>
    <row r="537" spans="36:37" x14ac:dyDescent="0.2">
      <c r="AJ537" s="1"/>
      <c r="AK537" s="1"/>
    </row>
    <row r="538" spans="36:37" x14ac:dyDescent="0.2">
      <c r="AJ538" s="1"/>
      <c r="AK538" s="1"/>
    </row>
    <row r="539" spans="36:37" x14ac:dyDescent="0.2">
      <c r="AJ539" s="1"/>
      <c r="AK539" s="1"/>
    </row>
    <row r="540" spans="36:37" x14ac:dyDescent="0.2">
      <c r="AJ540" s="1"/>
      <c r="AK540" s="1"/>
    </row>
    <row r="541" spans="36:37" x14ac:dyDescent="0.2">
      <c r="AJ541" s="1"/>
      <c r="AK541" s="1"/>
    </row>
    <row r="542" spans="36:37" x14ac:dyDescent="0.2">
      <c r="AJ542" s="1"/>
      <c r="AK542" s="1"/>
    </row>
    <row r="543" spans="36:37" x14ac:dyDescent="0.2">
      <c r="AJ543" s="1"/>
      <c r="AK543" s="1"/>
    </row>
    <row r="544" spans="36:37" x14ac:dyDescent="0.2">
      <c r="AJ544" s="1"/>
      <c r="AK544" s="1"/>
    </row>
    <row r="545" spans="36:37" x14ac:dyDescent="0.2">
      <c r="AJ545" s="1"/>
      <c r="AK545" s="1"/>
    </row>
    <row r="546" spans="36:37" x14ac:dyDescent="0.2">
      <c r="AJ546" s="1"/>
      <c r="AK546" s="1"/>
    </row>
    <row r="547" spans="36:37" x14ac:dyDescent="0.2">
      <c r="AJ547" s="1"/>
      <c r="AK547" s="1"/>
    </row>
    <row r="548" spans="36:37" x14ac:dyDescent="0.2">
      <c r="AJ548" s="1"/>
      <c r="AK548" s="1"/>
    </row>
    <row r="549" spans="36:37" x14ac:dyDescent="0.2">
      <c r="AJ549" s="1"/>
      <c r="AK549" s="1"/>
    </row>
    <row r="550" spans="36:37" x14ac:dyDescent="0.2">
      <c r="AJ550" s="1"/>
      <c r="AK550" s="1"/>
    </row>
    <row r="551" spans="36:37" x14ac:dyDescent="0.2">
      <c r="AJ551" s="1"/>
      <c r="AK551" s="1"/>
    </row>
    <row r="552" spans="36:37" x14ac:dyDescent="0.2">
      <c r="AJ552" s="1"/>
      <c r="AK552" s="1"/>
    </row>
    <row r="553" spans="36:37" x14ac:dyDescent="0.2">
      <c r="AJ553" s="1"/>
      <c r="AK553" s="1"/>
    </row>
    <row r="554" spans="36:37" x14ac:dyDescent="0.2">
      <c r="AJ554" s="1"/>
      <c r="AK554" s="1"/>
    </row>
    <row r="555" spans="36:37" x14ac:dyDescent="0.2">
      <c r="AJ555" s="1"/>
      <c r="AK555" s="1"/>
    </row>
    <row r="556" spans="36:37" x14ac:dyDescent="0.2">
      <c r="AJ556" s="1"/>
      <c r="AK556" s="1"/>
    </row>
    <row r="557" spans="36:37" x14ac:dyDescent="0.2">
      <c r="AJ557" s="1"/>
      <c r="AK557" s="1"/>
    </row>
    <row r="558" spans="36:37" x14ac:dyDescent="0.2">
      <c r="AJ558" s="1"/>
      <c r="AK558" s="1"/>
    </row>
    <row r="559" spans="36:37" x14ac:dyDescent="0.2">
      <c r="AJ559" s="1"/>
      <c r="AK559" s="1"/>
    </row>
    <row r="560" spans="36:37" x14ac:dyDescent="0.2">
      <c r="AJ560" s="1"/>
      <c r="AK560" s="1"/>
    </row>
    <row r="561" spans="36:37" x14ac:dyDescent="0.2">
      <c r="AJ561" s="1"/>
      <c r="AK561" s="1"/>
    </row>
    <row r="562" spans="36:37" x14ac:dyDescent="0.2">
      <c r="AJ562" s="1"/>
      <c r="AK562" s="1"/>
    </row>
    <row r="563" spans="36:37" x14ac:dyDescent="0.2">
      <c r="AJ563" s="1"/>
      <c r="AK563" s="1"/>
    </row>
    <row r="564" spans="36:37" x14ac:dyDescent="0.2">
      <c r="AJ564" s="1"/>
      <c r="AK564" s="1"/>
    </row>
    <row r="565" spans="36:37" x14ac:dyDescent="0.2">
      <c r="AJ565" s="1"/>
      <c r="AK565" s="1"/>
    </row>
    <row r="566" spans="36:37" x14ac:dyDescent="0.2">
      <c r="AJ566" s="1"/>
      <c r="AK566" s="1"/>
    </row>
    <row r="567" spans="36:37" x14ac:dyDescent="0.2">
      <c r="AJ567" s="1"/>
      <c r="AK567" s="1"/>
    </row>
    <row r="568" spans="36:37" x14ac:dyDescent="0.2">
      <c r="AJ568" s="1"/>
      <c r="AK568" s="1"/>
    </row>
    <row r="569" spans="36:37" x14ac:dyDescent="0.2">
      <c r="AJ569" s="1"/>
      <c r="AK569" s="1"/>
    </row>
    <row r="570" spans="36:37" x14ac:dyDescent="0.2">
      <c r="AJ570" s="1"/>
      <c r="AK570" s="1"/>
    </row>
    <row r="571" spans="36:37" x14ac:dyDescent="0.2">
      <c r="AJ571" s="1"/>
      <c r="AK571" s="1"/>
    </row>
    <row r="572" spans="36:37" x14ac:dyDescent="0.2">
      <c r="AJ572" s="1"/>
      <c r="AK572" s="1"/>
    </row>
    <row r="573" spans="36:37" x14ac:dyDescent="0.2">
      <c r="AJ573" s="1"/>
      <c r="AK573" s="1"/>
    </row>
    <row r="574" spans="36:37" x14ac:dyDescent="0.2">
      <c r="AJ574" s="1"/>
      <c r="AK574" s="1"/>
    </row>
    <row r="575" spans="36:37" x14ac:dyDescent="0.2">
      <c r="AJ575" s="1"/>
      <c r="AK575" s="1"/>
    </row>
    <row r="576" spans="36:37" x14ac:dyDescent="0.2">
      <c r="AJ576" s="1"/>
      <c r="AK576" s="1"/>
    </row>
    <row r="577" spans="36:37" x14ac:dyDescent="0.2">
      <c r="AJ577" s="1"/>
      <c r="AK577" s="1"/>
    </row>
    <row r="578" spans="36:37" x14ac:dyDescent="0.2">
      <c r="AJ578" s="1"/>
      <c r="AK578" s="1"/>
    </row>
    <row r="579" spans="36:37" x14ac:dyDescent="0.2">
      <c r="AJ579" s="1"/>
      <c r="AK579" s="1"/>
    </row>
    <row r="580" spans="36:37" x14ac:dyDescent="0.2">
      <c r="AJ580" s="1"/>
      <c r="AK580" s="1"/>
    </row>
    <row r="581" spans="36:37" x14ac:dyDescent="0.2">
      <c r="AJ581" s="1"/>
      <c r="AK581" s="1"/>
    </row>
    <row r="582" spans="36:37" x14ac:dyDescent="0.2">
      <c r="AJ582" s="1"/>
      <c r="AK582" s="1"/>
    </row>
    <row r="583" spans="36:37" x14ac:dyDescent="0.2">
      <c r="AJ583" s="1"/>
      <c r="AK583" s="1"/>
    </row>
    <row r="584" spans="36:37" x14ac:dyDescent="0.2">
      <c r="AJ584" s="1"/>
      <c r="AK584" s="1"/>
    </row>
    <row r="585" spans="36:37" x14ac:dyDescent="0.2">
      <c r="AJ585" s="1"/>
      <c r="AK585" s="1"/>
    </row>
    <row r="586" spans="36:37" x14ac:dyDescent="0.2">
      <c r="AJ586" s="1"/>
      <c r="AK586" s="1"/>
    </row>
    <row r="587" spans="36:37" x14ac:dyDescent="0.2">
      <c r="AJ587" s="1"/>
      <c r="AK587" s="1"/>
    </row>
    <row r="588" spans="36:37" x14ac:dyDescent="0.2">
      <c r="AJ588" s="1"/>
      <c r="AK588" s="1"/>
    </row>
    <row r="589" spans="36:37" x14ac:dyDescent="0.2">
      <c r="AJ589" s="1"/>
      <c r="AK589" s="1"/>
    </row>
    <row r="590" spans="36:37" x14ac:dyDescent="0.2">
      <c r="AJ590" s="1"/>
      <c r="AK590" s="1"/>
    </row>
    <row r="591" spans="36:37" x14ac:dyDescent="0.2">
      <c r="AJ591" s="1"/>
      <c r="AK591" s="1"/>
    </row>
    <row r="592" spans="36:37" x14ac:dyDescent="0.2">
      <c r="AJ592" s="1"/>
      <c r="AK592" s="1"/>
    </row>
    <row r="593" spans="36:37" x14ac:dyDescent="0.2">
      <c r="AJ593" s="1"/>
      <c r="AK593" s="1"/>
    </row>
    <row r="594" spans="36:37" x14ac:dyDescent="0.2">
      <c r="AJ594" s="1"/>
      <c r="AK594" s="1"/>
    </row>
    <row r="595" spans="36:37" x14ac:dyDescent="0.2">
      <c r="AJ595" s="1"/>
      <c r="AK595" s="1"/>
    </row>
    <row r="596" spans="36:37" x14ac:dyDescent="0.2">
      <c r="AJ596" s="1"/>
      <c r="AK596" s="1"/>
    </row>
    <row r="597" spans="36:37" x14ac:dyDescent="0.2">
      <c r="AJ597" s="1"/>
      <c r="AK597" s="1"/>
    </row>
    <row r="598" spans="36:37" x14ac:dyDescent="0.2">
      <c r="AJ598" s="1"/>
      <c r="AK598" s="1"/>
    </row>
    <row r="599" spans="36:37" x14ac:dyDescent="0.2">
      <c r="AJ599" s="1"/>
      <c r="AK599" s="1"/>
    </row>
    <row r="600" spans="36:37" x14ac:dyDescent="0.2">
      <c r="AJ600" s="1"/>
      <c r="AK600" s="1"/>
    </row>
    <row r="601" spans="36:37" x14ac:dyDescent="0.2">
      <c r="AJ601" s="1"/>
      <c r="AK601" s="1"/>
    </row>
    <row r="602" spans="36:37" x14ac:dyDescent="0.2">
      <c r="AJ602" s="1"/>
      <c r="AK602" s="1"/>
    </row>
    <row r="603" spans="36:37" x14ac:dyDescent="0.2">
      <c r="AJ603" s="1"/>
      <c r="AK603" s="1"/>
    </row>
    <row r="604" spans="36:37" x14ac:dyDescent="0.2">
      <c r="AJ604" s="1"/>
      <c r="AK604" s="1"/>
    </row>
    <row r="605" spans="36:37" x14ac:dyDescent="0.2">
      <c r="AJ605" s="1"/>
      <c r="AK605" s="1"/>
    </row>
    <row r="606" spans="36:37" x14ac:dyDescent="0.2">
      <c r="AJ606" s="1"/>
      <c r="AK606" s="1"/>
    </row>
    <row r="607" spans="36:37" x14ac:dyDescent="0.2">
      <c r="AJ607" s="1"/>
      <c r="AK607" s="1"/>
    </row>
    <row r="608" spans="36:37" x14ac:dyDescent="0.2">
      <c r="AJ608" s="1"/>
      <c r="AK608" s="1"/>
    </row>
    <row r="609" spans="36:37" x14ac:dyDescent="0.2">
      <c r="AJ609" s="1"/>
      <c r="AK609" s="1"/>
    </row>
    <row r="610" spans="36:37" x14ac:dyDescent="0.2">
      <c r="AJ610" s="1"/>
      <c r="AK610" s="1"/>
    </row>
    <row r="611" spans="36:37" x14ac:dyDescent="0.2">
      <c r="AJ611" s="1"/>
      <c r="AK611" s="1"/>
    </row>
    <row r="612" spans="36:37" x14ac:dyDescent="0.2">
      <c r="AJ612" s="1"/>
      <c r="AK612" s="1"/>
    </row>
    <row r="613" spans="36:37" x14ac:dyDescent="0.2">
      <c r="AJ613" s="1"/>
      <c r="AK613" s="1"/>
    </row>
    <row r="614" spans="36:37" x14ac:dyDescent="0.2">
      <c r="AJ614" s="1"/>
      <c r="AK614" s="1"/>
    </row>
    <row r="615" spans="36:37" x14ac:dyDescent="0.2">
      <c r="AJ615" s="1"/>
      <c r="AK615" s="1"/>
    </row>
    <row r="616" spans="36:37" x14ac:dyDescent="0.2">
      <c r="AJ616" s="1"/>
      <c r="AK616" s="1"/>
    </row>
    <row r="617" spans="36:37" x14ac:dyDescent="0.2">
      <c r="AJ617" s="1"/>
      <c r="AK617" s="1"/>
    </row>
    <row r="618" spans="36:37" x14ac:dyDescent="0.2">
      <c r="AJ618" s="1"/>
      <c r="AK618" s="1"/>
    </row>
    <row r="619" spans="36:37" x14ac:dyDescent="0.2">
      <c r="AJ619" s="1"/>
      <c r="AK619" s="1"/>
    </row>
    <row r="620" spans="36:37" x14ac:dyDescent="0.2">
      <c r="AJ620" s="1"/>
      <c r="AK620" s="1"/>
    </row>
    <row r="621" spans="36:37" x14ac:dyDescent="0.2">
      <c r="AJ621" s="1"/>
      <c r="AK621" s="1"/>
    </row>
    <row r="622" spans="36:37" x14ac:dyDescent="0.2">
      <c r="AJ622" s="1"/>
      <c r="AK622" s="1"/>
    </row>
    <row r="623" spans="36:37" x14ac:dyDescent="0.2">
      <c r="AJ623" s="1"/>
      <c r="AK623" s="1"/>
    </row>
    <row r="624" spans="36:37" x14ac:dyDescent="0.2">
      <c r="AJ624" s="1"/>
      <c r="AK624" s="1"/>
    </row>
    <row r="625" spans="36:37" x14ac:dyDescent="0.2">
      <c r="AJ625" s="1"/>
      <c r="AK625" s="1"/>
    </row>
    <row r="626" spans="36:37" x14ac:dyDescent="0.2">
      <c r="AJ626" s="1"/>
      <c r="AK626" s="1"/>
    </row>
    <row r="627" spans="36:37" x14ac:dyDescent="0.2">
      <c r="AJ627" s="1"/>
      <c r="AK627" s="1"/>
    </row>
    <row r="628" spans="36:37" x14ac:dyDescent="0.2">
      <c r="AJ628" s="1"/>
      <c r="AK628" s="1"/>
    </row>
    <row r="629" spans="36:37" x14ac:dyDescent="0.2">
      <c r="AJ629" s="1"/>
      <c r="AK629" s="1"/>
    </row>
    <row r="630" spans="36:37" x14ac:dyDescent="0.2">
      <c r="AJ630" s="1"/>
      <c r="AK630" s="1"/>
    </row>
    <row r="631" spans="36:37" x14ac:dyDescent="0.2">
      <c r="AJ631" s="1"/>
      <c r="AK631" s="1"/>
    </row>
    <row r="632" spans="36:37" x14ac:dyDescent="0.2">
      <c r="AJ632" s="1"/>
      <c r="AK632" s="1"/>
    </row>
    <row r="633" spans="36:37" x14ac:dyDescent="0.2">
      <c r="AJ633" s="1"/>
      <c r="AK633" s="1"/>
    </row>
    <row r="634" spans="36:37" x14ac:dyDescent="0.2">
      <c r="AJ634" s="1"/>
      <c r="AK634" s="1"/>
    </row>
    <row r="635" spans="36:37" x14ac:dyDescent="0.2">
      <c r="AJ635" s="1"/>
      <c r="AK635" s="1"/>
    </row>
    <row r="636" spans="36:37" x14ac:dyDescent="0.2">
      <c r="AJ636" s="1"/>
      <c r="AK636" s="1"/>
    </row>
    <row r="637" spans="36:37" x14ac:dyDescent="0.2">
      <c r="AJ637" s="1"/>
      <c r="AK637" s="1"/>
    </row>
    <row r="638" spans="36:37" x14ac:dyDescent="0.2">
      <c r="AJ638" s="1"/>
      <c r="AK638" s="1"/>
    </row>
    <row r="639" spans="36:37" x14ac:dyDescent="0.2">
      <c r="AJ639" s="1"/>
      <c r="AK639" s="1"/>
    </row>
    <row r="640" spans="36:37" x14ac:dyDescent="0.2">
      <c r="AJ640" s="1"/>
      <c r="AK640" s="1"/>
    </row>
    <row r="641" spans="36:37" x14ac:dyDescent="0.2">
      <c r="AJ641" s="1"/>
      <c r="AK641" s="1"/>
    </row>
    <row r="642" spans="36:37" x14ac:dyDescent="0.2">
      <c r="AJ642" s="1"/>
      <c r="AK642" s="1"/>
    </row>
    <row r="643" spans="36:37" x14ac:dyDescent="0.2">
      <c r="AJ643" s="1"/>
      <c r="AK643" s="1"/>
    </row>
    <row r="644" spans="36:37" x14ac:dyDescent="0.2">
      <c r="AJ644" s="1"/>
      <c r="AK644" s="1"/>
    </row>
    <row r="645" spans="36:37" x14ac:dyDescent="0.2">
      <c r="AJ645" s="1"/>
      <c r="AK645" s="1"/>
    </row>
    <row r="646" spans="36:37" x14ac:dyDescent="0.2">
      <c r="AJ646" s="1"/>
      <c r="AK646" s="1"/>
    </row>
    <row r="647" spans="36:37" x14ac:dyDescent="0.2">
      <c r="AJ647" s="1"/>
      <c r="AK647" s="1"/>
    </row>
    <row r="648" spans="36:37" x14ac:dyDescent="0.2">
      <c r="AJ648" s="1"/>
      <c r="AK648" s="1"/>
    </row>
    <row r="649" spans="36:37" x14ac:dyDescent="0.2">
      <c r="AJ649" s="1"/>
      <c r="AK649" s="1"/>
    </row>
    <row r="650" spans="36:37" x14ac:dyDescent="0.2">
      <c r="AJ650" s="1"/>
      <c r="AK650" s="1"/>
    </row>
    <row r="651" spans="36:37" x14ac:dyDescent="0.2">
      <c r="AJ651" s="1"/>
      <c r="AK651" s="1"/>
    </row>
    <row r="652" spans="36:37" x14ac:dyDescent="0.2">
      <c r="AJ652" s="1"/>
      <c r="AK652" s="1"/>
    </row>
    <row r="653" spans="36:37" x14ac:dyDescent="0.2">
      <c r="AJ653" s="1"/>
      <c r="AK653" s="1"/>
    </row>
    <row r="654" spans="36:37" x14ac:dyDescent="0.2">
      <c r="AJ654" s="1"/>
      <c r="AK654" s="1"/>
    </row>
    <row r="655" spans="36:37" x14ac:dyDescent="0.2">
      <c r="AJ655" s="1"/>
      <c r="AK655" s="1"/>
    </row>
    <row r="656" spans="36:37" x14ac:dyDescent="0.2">
      <c r="AJ656" s="1"/>
      <c r="AK656" s="1"/>
    </row>
    <row r="657" spans="36:37" x14ac:dyDescent="0.2">
      <c r="AJ657" s="1"/>
      <c r="AK657" s="1"/>
    </row>
    <row r="658" spans="36:37" x14ac:dyDescent="0.2">
      <c r="AJ658" s="1"/>
      <c r="AK658" s="1"/>
    </row>
    <row r="659" spans="36:37" x14ac:dyDescent="0.2">
      <c r="AJ659" s="1"/>
      <c r="AK659" s="1"/>
    </row>
    <row r="660" spans="36:37" x14ac:dyDescent="0.2">
      <c r="AJ660" s="1"/>
      <c r="AK660" s="1"/>
    </row>
    <row r="661" spans="36:37" x14ac:dyDescent="0.2">
      <c r="AJ661" s="1"/>
      <c r="AK661" s="1"/>
    </row>
    <row r="662" spans="36:37" x14ac:dyDescent="0.2">
      <c r="AJ662" s="1"/>
      <c r="AK662" s="1"/>
    </row>
    <row r="663" spans="36:37" x14ac:dyDescent="0.2">
      <c r="AJ663" s="1"/>
      <c r="AK663" s="1"/>
    </row>
    <row r="664" spans="36:37" x14ac:dyDescent="0.2">
      <c r="AJ664" s="1"/>
      <c r="AK664" s="1"/>
    </row>
    <row r="665" spans="36:37" x14ac:dyDescent="0.2">
      <c r="AJ665" s="1"/>
      <c r="AK665" s="1"/>
    </row>
    <row r="666" spans="36:37" x14ac:dyDescent="0.2">
      <c r="AJ666" s="1"/>
      <c r="AK666" s="1"/>
    </row>
    <row r="667" spans="36:37" x14ac:dyDescent="0.2">
      <c r="AJ667" s="1"/>
      <c r="AK667" s="1"/>
    </row>
    <row r="668" spans="36:37" x14ac:dyDescent="0.2">
      <c r="AJ668" s="1"/>
      <c r="AK668" s="1"/>
    </row>
    <row r="669" spans="36:37" x14ac:dyDescent="0.2">
      <c r="AJ669" s="1"/>
      <c r="AK669" s="1"/>
    </row>
    <row r="670" spans="36:37" x14ac:dyDescent="0.2">
      <c r="AJ670" s="1"/>
      <c r="AK670" s="1"/>
    </row>
    <row r="671" spans="36:37" x14ac:dyDescent="0.2">
      <c r="AJ671" s="1"/>
      <c r="AK671" s="1"/>
    </row>
    <row r="672" spans="36:37" x14ac:dyDescent="0.2">
      <c r="AJ672" s="1"/>
      <c r="AK672" s="1"/>
    </row>
    <row r="673" spans="36:37" x14ac:dyDescent="0.2">
      <c r="AJ673" s="1"/>
      <c r="AK673" s="1"/>
    </row>
    <row r="674" spans="36:37" x14ac:dyDescent="0.2">
      <c r="AJ674" s="1"/>
      <c r="AK674" s="1"/>
    </row>
    <row r="675" spans="36:37" x14ac:dyDescent="0.2">
      <c r="AJ675" s="1"/>
      <c r="AK675" s="1"/>
    </row>
    <row r="676" spans="36:37" x14ac:dyDescent="0.2">
      <c r="AJ676" s="1"/>
      <c r="AK676" s="1"/>
    </row>
    <row r="677" spans="36:37" x14ac:dyDescent="0.2">
      <c r="AJ677" s="1"/>
      <c r="AK677" s="1"/>
    </row>
    <row r="678" spans="36:37" x14ac:dyDescent="0.2">
      <c r="AJ678" s="1"/>
      <c r="AK678" s="1"/>
    </row>
    <row r="679" spans="36:37" x14ac:dyDescent="0.2">
      <c r="AJ679" s="1"/>
      <c r="AK679" s="1"/>
    </row>
    <row r="680" spans="36:37" x14ac:dyDescent="0.2">
      <c r="AJ680" s="1"/>
      <c r="AK680" s="1"/>
    </row>
    <row r="681" spans="36:37" x14ac:dyDescent="0.2">
      <c r="AJ681" s="1"/>
      <c r="AK681" s="1"/>
    </row>
    <row r="682" spans="36:37" x14ac:dyDescent="0.2">
      <c r="AJ682" s="1"/>
      <c r="AK682" s="1"/>
    </row>
    <row r="683" spans="36:37" x14ac:dyDescent="0.2">
      <c r="AJ683" s="1"/>
      <c r="AK683" s="1"/>
    </row>
    <row r="684" spans="36:37" x14ac:dyDescent="0.2">
      <c r="AJ684" s="1"/>
      <c r="AK684" s="1"/>
    </row>
    <row r="685" spans="36:37" x14ac:dyDescent="0.2">
      <c r="AJ685" s="1"/>
      <c r="AK685" s="1"/>
    </row>
    <row r="686" spans="36:37" x14ac:dyDescent="0.2">
      <c r="AJ686" s="1"/>
      <c r="AK686" s="1"/>
    </row>
    <row r="687" spans="36:37" x14ac:dyDescent="0.2">
      <c r="AJ687" s="1"/>
      <c r="AK687" s="1"/>
    </row>
    <row r="688" spans="36:37" x14ac:dyDescent="0.2">
      <c r="AJ688" s="1"/>
      <c r="AK688" s="1"/>
    </row>
    <row r="689" spans="36:37" x14ac:dyDescent="0.2">
      <c r="AJ689" s="1"/>
      <c r="AK689" s="1"/>
    </row>
    <row r="690" spans="36:37" x14ac:dyDescent="0.2">
      <c r="AJ690" s="1"/>
      <c r="AK690" s="1"/>
    </row>
    <row r="691" spans="36:37" x14ac:dyDescent="0.2">
      <c r="AJ691" s="1"/>
      <c r="AK691" s="1"/>
    </row>
    <row r="692" spans="36:37" x14ac:dyDescent="0.2">
      <c r="AJ692" s="1"/>
      <c r="AK692" s="1"/>
    </row>
    <row r="693" spans="36:37" x14ac:dyDescent="0.2">
      <c r="AJ693" s="1"/>
      <c r="AK693" s="1"/>
    </row>
    <row r="694" spans="36:37" x14ac:dyDescent="0.2">
      <c r="AJ694" s="1"/>
      <c r="AK694" s="1"/>
    </row>
    <row r="695" spans="36:37" x14ac:dyDescent="0.2">
      <c r="AJ695" s="1"/>
      <c r="AK695" s="1"/>
    </row>
    <row r="696" spans="36:37" x14ac:dyDescent="0.2">
      <c r="AJ696" s="1"/>
      <c r="AK696" s="1"/>
    </row>
    <row r="697" spans="36:37" x14ac:dyDescent="0.2">
      <c r="AJ697" s="1"/>
      <c r="AK697" s="1"/>
    </row>
    <row r="698" spans="36:37" x14ac:dyDescent="0.2">
      <c r="AJ698" s="1"/>
      <c r="AK698" s="1"/>
    </row>
    <row r="699" spans="36:37" x14ac:dyDescent="0.2">
      <c r="AJ699" s="1"/>
      <c r="AK699" s="1"/>
    </row>
    <row r="700" spans="36:37" x14ac:dyDescent="0.2">
      <c r="AJ700" s="1"/>
      <c r="AK700" s="1"/>
    </row>
    <row r="701" spans="36:37" x14ac:dyDescent="0.2">
      <c r="AJ701" s="1"/>
      <c r="AK701" s="1"/>
    </row>
    <row r="702" spans="36:37" x14ac:dyDescent="0.2">
      <c r="AJ702" s="1"/>
      <c r="AK702" s="1"/>
    </row>
    <row r="703" spans="36:37" x14ac:dyDescent="0.2">
      <c r="AJ703" s="1"/>
      <c r="AK703" s="1"/>
    </row>
    <row r="704" spans="36:37" x14ac:dyDescent="0.2">
      <c r="AJ704" s="1"/>
      <c r="AK704" s="1"/>
    </row>
    <row r="705" spans="36:37" x14ac:dyDescent="0.2">
      <c r="AJ705" s="1"/>
      <c r="AK705" s="1"/>
    </row>
    <row r="706" spans="36:37" x14ac:dyDescent="0.2">
      <c r="AJ706" s="1"/>
      <c r="AK706" s="1"/>
    </row>
    <row r="707" spans="36:37" x14ac:dyDescent="0.2">
      <c r="AJ707" s="1"/>
      <c r="AK707" s="1"/>
    </row>
    <row r="708" spans="36:37" x14ac:dyDescent="0.2">
      <c r="AJ708" s="1"/>
      <c r="AK708" s="1"/>
    </row>
    <row r="709" spans="36:37" x14ac:dyDescent="0.2">
      <c r="AJ709" s="1"/>
      <c r="AK709" s="1"/>
    </row>
    <row r="710" spans="36:37" x14ac:dyDescent="0.2">
      <c r="AJ710" s="1"/>
      <c r="AK710" s="1"/>
    </row>
    <row r="711" spans="36:37" x14ac:dyDescent="0.2">
      <c r="AJ711" s="1"/>
      <c r="AK711" s="1"/>
    </row>
    <row r="712" spans="36:37" x14ac:dyDescent="0.2">
      <c r="AJ712" s="1"/>
      <c r="AK712" s="1"/>
    </row>
    <row r="713" spans="36:37" x14ac:dyDescent="0.2">
      <c r="AJ713" s="1"/>
      <c r="AK713" s="1"/>
    </row>
    <row r="714" spans="36:37" x14ac:dyDescent="0.2">
      <c r="AJ714" s="1"/>
      <c r="AK714" s="1"/>
    </row>
    <row r="715" spans="36:37" x14ac:dyDescent="0.2">
      <c r="AJ715" s="1"/>
      <c r="AK715" s="1"/>
    </row>
    <row r="716" spans="36:37" x14ac:dyDescent="0.2">
      <c r="AJ716" s="1"/>
      <c r="AK716" s="1"/>
    </row>
    <row r="717" spans="36:37" x14ac:dyDescent="0.2">
      <c r="AJ717" s="1"/>
      <c r="AK717" s="1"/>
    </row>
    <row r="718" spans="36:37" x14ac:dyDescent="0.2">
      <c r="AJ718" s="1"/>
      <c r="AK718" s="1"/>
    </row>
    <row r="719" spans="36:37" x14ac:dyDescent="0.2">
      <c r="AJ719" s="1"/>
      <c r="AK719" s="1"/>
    </row>
    <row r="720" spans="36:37" x14ac:dyDescent="0.2">
      <c r="AJ720" s="1"/>
      <c r="AK720" s="1"/>
    </row>
    <row r="721" spans="36:37" x14ac:dyDescent="0.2">
      <c r="AJ721" s="1"/>
      <c r="AK721" s="1"/>
    </row>
    <row r="722" spans="36:37" x14ac:dyDescent="0.2">
      <c r="AJ722" s="1"/>
      <c r="AK722" s="1"/>
    </row>
    <row r="723" spans="36:37" x14ac:dyDescent="0.2">
      <c r="AJ723" s="1"/>
      <c r="AK723" s="1"/>
    </row>
    <row r="724" spans="36:37" x14ac:dyDescent="0.2">
      <c r="AJ724" s="1"/>
      <c r="AK724" s="1"/>
    </row>
    <row r="725" spans="36:37" x14ac:dyDescent="0.2">
      <c r="AJ725" s="1"/>
      <c r="AK725" s="1"/>
    </row>
    <row r="726" spans="36:37" x14ac:dyDescent="0.2">
      <c r="AJ726" s="1"/>
      <c r="AK726" s="1"/>
    </row>
    <row r="727" spans="36:37" x14ac:dyDescent="0.2">
      <c r="AJ727" s="1"/>
      <c r="AK727" s="1"/>
    </row>
    <row r="728" spans="36:37" x14ac:dyDescent="0.2">
      <c r="AJ728" s="1"/>
      <c r="AK728" s="1"/>
    </row>
    <row r="729" spans="36:37" x14ac:dyDescent="0.2">
      <c r="AJ729" s="1"/>
      <c r="AK729" s="1"/>
    </row>
    <row r="730" spans="36:37" x14ac:dyDescent="0.2">
      <c r="AJ730" s="1"/>
      <c r="AK730" s="1"/>
    </row>
    <row r="731" spans="36:37" x14ac:dyDescent="0.2">
      <c r="AJ731" s="1"/>
      <c r="AK731" s="1"/>
    </row>
    <row r="732" spans="36:37" x14ac:dyDescent="0.2">
      <c r="AJ732" s="1"/>
      <c r="AK732" s="1"/>
    </row>
    <row r="733" spans="36:37" x14ac:dyDescent="0.2">
      <c r="AJ733" s="1"/>
      <c r="AK733" s="1"/>
    </row>
    <row r="734" spans="36:37" x14ac:dyDescent="0.2">
      <c r="AJ734" s="1"/>
      <c r="AK734" s="1"/>
    </row>
    <row r="735" spans="36:37" x14ac:dyDescent="0.2">
      <c r="AJ735" s="1"/>
      <c r="AK735" s="1"/>
    </row>
    <row r="736" spans="36:37" x14ac:dyDescent="0.2">
      <c r="AJ736" s="1"/>
      <c r="AK736" s="1"/>
    </row>
    <row r="737" spans="36:37" x14ac:dyDescent="0.2">
      <c r="AJ737" s="1"/>
      <c r="AK737" s="1"/>
    </row>
    <row r="738" spans="36:37" x14ac:dyDescent="0.2">
      <c r="AJ738" s="1"/>
      <c r="AK738" s="1"/>
    </row>
    <row r="739" spans="36:37" x14ac:dyDescent="0.2">
      <c r="AJ739" s="1"/>
      <c r="AK739" s="1"/>
    </row>
    <row r="740" spans="36:37" x14ac:dyDescent="0.2">
      <c r="AJ740" s="1"/>
      <c r="AK740" s="1"/>
    </row>
    <row r="741" spans="36:37" x14ac:dyDescent="0.2">
      <c r="AJ741" s="1"/>
      <c r="AK741" s="1"/>
    </row>
    <row r="742" spans="36:37" x14ac:dyDescent="0.2">
      <c r="AJ742" s="1"/>
      <c r="AK742" s="1"/>
    </row>
    <row r="743" spans="36:37" x14ac:dyDescent="0.2">
      <c r="AJ743" s="1"/>
      <c r="AK743" s="1"/>
    </row>
    <row r="744" spans="36:37" x14ac:dyDescent="0.2">
      <c r="AJ744" s="1"/>
      <c r="AK744" s="1"/>
    </row>
    <row r="745" spans="36:37" x14ac:dyDescent="0.2">
      <c r="AJ745" s="1"/>
      <c r="AK745" s="1"/>
    </row>
    <row r="746" spans="36:37" x14ac:dyDescent="0.2">
      <c r="AJ746" s="1"/>
      <c r="AK746" s="1"/>
    </row>
    <row r="747" spans="36:37" x14ac:dyDescent="0.2">
      <c r="AJ747" s="1"/>
      <c r="AK747" s="1"/>
    </row>
    <row r="748" spans="36:37" x14ac:dyDescent="0.2">
      <c r="AJ748" s="1"/>
      <c r="AK748" s="1"/>
    </row>
    <row r="749" spans="36:37" x14ac:dyDescent="0.2">
      <c r="AJ749" s="1"/>
      <c r="AK749" s="1"/>
    </row>
    <row r="750" spans="36:37" x14ac:dyDescent="0.2">
      <c r="AJ750" s="1"/>
      <c r="AK750" s="1"/>
    </row>
    <row r="751" spans="36:37" x14ac:dyDescent="0.2">
      <c r="AJ751" s="1"/>
      <c r="AK751" s="1"/>
    </row>
    <row r="752" spans="36:37" x14ac:dyDescent="0.2">
      <c r="AJ752" s="1"/>
      <c r="AK752" s="1"/>
    </row>
    <row r="753" spans="36:37" x14ac:dyDescent="0.2">
      <c r="AJ753" s="1"/>
      <c r="AK753" s="1"/>
    </row>
    <row r="754" spans="36:37" x14ac:dyDescent="0.2">
      <c r="AJ754" s="1"/>
      <c r="AK754" s="1"/>
    </row>
    <row r="755" spans="36:37" x14ac:dyDescent="0.2">
      <c r="AJ755" s="1"/>
      <c r="AK755" s="1"/>
    </row>
    <row r="756" spans="36:37" x14ac:dyDescent="0.2">
      <c r="AJ756" s="1"/>
      <c r="AK756" s="1"/>
    </row>
    <row r="757" spans="36:37" x14ac:dyDescent="0.2">
      <c r="AJ757" s="1"/>
      <c r="AK757" s="1"/>
    </row>
    <row r="758" spans="36:37" x14ac:dyDescent="0.2">
      <c r="AJ758" s="1"/>
      <c r="AK758" s="1"/>
    </row>
    <row r="759" spans="36:37" x14ac:dyDescent="0.2">
      <c r="AJ759" s="1"/>
      <c r="AK759" s="1"/>
    </row>
    <row r="760" spans="36:37" x14ac:dyDescent="0.2">
      <c r="AJ760" s="1"/>
      <c r="AK760" s="1"/>
    </row>
    <row r="761" spans="36:37" x14ac:dyDescent="0.2">
      <c r="AJ761" s="1"/>
      <c r="AK761" s="1"/>
    </row>
    <row r="762" spans="36:37" x14ac:dyDescent="0.2">
      <c r="AJ762" s="1"/>
      <c r="AK762" s="1"/>
    </row>
    <row r="763" spans="36:37" x14ac:dyDescent="0.2">
      <c r="AJ763" s="1"/>
      <c r="AK763" s="1"/>
    </row>
    <row r="764" spans="36:37" x14ac:dyDescent="0.2">
      <c r="AJ764" s="1"/>
      <c r="AK764" s="1"/>
    </row>
    <row r="765" spans="36:37" x14ac:dyDescent="0.2">
      <c r="AJ765" s="1"/>
      <c r="AK765" s="1"/>
    </row>
    <row r="766" spans="36:37" x14ac:dyDescent="0.2">
      <c r="AJ766" s="1"/>
      <c r="AK766" s="1"/>
    </row>
    <row r="767" spans="36:37" x14ac:dyDescent="0.2">
      <c r="AJ767" s="1"/>
      <c r="AK767" s="1"/>
    </row>
    <row r="768" spans="36:37" x14ac:dyDescent="0.2">
      <c r="AJ768" s="1"/>
      <c r="AK768" s="1"/>
    </row>
    <row r="769" spans="36:37" x14ac:dyDescent="0.2">
      <c r="AJ769" s="1"/>
      <c r="AK769" s="1"/>
    </row>
    <row r="770" spans="36:37" x14ac:dyDescent="0.2">
      <c r="AJ770" s="1"/>
      <c r="AK770" s="1"/>
    </row>
    <row r="771" spans="36:37" x14ac:dyDescent="0.2">
      <c r="AJ771" s="1"/>
      <c r="AK771" s="1"/>
    </row>
    <row r="772" spans="36:37" x14ac:dyDescent="0.2">
      <c r="AJ772" s="1"/>
      <c r="AK772" s="1"/>
    </row>
    <row r="773" spans="36:37" x14ac:dyDescent="0.2">
      <c r="AJ773" s="1"/>
      <c r="AK773" s="1"/>
    </row>
    <row r="774" spans="36:37" x14ac:dyDescent="0.2">
      <c r="AJ774" s="1"/>
      <c r="AK774" s="1"/>
    </row>
    <row r="775" spans="36:37" x14ac:dyDescent="0.2">
      <c r="AJ775" s="1"/>
      <c r="AK775" s="1"/>
    </row>
    <row r="776" spans="36:37" x14ac:dyDescent="0.2">
      <c r="AJ776" s="1"/>
      <c r="AK776" s="1"/>
    </row>
    <row r="777" spans="36:37" x14ac:dyDescent="0.2">
      <c r="AJ777" s="1"/>
      <c r="AK777" s="1"/>
    </row>
    <row r="778" spans="36:37" x14ac:dyDescent="0.2">
      <c r="AJ778" s="1"/>
      <c r="AK778" s="1"/>
    </row>
    <row r="779" spans="36:37" x14ac:dyDescent="0.2">
      <c r="AJ779" s="1"/>
      <c r="AK779" s="1"/>
    </row>
    <row r="780" spans="36:37" x14ac:dyDescent="0.2">
      <c r="AJ780" s="1"/>
      <c r="AK780" s="1"/>
    </row>
    <row r="781" spans="36:37" x14ac:dyDescent="0.2">
      <c r="AJ781" s="1"/>
      <c r="AK781" s="1"/>
    </row>
    <row r="782" spans="36:37" x14ac:dyDescent="0.2">
      <c r="AJ782" s="1"/>
      <c r="AK782" s="1"/>
    </row>
    <row r="783" spans="36:37" x14ac:dyDescent="0.2">
      <c r="AJ783" s="1"/>
      <c r="AK783" s="1"/>
    </row>
    <row r="784" spans="36:37" x14ac:dyDescent="0.2">
      <c r="AJ784" s="1"/>
      <c r="AK784" s="1"/>
    </row>
    <row r="785" spans="36:37" x14ac:dyDescent="0.2">
      <c r="AJ785" s="1"/>
      <c r="AK785" s="1"/>
    </row>
    <row r="786" spans="36:37" x14ac:dyDescent="0.2">
      <c r="AJ786" s="1"/>
      <c r="AK786" s="1"/>
    </row>
    <row r="787" spans="36:37" x14ac:dyDescent="0.2">
      <c r="AJ787" s="1"/>
      <c r="AK787" s="1"/>
    </row>
    <row r="788" spans="36:37" x14ac:dyDescent="0.2">
      <c r="AJ788" s="1"/>
      <c r="AK788" s="1"/>
    </row>
    <row r="789" spans="36:37" x14ac:dyDescent="0.2">
      <c r="AJ789" s="1"/>
      <c r="AK789" s="1"/>
    </row>
    <row r="790" spans="36:37" x14ac:dyDescent="0.2">
      <c r="AJ790" s="1"/>
      <c r="AK790" s="1"/>
    </row>
    <row r="791" spans="36:37" x14ac:dyDescent="0.2">
      <c r="AJ791" s="1"/>
      <c r="AK791" s="1"/>
    </row>
    <row r="792" spans="36:37" x14ac:dyDescent="0.2">
      <c r="AJ792" s="1"/>
      <c r="AK792" s="1"/>
    </row>
    <row r="793" spans="36:37" x14ac:dyDescent="0.2">
      <c r="AJ793" s="1"/>
      <c r="AK793" s="1"/>
    </row>
    <row r="794" spans="36:37" x14ac:dyDescent="0.2">
      <c r="AJ794" s="1"/>
      <c r="AK794" s="1"/>
    </row>
    <row r="795" spans="36:37" x14ac:dyDescent="0.2">
      <c r="AJ795" s="1"/>
      <c r="AK795" s="1"/>
    </row>
    <row r="796" spans="36:37" x14ac:dyDescent="0.2">
      <c r="AJ796" s="1"/>
      <c r="AK796" s="1"/>
    </row>
    <row r="797" spans="36:37" x14ac:dyDescent="0.2">
      <c r="AJ797" s="1"/>
      <c r="AK797" s="1"/>
    </row>
    <row r="798" spans="36:37" x14ac:dyDescent="0.2">
      <c r="AJ798" s="1"/>
      <c r="AK798" s="1"/>
    </row>
    <row r="799" spans="36:37" x14ac:dyDescent="0.2">
      <c r="AJ799" s="1"/>
      <c r="AK799" s="1"/>
    </row>
    <row r="800" spans="36:37" x14ac:dyDescent="0.2">
      <c r="AJ800" s="1"/>
      <c r="AK800" s="1"/>
    </row>
    <row r="801" spans="36:37" x14ac:dyDescent="0.2">
      <c r="AJ801" s="1"/>
      <c r="AK801" s="1"/>
    </row>
    <row r="802" spans="36:37" x14ac:dyDescent="0.2">
      <c r="AJ802" s="1"/>
      <c r="AK802" s="1"/>
    </row>
    <row r="803" spans="36:37" x14ac:dyDescent="0.2">
      <c r="AJ803" s="1"/>
      <c r="AK803" s="1"/>
    </row>
    <row r="804" spans="36:37" x14ac:dyDescent="0.2">
      <c r="AJ804" s="1"/>
      <c r="AK804" s="1"/>
    </row>
    <row r="805" spans="36:37" x14ac:dyDescent="0.2">
      <c r="AJ805" s="1"/>
      <c r="AK805" s="1"/>
    </row>
    <row r="806" spans="36:37" x14ac:dyDescent="0.2">
      <c r="AJ806" s="1"/>
      <c r="AK806" s="1"/>
    </row>
    <row r="807" spans="36:37" x14ac:dyDescent="0.2">
      <c r="AJ807" s="1"/>
      <c r="AK807" s="1"/>
    </row>
    <row r="808" spans="36:37" x14ac:dyDescent="0.2">
      <c r="AJ808" s="1"/>
      <c r="AK808" s="1"/>
    </row>
    <row r="809" spans="36:37" x14ac:dyDescent="0.2">
      <c r="AJ809" s="1"/>
      <c r="AK809" s="1"/>
    </row>
    <row r="810" spans="36:37" x14ac:dyDescent="0.2">
      <c r="AJ810" s="1"/>
      <c r="AK810" s="1"/>
    </row>
    <row r="811" spans="36:37" x14ac:dyDescent="0.2">
      <c r="AJ811" s="1"/>
      <c r="AK811" s="1"/>
    </row>
    <row r="812" spans="36:37" x14ac:dyDescent="0.2">
      <c r="AJ812" s="1"/>
      <c r="AK812" s="1"/>
    </row>
    <row r="813" spans="36:37" x14ac:dyDescent="0.2">
      <c r="AJ813" s="1"/>
      <c r="AK813" s="1"/>
    </row>
    <row r="814" spans="36:37" x14ac:dyDescent="0.2">
      <c r="AJ814" s="1"/>
      <c r="AK814" s="1"/>
    </row>
    <row r="815" spans="36:37" x14ac:dyDescent="0.2">
      <c r="AJ815" s="1"/>
      <c r="AK815" s="1"/>
    </row>
    <row r="816" spans="36:37" x14ac:dyDescent="0.2">
      <c r="AJ816" s="1"/>
      <c r="AK816" s="1"/>
    </row>
    <row r="817" spans="36:37" x14ac:dyDescent="0.2">
      <c r="AJ817" s="1"/>
      <c r="AK817" s="1"/>
    </row>
    <row r="818" spans="36:37" x14ac:dyDescent="0.2">
      <c r="AJ818" s="1"/>
      <c r="AK818" s="1"/>
    </row>
    <row r="819" spans="36:37" x14ac:dyDescent="0.2">
      <c r="AJ819" s="1"/>
      <c r="AK819" s="1"/>
    </row>
    <row r="820" spans="36:37" x14ac:dyDescent="0.2">
      <c r="AJ820" s="1"/>
      <c r="AK820" s="1"/>
    </row>
    <row r="821" spans="36:37" x14ac:dyDescent="0.2">
      <c r="AJ821" s="1"/>
      <c r="AK821" s="1"/>
    </row>
    <row r="822" spans="36:37" x14ac:dyDescent="0.2">
      <c r="AJ822" s="1"/>
      <c r="AK822" s="1"/>
    </row>
    <row r="823" spans="36:37" x14ac:dyDescent="0.2">
      <c r="AJ823" s="1"/>
      <c r="AK823" s="1"/>
    </row>
    <row r="824" spans="36:37" x14ac:dyDescent="0.2">
      <c r="AJ824" s="1"/>
      <c r="AK824" s="1"/>
    </row>
    <row r="825" spans="36:37" x14ac:dyDescent="0.2">
      <c r="AJ825" s="1"/>
      <c r="AK825" s="1"/>
    </row>
    <row r="826" spans="36:37" x14ac:dyDescent="0.2">
      <c r="AJ826" s="1"/>
      <c r="AK826" s="1"/>
    </row>
    <row r="827" spans="36:37" x14ac:dyDescent="0.2">
      <c r="AJ827" s="1"/>
      <c r="AK827" s="1"/>
    </row>
    <row r="828" spans="36:37" x14ac:dyDescent="0.2">
      <c r="AJ828" s="1"/>
      <c r="AK828" s="1"/>
    </row>
    <row r="829" spans="36:37" x14ac:dyDescent="0.2">
      <c r="AJ829" s="1"/>
      <c r="AK829" s="1"/>
    </row>
    <row r="830" spans="36:37" x14ac:dyDescent="0.2">
      <c r="AJ830" s="1"/>
      <c r="AK830" s="1"/>
    </row>
    <row r="831" spans="36:37" x14ac:dyDescent="0.2">
      <c r="AJ831" s="1"/>
      <c r="AK831" s="1"/>
    </row>
    <row r="832" spans="36:37" x14ac:dyDescent="0.2">
      <c r="AJ832" s="1"/>
      <c r="AK832" s="1"/>
    </row>
    <row r="833" spans="36:37" x14ac:dyDescent="0.2">
      <c r="AJ833" s="1"/>
      <c r="AK833" s="1"/>
    </row>
    <row r="834" spans="36:37" x14ac:dyDescent="0.2">
      <c r="AJ834" s="1"/>
      <c r="AK834" s="1"/>
    </row>
    <row r="835" spans="36:37" x14ac:dyDescent="0.2">
      <c r="AJ835" s="1"/>
      <c r="AK835" s="1"/>
    </row>
    <row r="836" spans="36:37" x14ac:dyDescent="0.2">
      <c r="AJ836" s="1"/>
      <c r="AK836" s="1"/>
    </row>
    <row r="837" spans="36:37" x14ac:dyDescent="0.2">
      <c r="AJ837" s="1"/>
      <c r="AK837" s="1"/>
    </row>
    <row r="838" spans="36:37" x14ac:dyDescent="0.2">
      <c r="AJ838" s="1"/>
      <c r="AK838" s="1"/>
    </row>
    <row r="839" spans="36:37" x14ac:dyDescent="0.2">
      <c r="AJ839" s="1"/>
      <c r="AK839" s="1"/>
    </row>
    <row r="840" spans="36:37" x14ac:dyDescent="0.2">
      <c r="AJ840" s="1"/>
      <c r="AK840" s="1"/>
    </row>
    <row r="841" spans="36:37" x14ac:dyDescent="0.2">
      <c r="AJ841" s="1"/>
      <c r="AK841" s="1"/>
    </row>
    <row r="842" spans="36:37" x14ac:dyDescent="0.2">
      <c r="AJ842" s="1"/>
      <c r="AK842" s="1"/>
    </row>
    <row r="843" spans="36:37" x14ac:dyDescent="0.2">
      <c r="AJ843" s="1"/>
      <c r="AK843" s="1"/>
    </row>
    <row r="844" spans="36:37" x14ac:dyDescent="0.2">
      <c r="AJ844" s="1"/>
      <c r="AK844" s="1"/>
    </row>
    <row r="845" spans="36:37" x14ac:dyDescent="0.2">
      <c r="AJ845" s="1"/>
      <c r="AK845" s="1"/>
    </row>
    <row r="846" spans="36:37" x14ac:dyDescent="0.2">
      <c r="AJ846" s="1"/>
      <c r="AK846" s="1"/>
    </row>
    <row r="847" spans="36:37" x14ac:dyDescent="0.2">
      <c r="AJ847" s="1"/>
      <c r="AK847" s="1"/>
    </row>
    <row r="848" spans="36:37" x14ac:dyDescent="0.2">
      <c r="AJ848" s="1"/>
      <c r="AK848" s="1"/>
    </row>
    <row r="849" spans="36:37" x14ac:dyDescent="0.2">
      <c r="AJ849" s="1"/>
      <c r="AK849" s="1"/>
    </row>
    <row r="850" spans="36:37" x14ac:dyDescent="0.2">
      <c r="AJ850" s="1"/>
      <c r="AK850" s="1"/>
    </row>
    <row r="851" spans="36:37" x14ac:dyDescent="0.2">
      <c r="AJ851" s="1"/>
      <c r="AK851" s="1"/>
    </row>
    <row r="852" spans="36:37" x14ac:dyDescent="0.2">
      <c r="AJ852" s="1"/>
      <c r="AK852" s="1"/>
    </row>
    <row r="853" spans="36:37" x14ac:dyDescent="0.2">
      <c r="AJ853" s="1"/>
      <c r="AK853" s="1"/>
    </row>
    <row r="854" spans="36:37" x14ac:dyDescent="0.2">
      <c r="AJ854" s="1"/>
      <c r="AK854" s="1"/>
    </row>
    <row r="855" spans="36:37" x14ac:dyDescent="0.2">
      <c r="AJ855" s="1"/>
      <c r="AK855" s="1"/>
    </row>
    <row r="856" spans="36:37" x14ac:dyDescent="0.2">
      <c r="AJ856" s="1"/>
      <c r="AK856" s="1"/>
    </row>
    <row r="857" spans="36:37" x14ac:dyDescent="0.2">
      <c r="AJ857" s="1"/>
      <c r="AK857" s="1"/>
    </row>
    <row r="858" spans="36:37" x14ac:dyDescent="0.2">
      <c r="AJ858" s="1"/>
      <c r="AK858" s="1"/>
    </row>
    <row r="859" spans="36:37" x14ac:dyDescent="0.2">
      <c r="AJ859" s="1"/>
      <c r="AK859" s="1"/>
    </row>
    <row r="860" spans="36:37" x14ac:dyDescent="0.2">
      <c r="AJ860" s="1"/>
      <c r="AK860" s="1"/>
    </row>
    <row r="861" spans="36:37" x14ac:dyDescent="0.2">
      <c r="AJ861" s="1"/>
      <c r="AK861" s="1"/>
    </row>
    <row r="862" spans="36:37" x14ac:dyDescent="0.2">
      <c r="AJ862" s="1"/>
      <c r="AK862" s="1"/>
    </row>
    <row r="863" spans="36:37" x14ac:dyDescent="0.2">
      <c r="AJ863" s="1"/>
      <c r="AK863" s="1"/>
    </row>
    <row r="864" spans="36:37" x14ac:dyDescent="0.2">
      <c r="AJ864" s="1"/>
      <c r="AK864" s="1"/>
    </row>
    <row r="865" spans="36:37" x14ac:dyDescent="0.2">
      <c r="AJ865" s="1"/>
      <c r="AK865" s="1"/>
    </row>
    <row r="866" spans="36:37" x14ac:dyDescent="0.2">
      <c r="AJ866" s="1"/>
      <c r="AK866" s="1"/>
    </row>
    <row r="867" spans="36:37" x14ac:dyDescent="0.2">
      <c r="AJ867" s="1"/>
      <c r="AK867" s="1"/>
    </row>
    <row r="868" spans="36:37" x14ac:dyDescent="0.2">
      <c r="AJ868" s="1"/>
      <c r="AK868" s="1"/>
    </row>
    <row r="869" spans="36:37" x14ac:dyDescent="0.2">
      <c r="AJ869" s="1"/>
      <c r="AK869" s="1"/>
    </row>
    <row r="870" spans="36:37" x14ac:dyDescent="0.2">
      <c r="AJ870" s="1"/>
      <c r="AK870" s="1"/>
    </row>
    <row r="871" spans="36:37" x14ac:dyDescent="0.2">
      <c r="AJ871" s="1"/>
      <c r="AK871" s="1"/>
    </row>
    <row r="872" spans="36:37" x14ac:dyDescent="0.2">
      <c r="AJ872" s="1"/>
      <c r="AK872" s="1"/>
    </row>
    <row r="873" spans="36:37" x14ac:dyDescent="0.2">
      <c r="AJ873" s="1"/>
      <c r="AK873" s="1"/>
    </row>
    <row r="874" spans="36:37" x14ac:dyDescent="0.2">
      <c r="AJ874" s="1"/>
      <c r="AK874" s="1"/>
    </row>
    <row r="875" spans="36:37" x14ac:dyDescent="0.2">
      <c r="AJ875" s="1"/>
      <c r="AK875" s="1"/>
    </row>
    <row r="876" spans="36:37" x14ac:dyDescent="0.2">
      <c r="AJ876" s="1"/>
      <c r="AK876" s="1"/>
    </row>
    <row r="877" spans="36:37" x14ac:dyDescent="0.2">
      <c r="AJ877" s="1"/>
      <c r="AK877" s="1"/>
    </row>
    <row r="878" spans="36:37" x14ac:dyDescent="0.2">
      <c r="AJ878" s="1"/>
      <c r="AK878" s="1"/>
    </row>
    <row r="879" spans="36:37" x14ac:dyDescent="0.2">
      <c r="AJ879" s="1"/>
      <c r="AK879" s="1"/>
    </row>
    <row r="880" spans="36:37" x14ac:dyDescent="0.2">
      <c r="AJ880" s="1"/>
      <c r="AK880" s="1"/>
    </row>
    <row r="881" spans="36:37" x14ac:dyDescent="0.2">
      <c r="AJ881" s="1"/>
      <c r="AK881" s="1"/>
    </row>
    <row r="882" spans="36:37" x14ac:dyDescent="0.2">
      <c r="AJ882" s="1"/>
      <c r="AK882" s="1"/>
    </row>
    <row r="883" spans="36:37" x14ac:dyDescent="0.2">
      <c r="AJ883" s="1"/>
      <c r="AK883" s="1"/>
    </row>
    <row r="884" spans="36:37" x14ac:dyDescent="0.2">
      <c r="AJ884" s="1"/>
      <c r="AK884" s="1"/>
    </row>
    <row r="885" spans="36:37" x14ac:dyDescent="0.2">
      <c r="AJ885" s="1"/>
      <c r="AK885" s="1"/>
    </row>
    <row r="886" spans="36:37" x14ac:dyDescent="0.2">
      <c r="AJ886" s="1"/>
      <c r="AK886" s="1"/>
    </row>
    <row r="887" spans="36:37" x14ac:dyDescent="0.2">
      <c r="AJ887" s="1"/>
      <c r="AK887" s="1"/>
    </row>
    <row r="888" spans="36:37" x14ac:dyDescent="0.2">
      <c r="AJ888" s="1"/>
      <c r="AK888" s="1"/>
    </row>
    <row r="889" spans="36:37" x14ac:dyDescent="0.2">
      <c r="AJ889" s="1"/>
      <c r="AK889" s="1"/>
    </row>
    <row r="890" spans="36:37" x14ac:dyDescent="0.2">
      <c r="AJ890" s="1"/>
      <c r="AK890" s="1"/>
    </row>
    <row r="891" spans="36:37" x14ac:dyDescent="0.2">
      <c r="AJ891" s="1"/>
      <c r="AK891" s="1"/>
    </row>
    <row r="892" spans="36:37" x14ac:dyDescent="0.2">
      <c r="AJ892" s="1"/>
      <c r="AK892" s="1"/>
    </row>
    <row r="893" spans="36:37" x14ac:dyDescent="0.2">
      <c r="AJ893" s="1"/>
      <c r="AK893" s="1"/>
    </row>
    <row r="894" spans="36:37" x14ac:dyDescent="0.2">
      <c r="AJ894" s="1"/>
      <c r="AK894" s="1"/>
    </row>
    <row r="895" spans="36:37" x14ac:dyDescent="0.2">
      <c r="AJ895" s="1"/>
      <c r="AK895" s="1"/>
    </row>
    <row r="896" spans="36:37" x14ac:dyDescent="0.2">
      <c r="AJ896" s="1"/>
      <c r="AK896" s="1"/>
    </row>
    <row r="897" spans="36:37" x14ac:dyDescent="0.2">
      <c r="AJ897" s="1"/>
      <c r="AK897" s="1"/>
    </row>
    <row r="898" spans="36:37" x14ac:dyDescent="0.2">
      <c r="AJ898" s="1"/>
      <c r="AK898" s="1"/>
    </row>
    <row r="899" spans="36:37" x14ac:dyDescent="0.2">
      <c r="AJ899" s="1"/>
      <c r="AK899" s="1"/>
    </row>
    <row r="900" spans="36:37" x14ac:dyDescent="0.2">
      <c r="AJ900" s="1"/>
      <c r="AK900" s="1"/>
    </row>
    <row r="901" spans="36:37" x14ac:dyDescent="0.2">
      <c r="AJ901" s="1"/>
      <c r="AK901" s="1"/>
    </row>
    <row r="902" spans="36:37" x14ac:dyDescent="0.2">
      <c r="AJ902" s="1"/>
      <c r="AK902" s="1"/>
    </row>
    <row r="903" spans="36:37" x14ac:dyDescent="0.2">
      <c r="AJ903" s="1"/>
      <c r="AK903" s="1"/>
    </row>
    <row r="904" spans="36:37" x14ac:dyDescent="0.2">
      <c r="AJ904" s="1"/>
      <c r="AK904" s="1"/>
    </row>
    <row r="905" spans="36:37" x14ac:dyDescent="0.2">
      <c r="AJ905" s="1"/>
      <c r="AK905" s="1"/>
    </row>
    <row r="906" spans="36:37" x14ac:dyDescent="0.2">
      <c r="AJ906" s="1"/>
      <c r="AK906" s="1"/>
    </row>
    <row r="907" spans="36:37" x14ac:dyDescent="0.2">
      <c r="AJ907" s="1"/>
      <c r="AK907" s="1"/>
    </row>
    <row r="908" spans="36:37" x14ac:dyDescent="0.2">
      <c r="AJ908" s="1"/>
      <c r="AK908" s="1"/>
    </row>
    <row r="909" spans="36:37" x14ac:dyDescent="0.2">
      <c r="AJ909" s="1"/>
      <c r="AK909" s="1"/>
    </row>
    <row r="910" spans="36:37" x14ac:dyDescent="0.2">
      <c r="AJ910" s="1"/>
      <c r="AK910" s="1"/>
    </row>
    <row r="911" spans="36:37" x14ac:dyDescent="0.2">
      <c r="AJ911" s="1"/>
      <c r="AK911" s="1"/>
    </row>
    <row r="912" spans="36:37" x14ac:dyDescent="0.2">
      <c r="AJ912" s="1"/>
      <c r="AK912" s="1"/>
    </row>
    <row r="913" spans="36:37" x14ac:dyDescent="0.2">
      <c r="AJ913" s="1"/>
      <c r="AK913" s="1"/>
    </row>
    <row r="914" spans="36:37" x14ac:dyDescent="0.2">
      <c r="AJ914" s="1"/>
      <c r="AK914" s="1"/>
    </row>
    <row r="915" spans="36:37" x14ac:dyDescent="0.2">
      <c r="AJ915" s="1"/>
      <c r="AK915" s="1"/>
    </row>
    <row r="916" spans="36:37" x14ac:dyDescent="0.2">
      <c r="AJ916" s="1"/>
      <c r="AK916" s="1"/>
    </row>
    <row r="917" spans="36:37" x14ac:dyDescent="0.2">
      <c r="AJ917" s="1"/>
      <c r="AK917" s="1"/>
    </row>
    <row r="918" spans="36:37" x14ac:dyDescent="0.2">
      <c r="AJ918" s="1"/>
      <c r="AK918" s="1"/>
    </row>
    <row r="919" spans="36:37" x14ac:dyDescent="0.2">
      <c r="AJ919" s="1"/>
      <c r="AK919" s="1"/>
    </row>
    <row r="920" spans="36:37" x14ac:dyDescent="0.2">
      <c r="AJ920" s="1"/>
      <c r="AK920" s="1"/>
    </row>
    <row r="921" spans="36:37" x14ac:dyDescent="0.2">
      <c r="AJ921" s="1"/>
      <c r="AK921" s="1"/>
    </row>
    <row r="922" spans="36:37" x14ac:dyDescent="0.2">
      <c r="AJ922" s="1"/>
      <c r="AK922" s="1"/>
    </row>
    <row r="923" spans="36:37" x14ac:dyDescent="0.2">
      <c r="AJ923" s="1"/>
      <c r="AK923" s="1"/>
    </row>
    <row r="924" spans="36:37" x14ac:dyDescent="0.2">
      <c r="AJ924" s="1"/>
      <c r="AK924" s="1"/>
    </row>
    <row r="925" spans="36:37" x14ac:dyDescent="0.2">
      <c r="AJ925" s="1"/>
      <c r="AK925" s="1"/>
    </row>
    <row r="926" spans="36:37" x14ac:dyDescent="0.2">
      <c r="AJ926" s="1"/>
      <c r="AK926" s="1"/>
    </row>
    <row r="927" spans="36:37" x14ac:dyDescent="0.2">
      <c r="AJ927" s="1"/>
      <c r="AK927" s="1"/>
    </row>
    <row r="928" spans="36:37" x14ac:dyDescent="0.2">
      <c r="AJ928" s="1"/>
      <c r="AK928" s="1"/>
    </row>
    <row r="929" spans="36:37" x14ac:dyDescent="0.2">
      <c r="AJ929" s="1"/>
      <c r="AK929" s="1"/>
    </row>
    <row r="930" spans="36:37" x14ac:dyDescent="0.2">
      <c r="AJ930" s="1"/>
      <c r="AK930" s="1"/>
    </row>
    <row r="931" spans="36:37" x14ac:dyDescent="0.2">
      <c r="AJ931" s="1"/>
      <c r="AK931" s="1"/>
    </row>
    <row r="932" spans="36:37" x14ac:dyDescent="0.2">
      <c r="AJ932" s="1"/>
      <c r="AK932" s="1"/>
    </row>
    <row r="933" spans="36:37" x14ac:dyDescent="0.2">
      <c r="AJ933" s="1"/>
      <c r="AK933" s="1"/>
    </row>
    <row r="934" spans="36:37" x14ac:dyDescent="0.2">
      <c r="AJ934" s="1"/>
      <c r="AK934" s="1"/>
    </row>
    <row r="935" spans="36:37" x14ac:dyDescent="0.2">
      <c r="AJ935" s="1"/>
      <c r="AK935" s="1"/>
    </row>
    <row r="936" spans="36:37" x14ac:dyDescent="0.2">
      <c r="AJ936" s="1"/>
      <c r="AK936" s="1"/>
    </row>
    <row r="937" spans="36:37" x14ac:dyDescent="0.2">
      <c r="AJ937" s="1"/>
      <c r="AK937" s="1"/>
    </row>
    <row r="938" spans="36:37" x14ac:dyDescent="0.2">
      <c r="AJ938" s="1"/>
      <c r="AK938" s="1"/>
    </row>
    <row r="939" spans="36:37" x14ac:dyDescent="0.2">
      <c r="AJ939" s="1"/>
      <c r="AK939" s="1"/>
    </row>
    <row r="940" spans="36:37" x14ac:dyDescent="0.2">
      <c r="AJ940" s="1"/>
      <c r="AK940" s="1"/>
    </row>
    <row r="941" spans="36:37" x14ac:dyDescent="0.2">
      <c r="AJ941" s="1"/>
      <c r="AK941" s="1"/>
    </row>
    <row r="942" spans="36:37" x14ac:dyDescent="0.2">
      <c r="AJ942" s="1"/>
      <c r="AK942" s="1"/>
    </row>
    <row r="943" spans="36:37" x14ac:dyDescent="0.2">
      <c r="AJ943" s="1"/>
      <c r="AK943" s="1"/>
    </row>
    <row r="944" spans="36:37" x14ac:dyDescent="0.2">
      <c r="AJ944" s="1"/>
      <c r="AK944" s="1"/>
    </row>
    <row r="945" spans="36:37" x14ac:dyDescent="0.2">
      <c r="AJ945" s="1"/>
      <c r="AK945" s="1"/>
    </row>
    <row r="946" spans="36:37" x14ac:dyDescent="0.2">
      <c r="AJ946" s="1"/>
      <c r="AK946" s="1"/>
    </row>
    <row r="947" spans="36:37" x14ac:dyDescent="0.2">
      <c r="AJ947" s="1"/>
      <c r="AK947" s="1"/>
    </row>
    <row r="948" spans="36:37" x14ac:dyDescent="0.2">
      <c r="AJ948" s="1"/>
      <c r="AK948" s="1"/>
    </row>
    <row r="949" spans="36:37" x14ac:dyDescent="0.2">
      <c r="AJ949" s="1"/>
      <c r="AK949" s="1"/>
    </row>
    <row r="950" spans="36:37" x14ac:dyDescent="0.2">
      <c r="AJ950" s="1"/>
      <c r="AK950" s="1"/>
    </row>
    <row r="951" spans="36:37" x14ac:dyDescent="0.2">
      <c r="AJ951" s="1"/>
      <c r="AK951" s="1"/>
    </row>
    <row r="952" spans="36:37" x14ac:dyDescent="0.2">
      <c r="AJ952" s="1"/>
      <c r="AK952" s="1"/>
    </row>
    <row r="953" spans="36:37" x14ac:dyDescent="0.2">
      <c r="AJ953" s="1"/>
      <c r="AK953" s="1"/>
    </row>
    <row r="954" spans="36:37" x14ac:dyDescent="0.2">
      <c r="AJ954" s="1"/>
      <c r="AK954" s="1"/>
    </row>
    <row r="955" spans="36:37" x14ac:dyDescent="0.2">
      <c r="AJ955" s="1"/>
      <c r="AK955" s="1"/>
    </row>
    <row r="956" spans="36:37" x14ac:dyDescent="0.2">
      <c r="AJ956" s="1"/>
      <c r="AK956" s="1"/>
    </row>
    <row r="957" spans="36:37" x14ac:dyDescent="0.2">
      <c r="AJ957" s="1"/>
      <c r="AK957" s="1"/>
    </row>
    <row r="958" spans="36:37" x14ac:dyDescent="0.2">
      <c r="AJ958" s="1"/>
      <c r="AK958" s="1"/>
    </row>
    <row r="959" spans="36:37" x14ac:dyDescent="0.2">
      <c r="AJ959" s="1"/>
      <c r="AK959" s="1"/>
    </row>
    <row r="960" spans="36:37" x14ac:dyDescent="0.2">
      <c r="AJ960" s="1"/>
      <c r="AK960" s="1"/>
    </row>
    <row r="961" spans="36:37" x14ac:dyDescent="0.2">
      <c r="AJ961" s="1"/>
      <c r="AK961" s="1"/>
    </row>
    <row r="962" spans="36:37" x14ac:dyDescent="0.2">
      <c r="AJ962" s="1"/>
      <c r="AK962" s="1"/>
    </row>
    <row r="963" spans="36:37" x14ac:dyDescent="0.2">
      <c r="AJ963" s="1"/>
      <c r="AK963" s="1"/>
    </row>
    <row r="964" spans="36:37" x14ac:dyDescent="0.2">
      <c r="AJ964" s="1"/>
      <c r="AK964" s="1"/>
    </row>
    <row r="965" spans="36:37" x14ac:dyDescent="0.2">
      <c r="AJ965" s="1"/>
      <c r="AK965" s="1"/>
    </row>
    <row r="966" spans="36:37" x14ac:dyDescent="0.2">
      <c r="AJ966" s="1"/>
      <c r="AK966" s="1"/>
    </row>
    <row r="967" spans="36:37" x14ac:dyDescent="0.2">
      <c r="AJ967" s="1"/>
      <c r="AK967" s="1"/>
    </row>
    <row r="968" spans="36:37" x14ac:dyDescent="0.2">
      <c r="AJ968" s="1"/>
      <c r="AK968" s="1"/>
    </row>
    <row r="969" spans="36:37" x14ac:dyDescent="0.2">
      <c r="AJ969" s="1"/>
      <c r="AK969" s="1"/>
    </row>
    <row r="970" spans="36:37" x14ac:dyDescent="0.2">
      <c r="AJ970" s="1"/>
      <c r="AK970" s="1"/>
    </row>
    <row r="971" spans="36:37" x14ac:dyDescent="0.2">
      <c r="AJ971" s="1"/>
      <c r="AK971" s="1"/>
    </row>
    <row r="972" spans="36:37" x14ac:dyDescent="0.2">
      <c r="AJ972" s="1"/>
      <c r="AK972" s="1"/>
    </row>
    <row r="973" spans="36:37" x14ac:dyDescent="0.2">
      <c r="AJ973" s="1"/>
      <c r="AK973" s="1"/>
    </row>
    <row r="974" spans="36:37" x14ac:dyDescent="0.2">
      <c r="AJ974" s="1"/>
      <c r="AK974" s="1"/>
    </row>
    <row r="975" spans="36:37" x14ac:dyDescent="0.2">
      <c r="AJ975" s="1"/>
      <c r="AK975" s="1"/>
    </row>
    <row r="976" spans="36:37" x14ac:dyDescent="0.2">
      <c r="AJ976" s="1"/>
      <c r="AK976" s="1"/>
    </row>
    <row r="977" spans="36:37" x14ac:dyDescent="0.2">
      <c r="AJ977" s="1"/>
      <c r="AK977" s="1"/>
    </row>
    <row r="978" spans="36:37" x14ac:dyDescent="0.2">
      <c r="AJ978" s="1"/>
      <c r="AK978" s="1"/>
    </row>
    <row r="979" spans="36:37" x14ac:dyDescent="0.2">
      <c r="AJ979" s="1"/>
      <c r="AK979" s="1"/>
    </row>
    <row r="980" spans="36:37" x14ac:dyDescent="0.2">
      <c r="AJ980" s="1"/>
      <c r="AK980" s="1"/>
    </row>
    <row r="981" spans="36:37" x14ac:dyDescent="0.2">
      <c r="AJ981" s="1"/>
      <c r="AK981" s="1"/>
    </row>
    <row r="982" spans="36:37" x14ac:dyDescent="0.2">
      <c r="AJ982" s="1"/>
      <c r="AK982" s="1"/>
    </row>
    <row r="983" spans="36:37" x14ac:dyDescent="0.2">
      <c r="AJ983" s="1"/>
      <c r="AK983" s="1"/>
    </row>
    <row r="984" spans="36:37" x14ac:dyDescent="0.2">
      <c r="AJ984" s="1"/>
      <c r="AK984" s="1"/>
    </row>
    <row r="985" spans="36:37" x14ac:dyDescent="0.2">
      <c r="AJ985" s="1"/>
      <c r="AK985" s="1"/>
    </row>
    <row r="986" spans="36:37" x14ac:dyDescent="0.2">
      <c r="AJ986" s="1"/>
      <c r="AK986" s="1"/>
    </row>
    <row r="987" spans="36:37" x14ac:dyDescent="0.2">
      <c r="AJ987" s="1"/>
      <c r="AK987" s="1"/>
    </row>
    <row r="988" spans="36:37" x14ac:dyDescent="0.2">
      <c r="AJ988" s="1"/>
      <c r="AK988" s="1"/>
    </row>
    <row r="989" spans="36:37" x14ac:dyDescent="0.2">
      <c r="AJ989" s="1"/>
      <c r="AK989" s="1"/>
    </row>
    <row r="990" spans="36:37" x14ac:dyDescent="0.2">
      <c r="AJ990" s="1"/>
      <c r="AK990" s="1"/>
    </row>
    <row r="991" spans="36:37" x14ac:dyDescent="0.2">
      <c r="AJ991" s="1"/>
      <c r="AK991" s="1"/>
    </row>
    <row r="992" spans="36:37" x14ac:dyDescent="0.2">
      <c r="AJ992" s="1"/>
      <c r="AK992" s="1"/>
    </row>
    <row r="993" spans="36:37" x14ac:dyDescent="0.2">
      <c r="AJ993" s="1"/>
      <c r="AK993" s="1"/>
    </row>
    <row r="994" spans="36:37" x14ac:dyDescent="0.2">
      <c r="AJ994" s="1"/>
      <c r="AK994" s="1"/>
    </row>
    <row r="995" spans="36:37" x14ac:dyDescent="0.2">
      <c r="AJ995" s="1"/>
      <c r="AK995" s="1"/>
    </row>
    <row r="996" spans="36:37" x14ac:dyDescent="0.2">
      <c r="AJ996" s="1"/>
      <c r="AK996" s="1"/>
    </row>
    <row r="997" spans="36:37" x14ac:dyDescent="0.2">
      <c r="AJ997" s="1"/>
      <c r="AK997" s="1"/>
    </row>
    <row r="998" spans="36:37" x14ac:dyDescent="0.2">
      <c r="AJ998" s="1"/>
      <c r="AK998" s="1"/>
    </row>
    <row r="999" spans="36:37" x14ac:dyDescent="0.2">
      <c r="AJ999" s="1"/>
      <c r="AK999" s="1"/>
    </row>
    <row r="1000" spans="36:37" x14ac:dyDescent="0.2">
      <c r="AJ1000" s="1"/>
      <c r="AK1000" s="1"/>
    </row>
    <row r="1001" spans="36:37" x14ac:dyDescent="0.2">
      <c r="AJ1001" s="1"/>
      <c r="AK1001" s="1"/>
    </row>
    <row r="1002" spans="36:37" x14ac:dyDescent="0.2">
      <c r="AJ1002" s="1"/>
      <c r="AK1002" s="1"/>
    </row>
    <row r="1003" spans="36:37" x14ac:dyDescent="0.2">
      <c r="AJ1003" s="1"/>
      <c r="AK1003" s="1"/>
    </row>
    <row r="1004" spans="36:37" x14ac:dyDescent="0.2">
      <c r="AJ1004" s="1"/>
      <c r="AK1004" s="1"/>
    </row>
    <row r="1005" spans="36:37" x14ac:dyDescent="0.2">
      <c r="AJ1005" s="1"/>
      <c r="AK1005" s="1"/>
    </row>
    <row r="1006" spans="36:37" x14ac:dyDescent="0.2">
      <c r="AJ1006" s="1"/>
      <c r="AK1006" s="1"/>
    </row>
    <row r="1007" spans="36:37" x14ac:dyDescent="0.2">
      <c r="AJ1007" s="1"/>
      <c r="AK1007" s="1"/>
    </row>
    <row r="1008" spans="36:37" x14ac:dyDescent="0.2">
      <c r="AJ1008" s="1"/>
      <c r="AK1008" s="1"/>
    </row>
    <row r="1009" spans="36:37" x14ac:dyDescent="0.2">
      <c r="AJ1009" s="1"/>
      <c r="AK1009" s="1"/>
    </row>
    <row r="1010" spans="36:37" x14ac:dyDescent="0.2">
      <c r="AJ1010" s="1"/>
      <c r="AK1010" s="1"/>
    </row>
    <row r="1011" spans="36:37" x14ac:dyDescent="0.2">
      <c r="AJ1011" s="1"/>
      <c r="AK1011" s="1"/>
    </row>
    <row r="1012" spans="36:37" x14ac:dyDescent="0.2">
      <c r="AJ1012" s="1"/>
      <c r="AK1012" s="1"/>
    </row>
    <row r="1013" spans="36:37" x14ac:dyDescent="0.2">
      <c r="AJ1013" s="1"/>
      <c r="AK1013" s="1"/>
    </row>
    <row r="1014" spans="36:37" x14ac:dyDescent="0.2">
      <c r="AJ1014" s="1"/>
      <c r="AK1014" s="1"/>
    </row>
    <row r="1015" spans="36:37" x14ac:dyDescent="0.2">
      <c r="AJ1015" s="1"/>
      <c r="AK1015" s="1"/>
    </row>
    <row r="1016" spans="36:37" x14ac:dyDescent="0.2">
      <c r="AJ1016" s="1"/>
      <c r="AK1016" s="1"/>
    </row>
    <row r="1017" spans="36:37" x14ac:dyDescent="0.2">
      <c r="AJ1017" s="1"/>
      <c r="AK1017" s="1"/>
    </row>
    <row r="1018" spans="36:37" x14ac:dyDescent="0.2">
      <c r="AJ1018" s="1"/>
      <c r="AK1018" s="1"/>
    </row>
    <row r="1019" spans="36:37" x14ac:dyDescent="0.2">
      <c r="AJ1019" s="1"/>
      <c r="AK1019" s="1"/>
    </row>
    <row r="1020" spans="36:37" x14ac:dyDescent="0.2">
      <c r="AJ1020" s="1"/>
      <c r="AK1020" s="1"/>
    </row>
    <row r="1021" spans="36:37" x14ac:dyDescent="0.2">
      <c r="AJ1021" s="1"/>
      <c r="AK1021" s="1"/>
    </row>
    <row r="1022" spans="36:37" x14ac:dyDescent="0.2">
      <c r="AJ1022" s="1"/>
      <c r="AK1022" s="1"/>
    </row>
    <row r="1023" spans="36:37" x14ac:dyDescent="0.2">
      <c r="AJ1023" s="1"/>
      <c r="AK1023" s="1"/>
    </row>
    <row r="1024" spans="36:37" x14ac:dyDescent="0.2">
      <c r="AJ1024" s="1"/>
      <c r="AK1024" s="1"/>
    </row>
    <row r="1025" spans="36:37" x14ac:dyDescent="0.2">
      <c r="AJ1025" s="1"/>
      <c r="AK1025" s="1"/>
    </row>
    <row r="1026" spans="36:37" x14ac:dyDescent="0.2">
      <c r="AJ1026" s="1"/>
      <c r="AK1026" s="1"/>
    </row>
    <row r="1027" spans="36:37" x14ac:dyDescent="0.2">
      <c r="AJ1027" s="1"/>
      <c r="AK1027" s="1"/>
    </row>
    <row r="1028" spans="36:37" x14ac:dyDescent="0.2">
      <c r="AJ1028" s="1"/>
      <c r="AK1028" s="1"/>
    </row>
    <row r="1029" spans="36:37" x14ac:dyDescent="0.2">
      <c r="AJ1029" s="1"/>
      <c r="AK1029" s="1"/>
    </row>
    <row r="1030" spans="36:37" x14ac:dyDescent="0.2">
      <c r="AJ1030" s="1"/>
      <c r="AK1030" s="1"/>
    </row>
    <row r="1031" spans="36:37" x14ac:dyDescent="0.2">
      <c r="AJ1031" s="1"/>
      <c r="AK1031" s="1"/>
    </row>
    <row r="1032" spans="36:37" x14ac:dyDescent="0.2">
      <c r="AJ1032" s="1"/>
      <c r="AK1032" s="1"/>
    </row>
    <row r="1033" spans="36:37" x14ac:dyDescent="0.2">
      <c r="AJ1033" s="1"/>
      <c r="AK1033" s="1"/>
    </row>
    <row r="1034" spans="36:37" x14ac:dyDescent="0.2">
      <c r="AJ1034" s="1"/>
      <c r="AK1034" s="1"/>
    </row>
    <row r="1035" spans="36:37" x14ac:dyDescent="0.2">
      <c r="AJ1035" s="1"/>
      <c r="AK1035" s="1"/>
    </row>
    <row r="1036" spans="36:37" x14ac:dyDescent="0.2">
      <c r="AJ1036" s="1"/>
      <c r="AK1036" s="1"/>
    </row>
    <row r="1037" spans="36:37" x14ac:dyDescent="0.2">
      <c r="AJ1037" s="1"/>
      <c r="AK1037" s="1"/>
    </row>
    <row r="1038" spans="36:37" x14ac:dyDescent="0.2">
      <c r="AJ1038" s="1"/>
      <c r="AK1038" s="1"/>
    </row>
    <row r="1039" spans="36:37" x14ac:dyDescent="0.2">
      <c r="AJ1039" s="1"/>
      <c r="AK1039" s="1"/>
    </row>
    <row r="1040" spans="36:37" x14ac:dyDescent="0.2">
      <c r="AJ1040" s="1"/>
      <c r="AK1040" s="1"/>
    </row>
    <row r="1041" spans="36:37" x14ac:dyDescent="0.2">
      <c r="AJ1041" s="1"/>
      <c r="AK1041" s="1"/>
    </row>
    <row r="1042" spans="36:37" x14ac:dyDescent="0.2">
      <c r="AJ1042" s="1"/>
      <c r="AK1042" s="1"/>
    </row>
    <row r="1043" spans="36:37" x14ac:dyDescent="0.2">
      <c r="AJ1043" s="1"/>
      <c r="AK1043" s="1"/>
    </row>
    <row r="1044" spans="36:37" x14ac:dyDescent="0.2">
      <c r="AJ1044" s="1"/>
      <c r="AK1044" s="1"/>
    </row>
    <row r="1045" spans="36:37" x14ac:dyDescent="0.2">
      <c r="AJ1045" s="1"/>
      <c r="AK1045" s="1"/>
    </row>
    <row r="1046" spans="36:37" x14ac:dyDescent="0.2">
      <c r="AJ1046" s="1"/>
      <c r="AK1046" s="1"/>
    </row>
    <row r="1047" spans="36:37" x14ac:dyDescent="0.2">
      <c r="AJ1047" s="1"/>
      <c r="AK1047" s="1"/>
    </row>
    <row r="1048" spans="36:37" x14ac:dyDescent="0.2">
      <c r="AJ1048" s="1"/>
      <c r="AK1048" s="1"/>
    </row>
    <row r="1049" spans="36:37" x14ac:dyDescent="0.2">
      <c r="AJ1049" s="1"/>
      <c r="AK1049" s="1"/>
    </row>
    <row r="1050" spans="36:37" x14ac:dyDescent="0.2">
      <c r="AJ1050" s="1"/>
      <c r="AK1050" s="1"/>
    </row>
    <row r="1051" spans="36:37" x14ac:dyDescent="0.2">
      <c r="AJ1051" s="1"/>
      <c r="AK1051" s="1"/>
    </row>
    <row r="1052" spans="36:37" x14ac:dyDescent="0.2">
      <c r="AJ1052" s="1"/>
      <c r="AK1052" s="1"/>
    </row>
    <row r="1053" spans="36:37" x14ac:dyDescent="0.2">
      <c r="AJ1053" s="1"/>
      <c r="AK1053" s="1"/>
    </row>
    <row r="1054" spans="36:37" x14ac:dyDescent="0.2">
      <c r="AJ1054" s="1"/>
      <c r="AK1054" s="1"/>
    </row>
    <row r="1055" spans="36:37" x14ac:dyDescent="0.2">
      <c r="AJ1055" s="1"/>
      <c r="AK1055" s="1"/>
    </row>
    <row r="1056" spans="36:37" x14ac:dyDescent="0.2">
      <c r="AJ1056" s="1"/>
      <c r="AK1056" s="1"/>
    </row>
    <row r="1057" spans="36:37" x14ac:dyDescent="0.2">
      <c r="AJ1057" s="1"/>
      <c r="AK1057" s="1"/>
    </row>
    <row r="1058" spans="36:37" x14ac:dyDescent="0.2">
      <c r="AJ1058" s="1"/>
      <c r="AK1058" s="1"/>
    </row>
    <row r="1059" spans="36:37" x14ac:dyDescent="0.2">
      <c r="AJ1059" s="1"/>
      <c r="AK1059" s="1"/>
    </row>
    <row r="1060" spans="36:37" x14ac:dyDescent="0.2">
      <c r="AJ1060" s="1"/>
      <c r="AK1060" s="1"/>
    </row>
    <row r="1061" spans="36:37" x14ac:dyDescent="0.2">
      <c r="AJ1061" s="1"/>
      <c r="AK1061" s="1"/>
    </row>
    <row r="1062" spans="36:37" x14ac:dyDescent="0.2">
      <c r="AJ1062" s="1"/>
      <c r="AK1062" s="1"/>
    </row>
    <row r="1063" spans="36:37" x14ac:dyDescent="0.2">
      <c r="AJ1063" s="1"/>
      <c r="AK1063" s="1"/>
    </row>
    <row r="1064" spans="36:37" x14ac:dyDescent="0.2">
      <c r="AJ1064" s="1"/>
      <c r="AK1064" s="1"/>
    </row>
    <row r="1065" spans="36:37" x14ac:dyDescent="0.2">
      <c r="AJ1065" s="1"/>
      <c r="AK1065" s="1"/>
    </row>
    <row r="1066" spans="36:37" x14ac:dyDescent="0.2">
      <c r="AJ1066" s="1"/>
      <c r="AK1066" s="1"/>
    </row>
    <row r="1067" spans="36:37" x14ac:dyDescent="0.2">
      <c r="AJ1067" s="1"/>
      <c r="AK1067" s="1"/>
    </row>
    <row r="1068" spans="36:37" x14ac:dyDescent="0.2">
      <c r="AJ1068" s="1"/>
      <c r="AK1068" s="1"/>
    </row>
    <row r="1069" spans="36:37" x14ac:dyDescent="0.2">
      <c r="AJ1069" s="1"/>
      <c r="AK1069" s="1"/>
    </row>
    <row r="1070" spans="36:37" x14ac:dyDescent="0.2">
      <c r="AJ1070" s="1"/>
      <c r="AK1070" s="1"/>
    </row>
    <row r="1071" spans="36:37" x14ac:dyDescent="0.2">
      <c r="AJ1071" s="1"/>
      <c r="AK1071" s="1"/>
    </row>
    <row r="1072" spans="36:37" x14ac:dyDescent="0.2">
      <c r="AJ1072" s="1"/>
      <c r="AK1072" s="1"/>
    </row>
    <row r="1073" spans="36:37" x14ac:dyDescent="0.2">
      <c r="AJ1073" s="1"/>
      <c r="AK1073" s="1"/>
    </row>
    <row r="1074" spans="36:37" x14ac:dyDescent="0.2">
      <c r="AJ1074" s="1"/>
      <c r="AK1074" s="1"/>
    </row>
    <row r="1075" spans="36:37" x14ac:dyDescent="0.2">
      <c r="AJ1075" s="1"/>
      <c r="AK1075" s="1"/>
    </row>
    <row r="1076" spans="36:37" x14ac:dyDescent="0.2">
      <c r="AJ1076" s="1"/>
      <c r="AK1076" s="1"/>
    </row>
    <row r="1077" spans="36:37" x14ac:dyDescent="0.2">
      <c r="AJ1077" s="1"/>
      <c r="AK1077" s="1"/>
    </row>
    <row r="1078" spans="36:37" x14ac:dyDescent="0.2">
      <c r="AJ1078" s="1"/>
      <c r="AK1078" s="1"/>
    </row>
    <row r="1079" spans="36:37" x14ac:dyDescent="0.2">
      <c r="AJ1079" s="1"/>
      <c r="AK1079" s="1"/>
    </row>
    <row r="1080" spans="36:37" x14ac:dyDescent="0.2">
      <c r="AJ1080" s="1"/>
      <c r="AK1080" s="1"/>
    </row>
    <row r="1081" spans="36:37" x14ac:dyDescent="0.2">
      <c r="AJ1081" s="1"/>
      <c r="AK1081" s="1"/>
    </row>
    <row r="1082" spans="36:37" x14ac:dyDescent="0.2">
      <c r="AJ1082" s="1"/>
      <c r="AK1082" s="1"/>
    </row>
    <row r="1083" spans="36:37" x14ac:dyDescent="0.2">
      <c r="AJ1083" s="1"/>
      <c r="AK1083" s="1"/>
    </row>
    <row r="1084" spans="36:37" x14ac:dyDescent="0.2">
      <c r="AJ1084" s="1"/>
      <c r="AK1084" s="1"/>
    </row>
    <row r="1085" spans="36:37" x14ac:dyDescent="0.2">
      <c r="AJ1085" s="1"/>
      <c r="AK1085" s="1"/>
    </row>
    <row r="1086" spans="36:37" x14ac:dyDescent="0.2">
      <c r="AJ1086" s="1"/>
      <c r="AK1086" s="1"/>
    </row>
    <row r="1087" spans="36:37" x14ac:dyDescent="0.2">
      <c r="AJ1087" s="1"/>
      <c r="AK1087" s="1"/>
    </row>
    <row r="1088" spans="36:37" x14ac:dyDescent="0.2">
      <c r="AJ1088" s="1"/>
      <c r="AK1088" s="1"/>
    </row>
    <row r="1089" spans="36:37" x14ac:dyDescent="0.2">
      <c r="AJ1089" s="1"/>
      <c r="AK1089" s="1"/>
    </row>
    <row r="1090" spans="36:37" x14ac:dyDescent="0.2">
      <c r="AJ1090" s="1"/>
      <c r="AK1090" s="1"/>
    </row>
    <row r="1091" spans="36:37" x14ac:dyDescent="0.2">
      <c r="AJ1091" s="1"/>
      <c r="AK1091" s="1"/>
    </row>
    <row r="1092" spans="36:37" x14ac:dyDescent="0.2">
      <c r="AJ1092" s="1"/>
      <c r="AK1092" s="1"/>
    </row>
    <row r="1093" spans="36:37" x14ac:dyDescent="0.2">
      <c r="AJ1093" s="1"/>
      <c r="AK1093" s="1"/>
    </row>
    <row r="1094" spans="36:37" x14ac:dyDescent="0.2">
      <c r="AJ1094" s="1"/>
      <c r="AK1094" s="1"/>
    </row>
    <row r="1095" spans="36:37" x14ac:dyDescent="0.2">
      <c r="AJ1095" s="1"/>
      <c r="AK1095" s="1"/>
    </row>
    <row r="1096" spans="36:37" x14ac:dyDescent="0.2">
      <c r="AJ1096" s="1"/>
      <c r="AK1096" s="1"/>
    </row>
    <row r="1097" spans="36:37" x14ac:dyDescent="0.2">
      <c r="AJ1097" s="1"/>
      <c r="AK1097" s="1"/>
    </row>
    <row r="1098" spans="36:37" x14ac:dyDescent="0.2">
      <c r="AJ1098" s="1"/>
      <c r="AK1098" s="1"/>
    </row>
    <row r="1099" spans="36:37" x14ac:dyDescent="0.2">
      <c r="AJ1099" s="1"/>
      <c r="AK1099" s="1"/>
    </row>
    <row r="1100" spans="36:37" x14ac:dyDescent="0.2">
      <c r="AJ1100" s="1"/>
      <c r="AK1100" s="1"/>
    </row>
    <row r="1101" spans="36:37" x14ac:dyDescent="0.2">
      <c r="AJ1101" s="1"/>
      <c r="AK1101" s="1"/>
    </row>
    <row r="1102" spans="36:37" x14ac:dyDescent="0.2">
      <c r="AJ1102" s="1"/>
      <c r="AK1102" s="1"/>
    </row>
    <row r="1103" spans="36:37" x14ac:dyDescent="0.2">
      <c r="AJ1103" s="1"/>
      <c r="AK1103" s="1"/>
    </row>
    <row r="1104" spans="36:37" x14ac:dyDescent="0.2">
      <c r="AJ1104" s="1"/>
      <c r="AK1104" s="1"/>
    </row>
    <row r="1105" spans="36:37" x14ac:dyDescent="0.2">
      <c r="AJ1105" s="1"/>
      <c r="AK1105" s="1"/>
    </row>
    <row r="1106" spans="36:37" x14ac:dyDescent="0.2">
      <c r="AJ1106" s="1"/>
      <c r="AK1106" s="1"/>
    </row>
    <row r="1107" spans="36:37" x14ac:dyDescent="0.2">
      <c r="AJ1107" s="1"/>
      <c r="AK1107" s="1"/>
    </row>
    <row r="1108" spans="36:37" x14ac:dyDescent="0.2">
      <c r="AJ1108" s="1"/>
      <c r="AK1108" s="1"/>
    </row>
    <row r="1109" spans="36:37" x14ac:dyDescent="0.2">
      <c r="AJ1109" s="1"/>
      <c r="AK1109" s="1"/>
    </row>
    <row r="1110" spans="36:37" x14ac:dyDescent="0.2">
      <c r="AJ1110" s="1"/>
      <c r="AK1110" s="1"/>
    </row>
    <row r="1111" spans="36:37" x14ac:dyDescent="0.2">
      <c r="AJ1111" s="1"/>
      <c r="AK1111" s="1"/>
    </row>
    <row r="1112" spans="36:37" x14ac:dyDescent="0.2">
      <c r="AJ1112" s="1"/>
      <c r="AK1112" s="1"/>
    </row>
    <row r="1113" spans="36:37" x14ac:dyDescent="0.2">
      <c r="AJ1113" s="1"/>
      <c r="AK1113" s="1"/>
    </row>
    <row r="1114" spans="36:37" x14ac:dyDescent="0.2">
      <c r="AJ1114" s="1"/>
      <c r="AK1114" s="1"/>
    </row>
    <row r="1115" spans="36:37" x14ac:dyDescent="0.2">
      <c r="AJ1115" s="1"/>
      <c r="AK1115" s="1"/>
    </row>
    <row r="1116" spans="36:37" x14ac:dyDescent="0.2">
      <c r="AJ1116" s="1"/>
      <c r="AK1116" s="1"/>
    </row>
    <row r="1117" spans="36:37" x14ac:dyDescent="0.2">
      <c r="AJ1117" s="1"/>
      <c r="AK1117" s="1"/>
    </row>
    <row r="1118" spans="36:37" x14ac:dyDescent="0.2">
      <c r="AJ1118" s="1"/>
      <c r="AK1118" s="1"/>
    </row>
    <row r="1119" spans="36:37" x14ac:dyDescent="0.2">
      <c r="AJ1119" s="1"/>
      <c r="AK1119" s="1"/>
    </row>
    <row r="1120" spans="36:37" x14ac:dyDescent="0.2">
      <c r="AJ1120" s="1"/>
      <c r="AK1120" s="1"/>
    </row>
    <row r="1121" spans="36:37" x14ac:dyDescent="0.2">
      <c r="AJ1121" s="1"/>
      <c r="AK1121" s="1"/>
    </row>
    <row r="1122" spans="36:37" x14ac:dyDescent="0.2">
      <c r="AJ1122" s="1"/>
      <c r="AK1122" s="1"/>
    </row>
    <row r="1123" spans="36:37" x14ac:dyDescent="0.2">
      <c r="AJ1123" s="1"/>
      <c r="AK1123" s="1"/>
    </row>
    <row r="1124" spans="36:37" x14ac:dyDescent="0.2">
      <c r="AJ1124" s="1"/>
      <c r="AK1124" s="1"/>
    </row>
    <row r="1125" spans="36:37" x14ac:dyDescent="0.2">
      <c r="AJ1125" s="1"/>
      <c r="AK1125" s="1"/>
    </row>
    <row r="1126" spans="36:37" x14ac:dyDescent="0.2">
      <c r="AJ1126" s="1"/>
      <c r="AK1126" s="1"/>
    </row>
    <row r="1127" spans="36:37" x14ac:dyDescent="0.2">
      <c r="AJ1127" s="1"/>
      <c r="AK1127" s="1"/>
    </row>
    <row r="1128" spans="36:37" x14ac:dyDescent="0.2">
      <c r="AJ1128" s="1"/>
      <c r="AK1128" s="1"/>
    </row>
    <row r="1129" spans="36:37" x14ac:dyDescent="0.2">
      <c r="AJ1129" s="1"/>
      <c r="AK1129" s="1"/>
    </row>
    <row r="1130" spans="36:37" x14ac:dyDescent="0.2">
      <c r="AJ1130" s="1"/>
      <c r="AK1130" s="1"/>
    </row>
    <row r="1131" spans="36:37" x14ac:dyDescent="0.2">
      <c r="AJ1131" s="1"/>
      <c r="AK1131" s="1"/>
    </row>
    <row r="1132" spans="36:37" x14ac:dyDescent="0.2">
      <c r="AJ1132" s="1"/>
      <c r="AK1132" s="1"/>
    </row>
    <row r="1133" spans="36:37" x14ac:dyDescent="0.2">
      <c r="AJ1133" s="1"/>
      <c r="AK1133" s="1"/>
    </row>
    <row r="1134" spans="36:37" x14ac:dyDescent="0.2">
      <c r="AJ1134" s="1"/>
      <c r="AK1134" s="1"/>
    </row>
    <row r="1135" spans="36:37" x14ac:dyDescent="0.2">
      <c r="AJ1135" s="1"/>
      <c r="AK1135" s="1"/>
    </row>
    <row r="1136" spans="36:37" x14ac:dyDescent="0.2">
      <c r="AJ1136" s="1"/>
      <c r="AK1136" s="1"/>
    </row>
    <row r="1137" spans="36:37" x14ac:dyDescent="0.2">
      <c r="AJ1137" s="1"/>
      <c r="AK1137" s="1"/>
    </row>
    <row r="1138" spans="36:37" x14ac:dyDescent="0.2">
      <c r="AJ1138" s="1"/>
      <c r="AK1138" s="1"/>
    </row>
    <row r="1139" spans="36:37" x14ac:dyDescent="0.2">
      <c r="AJ1139" s="1"/>
      <c r="AK1139" s="1"/>
    </row>
    <row r="1140" spans="36:37" x14ac:dyDescent="0.2">
      <c r="AJ1140" s="1"/>
      <c r="AK1140" s="1"/>
    </row>
    <row r="1141" spans="36:37" x14ac:dyDescent="0.2">
      <c r="AJ1141" s="1"/>
      <c r="AK1141" s="1"/>
    </row>
    <row r="1142" spans="36:37" x14ac:dyDescent="0.2">
      <c r="AJ1142" s="1"/>
      <c r="AK1142" s="1"/>
    </row>
    <row r="1143" spans="36:37" x14ac:dyDescent="0.2">
      <c r="AJ1143" s="1"/>
      <c r="AK1143" s="1"/>
    </row>
    <row r="1144" spans="36:37" x14ac:dyDescent="0.2">
      <c r="AJ1144" s="1"/>
      <c r="AK1144" s="1"/>
    </row>
    <row r="1145" spans="36:37" x14ac:dyDescent="0.2">
      <c r="AJ1145" s="1"/>
      <c r="AK1145" s="1"/>
    </row>
    <row r="1146" spans="36:37" x14ac:dyDescent="0.2">
      <c r="AJ1146" s="1"/>
      <c r="AK1146" s="1"/>
    </row>
    <row r="1147" spans="36:37" x14ac:dyDescent="0.2">
      <c r="AJ1147" s="1"/>
      <c r="AK1147" s="1"/>
    </row>
    <row r="1148" spans="36:37" x14ac:dyDescent="0.2">
      <c r="AJ1148" s="1"/>
      <c r="AK1148" s="1"/>
    </row>
    <row r="1149" spans="36:37" x14ac:dyDescent="0.2">
      <c r="AJ1149" s="1"/>
      <c r="AK1149" s="1"/>
    </row>
    <row r="1150" spans="36:37" x14ac:dyDescent="0.2">
      <c r="AJ1150" s="1"/>
      <c r="AK1150" s="1"/>
    </row>
    <row r="1151" spans="36:37" x14ac:dyDescent="0.2">
      <c r="AJ1151" s="1"/>
      <c r="AK1151" s="1"/>
    </row>
    <row r="1152" spans="36:37" x14ac:dyDescent="0.2">
      <c r="AJ1152" s="1"/>
      <c r="AK1152" s="1"/>
    </row>
    <row r="1153" spans="36:37" x14ac:dyDescent="0.2">
      <c r="AJ1153" s="1"/>
      <c r="AK1153" s="1"/>
    </row>
    <row r="1154" spans="36:37" x14ac:dyDescent="0.2">
      <c r="AJ1154" s="1"/>
      <c r="AK1154" s="1"/>
    </row>
    <row r="1155" spans="36:37" x14ac:dyDescent="0.2">
      <c r="AJ1155" s="1"/>
      <c r="AK1155" s="1"/>
    </row>
    <row r="1156" spans="36:37" x14ac:dyDescent="0.2">
      <c r="AJ1156" s="1"/>
      <c r="AK1156" s="1"/>
    </row>
    <row r="1157" spans="36:37" x14ac:dyDescent="0.2">
      <c r="AJ1157" s="1"/>
      <c r="AK1157" s="1"/>
    </row>
    <row r="1158" spans="36:37" x14ac:dyDescent="0.2">
      <c r="AJ1158" s="1"/>
      <c r="AK1158" s="1"/>
    </row>
    <row r="1159" spans="36:37" x14ac:dyDescent="0.2">
      <c r="AJ1159" s="1"/>
      <c r="AK1159" s="1"/>
    </row>
    <row r="1160" spans="36:37" x14ac:dyDescent="0.2">
      <c r="AJ1160" s="1"/>
      <c r="AK1160" s="1"/>
    </row>
    <row r="1161" spans="36:37" x14ac:dyDescent="0.2">
      <c r="AJ1161" s="1"/>
      <c r="AK1161" s="1"/>
    </row>
    <row r="1162" spans="36:37" x14ac:dyDescent="0.2">
      <c r="AJ1162" s="1"/>
      <c r="AK1162" s="1"/>
    </row>
    <row r="1163" spans="36:37" x14ac:dyDescent="0.2">
      <c r="AJ1163" s="1"/>
      <c r="AK1163" s="1"/>
    </row>
    <row r="1164" spans="36:37" x14ac:dyDescent="0.2">
      <c r="AJ1164" s="1"/>
      <c r="AK1164" s="1"/>
    </row>
    <row r="1165" spans="36:37" x14ac:dyDescent="0.2">
      <c r="AJ1165" s="1"/>
      <c r="AK1165" s="1"/>
    </row>
    <row r="1166" spans="36:37" x14ac:dyDescent="0.2">
      <c r="AJ1166" s="1"/>
      <c r="AK1166" s="1"/>
    </row>
    <row r="1167" spans="36:37" x14ac:dyDescent="0.2">
      <c r="AJ1167" s="1"/>
      <c r="AK1167" s="1"/>
    </row>
    <row r="1168" spans="36:37" x14ac:dyDescent="0.2">
      <c r="AJ1168" s="1"/>
      <c r="AK1168" s="1"/>
    </row>
    <row r="1169" spans="36:37" x14ac:dyDescent="0.2">
      <c r="AJ1169" s="1"/>
      <c r="AK1169" s="1"/>
    </row>
    <row r="1170" spans="36:37" x14ac:dyDescent="0.2">
      <c r="AJ1170" s="1"/>
      <c r="AK1170" s="1"/>
    </row>
    <row r="1171" spans="36:37" x14ac:dyDescent="0.2">
      <c r="AJ1171" s="1"/>
      <c r="AK1171" s="1"/>
    </row>
    <row r="1172" spans="36:37" x14ac:dyDescent="0.2">
      <c r="AJ1172" s="1"/>
      <c r="AK1172" s="1"/>
    </row>
    <row r="1173" spans="36:37" x14ac:dyDescent="0.2">
      <c r="AJ1173" s="1"/>
      <c r="AK1173" s="1"/>
    </row>
    <row r="1174" spans="36:37" x14ac:dyDescent="0.2">
      <c r="AJ1174" s="1"/>
      <c r="AK1174" s="1"/>
    </row>
    <row r="1175" spans="36:37" x14ac:dyDescent="0.2">
      <c r="AJ1175" s="1"/>
      <c r="AK1175" s="1"/>
    </row>
    <row r="1176" spans="36:37" x14ac:dyDescent="0.2">
      <c r="AJ1176" s="1"/>
      <c r="AK1176" s="1"/>
    </row>
    <row r="1177" spans="36:37" x14ac:dyDescent="0.2">
      <c r="AJ1177" s="1"/>
      <c r="AK1177" s="1"/>
    </row>
    <row r="1178" spans="36:37" x14ac:dyDescent="0.2">
      <c r="AJ1178" s="1"/>
      <c r="AK1178" s="1"/>
    </row>
    <row r="1179" spans="36:37" x14ac:dyDescent="0.2">
      <c r="AJ1179" s="1"/>
      <c r="AK1179" s="1"/>
    </row>
    <row r="1180" spans="36:37" x14ac:dyDescent="0.2">
      <c r="AJ1180" s="1"/>
      <c r="AK1180" s="1"/>
    </row>
    <row r="1181" spans="36:37" x14ac:dyDescent="0.2">
      <c r="AJ1181" s="1"/>
      <c r="AK1181" s="1"/>
    </row>
    <row r="1182" spans="36:37" x14ac:dyDescent="0.2">
      <c r="AJ1182" s="1"/>
      <c r="AK1182" s="1"/>
    </row>
    <row r="1183" spans="36:37" x14ac:dyDescent="0.2">
      <c r="AJ1183" s="1"/>
      <c r="AK1183" s="1"/>
    </row>
    <row r="1184" spans="36:37" x14ac:dyDescent="0.2">
      <c r="AJ1184" s="1"/>
      <c r="AK1184" s="1"/>
    </row>
    <row r="1185" spans="36:37" x14ac:dyDescent="0.2">
      <c r="AJ1185" s="1"/>
      <c r="AK1185" s="1"/>
    </row>
    <row r="1186" spans="36:37" x14ac:dyDescent="0.2">
      <c r="AJ1186" s="1"/>
      <c r="AK1186" s="1"/>
    </row>
    <row r="1187" spans="36:37" x14ac:dyDescent="0.2">
      <c r="AJ1187" s="1"/>
      <c r="AK1187" s="1"/>
    </row>
    <row r="1188" spans="36:37" x14ac:dyDescent="0.2">
      <c r="AJ1188" s="1"/>
      <c r="AK1188" s="1"/>
    </row>
    <row r="1189" spans="36:37" x14ac:dyDescent="0.2">
      <c r="AJ1189" s="1"/>
      <c r="AK1189" s="1"/>
    </row>
    <row r="1190" spans="36:37" x14ac:dyDescent="0.2">
      <c r="AJ1190" s="1"/>
      <c r="AK1190" s="1"/>
    </row>
    <row r="1191" spans="36:37" x14ac:dyDescent="0.2">
      <c r="AJ1191" s="1"/>
      <c r="AK1191" s="1"/>
    </row>
    <row r="1192" spans="36:37" x14ac:dyDescent="0.2">
      <c r="AJ1192" s="1"/>
      <c r="AK1192" s="1"/>
    </row>
    <row r="1193" spans="36:37" x14ac:dyDescent="0.2">
      <c r="AJ1193" s="1"/>
      <c r="AK1193" s="1"/>
    </row>
    <row r="1194" spans="36:37" x14ac:dyDescent="0.2">
      <c r="AJ1194" s="1"/>
      <c r="AK1194" s="1"/>
    </row>
    <row r="1195" spans="36:37" x14ac:dyDescent="0.2">
      <c r="AJ1195" s="1"/>
      <c r="AK1195" s="1"/>
    </row>
    <row r="1196" spans="36:37" x14ac:dyDescent="0.2">
      <c r="AJ1196" s="1"/>
      <c r="AK1196" s="1"/>
    </row>
    <row r="1197" spans="36:37" x14ac:dyDescent="0.2">
      <c r="AJ1197" s="1"/>
      <c r="AK1197" s="1"/>
    </row>
    <row r="1198" spans="36:37" x14ac:dyDescent="0.2">
      <c r="AJ1198" s="1"/>
      <c r="AK1198" s="1"/>
    </row>
    <row r="1199" spans="36:37" x14ac:dyDescent="0.2">
      <c r="AJ1199" s="1"/>
      <c r="AK1199" s="1"/>
    </row>
    <row r="1200" spans="36:37" x14ac:dyDescent="0.2">
      <c r="AJ1200" s="1"/>
      <c r="AK1200" s="1"/>
    </row>
    <row r="1201" spans="36:37" x14ac:dyDescent="0.2">
      <c r="AJ1201" s="1"/>
      <c r="AK1201" s="1"/>
    </row>
    <row r="1202" spans="36:37" x14ac:dyDescent="0.2">
      <c r="AJ1202" s="1"/>
      <c r="AK1202" s="1"/>
    </row>
    <row r="1203" spans="36:37" x14ac:dyDescent="0.2">
      <c r="AJ1203" s="1"/>
      <c r="AK1203" s="1"/>
    </row>
    <row r="1204" spans="36:37" x14ac:dyDescent="0.2">
      <c r="AJ1204" s="1"/>
      <c r="AK1204" s="1"/>
    </row>
    <row r="1205" spans="36:37" x14ac:dyDescent="0.2">
      <c r="AJ1205" s="1"/>
      <c r="AK1205" s="1"/>
    </row>
    <row r="1206" spans="36:37" x14ac:dyDescent="0.2">
      <c r="AJ1206" s="1"/>
      <c r="AK1206" s="1"/>
    </row>
    <row r="1207" spans="36:37" x14ac:dyDescent="0.2">
      <c r="AJ1207" s="1"/>
      <c r="AK1207" s="1"/>
    </row>
    <row r="1208" spans="36:37" x14ac:dyDescent="0.2">
      <c r="AJ1208" s="1"/>
      <c r="AK1208" s="1"/>
    </row>
    <row r="1209" spans="36:37" x14ac:dyDescent="0.2">
      <c r="AJ1209" s="1"/>
      <c r="AK1209" s="1"/>
    </row>
    <row r="1210" spans="36:37" x14ac:dyDescent="0.2">
      <c r="AJ1210" s="1"/>
      <c r="AK1210" s="1"/>
    </row>
    <row r="1211" spans="36:37" x14ac:dyDescent="0.2">
      <c r="AJ1211" s="1"/>
      <c r="AK1211" s="1"/>
    </row>
    <row r="1212" spans="36:37" x14ac:dyDescent="0.2">
      <c r="AJ1212" s="1"/>
      <c r="AK1212" s="1"/>
    </row>
    <row r="1213" spans="36:37" x14ac:dyDescent="0.2">
      <c r="AJ1213" s="1"/>
      <c r="AK1213" s="1"/>
    </row>
    <row r="1214" spans="36:37" x14ac:dyDescent="0.2">
      <c r="AJ1214" s="1"/>
      <c r="AK1214" s="1"/>
    </row>
    <row r="1215" spans="36:37" x14ac:dyDescent="0.2">
      <c r="AJ1215" s="1"/>
      <c r="AK1215" s="1"/>
    </row>
    <row r="1216" spans="36:37" x14ac:dyDescent="0.2">
      <c r="AJ1216" s="1"/>
      <c r="AK1216" s="1"/>
    </row>
    <row r="1217" spans="36:37" x14ac:dyDescent="0.2">
      <c r="AJ1217" s="1"/>
      <c r="AK1217" s="1"/>
    </row>
    <row r="1218" spans="36:37" x14ac:dyDescent="0.2">
      <c r="AJ1218" s="1"/>
      <c r="AK1218" s="1"/>
    </row>
    <row r="1219" spans="36:37" x14ac:dyDescent="0.2">
      <c r="AJ1219" s="1"/>
      <c r="AK1219" s="1"/>
    </row>
    <row r="1220" spans="36:37" x14ac:dyDescent="0.2">
      <c r="AJ1220" s="1"/>
      <c r="AK1220" s="1"/>
    </row>
    <row r="1221" spans="36:37" x14ac:dyDescent="0.2">
      <c r="AJ1221" s="1"/>
      <c r="AK1221" s="1"/>
    </row>
    <row r="1222" spans="36:37" x14ac:dyDescent="0.2">
      <c r="AJ1222" s="1"/>
      <c r="AK1222" s="1"/>
    </row>
    <row r="1223" spans="36:37" x14ac:dyDescent="0.2">
      <c r="AJ1223" s="1"/>
      <c r="AK1223" s="1"/>
    </row>
    <row r="1224" spans="36:37" x14ac:dyDescent="0.2">
      <c r="AJ1224" s="1"/>
      <c r="AK1224" s="1"/>
    </row>
    <row r="1225" spans="36:37" x14ac:dyDescent="0.2">
      <c r="AJ1225" s="1"/>
      <c r="AK1225" s="1"/>
    </row>
    <row r="1226" spans="36:37" x14ac:dyDescent="0.2">
      <c r="AJ1226" s="1"/>
      <c r="AK1226" s="1"/>
    </row>
    <row r="1227" spans="36:37" x14ac:dyDescent="0.2">
      <c r="AJ1227" s="1"/>
      <c r="AK1227" s="1"/>
    </row>
    <row r="1228" spans="36:37" x14ac:dyDescent="0.2">
      <c r="AJ1228" s="1"/>
      <c r="AK1228" s="1"/>
    </row>
    <row r="1229" spans="36:37" x14ac:dyDescent="0.2">
      <c r="AJ1229" s="1"/>
      <c r="AK1229" s="1"/>
    </row>
    <row r="1230" spans="36:37" x14ac:dyDescent="0.2">
      <c r="AJ1230" s="1"/>
      <c r="AK1230" s="1"/>
    </row>
    <row r="1231" spans="36:37" x14ac:dyDescent="0.2">
      <c r="AJ1231" s="1"/>
      <c r="AK1231" s="1"/>
    </row>
    <row r="1232" spans="36:37" x14ac:dyDescent="0.2">
      <c r="AJ1232" s="1"/>
      <c r="AK1232" s="1"/>
    </row>
    <row r="1233" spans="36:37" x14ac:dyDescent="0.2">
      <c r="AJ1233" s="1"/>
      <c r="AK1233" s="1"/>
    </row>
    <row r="1234" spans="36:37" x14ac:dyDescent="0.2">
      <c r="AJ1234" s="1"/>
      <c r="AK1234" s="1"/>
    </row>
    <row r="1235" spans="36:37" x14ac:dyDescent="0.2">
      <c r="AJ1235" s="1"/>
      <c r="AK1235" s="1"/>
    </row>
    <row r="1236" spans="36:37" x14ac:dyDescent="0.2">
      <c r="AJ1236" s="1"/>
      <c r="AK1236" s="1"/>
    </row>
    <row r="1237" spans="36:37" x14ac:dyDescent="0.2">
      <c r="AJ1237" s="1"/>
      <c r="AK1237" s="1"/>
    </row>
    <row r="1238" spans="36:37" x14ac:dyDescent="0.2">
      <c r="AJ1238" s="1"/>
      <c r="AK1238" s="1"/>
    </row>
    <row r="1239" spans="36:37" x14ac:dyDescent="0.2">
      <c r="AJ1239" s="1"/>
      <c r="AK1239" s="1"/>
    </row>
    <row r="1240" spans="36:37" x14ac:dyDescent="0.2">
      <c r="AJ1240" s="1"/>
      <c r="AK1240" s="1"/>
    </row>
    <row r="1241" spans="36:37" x14ac:dyDescent="0.2">
      <c r="AJ1241" s="1"/>
      <c r="AK1241" s="1"/>
    </row>
    <row r="1242" spans="36:37" x14ac:dyDescent="0.2">
      <c r="AJ1242" s="1"/>
      <c r="AK1242" s="1"/>
    </row>
    <row r="1243" spans="36:37" x14ac:dyDescent="0.2">
      <c r="AJ1243" s="1"/>
      <c r="AK1243" s="1"/>
    </row>
    <row r="1244" spans="36:37" x14ac:dyDescent="0.2">
      <c r="AJ1244" s="1"/>
      <c r="AK1244" s="1"/>
    </row>
    <row r="1245" spans="36:37" x14ac:dyDescent="0.2">
      <c r="AJ1245" s="1"/>
      <c r="AK1245" s="1"/>
    </row>
    <row r="1246" spans="36:37" x14ac:dyDescent="0.2">
      <c r="AJ1246" s="1"/>
      <c r="AK1246" s="1"/>
    </row>
    <row r="1247" spans="36:37" x14ac:dyDescent="0.2">
      <c r="AJ1247" s="1"/>
      <c r="AK1247" s="1"/>
    </row>
    <row r="1248" spans="36:37" x14ac:dyDescent="0.2">
      <c r="AJ1248" s="1"/>
      <c r="AK1248" s="1"/>
    </row>
    <row r="1249" spans="36:37" x14ac:dyDescent="0.2">
      <c r="AJ1249" s="1"/>
      <c r="AK1249" s="1"/>
    </row>
    <row r="1250" spans="36:37" x14ac:dyDescent="0.2">
      <c r="AJ1250" s="1"/>
      <c r="AK1250" s="1"/>
    </row>
    <row r="1251" spans="36:37" x14ac:dyDescent="0.2">
      <c r="AJ1251" s="1"/>
      <c r="AK1251" s="1"/>
    </row>
    <row r="1252" spans="36:37" x14ac:dyDescent="0.2">
      <c r="AJ1252" s="1"/>
      <c r="AK1252" s="1"/>
    </row>
    <row r="1253" spans="36:37" x14ac:dyDescent="0.2">
      <c r="AJ1253" s="1"/>
      <c r="AK1253" s="1"/>
    </row>
    <row r="1254" spans="36:37" x14ac:dyDescent="0.2">
      <c r="AJ1254" s="1"/>
      <c r="AK1254" s="1"/>
    </row>
    <row r="1255" spans="36:37" x14ac:dyDescent="0.2">
      <c r="AJ1255" s="1"/>
      <c r="AK1255" s="1"/>
    </row>
    <row r="1256" spans="36:37" x14ac:dyDescent="0.2">
      <c r="AJ1256" s="1"/>
      <c r="AK1256" s="1"/>
    </row>
    <row r="1257" spans="36:37" x14ac:dyDescent="0.2">
      <c r="AJ1257" s="1"/>
      <c r="AK1257" s="1"/>
    </row>
    <row r="1258" spans="36:37" x14ac:dyDescent="0.2">
      <c r="AJ1258" s="1"/>
      <c r="AK1258" s="1"/>
    </row>
    <row r="1259" spans="36:37" x14ac:dyDescent="0.2">
      <c r="AJ1259" s="1"/>
      <c r="AK1259" s="1"/>
    </row>
    <row r="1260" spans="36:37" x14ac:dyDescent="0.2">
      <c r="AJ1260" s="1"/>
      <c r="AK1260" s="1"/>
    </row>
    <row r="1261" spans="36:37" x14ac:dyDescent="0.2">
      <c r="AJ1261" s="1"/>
      <c r="AK1261" s="1"/>
    </row>
    <row r="1262" spans="36:37" x14ac:dyDescent="0.2">
      <c r="AJ1262" s="1"/>
      <c r="AK1262" s="1"/>
    </row>
    <row r="1263" spans="36:37" x14ac:dyDescent="0.2">
      <c r="AJ1263" s="1"/>
      <c r="AK1263" s="1"/>
    </row>
    <row r="1264" spans="36:37" x14ac:dyDescent="0.2">
      <c r="AJ1264" s="1"/>
      <c r="AK1264" s="1"/>
    </row>
    <row r="1265" spans="36:37" x14ac:dyDescent="0.2">
      <c r="AJ1265" s="1"/>
      <c r="AK1265" s="1"/>
    </row>
    <row r="1266" spans="36:37" x14ac:dyDescent="0.2">
      <c r="AJ1266" s="1"/>
      <c r="AK1266" s="1"/>
    </row>
    <row r="1267" spans="36:37" x14ac:dyDescent="0.2">
      <c r="AJ1267" s="1"/>
      <c r="AK1267" s="1"/>
    </row>
    <row r="1268" spans="36:37" x14ac:dyDescent="0.2">
      <c r="AJ1268" s="1"/>
      <c r="AK1268" s="1"/>
    </row>
    <row r="1269" spans="36:37" x14ac:dyDescent="0.2">
      <c r="AJ1269" s="1"/>
      <c r="AK1269" s="1"/>
    </row>
    <row r="1270" spans="36:37" x14ac:dyDescent="0.2">
      <c r="AJ1270" s="1"/>
      <c r="AK1270" s="1"/>
    </row>
    <row r="1271" spans="36:37" x14ac:dyDescent="0.2">
      <c r="AJ1271" s="1"/>
      <c r="AK1271" s="1"/>
    </row>
    <row r="1272" spans="36:37" x14ac:dyDescent="0.2">
      <c r="AJ1272" s="1"/>
      <c r="AK1272" s="1"/>
    </row>
    <row r="1273" spans="36:37" x14ac:dyDescent="0.2">
      <c r="AJ1273" s="1"/>
      <c r="AK1273" s="1"/>
    </row>
    <row r="1274" spans="36:37" x14ac:dyDescent="0.2">
      <c r="AJ1274" s="1"/>
      <c r="AK1274" s="1"/>
    </row>
    <row r="1275" spans="36:37" x14ac:dyDescent="0.2">
      <c r="AJ1275" s="1"/>
      <c r="AK1275" s="1"/>
    </row>
    <row r="1276" spans="36:37" x14ac:dyDescent="0.2">
      <c r="AJ1276" s="1"/>
      <c r="AK1276" s="1"/>
    </row>
    <row r="1277" spans="36:37" x14ac:dyDescent="0.2">
      <c r="AJ1277" s="1"/>
      <c r="AK1277" s="1"/>
    </row>
    <row r="1278" spans="36:37" x14ac:dyDescent="0.2">
      <c r="AJ1278" s="1"/>
      <c r="AK1278" s="1"/>
    </row>
    <row r="1279" spans="36:37" x14ac:dyDescent="0.2">
      <c r="AJ1279" s="1"/>
      <c r="AK1279" s="1"/>
    </row>
    <row r="1280" spans="36:37" x14ac:dyDescent="0.2">
      <c r="AJ1280" s="1"/>
      <c r="AK1280" s="1"/>
    </row>
    <row r="1281" spans="36:37" x14ac:dyDescent="0.2">
      <c r="AJ1281" s="1"/>
      <c r="AK1281" s="1"/>
    </row>
    <row r="1282" spans="36:37" x14ac:dyDescent="0.2">
      <c r="AJ1282" s="1"/>
      <c r="AK1282" s="1"/>
    </row>
    <row r="1283" spans="36:37" x14ac:dyDescent="0.2">
      <c r="AJ1283" s="1"/>
      <c r="AK1283" s="1"/>
    </row>
    <row r="1284" spans="36:37" x14ac:dyDescent="0.2">
      <c r="AJ1284" s="1"/>
      <c r="AK1284" s="1"/>
    </row>
    <row r="1285" spans="36:37" x14ac:dyDescent="0.2">
      <c r="AJ1285" s="1"/>
      <c r="AK1285" s="1"/>
    </row>
    <row r="1286" spans="36:37" x14ac:dyDescent="0.2">
      <c r="AJ1286" s="1"/>
      <c r="AK1286" s="1"/>
    </row>
    <row r="1287" spans="36:37" x14ac:dyDescent="0.2">
      <c r="AJ1287" s="1"/>
      <c r="AK1287" s="1"/>
    </row>
    <row r="1288" spans="36:37" x14ac:dyDescent="0.2">
      <c r="AJ1288" s="1"/>
      <c r="AK1288" s="1"/>
    </row>
    <row r="1289" spans="36:37" x14ac:dyDescent="0.2">
      <c r="AJ1289" s="1"/>
      <c r="AK1289" s="1"/>
    </row>
    <row r="1290" spans="36:37" x14ac:dyDescent="0.2">
      <c r="AJ1290" s="1"/>
      <c r="AK1290" s="1"/>
    </row>
    <row r="1291" spans="36:37" x14ac:dyDescent="0.2">
      <c r="AJ1291" s="1"/>
      <c r="AK1291" s="1"/>
    </row>
    <row r="1292" spans="36:37" x14ac:dyDescent="0.2">
      <c r="AJ1292" s="1"/>
      <c r="AK1292" s="1"/>
    </row>
    <row r="1293" spans="36:37" x14ac:dyDescent="0.2">
      <c r="AJ1293" s="1"/>
      <c r="AK1293" s="1"/>
    </row>
    <row r="1294" spans="36:37" x14ac:dyDescent="0.2">
      <c r="AJ1294" s="1"/>
      <c r="AK1294" s="1"/>
    </row>
    <row r="1295" spans="36:37" x14ac:dyDescent="0.2">
      <c r="AJ1295" s="1"/>
      <c r="AK1295" s="1"/>
    </row>
    <row r="1296" spans="36:37" x14ac:dyDescent="0.2">
      <c r="AJ1296" s="1"/>
      <c r="AK1296" s="1"/>
    </row>
    <row r="1297" spans="36:37" x14ac:dyDescent="0.2">
      <c r="AJ1297" s="1"/>
      <c r="AK1297" s="1"/>
    </row>
    <row r="1298" spans="36:37" x14ac:dyDescent="0.2">
      <c r="AJ1298" s="1"/>
      <c r="AK1298" s="1"/>
    </row>
    <row r="1299" spans="36:37" x14ac:dyDescent="0.2">
      <c r="AJ1299" s="1"/>
      <c r="AK1299" s="1"/>
    </row>
    <row r="1300" spans="36:37" x14ac:dyDescent="0.2">
      <c r="AJ1300" s="1"/>
      <c r="AK1300" s="1"/>
    </row>
    <row r="1301" spans="36:37" x14ac:dyDescent="0.2">
      <c r="AJ1301" s="1"/>
      <c r="AK1301" s="1"/>
    </row>
    <row r="1302" spans="36:37" x14ac:dyDescent="0.2">
      <c r="AJ1302" s="1"/>
      <c r="AK1302" s="1"/>
    </row>
    <row r="1303" spans="36:37" x14ac:dyDescent="0.2">
      <c r="AJ1303" s="1"/>
      <c r="AK1303" s="1"/>
    </row>
    <row r="1304" spans="36:37" x14ac:dyDescent="0.2">
      <c r="AJ1304" s="1"/>
      <c r="AK1304" s="1"/>
    </row>
    <row r="1305" spans="36:37" x14ac:dyDescent="0.2">
      <c r="AJ1305" s="1"/>
      <c r="AK1305" s="1"/>
    </row>
    <row r="1306" spans="36:37" x14ac:dyDescent="0.2">
      <c r="AJ1306" s="1"/>
      <c r="AK1306" s="1"/>
    </row>
    <row r="1307" spans="36:37" x14ac:dyDescent="0.2">
      <c r="AJ1307" s="1"/>
      <c r="AK1307" s="1"/>
    </row>
    <row r="1308" spans="36:37" x14ac:dyDescent="0.2">
      <c r="AJ1308" s="1"/>
      <c r="AK1308" s="1"/>
    </row>
    <row r="1309" spans="36:37" x14ac:dyDescent="0.2">
      <c r="AJ1309" s="1"/>
      <c r="AK1309" s="1"/>
    </row>
    <row r="1310" spans="36:37" x14ac:dyDescent="0.2">
      <c r="AJ1310" s="1"/>
      <c r="AK1310" s="1"/>
    </row>
    <row r="1311" spans="36:37" x14ac:dyDescent="0.2">
      <c r="AJ1311" s="1"/>
      <c r="AK1311" s="1"/>
    </row>
    <row r="1312" spans="36:37" x14ac:dyDescent="0.2">
      <c r="AJ1312" s="1"/>
      <c r="AK1312" s="1"/>
    </row>
    <row r="1313" spans="36:37" x14ac:dyDescent="0.2">
      <c r="AJ1313" s="1"/>
      <c r="AK1313" s="1"/>
    </row>
    <row r="1314" spans="36:37" x14ac:dyDescent="0.2">
      <c r="AJ1314" s="1"/>
      <c r="AK1314" s="1"/>
    </row>
    <row r="1315" spans="36:37" x14ac:dyDescent="0.2">
      <c r="AJ1315" s="1"/>
      <c r="AK1315" s="1"/>
    </row>
    <row r="1316" spans="36:37" x14ac:dyDescent="0.2">
      <c r="AJ1316" s="1"/>
      <c r="AK1316" s="1"/>
    </row>
    <row r="1317" spans="36:37" x14ac:dyDescent="0.2">
      <c r="AJ1317" s="1"/>
      <c r="AK1317" s="1"/>
    </row>
    <row r="1318" spans="36:37" x14ac:dyDescent="0.2">
      <c r="AJ1318" s="1"/>
      <c r="AK1318" s="1"/>
    </row>
    <row r="1319" spans="36:37" x14ac:dyDescent="0.2">
      <c r="AJ1319" s="1"/>
      <c r="AK1319" s="1"/>
    </row>
    <row r="1320" spans="36:37" x14ac:dyDescent="0.2">
      <c r="AJ1320" s="1"/>
      <c r="AK1320" s="1"/>
    </row>
    <row r="1321" spans="36:37" x14ac:dyDescent="0.2">
      <c r="AJ1321" s="1"/>
      <c r="AK1321" s="1"/>
    </row>
    <row r="1322" spans="36:37" x14ac:dyDescent="0.2">
      <c r="AJ1322" s="1"/>
      <c r="AK1322" s="1"/>
    </row>
    <row r="1323" spans="36:37" x14ac:dyDescent="0.2">
      <c r="AJ1323" s="1"/>
      <c r="AK1323" s="1"/>
    </row>
    <row r="1324" spans="36:37" x14ac:dyDescent="0.2">
      <c r="AJ1324" s="1"/>
      <c r="AK1324" s="1"/>
    </row>
    <row r="1325" spans="36:37" x14ac:dyDescent="0.2">
      <c r="AJ1325" s="1"/>
      <c r="AK1325" s="1"/>
    </row>
    <row r="1326" spans="36:37" x14ac:dyDescent="0.2">
      <c r="AJ1326" s="1"/>
      <c r="AK1326" s="1"/>
    </row>
    <row r="1327" spans="36:37" x14ac:dyDescent="0.2">
      <c r="AJ1327" s="1"/>
      <c r="AK1327" s="1"/>
    </row>
    <row r="1328" spans="36:37" x14ac:dyDescent="0.2">
      <c r="AJ1328" s="1"/>
      <c r="AK1328" s="1"/>
    </row>
    <row r="1329" spans="36:37" x14ac:dyDescent="0.2">
      <c r="AJ1329" s="1"/>
      <c r="AK1329" s="1"/>
    </row>
    <row r="1330" spans="36:37" x14ac:dyDescent="0.2">
      <c r="AJ1330" s="1"/>
      <c r="AK1330" s="1"/>
    </row>
    <row r="1331" spans="36:37" x14ac:dyDescent="0.2">
      <c r="AJ1331" s="1"/>
      <c r="AK1331" s="1"/>
    </row>
    <row r="1332" spans="36:37" x14ac:dyDescent="0.2">
      <c r="AJ1332" s="1"/>
      <c r="AK1332" s="1"/>
    </row>
    <row r="1333" spans="36:37" x14ac:dyDescent="0.2">
      <c r="AJ1333" s="1"/>
      <c r="AK1333" s="1"/>
    </row>
    <row r="1334" spans="36:37" x14ac:dyDescent="0.2">
      <c r="AJ1334" s="1"/>
      <c r="AK1334" s="1"/>
    </row>
    <row r="1335" spans="36:37" x14ac:dyDescent="0.2">
      <c r="AJ1335" s="1"/>
      <c r="AK1335" s="1"/>
    </row>
    <row r="1336" spans="36:37" x14ac:dyDescent="0.2">
      <c r="AJ1336" s="1"/>
      <c r="AK1336" s="1"/>
    </row>
    <row r="1337" spans="36:37" x14ac:dyDescent="0.2">
      <c r="AJ1337" s="1"/>
      <c r="AK1337" s="1"/>
    </row>
    <row r="1338" spans="36:37" x14ac:dyDescent="0.2">
      <c r="AJ1338" s="1"/>
      <c r="AK1338" s="1"/>
    </row>
    <row r="1339" spans="36:37" x14ac:dyDescent="0.2">
      <c r="AJ1339" s="1"/>
      <c r="AK1339" s="1"/>
    </row>
    <row r="1340" spans="36:37" x14ac:dyDescent="0.2">
      <c r="AJ1340" s="1"/>
      <c r="AK1340" s="1"/>
    </row>
    <row r="1341" spans="36:37" x14ac:dyDescent="0.2">
      <c r="AJ1341" s="1"/>
      <c r="AK1341" s="1"/>
    </row>
    <row r="1342" spans="36:37" x14ac:dyDescent="0.2">
      <c r="AJ1342" s="1"/>
      <c r="AK1342" s="1"/>
    </row>
    <row r="1343" spans="36:37" x14ac:dyDescent="0.2">
      <c r="AJ1343" s="1"/>
      <c r="AK1343" s="1"/>
    </row>
    <row r="1344" spans="36:37" x14ac:dyDescent="0.2">
      <c r="AJ1344" s="1"/>
      <c r="AK1344" s="1"/>
    </row>
    <row r="1345" spans="36:37" x14ac:dyDescent="0.2">
      <c r="AJ1345" s="1"/>
      <c r="AK1345" s="1"/>
    </row>
    <row r="1346" spans="36:37" x14ac:dyDescent="0.2">
      <c r="AJ1346" s="1"/>
      <c r="AK1346" s="1"/>
    </row>
    <row r="1347" spans="36:37" x14ac:dyDescent="0.2">
      <c r="AJ1347" s="1"/>
      <c r="AK1347" s="1"/>
    </row>
    <row r="1348" spans="36:37" x14ac:dyDescent="0.2">
      <c r="AJ1348" s="1"/>
      <c r="AK1348" s="1"/>
    </row>
    <row r="1349" spans="36:37" x14ac:dyDescent="0.2">
      <c r="AJ1349" s="1"/>
      <c r="AK1349" s="1"/>
    </row>
    <row r="1350" spans="36:37" x14ac:dyDescent="0.2">
      <c r="AJ1350" s="1"/>
      <c r="AK1350" s="1"/>
    </row>
    <row r="1351" spans="36:37" x14ac:dyDescent="0.2">
      <c r="AJ1351" s="1"/>
      <c r="AK1351" s="1"/>
    </row>
    <row r="1352" spans="36:37" x14ac:dyDescent="0.2">
      <c r="AJ1352" s="1"/>
      <c r="AK1352" s="1"/>
    </row>
    <row r="1353" spans="36:37" x14ac:dyDescent="0.2">
      <c r="AJ1353" s="1"/>
      <c r="AK1353" s="1"/>
    </row>
    <row r="1354" spans="36:37" x14ac:dyDescent="0.2">
      <c r="AJ1354" s="1"/>
      <c r="AK1354" s="1"/>
    </row>
    <row r="1355" spans="36:37" x14ac:dyDescent="0.2">
      <c r="AJ1355" s="1"/>
      <c r="AK1355" s="1"/>
    </row>
    <row r="1356" spans="36:37" x14ac:dyDescent="0.2">
      <c r="AJ1356" s="1"/>
      <c r="AK1356" s="1"/>
    </row>
    <row r="1357" spans="36:37" x14ac:dyDescent="0.2">
      <c r="AJ1357" s="1"/>
      <c r="AK1357" s="1"/>
    </row>
    <row r="1358" spans="36:37" x14ac:dyDescent="0.2">
      <c r="AJ1358" s="1"/>
      <c r="AK1358" s="1"/>
    </row>
    <row r="1359" spans="36:37" x14ac:dyDescent="0.2">
      <c r="AJ1359" s="1"/>
      <c r="AK1359" s="1"/>
    </row>
    <row r="1360" spans="36:37" x14ac:dyDescent="0.2">
      <c r="AJ1360" s="1"/>
      <c r="AK1360" s="1"/>
    </row>
    <row r="1361" spans="36:37" x14ac:dyDescent="0.2">
      <c r="AJ1361" s="1"/>
      <c r="AK1361" s="1"/>
    </row>
    <row r="1362" spans="36:37" x14ac:dyDescent="0.2">
      <c r="AJ1362" s="1"/>
      <c r="AK1362" s="1"/>
    </row>
    <row r="1363" spans="36:37" x14ac:dyDescent="0.2">
      <c r="AJ1363" s="1"/>
      <c r="AK1363" s="1"/>
    </row>
    <row r="1364" spans="36:37" x14ac:dyDescent="0.2">
      <c r="AJ1364" s="1"/>
      <c r="AK1364" s="1"/>
    </row>
    <row r="1365" spans="36:37" x14ac:dyDescent="0.2">
      <c r="AJ1365" s="1"/>
      <c r="AK1365" s="1"/>
    </row>
    <row r="1366" spans="36:37" x14ac:dyDescent="0.2">
      <c r="AJ1366" s="1"/>
      <c r="AK1366" s="1"/>
    </row>
    <row r="1367" spans="36:37" x14ac:dyDescent="0.2">
      <c r="AJ1367" s="1"/>
      <c r="AK1367" s="1"/>
    </row>
    <row r="1368" spans="36:37" x14ac:dyDescent="0.2">
      <c r="AJ1368" s="1"/>
      <c r="AK1368" s="1"/>
    </row>
    <row r="1369" spans="36:37" x14ac:dyDescent="0.2">
      <c r="AJ1369" s="1"/>
      <c r="AK1369" s="1"/>
    </row>
    <row r="1370" spans="36:37" x14ac:dyDescent="0.2">
      <c r="AJ1370" s="1"/>
      <c r="AK1370" s="1"/>
    </row>
    <row r="1371" spans="36:37" x14ac:dyDescent="0.2">
      <c r="AJ1371" s="1"/>
      <c r="AK1371" s="1"/>
    </row>
    <row r="1372" spans="36:37" x14ac:dyDescent="0.2">
      <c r="AJ1372" s="1"/>
      <c r="AK1372" s="1"/>
    </row>
    <row r="1373" spans="36:37" x14ac:dyDescent="0.2">
      <c r="AJ1373" s="1"/>
      <c r="AK1373" s="1"/>
    </row>
    <row r="1374" spans="36:37" x14ac:dyDescent="0.2">
      <c r="AJ1374" s="1"/>
      <c r="AK1374" s="1"/>
    </row>
    <row r="1375" spans="36:37" x14ac:dyDescent="0.2">
      <c r="AJ1375" s="1"/>
      <c r="AK1375" s="1"/>
    </row>
    <row r="1376" spans="36:37" x14ac:dyDescent="0.2">
      <c r="AJ1376" s="1"/>
      <c r="AK1376" s="1"/>
    </row>
    <row r="1377" spans="36:37" x14ac:dyDescent="0.2">
      <c r="AJ1377" s="1"/>
      <c r="AK1377" s="1"/>
    </row>
    <row r="1378" spans="36:37" x14ac:dyDescent="0.2">
      <c r="AJ1378" s="1"/>
      <c r="AK1378" s="1"/>
    </row>
    <row r="1379" spans="36:37" x14ac:dyDescent="0.2">
      <c r="AJ1379" s="1"/>
      <c r="AK1379" s="1"/>
    </row>
    <row r="1380" spans="36:37" x14ac:dyDescent="0.2">
      <c r="AJ1380" s="1"/>
      <c r="AK1380" s="1"/>
    </row>
    <row r="1381" spans="36:37" x14ac:dyDescent="0.2">
      <c r="AJ1381" s="1"/>
      <c r="AK1381" s="1"/>
    </row>
    <row r="1382" spans="36:37" x14ac:dyDescent="0.2">
      <c r="AJ1382" s="1"/>
      <c r="AK1382" s="1"/>
    </row>
    <row r="1383" spans="36:37" x14ac:dyDescent="0.2">
      <c r="AJ1383" s="1"/>
      <c r="AK1383" s="1"/>
    </row>
    <row r="1384" spans="36:37" x14ac:dyDescent="0.2">
      <c r="AJ1384" s="1"/>
      <c r="AK1384" s="1"/>
    </row>
    <row r="1385" spans="36:37" x14ac:dyDescent="0.2">
      <c r="AJ1385" s="1"/>
      <c r="AK1385" s="1"/>
    </row>
    <row r="1386" spans="36:37" x14ac:dyDescent="0.2">
      <c r="AJ1386" s="1"/>
      <c r="AK1386" s="1"/>
    </row>
    <row r="1387" spans="36:37" x14ac:dyDescent="0.2">
      <c r="AJ1387" s="1"/>
      <c r="AK1387" s="1"/>
    </row>
    <row r="1388" spans="36:37" x14ac:dyDescent="0.2">
      <c r="AJ1388" s="1"/>
      <c r="AK1388" s="1"/>
    </row>
    <row r="1389" spans="36:37" x14ac:dyDescent="0.2">
      <c r="AJ1389" s="1"/>
      <c r="AK1389" s="1"/>
    </row>
    <row r="1390" spans="36:37" x14ac:dyDescent="0.2">
      <c r="AJ1390" s="1"/>
      <c r="AK1390" s="1"/>
    </row>
    <row r="1391" spans="36:37" x14ac:dyDescent="0.2">
      <c r="AJ1391" s="1"/>
      <c r="AK1391" s="1"/>
    </row>
    <row r="1392" spans="36:37" x14ac:dyDescent="0.2">
      <c r="AJ1392" s="1"/>
      <c r="AK1392" s="1"/>
    </row>
    <row r="1393" spans="36:37" x14ac:dyDescent="0.2">
      <c r="AJ1393" s="1"/>
      <c r="AK1393" s="1"/>
    </row>
    <row r="1394" spans="36:37" x14ac:dyDescent="0.2">
      <c r="AJ1394" s="1"/>
      <c r="AK1394" s="1"/>
    </row>
    <row r="1395" spans="36:37" x14ac:dyDescent="0.2">
      <c r="AJ1395" s="1"/>
      <c r="AK1395" s="1"/>
    </row>
    <row r="1396" spans="36:37" x14ac:dyDescent="0.2">
      <c r="AJ1396" s="1"/>
      <c r="AK1396" s="1"/>
    </row>
    <row r="1397" spans="36:37" x14ac:dyDescent="0.2">
      <c r="AJ1397" s="1"/>
      <c r="AK1397" s="1"/>
    </row>
    <row r="1398" spans="36:37" x14ac:dyDescent="0.2">
      <c r="AJ1398" s="1"/>
      <c r="AK1398" s="1"/>
    </row>
    <row r="1399" spans="36:37" x14ac:dyDescent="0.2">
      <c r="AJ1399" s="1"/>
      <c r="AK1399" s="1"/>
    </row>
    <row r="1400" spans="36:37" x14ac:dyDescent="0.2">
      <c r="AJ1400" s="1"/>
      <c r="AK1400" s="1"/>
    </row>
    <row r="1401" spans="36:37" x14ac:dyDescent="0.2">
      <c r="AJ1401" s="1"/>
      <c r="AK1401" s="1"/>
    </row>
    <row r="1402" spans="36:37" x14ac:dyDescent="0.2">
      <c r="AJ1402" s="1"/>
      <c r="AK1402" s="1"/>
    </row>
    <row r="1403" spans="36:37" x14ac:dyDescent="0.2">
      <c r="AJ1403" s="1"/>
      <c r="AK1403" s="1"/>
    </row>
    <row r="1404" spans="36:37" x14ac:dyDescent="0.2">
      <c r="AJ1404" s="1"/>
      <c r="AK1404" s="1"/>
    </row>
    <row r="1405" spans="36:37" x14ac:dyDescent="0.2">
      <c r="AJ1405" s="1"/>
      <c r="AK1405" s="1"/>
    </row>
    <row r="1406" spans="36:37" x14ac:dyDescent="0.2">
      <c r="AJ1406" s="1"/>
      <c r="AK1406" s="1"/>
    </row>
    <row r="1407" spans="36:37" x14ac:dyDescent="0.2">
      <c r="AJ1407" s="1"/>
      <c r="AK1407" s="1"/>
    </row>
    <row r="1408" spans="36:37" x14ac:dyDescent="0.2">
      <c r="AJ1408" s="1"/>
      <c r="AK1408" s="1"/>
    </row>
    <row r="1409" spans="36:37" x14ac:dyDescent="0.2">
      <c r="AJ1409" s="1"/>
      <c r="AK1409" s="1"/>
    </row>
    <row r="1410" spans="36:37" x14ac:dyDescent="0.2">
      <c r="AJ1410" s="1"/>
      <c r="AK1410" s="1"/>
    </row>
    <row r="1411" spans="36:37" x14ac:dyDescent="0.2">
      <c r="AJ1411" s="1"/>
      <c r="AK1411" s="1"/>
    </row>
    <row r="1412" spans="36:37" x14ac:dyDescent="0.2">
      <c r="AJ1412" s="1"/>
      <c r="AK1412" s="1"/>
    </row>
    <row r="1413" spans="36:37" x14ac:dyDescent="0.2">
      <c r="AJ1413" s="1"/>
      <c r="AK1413" s="1"/>
    </row>
    <row r="1414" spans="36:37" x14ac:dyDescent="0.2">
      <c r="AJ1414" s="1"/>
      <c r="AK1414" s="1"/>
    </row>
    <row r="1415" spans="36:37" x14ac:dyDescent="0.2">
      <c r="AJ1415" s="1"/>
      <c r="AK1415" s="1"/>
    </row>
    <row r="1416" spans="36:37" x14ac:dyDescent="0.2">
      <c r="AJ1416" s="1"/>
      <c r="AK1416" s="1"/>
    </row>
    <row r="1417" spans="36:37" x14ac:dyDescent="0.2">
      <c r="AJ1417" s="1"/>
      <c r="AK1417" s="1"/>
    </row>
    <row r="1418" spans="36:37" x14ac:dyDescent="0.2">
      <c r="AJ1418" s="1"/>
      <c r="AK1418" s="1"/>
    </row>
    <row r="1419" spans="36:37" x14ac:dyDescent="0.2">
      <c r="AJ1419" s="1"/>
      <c r="AK1419" s="1"/>
    </row>
    <row r="1420" spans="36:37" x14ac:dyDescent="0.2">
      <c r="AJ1420" s="1"/>
      <c r="AK1420" s="1"/>
    </row>
    <row r="1421" spans="36:37" x14ac:dyDescent="0.2">
      <c r="AJ1421" s="1"/>
      <c r="AK1421" s="1"/>
    </row>
    <row r="1422" spans="36:37" x14ac:dyDescent="0.2">
      <c r="AJ1422" s="1"/>
      <c r="AK1422" s="1"/>
    </row>
    <row r="1423" spans="36:37" x14ac:dyDescent="0.2">
      <c r="AJ1423" s="1"/>
      <c r="AK1423" s="1"/>
    </row>
    <row r="1424" spans="36:37" x14ac:dyDescent="0.2">
      <c r="AJ1424" s="1"/>
      <c r="AK1424" s="1"/>
    </row>
    <row r="1425" spans="36:37" x14ac:dyDescent="0.2">
      <c r="AJ1425" s="1"/>
      <c r="AK1425" s="1"/>
    </row>
    <row r="1426" spans="36:37" x14ac:dyDescent="0.2">
      <c r="AJ1426" s="1"/>
      <c r="AK1426" s="1"/>
    </row>
    <row r="1427" spans="36:37" x14ac:dyDescent="0.2">
      <c r="AJ1427" s="1"/>
      <c r="AK1427" s="1"/>
    </row>
    <row r="1428" spans="36:37" x14ac:dyDescent="0.2">
      <c r="AJ1428" s="1"/>
      <c r="AK1428" s="1"/>
    </row>
    <row r="1429" spans="36:37" x14ac:dyDescent="0.2">
      <c r="AJ1429" s="1"/>
      <c r="AK1429" s="1"/>
    </row>
    <row r="1430" spans="36:37" x14ac:dyDescent="0.2">
      <c r="AJ1430" s="1"/>
      <c r="AK1430" s="1"/>
    </row>
    <row r="1431" spans="36:37" x14ac:dyDescent="0.2">
      <c r="AJ1431" s="1"/>
      <c r="AK1431" s="1"/>
    </row>
    <row r="1432" spans="36:37" x14ac:dyDescent="0.2">
      <c r="AJ1432" s="1"/>
      <c r="AK1432" s="1"/>
    </row>
    <row r="1433" spans="36:37" x14ac:dyDescent="0.2">
      <c r="AJ1433" s="1"/>
      <c r="AK1433" s="1"/>
    </row>
    <row r="1434" spans="36:37" x14ac:dyDescent="0.2">
      <c r="AJ1434" s="1"/>
      <c r="AK1434" s="1"/>
    </row>
    <row r="1435" spans="36:37" x14ac:dyDescent="0.2">
      <c r="AJ1435" s="1"/>
      <c r="AK1435" s="1"/>
    </row>
    <row r="1436" spans="36:37" x14ac:dyDescent="0.2">
      <c r="AJ1436" s="1"/>
      <c r="AK1436" s="1"/>
    </row>
    <row r="1437" spans="36:37" x14ac:dyDescent="0.2">
      <c r="AJ1437" s="1"/>
      <c r="AK1437" s="1"/>
    </row>
    <row r="1438" spans="36:37" x14ac:dyDescent="0.2">
      <c r="AJ1438" s="1"/>
      <c r="AK1438" s="1"/>
    </row>
    <row r="1439" spans="36:37" x14ac:dyDescent="0.2">
      <c r="AJ1439" s="1"/>
      <c r="AK1439" s="1"/>
    </row>
    <row r="1440" spans="36:37" x14ac:dyDescent="0.2">
      <c r="AJ1440" s="1"/>
      <c r="AK1440" s="1"/>
    </row>
    <row r="1441" spans="36:37" x14ac:dyDescent="0.2">
      <c r="AJ1441" s="1"/>
      <c r="AK1441" s="1"/>
    </row>
    <row r="1442" spans="36:37" x14ac:dyDescent="0.2">
      <c r="AJ1442" s="1"/>
      <c r="AK1442" s="1"/>
    </row>
    <row r="1443" spans="36:37" x14ac:dyDescent="0.2">
      <c r="AJ1443" s="1"/>
      <c r="AK1443" s="1"/>
    </row>
    <row r="1444" spans="36:37" x14ac:dyDescent="0.2">
      <c r="AJ1444" s="1"/>
      <c r="AK1444" s="1"/>
    </row>
    <row r="1445" spans="36:37" x14ac:dyDescent="0.2">
      <c r="AJ1445" s="1"/>
      <c r="AK1445" s="1"/>
    </row>
    <row r="1446" spans="36:37" x14ac:dyDescent="0.2">
      <c r="AJ1446" s="1"/>
      <c r="AK1446" s="1"/>
    </row>
    <row r="1447" spans="36:37" x14ac:dyDescent="0.2">
      <c r="AJ1447" s="1"/>
      <c r="AK1447" s="1"/>
    </row>
    <row r="1448" spans="36:37" x14ac:dyDescent="0.2">
      <c r="AJ1448" s="1"/>
      <c r="AK1448" s="1"/>
    </row>
    <row r="1449" spans="36:37" x14ac:dyDescent="0.2">
      <c r="AJ1449" s="1"/>
      <c r="AK1449" s="1"/>
    </row>
    <row r="1450" spans="36:37" x14ac:dyDescent="0.2">
      <c r="AJ1450" s="1"/>
      <c r="AK1450" s="1"/>
    </row>
    <row r="1451" spans="36:37" x14ac:dyDescent="0.2">
      <c r="AJ1451" s="1"/>
      <c r="AK1451" s="1"/>
    </row>
    <row r="1452" spans="36:37" x14ac:dyDescent="0.2">
      <c r="AJ1452" s="1"/>
      <c r="AK1452" s="1"/>
    </row>
    <row r="1453" spans="36:37" x14ac:dyDescent="0.2">
      <c r="AJ1453" s="1"/>
      <c r="AK1453" s="1"/>
    </row>
    <row r="1454" spans="36:37" x14ac:dyDescent="0.2">
      <c r="AJ1454" s="1"/>
      <c r="AK1454" s="1"/>
    </row>
    <row r="1455" spans="36:37" x14ac:dyDescent="0.2">
      <c r="AJ1455" s="1"/>
      <c r="AK1455" s="1"/>
    </row>
    <row r="1456" spans="36:37" x14ac:dyDescent="0.2">
      <c r="AJ1456" s="1"/>
      <c r="AK1456" s="1"/>
    </row>
    <row r="1457" spans="36:37" x14ac:dyDescent="0.2">
      <c r="AJ1457" s="1"/>
      <c r="AK1457" s="1"/>
    </row>
    <row r="1458" spans="36:37" x14ac:dyDescent="0.2">
      <c r="AJ1458" s="1"/>
      <c r="AK1458" s="1"/>
    </row>
    <row r="1459" spans="36:37" x14ac:dyDescent="0.2">
      <c r="AJ1459" s="1"/>
      <c r="AK1459" s="1"/>
    </row>
    <row r="1460" spans="36:37" x14ac:dyDescent="0.2">
      <c r="AJ1460" s="1"/>
      <c r="AK1460" s="1"/>
    </row>
    <row r="1461" spans="36:37" x14ac:dyDescent="0.2">
      <c r="AJ1461" s="1"/>
      <c r="AK1461" s="1"/>
    </row>
    <row r="1462" spans="36:37" x14ac:dyDescent="0.2">
      <c r="AJ1462" s="1"/>
      <c r="AK1462" s="1"/>
    </row>
    <row r="1463" spans="36:37" x14ac:dyDescent="0.2">
      <c r="AJ1463" s="1"/>
      <c r="AK1463" s="1"/>
    </row>
    <row r="1464" spans="36:37" x14ac:dyDescent="0.2">
      <c r="AJ1464" s="1"/>
      <c r="AK1464" s="1"/>
    </row>
    <row r="1465" spans="36:37" x14ac:dyDescent="0.2">
      <c r="AJ1465" s="1"/>
      <c r="AK1465" s="1"/>
    </row>
    <row r="1466" spans="36:37" x14ac:dyDescent="0.2">
      <c r="AJ1466" s="1"/>
      <c r="AK1466" s="1"/>
    </row>
    <row r="1467" spans="36:37" x14ac:dyDescent="0.2">
      <c r="AJ1467" s="1"/>
      <c r="AK1467" s="1"/>
    </row>
    <row r="1468" spans="36:37" x14ac:dyDescent="0.2">
      <c r="AJ1468" s="1"/>
      <c r="AK1468" s="1"/>
    </row>
    <row r="1469" spans="36:37" x14ac:dyDescent="0.2">
      <c r="AJ1469" s="1"/>
      <c r="AK1469" s="1"/>
    </row>
    <row r="1470" spans="36:37" x14ac:dyDescent="0.2">
      <c r="AJ1470" s="1"/>
      <c r="AK1470" s="1"/>
    </row>
    <row r="1471" spans="36:37" x14ac:dyDescent="0.2">
      <c r="AJ1471" s="1"/>
      <c r="AK1471" s="1"/>
    </row>
    <row r="1472" spans="36:37" x14ac:dyDescent="0.2">
      <c r="AJ1472" s="1"/>
      <c r="AK1472" s="1"/>
    </row>
    <row r="1473" spans="36:37" x14ac:dyDescent="0.2">
      <c r="AJ1473" s="1"/>
      <c r="AK1473" s="1"/>
    </row>
    <row r="1474" spans="36:37" x14ac:dyDescent="0.2">
      <c r="AJ1474" s="1"/>
      <c r="AK1474" s="1"/>
    </row>
    <row r="1475" spans="36:37" x14ac:dyDescent="0.2">
      <c r="AJ1475" s="1"/>
      <c r="AK1475" s="1"/>
    </row>
    <row r="1476" spans="36:37" x14ac:dyDescent="0.2">
      <c r="AJ1476" s="1"/>
      <c r="AK1476" s="1"/>
    </row>
    <row r="1477" spans="36:37" x14ac:dyDescent="0.2">
      <c r="AJ1477" s="1"/>
      <c r="AK1477" s="1"/>
    </row>
    <row r="1478" spans="36:37" x14ac:dyDescent="0.2">
      <c r="AJ1478" s="1"/>
      <c r="AK1478" s="1"/>
    </row>
    <row r="1479" spans="36:37" x14ac:dyDescent="0.2">
      <c r="AJ1479" s="1"/>
      <c r="AK1479" s="1"/>
    </row>
    <row r="1480" spans="36:37" x14ac:dyDescent="0.2">
      <c r="AJ1480" s="1"/>
      <c r="AK1480" s="1"/>
    </row>
    <row r="1481" spans="36:37" x14ac:dyDescent="0.2">
      <c r="AJ1481" s="1"/>
      <c r="AK1481" s="1"/>
    </row>
    <row r="1482" spans="36:37" x14ac:dyDescent="0.2">
      <c r="AJ1482" s="1"/>
      <c r="AK1482" s="1"/>
    </row>
    <row r="1483" spans="36:37" x14ac:dyDescent="0.2">
      <c r="AJ1483" s="1"/>
      <c r="AK1483" s="1"/>
    </row>
    <row r="1484" spans="36:37" x14ac:dyDescent="0.2">
      <c r="AJ1484" s="1"/>
      <c r="AK1484" s="1"/>
    </row>
    <row r="1485" spans="36:37" x14ac:dyDescent="0.2">
      <c r="AJ1485" s="1"/>
      <c r="AK1485" s="1"/>
    </row>
    <row r="1486" spans="36:37" x14ac:dyDescent="0.2">
      <c r="AJ1486" s="1"/>
      <c r="AK1486" s="1"/>
    </row>
    <row r="1487" spans="36:37" x14ac:dyDescent="0.2">
      <c r="AJ1487" s="1"/>
      <c r="AK1487" s="1"/>
    </row>
    <row r="1488" spans="36:37" x14ac:dyDescent="0.2">
      <c r="AJ1488" s="1"/>
      <c r="AK1488" s="1"/>
    </row>
    <row r="1489" spans="36:37" x14ac:dyDescent="0.2">
      <c r="AJ1489" s="1"/>
      <c r="AK1489" s="1"/>
    </row>
    <row r="1490" spans="36:37" x14ac:dyDescent="0.2">
      <c r="AJ1490" s="1"/>
      <c r="AK1490" s="1"/>
    </row>
    <row r="1491" spans="36:37" x14ac:dyDescent="0.2">
      <c r="AJ1491" s="1"/>
      <c r="AK1491" s="1"/>
    </row>
    <row r="1492" spans="36:37" x14ac:dyDescent="0.2">
      <c r="AJ1492" s="1"/>
      <c r="AK1492" s="1"/>
    </row>
    <row r="1493" spans="36:37" x14ac:dyDescent="0.2">
      <c r="AJ1493" s="1"/>
      <c r="AK1493" s="1"/>
    </row>
    <row r="1494" spans="36:37" x14ac:dyDescent="0.2">
      <c r="AJ1494" s="1"/>
      <c r="AK1494" s="1"/>
    </row>
    <row r="1495" spans="36:37" x14ac:dyDescent="0.2">
      <c r="AJ1495" s="1"/>
      <c r="AK1495" s="1"/>
    </row>
    <row r="1496" spans="36:37" x14ac:dyDescent="0.2">
      <c r="AJ1496" s="1"/>
      <c r="AK1496" s="1"/>
    </row>
    <row r="1497" spans="36:37" x14ac:dyDescent="0.2">
      <c r="AJ1497" s="1"/>
      <c r="AK1497" s="1"/>
    </row>
    <row r="1498" spans="36:37" x14ac:dyDescent="0.2">
      <c r="AJ1498" s="1"/>
      <c r="AK1498" s="1"/>
    </row>
    <row r="1499" spans="36:37" x14ac:dyDescent="0.2">
      <c r="AJ1499" s="1"/>
      <c r="AK1499" s="1"/>
    </row>
    <row r="1500" spans="36:37" x14ac:dyDescent="0.2">
      <c r="AJ1500" s="1"/>
      <c r="AK1500" s="1"/>
    </row>
    <row r="1501" spans="36:37" x14ac:dyDescent="0.2">
      <c r="AJ1501" s="1"/>
      <c r="AK1501" s="1"/>
    </row>
    <row r="1502" spans="36:37" x14ac:dyDescent="0.2">
      <c r="AJ1502" s="1"/>
      <c r="AK1502" s="1"/>
    </row>
    <row r="1503" spans="36:37" x14ac:dyDescent="0.2">
      <c r="AJ1503" s="1"/>
      <c r="AK1503" s="1"/>
    </row>
    <row r="1504" spans="36:37" x14ac:dyDescent="0.2">
      <c r="AJ1504" s="1"/>
      <c r="AK1504" s="1"/>
    </row>
    <row r="1505" spans="36:37" x14ac:dyDescent="0.2">
      <c r="AJ1505" s="1"/>
      <c r="AK1505" s="1"/>
    </row>
    <row r="1506" spans="36:37" x14ac:dyDescent="0.2">
      <c r="AJ1506" s="1"/>
      <c r="AK1506" s="1"/>
    </row>
    <row r="1507" spans="36:37" x14ac:dyDescent="0.2">
      <c r="AJ1507" s="1"/>
      <c r="AK1507" s="1"/>
    </row>
    <row r="1508" spans="36:37" x14ac:dyDescent="0.2">
      <c r="AJ1508" s="1"/>
      <c r="AK1508" s="1"/>
    </row>
    <row r="1509" spans="36:37" x14ac:dyDescent="0.2">
      <c r="AJ1509" s="1"/>
      <c r="AK1509" s="1"/>
    </row>
    <row r="1510" spans="36:37" x14ac:dyDescent="0.2">
      <c r="AJ1510" s="1"/>
      <c r="AK1510" s="1"/>
    </row>
    <row r="1511" spans="36:37" x14ac:dyDescent="0.2">
      <c r="AJ1511" s="1"/>
      <c r="AK1511" s="1"/>
    </row>
    <row r="1512" spans="36:37" x14ac:dyDescent="0.2">
      <c r="AJ1512" s="1"/>
      <c r="AK1512" s="1"/>
    </row>
    <row r="1513" spans="36:37" x14ac:dyDescent="0.2">
      <c r="AJ1513" s="1"/>
      <c r="AK1513" s="1"/>
    </row>
    <row r="1514" spans="36:37" x14ac:dyDescent="0.2">
      <c r="AJ1514" s="1"/>
      <c r="AK1514" s="1"/>
    </row>
    <row r="1515" spans="36:37" x14ac:dyDescent="0.2">
      <c r="AJ1515" s="1"/>
      <c r="AK1515" s="1"/>
    </row>
    <row r="1516" spans="36:37" x14ac:dyDescent="0.2">
      <c r="AJ1516" s="1"/>
      <c r="AK1516" s="1"/>
    </row>
    <row r="1517" spans="36:37" x14ac:dyDescent="0.2">
      <c r="AJ1517" s="1"/>
      <c r="AK1517" s="1"/>
    </row>
    <row r="1518" spans="36:37" x14ac:dyDescent="0.2">
      <c r="AJ1518" s="1"/>
      <c r="AK1518" s="1"/>
    </row>
    <row r="1519" spans="36:37" x14ac:dyDescent="0.2">
      <c r="AJ1519" s="1"/>
      <c r="AK1519" s="1"/>
    </row>
    <row r="1520" spans="36:37" x14ac:dyDescent="0.2">
      <c r="AJ1520" s="1"/>
      <c r="AK1520" s="1"/>
    </row>
    <row r="1521" spans="36:37" x14ac:dyDescent="0.2">
      <c r="AJ1521" s="1"/>
      <c r="AK1521" s="1"/>
    </row>
    <row r="1522" spans="36:37" x14ac:dyDescent="0.2">
      <c r="AJ1522" s="1"/>
      <c r="AK1522" s="1"/>
    </row>
    <row r="1523" spans="36:37" x14ac:dyDescent="0.2">
      <c r="AJ1523" s="1"/>
      <c r="AK1523" s="1"/>
    </row>
    <row r="1524" spans="36:37" x14ac:dyDescent="0.2">
      <c r="AJ1524" s="1"/>
      <c r="AK1524" s="1"/>
    </row>
    <row r="1525" spans="36:37" x14ac:dyDescent="0.2">
      <c r="AJ1525" s="1"/>
      <c r="AK1525" s="1"/>
    </row>
    <row r="1526" spans="36:37" x14ac:dyDescent="0.2">
      <c r="AJ1526" s="1"/>
      <c r="AK1526" s="1"/>
    </row>
    <row r="1527" spans="36:37" x14ac:dyDescent="0.2">
      <c r="AJ1527" s="1"/>
      <c r="AK1527" s="1"/>
    </row>
    <row r="1528" spans="36:37" x14ac:dyDescent="0.2">
      <c r="AJ1528" s="1"/>
      <c r="AK1528" s="1"/>
    </row>
    <row r="1529" spans="36:37" x14ac:dyDescent="0.2">
      <c r="AJ1529" s="1"/>
      <c r="AK1529" s="1"/>
    </row>
    <row r="1530" spans="36:37" x14ac:dyDescent="0.2">
      <c r="AJ1530" s="1"/>
      <c r="AK1530" s="1"/>
    </row>
    <row r="1531" spans="36:37" x14ac:dyDescent="0.2">
      <c r="AJ1531" s="1"/>
      <c r="AK1531" s="1"/>
    </row>
    <row r="1532" spans="36:37" x14ac:dyDescent="0.2">
      <c r="AJ1532" s="1"/>
      <c r="AK1532" s="1"/>
    </row>
    <row r="1533" spans="36:37" x14ac:dyDescent="0.2">
      <c r="AJ1533" s="1"/>
      <c r="AK1533" s="1"/>
    </row>
    <row r="1534" spans="36:37" x14ac:dyDescent="0.2">
      <c r="AJ1534" s="1"/>
      <c r="AK1534" s="1"/>
    </row>
    <row r="1535" spans="36:37" x14ac:dyDescent="0.2">
      <c r="AJ1535" s="1"/>
      <c r="AK1535" s="1"/>
    </row>
    <row r="1536" spans="36:37" x14ac:dyDescent="0.2">
      <c r="AJ1536" s="1"/>
      <c r="AK1536" s="1"/>
    </row>
    <row r="1537" spans="36:37" x14ac:dyDescent="0.2">
      <c r="AJ1537" s="1"/>
      <c r="AK1537" s="1"/>
    </row>
    <row r="1538" spans="36:37" x14ac:dyDescent="0.2">
      <c r="AJ1538" s="1"/>
      <c r="AK1538" s="1"/>
    </row>
    <row r="1539" spans="36:37" x14ac:dyDescent="0.2">
      <c r="AJ1539" s="1"/>
      <c r="AK1539" s="1"/>
    </row>
    <row r="1540" spans="36:37" x14ac:dyDescent="0.2">
      <c r="AJ1540" s="1"/>
      <c r="AK1540" s="1"/>
    </row>
    <row r="1541" spans="36:37" x14ac:dyDescent="0.2">
      <c r="AJ1541" s="1"/>
      <c r="AK1541" s="1"/>
    </row>
    <row r="1542" spans="36:37" x14ac:dyDescent="0.2">
      <c r="AJ1542" s="1"/>
      <c r="AK1542" s="1"/>
    </row>
    <row r="1543" spans="36:37" x14ac:dyDescent="0.2">
      <c r="AJ1543" s="1"/>
      <c r="AK1543" s="1"/>
    </row>
    <row r="1544" spans="36:37" x14ac:dyDescent="0.2">
      <c r="AJ1544" s="1"/>
      <c r="AK1544" s="1"/>
    </row>
    <row r="1545" spans="36:37" x14ac:dyDescent="0.2">
      <c r="AJ1545" s="1"/>
      <c r="AK1545" s="1"/>
    </row>
    <row r="1546" spans="36:37" x14ac:dyDescent="0.2">
      <c r="AJ1546" s="1"/>
      <c r="AK1546" s="1"/>
    </row>
    <row r="1547" spans="36:37" x14ac:dyDescent="0.2">
      <c r="AJ1547" s="1"/>
      <c r="AK1547" s="1"/>
    </row>
    <row r="1548" spans="36:37" x14ac:dyDescent="0.2">
      <c r="AJ1548" s="1"/>
      <c r="AK1548" s="1"/>
    </row>
    <row r="1549" spans="36:37" x14ac:dyDescent="0.2">
      <c r="AJ1549" s="1"/>
      <c r="AK1549" s="1"/>
    </row>
    <row r="1550" spans="36:37" x14ac:dyDescent="0.2">
      <c r="AJ1550" s="1"/>
      <c r="AK1550" s="1"/>
    </row>
    <row r="1551" spans="36:37" x14ac:dyDescent="0.2">
      <c r="AJ1551" s="1"/>
      <c r="AK1551" s="1"/>
    </row>
    <row r="1552" spans="36:37" x14ac:dyDescent="0.2">
      <c r="AJ1552" s="1"/>
      <c r="AK1552" s="1"/>
    </row>
    <row r="1553" spans="36:37" x14ac:dyDescent="0.2">
      <c r="AJ1553" s="1"/>
      <c r="AK1553" s="1"/>
    </row>
    <row r="1554" spans="36:37" x14ac:dyDescent="0.2">
      <c r="AJ1554" s="1"/>
      <c r="AK1554" s="1"/>
    </row>
    <row r="1555" spans="36:37" x14ac:dyDescent="0.2">
      <c r="AJ1555" s="1"/>
      <c r="AK1555" s="1"/>
    </row>
    <row r="1556" spans="36:37" x14ac:dyDescent="0.2">
      <c r="AJ1556" s="1"/>
      <c r="AK1556" s="1"/>
    </row>
    <row r="1557" spans="36:37" x14ac:dyDescent="0.2">
      <c r="AJ1557" s="1"/>
      <c r="AK1557" s="1"/>
    </row>
    <row r="1558" spans="36:37" x14ac:dyDescent="0.2">
      <c r="AJ1558" s="1"/>
      <c r="AK1558" s="1"/>
    </row>
    <row r="1559" spans="36:37" x14ac:dyDescent="0.2">
      <c r="AJ1559" s="1"/>
      <c r="AK1559" s="1"/>
    </row>
    <row r="1560" spans="36:37" x14ac:dyDescent="0.2">
      <c r="AJ1560" s="1"/>
      <c r="AK1560" s="1"/>
    </row>
    <row r="1561" spans="36:37" x14ac:dyDescent="0.2">
      <c r="AJ1561" s="1"/>
      <c r="AK1561" s="1"/>
    </row>
    <row r="1562" spans="36:37" x14ac:dyDescent="0.2">
      <c r="AJ1562" s="1"/>
      <c r="AK1562" s="1"/>
    </row>
    <row r="1563" spans="36:37" x14ac:dyDescent="0.2">
      <c r="AJ1563" s="1"/>
      <c r="AK1563" s="1"/>
    </row>
    <row r="1564" spans="36:37" x14ac:dyDescent="0.2">
      <c r="AJ1564" s="1"/>
      <c r="AK1564" s="1"/>
    </row>
    <row r="1565" spans="36:37" x14ac:dyDescent="0.2">
      <c r="AJ1565" s="1"/>
      <c r="AK1565" s="1"/>
    </row>
    <row r="1566" spans="36:37" x14ac:dyDescent="0.2">
      <c r="AJ1566" s="1"/>
      <c r="AK1566" s="1"/>
    </row>
    <row r="1567" spans="36:37" x14ac:dyDescent="0.2">
      <c r="AJ1567" s="1"/>
      <c r="AK1567" s="1"/>
    </row>
    <row r="1568" spans="36:37" x14ac:dyDescent="0.2">
      <c r="AJ1568" s="1"/>
      <c r="AK1568" s="1"/>
    </row>
    <row r="1569" spans="36:37" x14ac:dyDescent="0.2">
      <c r="AJ1569" s="1"/>
      <c r="AK1569" s="1"/>
    </row>
    <row r="1570" spans="36:37" x14ac:dyDescent="0.2">
      <c r="AJ1570" s="1"/>
      <c r="AK1570" s="1"/>
    </row>
    <row r="1571" spans="36:37" x14ac:dyDescent="0.2">
      <c r="AJ1571" s="1"/>
      <c r="AK1571" s="1"/>
    </row>
    <row r="1572" spans="36:37" x14ac:dyDescent="0.2">
      <c r="AJ1572" s="1"/>
      <c r="AK1572" s="1"/>
    </row>
    <row r="1573" spans="36:37" x14ac:dyDescent="0.2">
      <c r="AJ1573" s="1"/>
      <c r="AK1573" s="1"/>
    </row>
    <row r="1574" spans="36:37" x14ac:dyDescent="0.2">
      <c r="AJ1574" s="1"/>
      <c r="AK1574" s="1"/>
    </row>
    <row r="1575" spans="36:37" x14ac:dyDescent="0.2">
      <c r="AJ1575" s="1"/>
      <c r="AK1575" s="1"/>
    </row>
    <row r="1576" spans="36:37" x14ac:dyDescent="0.2">
      <c r="AJ1576" s="1"/>
      <c r="AK1576" s="1"/>
    </row>
    <row r="1577" spans="36:37" x14ac:dyDescent="0.2">
      <c r="AJ1577" s="1"/>
      <c r="AK1577" s="1"/>
    </row>
    <row r="1578" spans="36:37" x14ac:dyDescent="0.2">
      <c r="AJ1578" s="1"/>
      <c r="AK1578" s="1"/>
    </row>
    <row r="1579" spans="36:37" x14ac:dyDescent="0.2">
      <c r="AJ1579" s="1"/>
      <c r="AK1579" s="1"/>
    </row>
    <row r="1580" spans="36:37" x14ac:dyDescent="0.2">
      <c r="AJ1580" s="1"/>
      <c r="AK1580" s="1"/>
    </row>
    <row r="1581" spans="36:37" x14ac:dyDescent="0.2">
      <c r="AJ1581" s="1"/>
      <c r="AK1581" s="1"/>
    </row>
    <row r="1582" spans="36:37" x14ac:dyDescent="0.2">
      <c r="AJ1582" s="1"/>
      <c r="AK1582" s="1"/>
    </row>
    <row r="1583" spans="36:37" x14ac:dyDescent="0.2">
      <c r="AJ1583" s="1"/>
      <c r="AK1583" s="1"/>
    </row>
    <row r="1584" spans="36:37" x14ac:dyDescent="0.2">
      <c r="AJ1584" s="1"/>
      <c r="AK1584" s="1"/>
    </row>
    <row r="1585" spans="36:37" x14ac:dyDescent="0.2">
      <c r="AJ1585" s="1"/>
      <c r="AK1585" s="1"/>
    </row>
    <row r="1586" spans="36:37" x14ac:dyDescent="0.2">
      <c r="AJ1586" s="1"/>
      <c r="AK1586" s="1"/>
    </row>
    <row r="1587" spans="36:37" x14ac:dyDescent="0.2">
      <c r="AJ1587" s="1"/>
      <c r="AK1587" s="1"/>
    </row>
    <row r="1588" spans="36:37" x14ac:dyDescent="0.2">
      <c r="AJ1588" s="1"/>
      <c r="AK1588" s="1"/>
    </row>
    <row r="1589" spans="36:37" x14ac:dyDescent="0.2">
      <c r="AJ1589" s="1"/>
      <c r="AK1589" s="1"/>
    </row>
    <row r="1590" spans="36:37" x14ac:dyDescent="0.2">
      <c r="AJ1590" s="1"/>
      <c r="AK1590" s="1"/>
    </row>
    <row r="1591" spans="36:37" x14ac:dyDescent="0.2">
      <c r="AJ1591" s="1"/>
      <c r="AK1591" s="1"/>
    </row>
    <row r="1592" spans="36:37" x14ac:dyDescent="0.2">
      <c r="AJ1592" s="1"/>
      <c r="AK1592" s="1"/>
    </row>
    <row r="1593" spans="36:37" x14ac:dyDescent="0.2">
      <c r="AJ1593" s="1"/>
      <c r="AK1593" s="1"/>
    </row>
    <row r="1594" spans="36:37" x14ac:dyDescent="0.2">
      <c r="AJ1594" s="1"/>
      <c r="AK1594" s="1"/>
    </row>
    <row r="1595" spans="36:37" x14ac:dyDescent="0.2">
      <c r="AJ1595" s="1"/>
      <c r="AK1595" s="1"/>
    </row>
    <row r="1596" spans="36:37" x14ac:dyDescent="0.2">
      <c r="AJ1596" s="1"/>
      <c r="AK1596" s="1"/>
    </row>
    <row r="1597" spans="36:37" x14ac:dyDescent="0.2">
      <c r="AJ1597" s="1"/>
      <c r="AK1597" s="1"/>
    </row>
    <row r="1598" spans="36:37" x14ac:dyDescent="0.2">
      <c r="AJ1598" s="1"/>
      <c r="AK1598" s="1"/>
    </row>
    <row r="1599" spans="36:37" x14ac:dyDescent="0.2">
      <c r="AJ1599" s="1"/>
      <c r="AK1599" s="1"/>
    </row>
    <row r="1600" spans="36:37" x14ac:dyDescent="0.2">
      <c r="AJ1600" s="1"/>
      <c r="AK1600" s="1"/>
    </row>
    <row r="1601" spans="36:37" x14ac:dyDescent="0.2">
      <c r="AJ1601" s="1"/>
      <c r="AK1601" s="1"/>
    </row>
    <row r="1602" spans="36:37" x14ac:dyDescent="0.2">
      <c r="AJ1602" s="1"/>
      <c r="AK1602" s="1"/>
    </row>
    <row r="1603" spans="36:37" x14ac:dyDescent="0.2">
      <c r="AJ1603" s="1"/>
      <c r="AK1603" s="1"/>
    </row>
    <row r="1604" spans="36:37" x14ac:dyDescent="0.2">
      <c r="AJ1604" s="1"/>
      <c r="AK1604" s="1"/>
    </row>
    <row r="1605" spans="36:37" x14ac:dyDescent="0.2">
      <c r="AJ1605" s="1"/>
      <c r="AK1605" s="1"/>
    </row>
    <row r="1606" spans="36:37" x14ac:dyDescent="0.2">
      <c r="AJ1606" s="1"/>
      <c r="AK1606" s="1"/>
    </row>
    <row r="1607" spans="36:37" x14ac:dyDescent="0.2">
      <c r="AJ1607" s="1"/>
      <c r="AK1607" s="1"/>
    </row>
    <row r="1608" spans="36:37" x14ac:dyDescent="0.2">
      <c r="AJ1608" s="1"/>
      <c r="AK1608" s="1"/>
    </row>
    <row r="1609" spans="36:37" x14ac:dyDescent="0.2">
      <c r="AJ1609" s="1"/>
      <c r="AK1609" s="1"/>
    </row>
    <row r="1610" spans="36:37" x14ac:dyDescent="0.2">
      <c r="AJ1610" s="1"/>
      <c r="AK1610" s="1"/>
    </row>
    <row r="1611" spans="36:37" x14ac:dyDescent="0.2">
      <c r="AJ1611" s="1"/>
      <c r="AK1611" s="1"/>
    </row>
    <row r="1612" spans="36:37" x14ac:dyDescent="0.2">
      <c r="AJ1612" s="1"/>
      <c r="AK1612" s="1"/>
    </row>
    <row r="1613" spans="36:37" x14ac:dyDescent="0.2">
      <c r="AJ1613" s="1"/>
      <c r="AK1613" s="1"/>
    </row>
    <row r="1614" spans="36:37" x14ac:dyDescent="0.2">
      <c r="AJ1614" s="1"/>
      <c r="AK1614" s="1"/>
    </row>
    <row r="1615" spans="36:37" x14ac:dyDescent="0.2">
      <c r="AJ1615" s="1"/>
      <c r="AK1615" s="1"/>
    </row>
    <row r="1616" spans="36:37" x14ac:dyDescent="0.2">
      <c r="AJ1616" s="1"/>
      <c r="AK1616" s="1"/>
    </row>
    <row r="1617" spans="36:37" x14ac:dyDescent="0.2">
      <c r="AJ1617" s="1"/>
      <c r="AK1617" s="1"/>
    </row>
    <row r="1618" spans="36:37" x14ac:dyDescent="0.2">
      <c r="AJ1618" s="1"/>
      <c r="AK1618" s="1"/>
    </row>
    <row r="1619" spans="36:37" x14ac:dyDescent="0.2">
      <c r="AJ1619" s="1"/>
      <c r="AK1619" s="1"/>
    </row>
    <row r="1620" spans="36:37" x14ac:dyDescent="0.2">
      <c r="AJ1620" s="1"/>
      <c r="AK1620" s="1"/>
    </row>
    <row r="1621" spans="36:37" x14ac:dyDescent="0.2">
      <c r="AJ1621" s="1"/>
      <c r="AK1621" s="1"/>
    </row>
    <row r="1622" spans="36:37" x14ac:dyDescent="0.2">
      <c r="AJ1622" s="1"/>
      <c r="AK1622" s="1"/>
    </row>
    <row r="1623" spans="36:37" x14ac:dyDescent="0.2">
      <c r="AJ1623" s="1"/>
      <c r="AK1623" s="1"/>
    </row>
    <row r="1624" spans="36:37" x14ac:dyDescent="0.2">
      <c r="AJ1624" s="1"/>
      <c r="AK1624" s="1"/>
    </row>
    <row r="1625" spans="36:37" x14ac:dyDescent="0.2">
      <c r="AJ1625" s="1"/>
      <c r="AK1625" s="1"/>
    </row>
    <row r="1626" spans="36:37" x14ac:dyDescent="0.2">
      <c r="AJ1626" s="1"/>
      <c r="AK1626" s="1"/>
    </row>
    <row r="1627" spans="36:37" x14ac:dyDescent="0.2">
      <c r="AJ1627" s="1"/>
      <c r="AK1627" s="1"/>
    </row>
    <row r="1628" spans="36:37" x14ac:dyDescent="0.2">
      <c r="AJ1628" s="1"/>
      <c r="AK1628" s="1"/>
    </row>
    <row r="1629" spans="36:37" x14ac:dyDescent="0.2">
      <c r="AJ1629" s="1"/>
      <c r="AK1629" s="1"/>
    </row>
    <row r="1630" spans="36:37" x14ac:dyDescent="0.2">
      <c r="AJ1630" s="1"/>
      <c r="AK1630" s="1"/>
    </row>
    <row r="1631" spans="36:37" x14ac:dyDescent="0.2">
      <c r="AJ1631" s="1"/>
      <c r="AK1631" s="1"/>
    </row>
    <row r="1632" spans="36:37" x14ac:dyDescent="0.2">
      <c r="AJ1632" s="1"/>
      <c r="AK1632" s="1"/>
    </row>
    <row r="1633" spans="36:37" x14ac:dyDescent="0.2">
      <c r="AJ1633" s="1"/>
      <c r="AK1633" s="1"/>
    </row>
    <row r="1634" spans="36:37" x14ac:dyDescent="0.2">
      <c r="AJ1634" s="1"/>
      <c r="AK1634" s="1"/>
    </row>
    <row r="1635" spans="36:37" x14ac:dyDescent="0.2">
      <c r="AJ1635" s="1"/>
      <c r="AK1635" s="1"/>
    </row>
    <row r="1636" spans="36:37" x14ac:dyDescent="0.2">
      <c r="AJ1636" s="1"/>
      <c r="AK1636" s="1"/>
    </row>
    <row r="1637" spans="36:37" x14ac:dyDescent="0.2">
      <c r="AJ1637" s="1"/>
      <c r="AK1637" s="1"/>
    </row>
    <row r="1638" spans="36:37" x14ac:dyDescent="0.2">
      <c r="AJ1638" s="1"/>
      <c r="AK1638" s="1"/>
    </row>
    <row r="1639" spans="36:37" x14ac:dyDescent="0.2">
      <c r="AJ1639" s="1"/>
      <c r="AK1639" s="1"/>
    </row>
    <row r="1640" spans="36:37" x14ac:dyDescent="0.2">
      <c r="AJ1640" s="1"/>
      <c r="AK1640" s="1"/>
    </row>
    <row r="1641" spans="36:37" x14ac:dyDescent="0.2">
      <c r="AJ1641" s="1"/>
      <c r="AK1641" s="1"/>
    </row>
    <row r="1642" spans="36:37" x14ac:dyDescent="0.2">
      <c r="AJ1642" s="1"/>
      <c r="AK1642" s="1"/>
    </row>
    <row r="1643" spans="36:37" x14ac:dyDescent="0.2">
      <c r="AJ1643" s="1"/>
      <c r="AK1643" s="1"/>
    </row>
    <row r="1644" spans="36:37" x14ac:dyDescent="0.2">
      <c r="AJ1644" s="1"/>
      <c r="AK1644" s="1"/>
    </row>
    <row r="1645" spans="36:37" x14ac:dyDescent="0.2">
      <c r="AJ1645" s="1"/>
      <c r="AK1645" s="1"/>
    </row>
    <row r="1646" spans="36:37" x14ac:dyDescent="0.2">
      <c r="AJ1646" s="1"/>
      <c r="AK1646" s="1"/>
    </row>
    <row r="1647" spans="36:37" x14ac:dyDescent="0.2">
      <c r="AJ1647" s="1"/>
      <c r="AK1647" s="1"/>
    </row>
    <row r="1648" spans="36:37" x14ac:dyDescent="0.2">
      <c r="AJ1648" s="1"/>
      <c r="AK1648" s="1"/>
    </row>
    <row r="1649" spans="36:37" x14ac:dyDescent="0.2">
      <c r="AJ1649" s="1"/>
      <c r="AK1649" s="1"/>
    </row>
    <row r="1650" spans="36:37" x14ac:dyDescent="0.2">
      <c r="AJ1650" s="1"/>
      <c r="AK1650" s="1"/>
    </row>
    <row r="1651" spans="36:37" x14ac:dyDescent="0.2">
      <c r="AJ1651" s="1"/>
      <c r="AK1651" s="1"/>
    </row>
    <row r="1652" spans="36:37" x14ac:dyDescent="0.2">
      <c r="AJ1652" s="1"/>
      <c r="AK1652" s="1"/>
    </row>
    <row r="1653" spans="36:37" x14ac:dyDescent="0.2">
      <c r="AJ1653" s="1"/>
      <c r="AK1653" s="1"/>
    </row>
    <row r="1654" spans="36:37" x14ac:dyDescent="0.2">
      <c r="AJ1654" s="1"/>
      <c r="AK1654" s="1"/>
    </row>
    <row r="1655" spans="36:37" x14ac:dyDescent="0.2">
      <c r="AJ1655" s="1"/>
      <c r="AK1655" s="1"/>
    </row>
    <row r="1656" spans="36:37" x14ac:dyDescent="0.2">
      <c r="AJ1656" s="1"/>
      <c r="AK1656" s="1"/>
    </row>
    <row r="1657" spans="36:37" x14ac:dyDescent="0.2">
      <c r="AJ1657" s="1"/>
      <c r="AK1657" s="1"/>
    </row>
    <row r="1658" spans="36:37" x14ac:dyDescent="0.2">
      <c r="AJ1658" s="1"/>
      <c r="AK1658" s="1"/>
    </row>
    <row r="1659" spans="36:37" x14ac:dyDescent="0.2">
      <c r="AJ1659" s="1"/>
      <c r="AK1659" s="1"/>
    </row>
    <row r="1660" spans="36:37" x14ac:dyDescent="0.2">
      <c r="AJ1660" s="1"/>
      <c r="AK1660" s="1"/>
    </row>
    <row r="1661" spans="36:37" x14ac:dyDescent="0.2">
      <c r="AJ1661" s="1"/>
      <c r="AK1661" s="1"/>
    </row>
    <row r="1662" spans="36:37" x14ac:dyDescent="0.2">
      <c r="AJ1662" s="1"/>
      <c r="AK1662" s="1"/>
    </row>
    <row r="1663" spans="36:37" x14ac:dyDescent="0.2">
      <c r="AJ1663" s="1"/>
      <c r="AK1663" s="1"/>
    </row>
    <row r="1664" spans="36:37" x14ac:dyDescent="0.2">
      <c r="AJ1664" s="1"/>
      <c r="AK1664" s="1"/>
    </row>
    <row r="1665" spans="36:37" x14ac:dyDescent="0.2">
      <c r="AJ1665" s="1"/>
      <c r="AK1665" s="1"/>
    </row>
    <row r="1666" spans="36:37" x14ac:dyDescent="0.2">
      <c r="AJ1666" s="1"/>
      <c r="AK1666" s="1"/>
    </row>
    <row r="1667" spans="36:37" x14ac:dyDescent="0.2">
      <c r="AJ1667" s="1"/>
      <c r="AK1667" s="1"/>
    </row>
    <row r="1668" spans="36:37" x14ac:dyDescent="0.2">
      <c r="AJ1668" s="1"/>
      <c r="AK1668" s="1"/>
    </row>
    <row r="1669" spans="36:37" x14ac:dyDescent="0.2">
      <c r="AJ1669" s="1"/>
      <c r="AK1669" s="1"/>
    </row>
    <row r="1670" spans="36:37" x14ac:dyDescent="0.2">
      <c r="AJ1670" s="1"/>
      <c r="AK1670" s="1"/>
    </row>
    <row r="1671" spans="36:37" x14ac:dyDescent="0.2">
      <c r="AJ1671" s="1"/>
      <c r="AK1671" s="1"/>
    </row>
    <row r="1672" spans="36:37" x14ac:dyDescent="0.2">
      <c r="AJ1672" s="1"/>
      <c r="AK1672" s="1"/>
    </row>
    <row r="1673" spans="36:37" x14ac:dyDescent="0.2">
      <c r="AJ1673" s="1"/>
      <c r="AK1673" s="1"/>
    </row>
    <row r="1674" spans="36:37" x14ac:dyDescent="0.2">
      <c r="AJ1674" s="1"/>
      <c r="AK1674" s="1"/>
    </row>
    <row r="1675" spans="36:37" x14ac:dyDescent="0.2">
      <c r="AJ1675" s="1"/>
      <c r="AK1675" s="1"/>
    </row>
    <row r="1676" spans="36:37" x14ac:dyDescent="0.2">
      <c r="AJ1676" s="1"/>
      <c r="AK1676" s="1"/>
    </row>
    <row r="1677" spans="36:37" x14ac:dyDescent="0.2">
      <c r="AJ1677" s="1"/>
      <c r="AK1677" s="1"/>
    </row>
    <row r="1678" spans="36:37" x14ac:dyDescent="0.2">
      <c r="AJ1678" s="1"/>
      <c r="AK1678" s="1"/>
    </row>
    <row r="1679" spans="36:37" x14ac:dyDescent="0.2">
      <c r="AJ1679" s="1"/>
      <c r="AK1679" s="1"/>
    </row>
    <row r="1680" spans="36:37" x14ac:dyDescent="0.2">
      <c r="AJ1680" s="1"/>
      <c r="AK1680" s="1"/>
    </row>
    <row r="1681" spans="36:37" x14ac:dyDescent="0.2">
      <c r="AJ1681" s="1"/>
      <c r="AK1681" s="1"/>
    </row>
    <row r="1682" spans="36:37" x14ac:dyDescent="0.2">
      <c r="AJ1682" s="1"/>
      <c r="AK1682" s="1"/>
    </row>
    <row r="1683" spans="36:37" x14ac:dyDescent="0.2">
      <c r="AJ1683" s="1"/>
      <c r="AK1683" s="1"/>
    </row>
    <row r="1684" spans="36:37" x14ac:dyDescent="0.2">
      <c r="AJ1684" s="1"/>
      <c r="AK1684" s="1"/>
    </row>
    <row r="1685" spans="36:37" x14ac:dyDescent="0.2">
      <c r="AJ1685" s="1"/>
      <c r="AK1685" s="1"/>
    </row>
    <row r="1686" spans="36:37" x14ac:dyDescent="0.2">
      <c r="AJ1686" s="1"/>
      <c r="AK1686" s="1"/>
    </row>
    <row r="1687" spans="36:37" x14ac:dyDescent="0.2">
      <c r="AJ1687" s="1"/>
      <c r="AK1687" s="1"/>
    </row>
    <row r="1688" spans="36:37" x14ac:dyDescent="0.2">
      <c r="AJ1688" s="1"/>
      <c r="AK1688" s="1"/>
    </row>
    <row r="1689" spans="36:37" x14ac:dyDescent="0.2">
      <c r="AJ1689" s="1"/>
      <c r="AK1689" s="1"/>
    </row>
    <row r="1690" spans="36:37" x14ac:dyDescent="0.2">
      <c r="AJ1690" s="1"/>
      <c r="AK1690" s="1"/>
    </row>
    <row r="1691" spans="36:37" x14ac:dyDescent="0.2">
      <c r="AJ1691" s="1"/>
      <c r="AK1691" s="1"/>
    </row>
    <row r="1692" spans="36:37" x14ac:dyDescent="0.2">
      <c r="AJ1692" s="1"/>
      <c r="AK1692" s="1"/>
    </row>
    <row r="1693" spans="36:37" x14ac:dyDescent="0.2">
      <c r="AJ1693" s="1"/>
      <c r="AK1693" s="1"/>
    </row>
    <row r="1694" spans="36:37" x14ac:dyDescent="0.2">
      <c r="AJ1694" s="1"/>
      <c r="AK1694" s="1"/>
    </row>
    <row r="1695" spans="36:37" x14ac:dyDescent="0.2">
      <c r="AJ1695" s="1"/>
      <c r="AK1695" s="1"/>
    </row>
    <row r="1696" spans="36:37" x14ac:dyDescent="0.2">
      <c r="AJ1696" s="1"/>
      <c r="AK1696" s="1"/>
    </row>
    <row r="1697" spans="36:37" x14ac:dyDescent="0.2">
      <c r="AJ1697" s="1"/>
      <c r="AK1697" s="1"/>
    </row>
    <row r="1698" spans="36:37" x14ac:dyDescent="0.2">
      <c r="AJ1698" s="1"/>
      <c r="AK1698" s="1"/>
    </row>
    <row r="1699" spans="36:37" x14ac:dyDescent="0.2">
      <c r="AJ1699" s="1"/>
      <c r="AK1699" s="1"/>
    </row>
    <row r="1700" spans="36:37" x14ac:dyDescent="0.2">
      <c r="AJ1700" s="1"/>
      <c r="AK1700" s="1"/>
    </row>
    <row r="1701" spans="36:37" x14ac:dyDescent="0.2">
      <c r="AJ1701" s="1"/>
      <c r="AK1701" s="1"/>
    </row>
    <row r="1702" spans="36:37" x14ac:dyDescent="0.2">
      <c r="AJ1702" s="1"/>
      <c r="AK1702" s="1"/>
    </row>
    <row r="1703" spans="36:37" x14ac:dyDescent="0.2">
      <c r="AJ1703" s="1"/>
      <c r="AK1703" s="1"/>
    </row>
    <row r="1704" spans="36:37" x14ac:dyDescent="0.2">
      <c r="AJ1704" s="1"/>
      <c r="AK1704" s="1"/>
    </row>
    <row r="1705" spans="36:37" x14ac:dyDescent="0.2">
      <c r="AJ1705" s="1"/>
      <c r="AK1705" s="1"/>
    </row>
    <row r="1706" spans="36:37" x14ac:dyDescent="0.2">
      <c r="AJ1706" s="1"/>
      <c r="AK1706" s="1"/>
    </row>
    <row r="1707" spans="36:37" x14ac:dyDescent="0.2">
      <c r="AJ1707" s="1"/>
      <c r="AK1707" s="1"/>
    </row>
    <row r="1708" spans="36:37" x14ac:dyDescent="0.2">
      <c r="AJ1708" s="1"/>
      <c r="AK1708" s="1"/>
    </row>
    <row r="1709" spans="36:37" x14ac:dyDescent="0.2">
      <c r="AJ1709" s="1"/>
      <c r="AK1709" s="1"/>
    </row>
    <row r="1710" spans="36:37" x14ac:dyDescent="0.2">
      <c r="AJ1710" s="1"/>
      <c r="AK1710" s="1"/>
    </row>
    <row r="1711" spans="36:37" x14ac:dyDescent="0.2">
      <c r="AJ1711" s="1"/>
      <c r="AK1711" s="1"/>
    </row>
    <row r="1712" spans="36:37" x14ac:dyDescent="0.2">
      <c r="AJ1712" s="1"/>
      <c r="AK1712" s="1"/>
    </row>
    <row r="1713" spans="36:37" x14ac:dyDescent="0.2">
      <c r="AJ1713" s="1"/>
      <c r="AK1713" s="1"/>
    </row>
    <row r="1714" spans="36:37" x14ac:dyDescent="0.2">
      <c r="AJ1714" s="1"/>
      <c r="AK1714" s="1"/>
    </row>
    <row r="1715" spans="36:37" x14ac:dyDescent="0.2">
      <c r="AJ1715" s="1"/>
      <c r="AK1715" s="1"/>
    </row>
    <row r="1716" spans="36:37" x14ac:dyDescent="0.2">
      <c r="AJ1716" s="1"/>
      <c r="AK1716" s="1"/>
    </row>
    <row r="1717" spans="36:37" x14ac:dyDescent="0.2">
      <c r="AJ1717" s="1"/>
      <c r="AK1717" s="1"/>
    </row>
    <row r="1718" spans="36:37" x14ac:dyDescent="0.2">
      <c r="AJ1718" s="1"/>
      <c r="AK1718" s="1"/>
    </row>
    <row r="1719" spans="36:37" x14ac:dyDescent="0.2">
      <c r="AJ1719" s="1"/>
      <c r="AK1719" s="1"/>
    </row>
    <row r="1720" spans="36:37" x14ac:dyDescent="0.2">
      <c r="AJ1720" s="1"/>
      <c r="AK1720" s="1"/>
    </row>
    <row r="1721" spans="36:37" x14ac:dyDescent="0.2">
      <c r="AJ1721" s="1"/>
      <c r="AK1721" s="1"/>
    </row>
    <row r="1722" spans="36:37" x14ac:dyDescent="0.2">
      <c r="AJ1722" s="1"/>
      <c r="AK1722" s="1"/>
    </row>
    <row r="1723" spans="36:37" x14ac:dyDescent="0.2">
      <c r="AJ1723" s="1"/>
      <c r="AK1723" s="1"/>
    </row>
    <row r="1724" spans="36:37" x14ac:dyDescent="0.2">
      <c r="AJ1724" s="1"/>
      <c r="AK1724" s="1"/>
    </row>
    <row r="1725" spans="36:37" x14ac:dyDescent="0.2">
      <c r="AJ1725" s="1"/>
      <c r="AK1725" s="1"/>
    </row>
    <row r="1726" spans="36:37" x14ac:dyDescent="0.2">
      <c r="AJ1726" s="1"/>
      <c r="AK1726" s="1"/>
    </row>
    <row r="1727" spans="36:37" x14ac:dyDescent="0.2">
      <c r="AJ1727" s="1"/>
      <c r="AK1727" s="1"/>
    </row>
    <row r="1728" spans="36:37" x14ac:dyDescent="0.2">
      <c r="AJ1728" s="1"/>
      <c r="AK1728" s="1"/>
    </row>
    <row r="1729" spans="36:37" x14ac:dyDescent="0.2">
      <c r="AJ1729" s="1"/>
      <c r="AK1729" s="1"/>
    </row>
    <row r="1730" spans="36:37" x14ac:dyDescent="0.2">
      <c r="AJ1730" s="1"/>
      <c r="AK1730" s="1"/>
    </row>
    <row r="1731" spans="36:37" x14ac:dyDescent="0.2">
      <c r="AJ1731" s="1"/>
      <c r="AK1731" s="1"/>
    </row>
    <row r="1732" spans="36:37" x14ac:dyDescent="0.2">
      <c r="AJ1732" s="1"/>
      <c r="AK1732" s="1"/>
    </row>
    <row r="1733" spans="36:37" x14ac:dyDescent="0.2">
      <c r="AJ1733" s="1"/>
      <c r="AK1733" s="1"/>
    </row>
    <row r="1734" spans="36:37" x14ac:dyDescent="0.2">
      <c r="AJ1734" s="1"/>
      <c r="AK1734" s="1"/>
    </row>
    <row r="1735" spans="36:37" x14ac:dyDescent="0.2">
      <c r="AJ1735" s="1"/>
      <c r="AK1735" s="1"/>
    </row>
    <row r="1736" spans="36:37" x14ac:dyDescent="0.2">
      <c r="AJ1736" s="1"/>
      <c r="AK1736" s="1"/>
    </row>
    <row r="1737" spans="36:37" x14ac:dyDescent="0.2">
      <c r="AJ1737" s="1"/>
      <c r="AK1737" s="1"/>
    </row>
    <row r="1738" spans="36:37" x14ac:dyDescent="0.2">
      <c r="AJ1738" s="1"/>
      <c r="AK1738" s="1"/>
    </row>
    <row r="1739" spans="36:37" x14ac:dyDescent="0.2">
      <c r="AJ1739" s="1"/>
      <c r="AK1739" s="1"/>
    </row>
    <row r="1740" spans="36:37" x14ac:dyDescent="0.2">
      <c r="AJ1740" s="1"/>
      <c r="AK1740" s="1"/>
    </row>
    <row r="1741" spans="36:37" x14ac:dyDescent="0.2">
      <c r="AJ1741" s="1"/>
      <c r="AK1741" s="1"/>
    </row>
    <row r="1742" spans="36:37" x14ac:dyDescent="0.2">
      <c r="AJ1742" s="1"/>
      <c r="AK1742" s="1"/>
    </row>
    <row r="1743" spans="36:37" x14ac:dyDescent="0.2">
      <c r="AJ1743" s="1"/>
      <c r="AK1743" s="1"/>
    </row>
    <row r="1744" spans="36:37" x14ac:dyDescent="0.2">
      <c r="AJ1744" s="1"/>
      <c r="AK1744" s="1"/>
    </row>
    <row r="1745" spans="36:37" x14ac:dyDescent="0.2">
      <c r="AJ1745" s="1"/>
      <c r="AK1745" s="1"/>
    </row>
    <row r="1746" spans="36:37" x14ac:dyDescent="0.2">
      <c r="AJ1746" s="1"/>
      <c r="AK1746" s="1"/>
    </row>
    <row r="1747" spans="36:37" x14ac:dyDescent="0.2">
      <c r="AJ1747" s="1"/>
      <c r="AK1747" s="1"/>
    </row>
    <row r="1748" spans="36:37" x14ac:dyDescent="0.2">
      <c r="AJ1748" s="1"/>
      <c r="AK1748" s="1"/>
    </row>
    <row r="1749" spans="36:37" x14ac:dyDescent="0.2">
      <c r="AJ1749" s="1"/>
      <c r="AK1749" s="1"/>
    </row>
    <row r="1750" spans="36:37" x14ac:dyDescent="0.2">
      <c r="AJ1750" s="1"/>
      <c r="AK1750" s="1"/>
    </row>
    <row r="1751" spans="36:37" x14ac:dyDescent="0.2">
      <c r="AJ1751" s="1"/>
      <c r="AK1751" s="1"/>
    </row>
    <row r="1752" spans="36:37" x14ac:dyDescent="0.2">
      <c r="AJ1752" s="1"/>
      <c r="AK1752" s="1"/>
    </row>
    <row r="1753" spans="36:37" x14ac:dyDescent="0.2">
      <c r="AJ1753" s="1"/>
      <c r="AK1753" s="1"/>
    </row>
    <row r="1754" spans="36:37" x14ac:dyDescent="0.2">
      <c r="AJ1754" s="1"/>
      <c r="AK1754" s="1"/>
    </row>
    <row r="1755" spans="36:37" x14ac:dyDescent="0.2">
      <c r="AJ1755" s="1"/>
      <c r="AK1755" s="1"/>
    </row>
    <row r="1756" spans="36:37" x14ac:dyDescent="0.2">
      <c r="AJ1756" s="1"/>
      <c r="AK1756" s="1"/>
    </row>
    <row r="1757" spans="36:37" x14ac:dyDescent="0.2">
      <c r="AJ1757" s="1"/>
      <c r="AK1757" s="1"/>
    </row>
    <row r="1758" spans="36:37" x14ac:dyDescent="0.2">
      <c r="AJ1758" s="1"/>
      <c r="AK1758" s="1"/>
    </row>
    <row r="1759" spans="36:37" x14ac:dyDescent="0.2">
      <c r="AJ1759" s="1"/>
      <c r="AK1759" s="1"/>
    </row>
    <row r="1760" spans="36:37" x14ac:dyDescent="0.2">
      <c r="AJ1760" s="1"/>
      <c r="AK1760" s="1"/>
    </row>
    <row r="1761" spans="36:37" x14ac:dyDescent="0.2">
      <c r="AJ1761" s="1"/>
      <c r="AK1761" s="1"/>
    </row>
    <row r="1762" spans="36:37" x14ac:dyDescent="0.2">
      <c r="AJ1762" s="1"/>
      <c r="AK1762" s="1"/>
    </row>
    <row r="1763" spans="36:37" x14ac:dyDescent="0.2">
      <c r="AJ1763" s="1"/>
      <c r="AK1763" s="1"/>
    </row>
    <row r="1764" spans="36:37" x14ac:dyDescent="0.2">
      <c r="AJ1764" s="1"/>
      <c r="AK1764" s="1"/>
    </row>
    <row r="1765" spans="36:37" x14ac:dyDescent="0.2">
      <c r="AJ1765" s="1"/>
      <c r="AK1765" s="1"/>
    </row>
    <row r="1766" spans="36:37" x14ac:dyDescent="0.2">
      <c r="AJ1766" s="1"/>
      <c r="AK1766" s="1"/>
    </row>
    <row r="1767" spans="36:37" x14ac:dyDescent="0.2">
      <c r="AJ1767" s="1"/>
      <c r="AK1767" s="1"/>
    </row>
    <row r="1768" spans="36:37" x14ac:dyDescent="0.2">
      <c r="AJ1768" s="1"/>
      <c r="AK1768" s="1"/>
    </row>
    <row r="1769" spans="36:37" x14ac:dyDescent="0.2">
      <c r="AJ1769" s="1"/>
      <c r="AK1769" s="1"/>
    </row>
    <row r="1770" spans="36:37" x14ac:dyDescent="0.2">
      <c r="AJ1770" s="1"/>
      <c r="AK1770" s="1"/>
    </row>
    <row r="1771" spans="36:37" x14ac:dyDescent="0.2">
      <c r="AJ1771" s="1"/>
      <c r="AK1771" s="1"/>
    </row>
    <row r="1772" spans="36:37" x14ac:dyDescent="0.2">
      <c r="AJ1772" s="1"/>
      <c r="AK1772" s="1"/>
    </row>
    <row r="1773" spans="36:37" x14ac:dyDescent="0.2">
      <c r="AJ1773" s="1"/>
      <c r="AK1773" s="1"/>
    </row>
    <row r="1774" spans="36:37" x14ac:dyDescent="0.2">
      <c r="AJ1774" s="1"/>
      <c r="AK1774" s="1"/>
    </row>
    <row r="1775" spans="36:37" x14ac:dyDescent="0.2">
      <c r="AJ1775" s="1"/>
      <c r="AK1775" s="1"/>
    </row>
    <row r="1776" spans="36:37" x14ac:dyDescent="0.2">
      <c r="AJ1776" s="1"/>
      <c r="AK1776" s="1"/>
    </row>
    <row r="1777" spans="36:37" x14ac:dyDescent="0.2">
      <c r="AJ1777" s="1"/>
      <c r="AK1777" s="1"/>
    </row>
    <row r="1778" spans="36:37" x14ac:dyDescent="0.2">
      <c r="AJ1778" s="1"/>
      <c r="AK1778" s="1"/>
    </row>
    <row r="1779" spans="36:37" x14ac:dyDescent="0.2">
      <c r="AJ1779" s="1"/>
      <c r="AK1779" s="1"/>
    </row>
    <row r="1780" spans="36:37" x14ac:dyDescent="0.2">
      <c r="AJ1780" s="1"/>
      <c r="AK1780" s="1"/>
    </row>
    <row r="1781" spans="36:37" x14ac:dyDescent="0.2">
      <c r="AJ1781" s="1"/>
      <c r="AK1781" s="1"/>
    </row>
    <row r="1782" spans="36:37" x14ac:dyDescent="0.2">
      <c r="AJ1782" s="1"/>
      <c r="AK1782" s="1"/>
    </row>
    <row r="1783" spans="36:37" x14ac:dyDescent="0.2">
      <c r="AJ1783" s="1"/>
      <c r="AK1783" s="1"/>
    </row>
    <row r="1784" spans="36:37" x14ac:dyDescent="0.2">
      <c r="AJ1784" s="1"/>
      <c r="AK1784" s="1"/>
    </row>
    <row r="1785" spans="36:37" x14ac:dyDescent="0.2">
      <c r="AJ1785" s="1"/>
      <c r="AK1785" s="1"/>
    </row>
    <row r="1786" spans="36:37" x14ac:dyDescent="0.2">
      <c r="AJ1786" s="1"/>
      <c r="AK1786" s="1"/>
    </row>
    <row r="1787" spans="36:37" x14ac:dyDescent="0.2">
      <c r="AJ1787" s="1"/>
      <c r="AK1787" s="1"/>
    </row>
    <row r="1788" spans="36:37" x14ac:dyDescent="0.2">
      <c r="AJ1788" s="1"/>
      <c r="AK1788" s="1"/>
    </row>
    <row r="1789" spans="36:37" x14ac:dyDescent="0.2">
      <c r="AJ1789" s="1"/>
      <c r="AK1789" s="1"/>
    </row>
    <row r="1790" spans="36:37" x14ac:dyDescent="0.2">
      <c r="AJ1790" s="1"/>
      <c r="AK1790" s="1"/>
    </row>
    <row r="1791" spans="36:37" x14ac:dyDescent="0.2">
      <c r="AJ1791" s="1"/>
      <c r="AK1791" s="1"/>
    </row>
    <row r="1792" spans="36:37" x14ac:dyDescent="0.2">
      <c r="AJ1792" s="1"/>
      <c r="AK1792" s="1"/>
    </row>
    <row r="1793" spans="36:37" x14ac:dyDescent="0.2">
      <c r="AJ1793" s="1"/>
      <c r="AK1793" s="1"/>
    </row>
    <row r="1794" spans="36:37" x14ac:dyDescent="0.2">
      <c r="AJ1794" s="1"/>
      <c r="AK1794" s="1"/>
    </row>
    <row r="1795" spans="36:37" x14ac:dyDescent="0.2">
      <c r="AJ1795" s="1"/>
      <c r="AK1795" s="1"/>
    </row>
    <row r="1796" spans="36:37" x14ac:dyDescent="0.2">
      <c r="AJ1796" s="1"/>
      <c r="AK1796" s="1"/>
    </row>
    <row r="1797" spans="36:37" x14ac:dyDescent="0.2">
      <c r="AJ1797" s="1"/>
      <c r="AK1797" s="1"/>
    </row>
    <row r="1798" spans="36:37" x14ac:dyDescent="0.2">
      <c r="AJ1798" s="1"/>
      <c r="AK1798" s="1"/>
    </row>
    <row r="1799" spans="36:37" x14ac:dyDescent="0.2">
      <c r="AJ1799" s="1"/>
      <c r="AK1799" s="1"/>
    </row>
    <row r="1800" spans="36:37" x14ac:dyDescent="0.2">
      <c r="AJ1800" s="1"/>
      <c r="AK1800" s="1"/>
    </row>
    <row r="1801" spans="36:37" x14ac:dyDescent="0.2">
      <c r="AJ1801" s="1"/>
      <c r="AK1801" s="1"/>
    </row>
    <row r="1802" spans="36:37" x14ac:dyDescent="0.2">
      <c r="AJ1802" s="1"/>
      <c r="AK1802" s="1"/>
    </row>
    <row r="1803" spans="36:37" x14ac:dyDescent="0.2">
      <c r="AJ1803" s="1"/>
      <c r="AK1803" s="1"/>
    </row>
    <row r="1804" spans="36:37" x14ac:dyDescent="0.2">
      <c r="AJ1804" s="1"/>
      <c r="AK1804" s="1"/>
    </row>
    <row r="1805" spans="36:37" x14ac:dyDescent="0.2">
      <c r="AJ1805" s="1"/>
      <c r="AK1805" s="1"/>
    </row>
    <row r="1806" spans="36:37" x14ac:dyDescent="0.2">
      <c r="AJ1806" s="1"/>
      <c r="AK1806" s="1"/>
    </row>
    <row r="1807" spans="36:37" x14ac:dyDescent="0.2">
      <c r="AJ1807" s="1"/>
      <c r="AK1807" s="1"/>
    </row>
    <row r="1808" spans="36:37" x14ac:dyDescent="0.2">
      <c r="AJ1808" s="1"/>
      <c r="AK1808" s="1"/>
    </row>
    <row r="1809" spans="36:37" x14ac:dyDescent="0.2">
      <c r="AJ1809" s="1"/>
      <c r="AK1809" s="1"/>
    </row>
    <row r="1810" spans="36:37" x14ac:dyDescent="0.2">
      <c r="AJ1810" s="1"/>
      <c r="AK1810" s="1"/>
    </row>
    <row r="1811" spans="36:37" x14ac:dyDescent="0.2">
      <c r="AJ1811" s="1"/>
      <c r="AK1811" s="1"/>
    </row>
    <row r="1812" spans="36:37" x14ac:dyDescent="0.2">
      <c r="AJ1812" s="1"/>
      <c r="AK1812" s="1"/>
    </row>
    <row r="1813" spans="36:37" x14ac:dyDescent="0.2">
      <c r="AJ1813" s="1"/>
      <c r="AK1813" s="1"/>
    </row>
    <row r="1814" spans="36:37" x14ac:dyDescent="0.2">
      <c r="AJ1814" s="1"/>
      <c r="AK1814" s="1"/>
    </row>
    <row r="1815" spans="36:37" x14ac:dyDescent="0.2">
      <c r="AJ1815" s="1"/>
      <c r="AK1815" s="1"/>
    </row>
    <row r="1816" spans="36:37" x14ac:dyDescent="0.2">
      <c r="AJ1816" s="1"/>
      <c r="AK1816" s="1"/>
    </row>
    <row r="1817" spans="36:37" x14ac:dyDescent="0.2">
      <c r="AJ1817" s="1"/>
      <c r="AK1817" s="1"/>
    </row>
    <row r="1818" spans="36:37" x14ac:dyDescent="0.2">
      <c r="AJ1818" s="1"/>
      <c r="AK1818" s="1"/>
    </row>
    <row r="1819" spans="36:37" x14ac:dyDescent="0.2">
      <c r="AJ1819" s="1"/>
      <c r="AK1819" s="1"/>
    </row>
    <row r="1820" spans="36:37" x14ac:dyDescent="0.2">
      <c r="AJ1820" s="1"/>
      <c r="AK1820" s="1"/>
    </row>
    <row r="1821" spans="36:37" x14ac:dyDescent="0.2">
      <c r="AJ1821" s="1"/>
      <c r="AK1821" s="1"/>
    </row>
    <row r="1822" spans="36:37" x14ac:dyDescent="0.2">
      <c r="AJ1822" s="1"/>
      <c r="AK1822" s="1"/>
    </row>
    <row r="1823" spans="36:37" x14ac:dyDescent="0.2">
      <c r="AJ1823" s="1"/>
      <c r="AK1823" s="1"/>
    </row>
    <row r="1824" spans="36:37" x14ac:dyDescent="0.2">
      <c r="AJ1824" s="1"/>
      <c r="AK1824" s="1"/>
    </row>
    <row r="1825" spans="36:37" x14ac:dyDescent="0.2">
      <c r="AJ1825" s="1"/>
      <c r="AK1825" s="1"/>
    </row>
    <row r="1826" spans="36:37" x14ac:dyDescent="0.2">
      <c r="AJ1826" s="1"/>
      <c r="AK1826" s="1"/>
    </row>
    <row r="1827" spans="36:37" x14ac:dyDescent="0.2">
      <c r="AJ1827" s="1"/>
      <c r="AK1827" s="1"/>
    </row>
    <row r="1828" spans="36:37" x14ac:dyDescent="0.2">
      <c r="AJ1828" s="1"/>
      <c r="AK1828" s="1"/>
    </row>
    <row r="1829" spans="36:37" x14ac:dyDescent="0.2">
      <c r="AJ1829" s="1"/>
      <c r="AK1829" s="1"/>
    </row>
    <row r="1830" spans="36:37" x14ac:dyDescent="0.2">
      <c r="AJ1830" s="1"/>
      <c r="AK1830" s="1"/>
    </row>
    <row r="1831" spans="36:37" x14ac:dyDescent="0.2">
      <c r="AJ1831" s="1"/>
      <c r="AK1831" s="1"/>
    </row>
    <row r="1832" spans="36:37" x14ac:dyDescent="0.2">
      <c r="AJ1832" s="1"/>
      <c r="AK1832" s="1"/>
    </row>
    <row r="1833" spans="36:37" x14ac:dyDescent="0.2">
      <c r="AJ1833" s="1"/>
      <c r="AK1833" s="1"/>
    </row>
    <row r="1834" spans="36:37" x14ac:dyDescent="0.2">
      <c r="AJ1834" s="1"/>
      <c r="AK1834" s="1"/>
    </row>
    <row r="1835" spans="36:37" x14ac:dyDescent="0.2">
      <c r="AJ1835" s="1"/>
      <c r="AK1835" s="1"/>
    </row>
    <row r="1836" spans="36:37" x14ac:dyDescent="0.2">
      <c r="AJ1836" s="1"/>
      <c r="AK1836" s="1"/>
    </row>
    <row r="1837" spans="36:37" x14ac:dyDescent="0.2">
      <c r="AJ1837" s="1"/>
      <c r="AK1837" s="1"/>
    </row>
    <row r="1838" spans="36:37" x14ac:dyDescent="0.2">
      <c r="AJ1838" s="1"/>
      <c r="AK1838" s="1"/>
    </row>
    <row r="1839" spans="36:37" x14ac:dyDescent="0.2">
      <c r="AJ1839" s="1"/>
      <c r="AK1839" s="1"/>
    </row>
    <row r="1840" spans="36:37" x14ac:dyDescent="0.2">
      <c r="AJ1840" s="1"/>
      <c r="AK1840" s="1"/>
    </row>
    <row r="1841" spans="36:37" x14ac:dyDescent="0.2">
      <c r="AJ1841" s="1"/>
      <c r="AK1841" s="1"/>
    </row>
    <row r="1842" spans="36:37" x14ac:dyDescent="0.2">
      <c r="AJ1842" s="1"/>
      <c r="AK1842" s="1"/>
    </row>
    <row r="1843" spans="36:37" x14ac:dyDescent="0.2">
      <c r="AJ1843" s="1"/>
      <c r="AK1843" s="1"/>
    </row>
    <row r="1844" spans="36:37" x14ac:dyDescent="0.2">
      <c r="AJ1844" s="1"/>
      <c r="AK1844" s="1"/>
    </row>
    <row r="1845" spans="36:37" x14ac:dyDescent="0.2">
      <c r="AJ1845" s="1"/>
      <c r="AK1845" s="1"/>
    </row>
    <row r="1846" spans="36:37" x14ac:dyDescent="0.2">
      <c r="AJ1846" s="1"/>
      <c r="AK1846" s="1"/>
    </row>
    <row r="1847" spans="36:37" x14ac:dyDescent="0.2">
      <c r="AJ1847" s="1"/>
      <c r="AK1847" s="1"/>
    </row>
    <row r="1848" spans="36:37" x14ac:dyDescent="0.2">
      <c r="AJ1848" s="1"/>
      <c r="AK1848" s="1"/>
    </row>
    <row r="1849" spans="36:37" x14ac:dyDescent="0.2">
      <c r="AJ1849" s="1"/>
      <c r="AK1849" s="1"/>
    </row>
    <row r="1850" spans="36:37" x14ac:dyDescent="0.2">
      <c r="AJ1850" s="1"/>
      <c r="AK1850" s="1"/>
    </row>
    <row r="1851" spans="36:37" x14ac:dyDescent="0.2">
      <c r="AJ1851" s="1"/>
      <c r="AK1851" s="1"/>
    </row>
    <row r="1852" spans="36:37" x14ac:dyDescent="0.2">
      <c r="AJ1852" s="1"/>
      <c r="AK1852" s="1"/>
    </row>
    <row r="1853" spans="36:37" x14ac:dyDescent="0.2">
      <c r="AJ1853" s="1"/>
      <c r="AK1853" s="1"/>
    </row>
    <row r="1854" spans="36:37" x14ac:dyDescent="0.2">
      <c r="AJ1854" s="1"/>
      <c r="AK1854" s="1"/>
    </row>
    <row r="1855" spans="36:37" x14ac:dyDescent="0.2">
      <c r="AJ1855" s="1"/>
      <c r="AK1855" s="1"/>
    </row>
    <row r="1856" spans="36:37" x14ac:dyDescent="0.2">
      <c r="AJ1856" s="1"/>
      <c r="AK1856" s="1"/>
    </row>
    <row r="1857" spans="36:37" x14ac:dyDescent="0.2">
      <c r="AJ1857" s="1"/>
      <c r="AK1857" s="1"/>
    </row>
    <row r="1858" spans="36:37" x14ac:dyDescent="0.2">
      <c r="AJ1858" s="1"/>
      <c r="AK1858" s="1"/>
    </row>
    <row r="1859" spans="36:37" x14ac:dyDescent="0.2">
      <c r="AJ1859" s="1"/>
      <c r="AK1859" s="1"/>
    </row>
    <row r="1860" spans="36:37" x14ac:dyDescent="0.2">
      <c r="AJ1860" s="1"/>
      <c r="AK1860" s="1"/>
    </row>
    <row r="1861" spans="36:37" x14ac:dyDescent="0.2">
      <c r="AJ1861" s="1"/>
      <c r="AK1861" s="1"/>
    </row>
    <row r="1862" spans="36:37" x14ac:dyDescent="0.2">
      <c r="AJ1862" s="1"/>
      <c r="AK1862" s="1"/>
    </row>
    <row r="1863" spans="36:37" x14ac:dyDescent="0.2">
      <c r="AJ1863" s="1"/>
      <c r="AK1863" s="1"/>
    </row>
    <row r="1864" spans="36:37" x14ac:dyDescent="0.2">
      <c r="AJ1864" s="1"/>
      <c r="AK1864" s="1"/>
    </row>
    <row r="1865" spans="36:37" x14ac:dyDescent="0.2">
      <c r="AJ1865" s="1"/>
      <c r="AK1865" s="1"/>
    </row>
    <row r="1866" spans="36:37" x14ac:dyDescent="0.2">
      <c r="AJ1866" s="1"/>
      <c r="AK1866" s="1"/>
    </row>
    <row r="1867" spans="36:37" x14ac:dyDescent="0.2">
      <c r="AJ1867" s="1"/>
      <c r="AK1867" s="1"/>
    </row>
    <row r="1868" spans="36:37" x14ac:dyDescent="0.2">
      <c r="AJ1868" s="1"/>
      <c r="AK1868" s="1"/>
    </row>
    <row r="1869" spans="36:37" x14ac:dyDescent="0.2">
      <c r="AJ1869" s="1"/>
      <c r="AK1869" s="1"/>
    </row>
    <row r="1870" spans="36:37" x14ac:dyDescent="0.2">
      <c r="AJ1870" s="1"/>
      <c r="AK1870" s="1"/>
    </row>
    <row r="1871" spans="36:37" x14ac:dyDescent="0.2">
      <c r="AJ1871" s="1"/>
      <c r="AK1871" s="1"/>
    </row>
    <row r="1872" spans="36:37" x14ac:dyDescent="0.2">
      <c r="AJ1872" s="1"/>
      <c r="AK1872" s="1"/>
    </row>
    <row r="1873" spans="36:37" x14ac:dyDescent="0.2">
      <c r="AJ1873" s="1"/>
      <c r="AK1873" s="1"/>
    </row>
  </sheetData>
  <mergeCells count="13">
    <mergeCell ref="AC22:AC23"/>
    <mergeCell ref="B3:E3"/>
    <mergeCell ref="G3:K3"/>
    <mergeCell ref="M3:P3"/>
    <mergeCell ref="C22:C23"/>
    <mergeCell ref="D22:D23"/>
    <mergeCell ref="I254:J254"/>
    <mergeCell ref="AE31:AE38"/>
    <mergeCell ref="AE58:AE61"/>
    <mergeCell ref="B235:E235"/>
    <mergeCell ref="G235:K235"/>
    <mergeCell ref="B249:E249"/>
    <mergeCell ref="AE249:AJ249"/>
  </mergeCells>
  <conditionalFormatting sqref="E251:E252">
    <cfRule type="cellIs" dxfId="29" priority="27" operator="lessThan">
      <formula>$C$231</formula>
    </cfRule>
  </conditionalFormatting>
  <conditionalFormatting sqref="E242">
    <cfRule type="cellIs" dxfId="28" priority="26" operator="lessThan">
      <formula>$C$231</formula>
    </cfRule>
  </conditionalFormatting>
  <conditionalFormatting sqref="E239">
    <cfRule type="cellIs" dxfId="27" priority="25" operator="lessThan">
      <formula>$C$231</formula>
    </cfRule>
  </conditionalFormatting>
  <conditionalFormatting sqref="E237">
    <cfRule type="cellIs" dxfId="26" priority="24" operator="lessThan">
      <formula>$C$231</formula>
    </cfRule>
  </conditionalFormatting>
  <conditionalFormatting sqref="K237">
    <cfRule type="cellIs" dxfId="25" priority="21" operator="lessThan">
      <formula>$C$231</formula>
    </cfRule>
  </conditionalFormatting>
  <conditionalFormatting sqref="K241">
    <cfRule type="cellIs" dxfId="24" priority="20" operator="lessThan">
      <formula>$C$231</formula>
    </cfRule>
  </conditionalFormatting>
  <conditionalFormatting sqref="K242">
    <cfRule type="cellIs" dxfId="23" priority="23" operator="lessThan">
      <formula>$C$231</formula>
    </cfRule>
  </conditionalFormatting>
  <conditionalFormatting sqref="K239">
    <cfRule type="cellIs" dxfId="22" priority="22" operator="lessThan">
      <formula>$C$231</formula>
    </cfRule>
  </conditionalFormatting>
  <conditionalFormatting sqref="E244">
    <cfRule type="cellIs" dxfId="21" priority="19" operator="lessThan">
      <formula>$C$231</formula>
    </cfRule>
  </conditionalFormatting>
  <conditionalFormatting sqref="I251">
    <cfRule type="cellIs" dxfId="20" priority="18" operator="lessThan">
      <formula>$C$231</formula>
    </cfRule>
  </conditionalFormatting>
  <conditionalFormatting sqref="E10">
    <cfRule type="cellIs" dxfId="19" priority="17" operator="lessThan">
      <formula>$C$231</formula>
    </cfRule>
  </conditionalFormatting>
  <conditionalFormatting sqref="E7">
    <cfRule type="cellIs" dxfId="18" priority="16" operator="lessThan">
      <formula>$C$231</formula>
    </cfRule>
  </conditionalFormatting>
  <conditionalFormatting sqref="E5">
    <cfRule type="cellIs" dxfId="17" priority="15" operator="lessThan">
      <formula>$C$231</formula>
    </cfRule>
  </conditionalFormatting>
  <conditionalFormatting sqref="K5">
    <cfRule type="cellIs" dxfId="16" priority="13" operator="lessThan">
      <formula>$C$231</formula>
    </cfRule>
  </conditionalFormatting>
  <conditionalFormatting sqref="K9">
    <cfRule type="cellIs" dxfId="15" priority="12" operator="lessThan">
      <formula>$C$231</formula>
    </cfRule>
  </conditionalFormatting>
  <conditionalFormatting sqref="K10">
    <cfRule type="cellIs" dxfId="14" priority="14" operator="lessThan">
      <formula>$C$231</formula>
    </cfRule>
  </conditionalFormatting>
  <conditionalFormatting sqref="E12">
    <cfRule type="cellIs" dxfId="13" priority="11" operator="lessThan">
      <formula>$C$231</formula>
    </cfRule>
  </conditionalFormatting>
  <conditionalFormatting sqref="P5:P6">
    <cfRule type="cellIs" dxfId="12" priority="10" operator="lessThan">
      <formula>$C$231</formula>
    </cfRule>
  </conditionalFormatting>
  <conditionalFormatting sqref="T5">
    <cfRule type="cellIs" dxfId="11" priority="9" operator="lessThan">
      <formula>$C$231</formula>
    </cfRule>
  </conditionalFormatting>
  <conditionalFormatting sqref="O17">
    <cfRule type="cellIs" dxfId="10" priority="8" operator="lessThan">
      <formula>$C$231</formula>
    </cfRule>
  </conditionalFormatting>
  <conditionalFormatting sqref="E9">
    <cfRule type="cellIs" dxfId="9" priority="7" operator="lessThan">
      <formula>$C$231</formula>
    </cfRule>
  </conditionalFormatting>
  <conditionalFormatting sqref="E11">
    <cfRule type="cellIs" dxfId="8" priority="6" operator="lessThan">
      <formula>$C$231</formula>
    </cfRule>
  </conditionalFormatting>
  <conditionalFormatting sqref="E13">
    <cfRule type="cellIs" dxfId="7" priority="5" operator="lessThan">
      <formula>$C$231</formula>
    </cfRule>
  </conditionalFormatting>
  <conditionalFormatting sqref="E15">
    <cfRule type="cellIs" dxfId="6" priority="4" operator="lessThan">
      <formula>$C$231</formula>
    </cfRule>
  </conditionalFormatting>
  <conditionalFormatting sqref="K7">
    <cfRule type="cellIs" dxfId="5" priority="3" operator="lessThan">
      <formula>$C$231</formula>
    </cfRule>
  </conditionalFormatting>
  <conditionalFormatting sqref="P9">
    <cfRule type="cellIs" dxfId="4" priority="2" operator="lessThan">
      <formula>$C$231</formula>
    </cfRule>
  </conditionalFormatting>
  <conditionalFormatting sqref="P11">
    <cfRule type="cellIs" dxfId="3" priority="1" operator="lessThan">
      <formula>$C$231</formula>
    </cfRule>
  </conditionalFormatting>
  <pageMargins left="0.7" right="0.7" top="0.5" bottom="0.5" header="0.3" footer="0.3"/>
  <pageSetup scale="24" fitToHeight="4" orientation="landscape" r:id="rId1"/>
  <headerFooter>
    <oddFooter>&amp;L&amp;"Calibri,Regular"&amp;16&amp;K000000&amp;D&amp;R&amp;"Calibri,Regular"&amp;16&amp;K000000Page &amp;P</oddFooter>
  </headerFooter>
  <rowBreaks count="1" manualBreakCount="1">
    <brk id="104" max="18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AMU">
                <anchor moveWithCells="1" sizeWithCells="1">
                  <from>
                    <xdr:col>32</xdr:col>
                    <xdr:colOff>342900</xdr:colOff>
                    <xdr:row>208</xdr:row>
                    <xdr:rowOff>25400</xdr:rowOff>
                  </from>
                  <to>
                    <xdr:col>33</xdr:col>
                    <xdr:colOff>850900</xdr:colOff>
                    <xdr:row>212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93DC3-9CA6-934B-B1DD-4834863C6940}">
  <sheetPr codeName="Sheet10">
    <tabColor theme="4"/>
  </sheetPr>
  <dimension ref="A1:AV103"/>
  <sheetViews>
    <sheetView showGridLines="0" topLeftCell="A9" zoomScale="120" zoomScaleNormal="120" zoomScaleSheetLayoutView="85" workbookViewId="0">
      <selection activeCell="N57" sqref="N57:S57"/>
    </sheetView>
  </sheetViews>
  <sheetFormatPr baseColWidth="10" defaultColWidth="11" defaultRowHeight="16" x14ac:dyDescent="0.2"/>
  <cols>
    <col min="1" max="1" width="3" style="1" customWidth="1"/>
    <col min="2" max="2" width="35.5" customWidth="1"/>
    <col min="3" max="3" width="11" bestFit="1" customWidth="1"/>
    <col min="4" max="4" width="13" bestFit="1" customWidth="1"/>
    <col min="5" max="5" width="11" customWidth="1"/>
    <col min="6" max="13" width="14" customWidth="1"/>
    <col min="14" max="18" width="12" customWidth="1"/>
    <col min="19" max="19" width="12.83203125" customWidth="1"/>
    <col min="20" max="28" width="12" hidden="1" customWidth="1"/>
    <col min="29" max="29" width="12" customWidth="1"/>
    <col min="30" max="30" width="3.83203125" customWidth="1"/>
    <col min="31" max="31" width="14" style="1" bestFit="1" customWidth="1"/>
    <col min="32" max="32" width="13.33203125" style="1" bestFit="1" customWidth="1"/>
    <col min="33" max="33" width="14" style="1" bestFit="1" customWidth="1"/>
    <col min="34" max="37" width="13.33203125" style="1" bestFit="1" customWidth="1"/>
    <col min="38" max="45" width="13.33203125" bestFit="1" customWidth="1"/>
    <col min="48" max="48" width="12.5" bestFit="1" customWidth="1"/>
  </cols>
  <sheetData>
    <row r="1" spans="1:48" s="1" customFormat="1" ht="12" hidden="1" customHeight="1" x14ac:dyDescent="0.2"/>
    <row r="2" spans="1:48" ht="62.25" customHeight="1" x14ac:dyDescent="0.45">
      <c r="A2" s="190"/>
      <c r="B2" s="5"/>
      <c r="C2" s="3"/>
      <c r="D2" s="3"/>
      <c r="E2" s="3"/>
      <c r="G2" s="30"/>
      <c r="AL2" s="1"/>
      <c r="AM2" s="1"/>
      <c r="AN2" s="1"/>
      <c r="AO2" s="1"/>
      <c r="AP2" s="1"/>
      <c r="AQ2" s="1"/>
      <c r="AR2" s="1"/>
      <c r="AS2" s="1"/>
      <c r="AT2" s="1"/>
    </row>
    <row r="3" spans="1:48" ht="36" customHeight="1" x14ac:dyDescent="0.25">
      <c r="A3" s="190"/>
      <c r="B3" s="5"/>
      <c r="C3" s="3"/>
      <c r="D3" s="3"/>
      <c r="E3" s="3"/>
      <c r="AL3" s="1"/>
      <c r="AM3" s="1"/>
      <c r="AN3" s="1"/>
      <c r="AO3" s="1"/>
      <c r="AP3" s="1"/>
      <c r="AQ3" s="1"/>
      <c r="AR3" s="1"/>
      <c r="AS3" s="1"/>
      <c r="AT3" s="1"/>
    </row>
    <row r="4" spans="1:48" ht="21" x14ac:dyDescent="0.25">
      <c r="A4" s="190"/>
      <c r="B4" s="5" t="str">
        <f>'Proforma (PreSales)'!B18</f>
        <v>WEYYAKIN PHASE IV</v>
      </c>
      <c r="C4" s="3"/>
      <c r="D4" s="3"/>
      <c r="E4" s="3"/>
      <c r="AL4" s="1"/>
      <c r="AM4" s="1"/>
      <c r="AN4" s="1"/>
      <c r="AO4" s="1"/>
      <c r="AP4" s="1"/>
      <c r="AQ4" s="1"/>
      <c r="AR4" s="1"/>
      <c r="AS4" s="1"/>
      <c r="AT4" s="1"/>
    </row>
    <row r="5" spans="1:48" ht="21" x14ac:dyDescent="0.25">
      <c r="A5" s="190"/>
      <c r="B5" s="4" t="s">
        <v>269</v>
      </c>
      <c r="C5" s="4"/>
      <c r="D5" s="4"/>
      <c r="E5" s="4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364"/>
      <c r="AL5" s="1"/>
      <c r="AM5" s="1"/>
      <c r="AN5" s="1"/>
      <c r="AO5" s="1"/>
      <c r="AP5" s="1"/>
      <c r="AQ5" s="1"/>
      <c r="AR5" s="1"/>
      <c r="AS5" s="1"/>
      <c r="AT5" s="1"/>
    </row>
    <row r="6" spans="1:48" x14ac:dyDescent="0.2">
      <c r="A6" s="190"/>
      <c r="H6" s="233"/>
    </row>
    <row r="7" spans="1:48" x14ac:dyDescent="0.2">
      <c r="A7" s="190"/>
      <c r="B7" s="63" t="s">
        <v>270</v>
      </c>
      <c r="C7" s="64"/>
      <c r="D7" s="64"/>
      <c r="E7" s="7"/>
      <c r="F7" s="188"/>
      <c r="G7" s="7"/>
      <c r="H7" s="234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</row>
    <row r="8" spans="1:48" x14ac:dyDescent="0.2">
      <c r="A8" s="190"/>
      <c r="B8" s="7" t="s">
        <v>271</v>
      </c>
      <c r="C8" s="187">
        <v>0.12</v>
      </c>
      <c r="D8" s="65"/>
      <c r="E8" s="65"/>
      <c r="F8" s="66"/>
      <c r="G8" s="57"/>
      <c r="H8" s="57"/>
      <c r="I8" s="235"/>
      <c r="J8" s="17"/>
      <c r="K8" s="17"/>
      <c r="L8" s="17"/>
      <c r="M8" s="17"/>
      <c r="N8" s="17"/>
    </row>
    <row r="9" spans="1:48" x14ac:dyDescent="0.2">
      <c r="A9" s="190"/>
      <c r="B9" s="7"/>
      <c r="C9" s="29"/>
      <c r="D9" s="17"/>
      <c r="E9" s="17"/>
      <c r="F9" s="17"/>
      <c r="G9" s="17"/>
      <c r="H9" s="57"/>
      <c r="I9" s="17"/>
      <c r="J9" s="17"/>
      <c r="K9" s="17"/>
      <c r="L9" s="17"/>
      <c r="M9" s="17"/>
      <c r="N9" s="17"/>
    </row>
    <row r="10" spans="1:48" x14ac:dyDescent="0.2">
      <c r="A10" s="190"/>
      <c r="B10" s="63" t="s">
        <v>272</v>
      </c>
      <c r="C10" s="74"/>
      <c r="D10" s="42"/>
      <c r="E10" s="17"/>
      <c r="F10" s="17"/>
      <c r="G10" s="17"/>
      <c r="H10" s="57"/>
      <c r="I10" s="57"/>
      <c r="J10" s="17"/>
      <c r="K10" s="17"/>
      <c r="L10" s="17"/>
      <c r="M10" s="17"/>
      <c r="N10" s="17"/>
    </row>
    <row r="11" spans="1:48" x14ac:dyDescent="0.2">
      <c r="A11" s="190"/>
      <c r="B11" s="6" t="s">
        <v>273</v>
      </c>
      <c r="C11" s="126">
        <v>0.55000000000000004</v>
      </c>
      <c r="D11" s="17"/>
      <c r="E11" s="17"/>
      <c r="F11" s="17"/>
      <c r="G11" s="17"/>
      <c r="H11" s="17"/>
      <c r="I11" s="57"/>
      <c r="J11" s="17"/>
      <c r="K11" s="17"/>
      <c r="L11" s="17"/>
      <c r="M11" s="17"/>
      <c r="N11" s="17"/>
    </row>
    <row r="12" spans="1:48" x14ac:dyDescent="0.2">
      <c r="A12" s="190"/>
      <c r="B12" s="6" t="s">
        <v>274</v>
      </c>
      <c r="C12" s="126">
        <f>1-C11</f>
        <v>0.44999999999999996</v>
      </c>
      <c r="D12" s="17"/>
      <c r="E12" s="17"/>
      <c r="F12" s="17"/>
      <c r="G12" s="17"/>
      <c r="H12" s="17"/>
      <c r="I12" s="57"/>
      <c r="J12" s="17"/>
      <c r="K12" s="17"/>
      <c r="L12" s="17"/>
      <c r="M12" s="17"/>
      <c r="N12" s="17"/>
    </row>
    <row r="13" spans="1:48" x14ac:dyDescent="0.2">
      <c r="A13" s="190"/>
      <c r="B13" s="7"/>
      <c r="C13" s="29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</row>
    <row r="14" spans="1:48" s="1" customFormat="1" x14ac:dyDescent="0.2">
      <c r="A14" s="190"/>
      <c r="F14" s="162" t="str">
        <f>'Proforma (PreSales)'!E20</f>
        <v>Year 1</v>
      </c>
      <c r="G14" s="162" t="str">
        <f>'Proforma (PreSales)'!F20</f>
        <v>Year 1</v>
      </c>
      <c r="H14" s="162" t="str">
        <f>'Proforma (PreSales)'!G20</f>
        <v>Year 1</v>
      </c>
      <c r="I14" s="162" t="str">
        <f>'Proforma (PreSales)'!H20</f>
        <v>Year 1</v>
      </c>
      <c r="J14" s="162" t="str">
        <f>'Proforma (PreSales)'!I20</f>
        <v>Year 2</v>
      </c>
      <c r="K14" s="162" t="str">
        <f>'Proforma (PreSales)'!J20</f>
        <v>Year 2</v>
      </c>
      <c r="L14" s="162" t="str">
        <f>'Proforma (PreSales)'!K20</f>
        <v>Year 2</v>
      </c>
      <c r="M14" s="162" t="str">
        <f>'Proforma (PreSales)'!L20</f>
        <v>Year 2</v>
      </c>
      <c r="N14" s="162" t="str">
        <f>'Proforma (PreSales)'!M20</f>
        <v>Year 3</v>
      </c>
      <c r="O14" s="162" t="str">
        <f>'Proforma (PreSales)'!N20</f>
        <v>Year 3</v>
      </c>
      <c r="P14" s="162" t="str">
        <f>'Proforma (PreSales)'!O20</f>
        <v>Year 3</v>
      </c>
      <c r="Q14" s="162" t="str">
        <f>'Proforma (PreSales)'!P20</f>
        <v>Year 3</v>
      </c>
      <c r="R14" s="162" t="str">
        <f>'Proforma (PreSales)'!Q20</f>
        <v>Year 4</v>
      </c>
      <c r="S14" s="162" t="str">
        <f>'Proforma (PreSales)'!R20</f>
        <v>Year 4</v>
      </c>
      <c r="T14" s="162" t="str">
        <f>'Proforma (PreSales)'!S20</f>
        <v>Year 4</v>
      </c>
      <c r="U14" s="162" t="str">
        <f>'Proforma (PreSales)'!T20</f>
        <v>Year 4</v>
      </c>
      <c r="V14" s="162" t="str">
        <f>'Proforma (PreSales)'!U20</f>
        <v>Year 5</v>
      </c>
      <c r="W14" s="162" t="str">
        <f>'Proforma (PreSales)'!V20</f>
        <v>Year 5</v>
      </c>
      <c r="X14" s="162" t="str">
        <f>'Proforma (PreSales)'!W20</f>
        <v>Year 5</v>
      </c>
      <c r="Y14" s="162" t="str">
        <f>'Proforma (PreSales)'!X20</f>
        <v>Year 5</v>
      </c>
      <c r="Z14" s="162" t="str">
        <f>'Proforma (PreSales)'!Y20</f>
        <v>Year 6</v>
      </c>
      <c r="AA14" s="162" t="str">
        <f>'Proforma (PreSales)'!Z20</f>
        <v>Year 6</v>
      </c>
      <c r="AB14" s="162" t="str">
        <f>'Proforma (PreSales)'!AA20</f>
        <v>Year 6</v>
      </c>
      <c r="AD14"/>
    </row>
    <row r="15" spans="1:48" s="8" customFormat="1" x14ac:dyDescent="0.2">
      <c r="A15" s="190"/>
      <c r="F15" s="11" t="str">
        <f>'Proforma (PreSales)'!E21</f>
        <v>Q1 2026</v>
      </c>
      <c r="G15" s="11" t="str">
        <f>'Proforma (PreSales)'!F21</f>
        <v>Q2 2026</v>
      </c>
      <c r="H15" s="11" t="str">
        <f>'Proforma (PreSales)'!G21</f>
        <v>Q3 2026</v>
      </c>
      <c r="I15" s="11" t="str">
        <f>'Proforma (PreSales)'!H21</f>
        <v>Q4 2026</v>
      </c>
      <c r="J15" s="11" t="str">
        <f>'Proforma (PreSales)'!I21</f>
        <v>Q1 2027</v>
      </c>
      <c r="K15" s="11" t="str">
        <f>'Proforma (PreSales)'!J21</f>
        <v>Q2 2027</v>
      </c>
      <c r="L15" s="11" t="str">
        <f>'Proforma (PreSales)'!K21</f>
        <v>Q3 2027</v>
      </c>
      <c r="M15" s="11" t="str">
        <f>'Proforma (PreSales)'!L21</f>
        <v>Q4 2027</v>
      </c>
      <c r="N15" s="11" t="str">
        <f>'Proforma (PreSales)'!M21</f>
        <v>Q1 2028</v>
      </c>
      <c r="O15" s="11" t="str">
        <f>'Proforma (PreSales)'!N21</f>
        <v>Q2 2028</v>
      </c>
      <c r="P15" s="11" t="str">
        <f>'Proforma (PreSales)'!O21</f>
        <v>Q3 2028</v>
      </c>
      <c r="Q15" s="11" t="str">
        <f>'Proforma (PreSales)'!P21</f>
        <v>Q4 2028</v>
      </c>
      <c r="R15" s="11" t="str">
        <f>'Proforma (PreSales)'!Q21</f>
        <v>Q1 2029</v>
      </c>
      <c r="S15" s="11" t="str">
        <f>'Proforma (PreSales)'!R21</f>
        <v>Q2 2029</v>
      </c>
      <c r="T15" s="11" t="str">
        <f>'Proforma (PreSales)'!S21</f>
        <v>Q3 2029</v>
      </c>
      <c r="U15" s="11" t="str">
        <f>'Proforma (PreSales)'!T21</f>
        <v>Q4 2029</v>
      </c>
      <c r="V15" s="11" t="str">
        <f>'Proforma (PreSales)'!U21</f>
        <v>Q1 2030</v>
      </c>
      <c r="W15" s="11" t="str">
        <f>'Proforma (PreSales)'!V21</f>
        <v>Q2 2030</v>
      </c>
      <c r="X15" s="11" t="str">
        <f>'Proforma (PreSales)'!W21</f>
        <v>Q3 2030</v>
      </c>
      <c r="Y15" s="11" t="str">
        <f>'Proforma (PreSales)'!X21</f>
        <v>Q4 2030</v>
      </c>
      <c r="Z15" s="11" t="str">
        <f>'Proforma (PreSales)'!Y21</f>
        <v>Q1 2031</v>
      </c>
      <c r="AA15" s="11" t="str">
        <f>'Proforma (PreSales)'!Z21</f>
        <v>Q2 2031</v>
      </c>
      <c r="AB15" s="11" t="str">
        <f>'Proforma (PreSales)'!AA21</f>
        <v>Q3 2031</v>
      </c>
      <c r="AD15"/>
      <c r="AE15" s="1"/>
      <c r="AF15" s="1"/>
      <c r="AG15" s="1"/>
      <c r="AH15" s="1"/>
      <c r="AI15" s="1"/>
      <c r="AJ15" s="1"/>
      <c r="AK15" s="1"/>
    </row>
    <row r="16" spans="1:48" x14ac:dyDescent="0.2">
      <c r="A16" s="190"/>
      <c r="B16" s="105" t="s">
        <v>275</v>
      </c>
      <c r="C16" s="7"/>
      <c r="D16" s="7"/>
      <c r="E16" s="7"/>
      <c r="F16" s="186">
        <f>F46</f>
        <v>46023</v>
      </c>
      <c r="G16" s="186">
        <f t="shared" ref="G16:AB16" si="0">G46</f>
        <v>46113</v>
      </c>
      <c r="H16" s="186">
        <f t="shared" si="0"/>
        <v>46204</v>
      </c>
      <c r="I16" s="186">
        <f t="shared" si="0"/>
        <v>46296</v>
      </c>
      <c r="J16" s="186">
        <f t="shared" si="0"/>
        <v>46388</v>
      </c>
      <c r="K16" s="186">
        <f t="shared" si="0"/>
        <v>46478</v>
      </c>
      <c r="L16" s="186">
        <f t="shared" si="0"/>
        <v>46569</v>
      </c>
      <c r="M16" s="186">
        <f t="shared" si="0"/>
        <v>46661</v>
      </c>
      <c r="N16" s="186">
        <f t="shared" si="0"/>
        <v>46753</v>
      </c>
      <c r="O16" s="186">
        <f t="shared" si="0"/>
        <v>46844</v>
      </c>
      <c r="P16" s="186">
        <f t="shared" si="0"/>
        <v>46935</v>
      </c>
      <c r="Q16" s="186">
        <f t="shared" si="0"/>
        <v>47027</v>
      </c>
      <c r="R16" s="186">
        <f t="shared" si="0"/>
        <v>47119</v>
      </c>
      <c r="S16" s="186">
        <f t="shared" si="0"/>
        <v>47209</v>
      </c>
      <c r="T16" s="186">
        <f t="shared" si="0"/>
        <v>47300</v>
      </c>
      <c r="U16" s="186">
        <f t="shared" si="0"/>
        <v>47392</v>
      </c>
      <c r="V16" s="186">
        <f t="shared" si="0"/>
        <v>47484</v>
      </c>
      <c r="W16" s="186">
        <f t="shared" si="0"/>
        <v>47574</v>
      </c>
      <c r="X16" s="186">
        <f t="shared" si="0"/>
        <v>47665</v>
      </c>
      <c r="Y16" s="186">
        <f t="shared" si="0"/>
        <v>47757</v>
      </c>
      <c r="Z16" s="186">
        <f t="shared" si="0"/>
        <v>47849</v>
      </c>
      <c r="AA16" s="186">
        <f t="shared" si="0"/>
        <v>47939</v>
      </c>
      <c r="AB16" s="186">
        <f t="shared" si="0"/>
        <v>48030</v>
      </c>
      <c r="AC16" s="7"/>
      <c r="AD16" s="7"/>
      <c r="AE16" s="69"/>
      <c r="AF16" s="69"/>
      <c r="AG16" s="69"/>
      <c r="AH16" s="69"/>
      <c r="AI16" s="69"/>
      <c r="AJ16" s="69"/>
      <c r="AK16" s="69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</row>
    <row r="17" spans="1:48" x14ac:dyDescent="0.2">
      <c r="A17" s="190"/>
      <c r="B17" s="59" t="s">
        <v>276</v>
      </c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  <c r="T17" s="59"/>
      <c r="U17" s="59"/>
      <c r="V17" s="59"/>
      <c r="W17" s="59"/>
      <c r="X17" s="59"/>
      <c r="Y17" s="59"/>
      <c r="Z17" s="59"/>
      <c r="AA17" s="59"/>
      <c r="AB17" s="59"/>
      <c r="AC17" s="59"/>
      <c r="AD17" s="27"/>
      <c r="AE17" s="69"/>
      <c r="AF17" s="69"/>
      <c r="AG17" s="69"/>
      <c r="AH17" s="69"/>
      <c r="AI17" s="69"/>
      <c r="AJ17" s="69"/>
      <c r="AK17" s="69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</row>
    <row r="18" spans="1:48" x14ac:dyDescent="0.2">
      <c r="A18" s="190"/>
      <c r="B18" s="67" t="s">
        <v>277</v>
      </c>
      <c r="C18" s="7"/>
      <c r="D18" s="191">
        <f>SUM(F18:AB18)</f>
        <v>32081612.514576919</v>
      </c>
      <c r="E18" s="7"/>
      <c r="F18" s="73">
        <f t="shared" ref="F18:AB18" si="1">SUMIF(F54,"&gt;0")+SUMIF(F57,"&gt;0")</f>
        <v>0</v>
      </c>
      <c r="G18" s="73">
        <f t="shared" si="1"/>
        <v>0</v>
      </c>
      <c r="H18" s="73">
        <f t="shared" si="1"/>
        <v>0</v>
      </c>
      <c r="I18" s="73">
        <f t="shared" si="1"/>
        <v>0</v>
      </c>
      <c r="J18" s="73">
        <f t="shared" si="1"/>
        <v>0</v>
      </c>
      <c r="K18" s="73">
        <f t="shared" si="1"/>
        <v>0</v>
      </c>
      <c r="L18" s="73">
        <f t="shared" si="1"/>
        <v>0</v>
      </c>
      <c r="M18" s="73">
        <f t="shared" si="1"/>
        <v>12000000</v>
      </c>
      <c r="N18" s="73">
        <f t="shared" si="1"/>
        <v>7624825.039576916</v>
      </c>
      <c r="O18" s="73">
        <f t="shared" si="1"/>
        <v>0</v>
      </c>
      <c r="P18" s="73">
        <f t="shared" si="1"/>
        <v>0</v>
      </c>
      <c r="Q18" s="73">
        <f t="shared" si="1"/>
        <v>0</v>
      </c>
      <c r="R18" s="73">
        <f t="shared" si="1"/>
        <v>6050000.0000000009</v>
      </c>
      <c r="S18" s="73">
        <f t="shared" si="1"/>
        <v>6406787.4750000006</v>
      </c>
      <c r="T18" s="73">
        <f t="shared" si="1"/>
        <v>0</v>
      </c>
      <c r="U18" s="73">
        <f t="shared" si="1"/>
        <v>0</v>
      </c>
      <c r="V18" s="73">
        <f t="shared" si="1"/>
        <v>0</v>
      </c>
      <c r="W18" s="73">
        <f t="shared" si="1"/>
        <v>0</v>
      </c>
      <c r="X18" s="73">
        <f t="shared" si="1"/>
        <v>0</v>
      </c>
      <c r="Y18" s="73">
        <f t="shared" si="1"/>
        <v>0</v>
      </c>
      <c r="Z18" s="73">
        <f t="shared" si="1"/>
        <v>0</v>
      </c>
      <c r="AA18" s="73">
        <f t="shared" si="1"/>
        <v>0</v>
      </c>
      <c r="AB18" s="73">
        <f t="shared" si="1"/>
        <v>0</v>
      </c>
      <c r="AC18" s="27"/>
      <c r="AD18" s="27"/>
      <c r="AE18" s="69"/>
      <c r="AF18" s="69"/>
      <c r="AG18" s="69"/>
      <c r="AH18" s="69"/>
      <c r="AI18" s="69"/>
      <c r="AJ18" s="69"/>
      <c r="AK18" s="69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</row>
    <row r="19" spans="1:48" x14ac:dyDescent="0.2">
      <c r="A19" s="190"/>
      <c r="B19" s="67" t="s">
        <v>278</v>
      </c>
      <c r="C19" s="7"/>
      <c r="D19" s="191">
        <f>SUM(F19:AB19)</f>
        <v>15000000</v>
      </c>
      <c r="E19" s="7"/>
      <c r="F19" s="73">
        <f>SUM('Proforma (PreSales)'!E64:E71)</f>
        <v>0</v>
      </c>
      <c r="G19" s="73">
        <f>SUM('Proforma (PreSales)'!F64:F71)</f>
        <v>15000000</v>
      </c>
      <c r="H19" s="73">
        <f>SUM('Proforma (PreSales)'!G64:G71)</f>
        <v>0</v>
      </c>
      <c r="I19" s="73">
        <f>SUM('Proforma (PreSales)'!H64:H71)</f>
        <v>0</v>
      </c>
      <c r="J19" s="73">
        <f>SUM('Proforma (PreSales)'!I64:I71)</f>
        <v>0</v>
      </c>
      <c r="K19" s="73">
        <f>SUM('Proforma (PreSales)'!J64:J71)</f>
        <v>0</v>
      </c>
      <c r="L19" s="73">
        <f>SUM('Proforma (PreSales)'!K64:K71)</f>
        <v>0</v>
      </c>
      <c r="M19" s="73">
        <f>SUM('Proforma (PreSales)'!L64:L71)</f>
        <v>0</v>
      </c>
      <c r="N19" s="73">
        <f>SUM('Proforma (PreSales)'!M72)</f>
        <v>0</v>
      </c>
      <c r="O19" s="73">
        <f>SUM('Proforma (PreSales)'!N72)</f>
        <v>0</v>
      </c>
      <c r="P19" s="73">
        <f>SUM('Proforma (PreSales)'!O72)</f>
        <v>0</v>
      </c>
      <c r="Q19" s="73">
        <f>SUM('Proforma (PreSales)'!P72)</f>
        <v>0</v>
      </c>
      <c r="R19" s="73">
        <f>SUM('Proforma (PreSales)'!Q72)</f>
        <v>0</v>
      </c>
      <c r="S19" s="73">
        <f>SUM('Proforma (PreSales)'!R72)</f>
        <v>0</v>
      </c>
      <c r="T19" s="73">
        <f>SUM('Proforma (PreSales)'!S72)</f>
        <v>0</v>
      </c>
      <c r="U19" s="73">
        <f>SUM('Proforma (PreSales)'!T72)</f>
        <v>0</v>
      </c>
      <c r="V19" s="73">
        <f>SUM('Proforma (PreSales)'!U72)</f>
        <v>0</v>
      </c>
      <c r="W19" s="73">
        <f>SUM('Proforma (PreSales)'!V72)</f>
        <v>0</v>
      </c>
      <c r="X19" s="73">
        <f>SUM('Proforma (PreSales)'!W72)</f>
        <v>0</v>
      </c>
      <c r="Y19" s="73">
        <f>SUM('Proforma (PreSales)'!X72)</f>
        <v>0</v>
      </c>
      <c r="Z19" s="73">
        <f>SUM('Proforma (PreSales)'!Y72)</f>
        <v>0</v>
      </c>
      <c r="AA19" s="73">
        <f>SUM('Proforma (PreSales)'!Z72)</f>
        <v>0</v>
      </c>
      <c r="AB19" s="73">
        <f>SUM('Proforma (PreSales)'!AA72)</f>
        <v>0</v>
      </c>
      <c r="AC19" s="27"/>
      <c r="AD19" s="27"/>
      <c r="AE19" s="69"/>
      <c r="AF19" s="69"/>
      <c r="AG19" s="69"/>
      <c r="AH19" s="69"/>
      <c r="AI19" s="69"/>
      <c r="AJ19" s="69"/>
      <c r="AK19" s="69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</row>
    <row r="20" spans="1:48" ht="17" thickBot="1" x14ac:dyDescent="0.25">
      <c r="A20" s="190"/>
      <c r="B20" s="67" t="s">
        <v>279</v>
      </c>
      <c r="C20" s="7"/>
      <c r="D20" s="192">
        <f>SUM(F20:AB20)</f>
        <v>17081612.514576919</v>
      </c>
      <c r="E20" s="7"/>
      <c r="F20" s="73">
        <f>F18-F19</f>
        <v>0</v>
      </c>
      <c r="G20" s="73">
        <f t="shared" ref="G20:AB20" si="2">G18-G19</f>
        <v>-15000000</v>
      </c>
      <c r="H20" s="73">
        <f t="shared" si="2"/>
        <v>0</v>
      </c>
      <c r="I20" s="73">
        <f t="shared" si="2"/>
        <v>0</v>
      </c>
      <c r="J20" s="73">
        <f t="shared" si="2"/>
        <v>0</v>
      </c>
      <c r="K20" s="73">
        <f t="shared" si="2"/>
        <v>0</v>
      </c>
      <c r="L20" s="73">
        <f t="shared" si="2"/>
        <v>0</v>
      </c>
      <c r="M20" s="73">
        <f t="shared" si="2"/>
        <v>12000000</v>
      </c>
      <c r="N20" s="73">
        <f t="shared" si="2"/>
        <v>7624825.039576916</v>
      </c>
      <c r="O20" s="73">
        <f t="shared" si="2"/>
        <v>0</v>
      </c>
      <c r="P20" s="73">
        <f t="shared" si="2"/>
        <v>0</v>
      </c>
      <c r="Q20" s="73">
        <f t="shared" si="2"/>
        <v>0</v>
      </c>
      <c r="R20" s="73">
        <f t="shared" si="2"/>
        <v>6050000.0000000009</v>
      </c>
      <c r="S20" s="73">
        <f t="shared" si="2"/>
        <v>6406787.4750000006</v>
      </c>
      <c r="T20" s="73">
        <f t="shared" si="2"/>
        <v>0</v>
      </c>
      <c r="U20" s="73">
        <f t="shared" si="2"/>
        <v>0</v>
      </c>
      <c r="V20" s="73">
        <f t="shared" si="2"/>
        <v>0</v>
      </c>
      <c r="W20" s="73">
        <f t="shared" si="2"/>
        <v>0</v>
      </c>
      <c r="X20" s="73">
        <f t="shared" si="2"/>
        <v>0</v>
      </c>
      <c r="Y20" s="73">
        <f t="shared" si="2"/>
        <v>0</v>
      </c>
      <c r="Z20" s="73">
        <f t="shared" si="2"/>
        <v>0</v>
      </c>
      <c r="AA20" s="73">
        <f t="shared" si="2"/>
        <v>0</v>
      </c>
      <c r="AB20" s="73">
        <f t="shared" si="2"/>
        <v>0</v>
      </c>
      <c r="AC20" s="27"/>
      <c r="AD20" s="27"/>
      <c r="AE20" s="69"/>
      <c r="AF20" s="69"/>
      <c r="AG20" s="69"/>
      <c r="AH20" s="69"/>
      <c r="AI20" s="69"/>
      <c r="AJ20" s="69"/>
      <c r="AK20" s="69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</row>
    <row r="21" spans="1:48" ht="17" thickTop="1" x14ac:dyDescent="0.2">
      <c r="A21" s="190"/>
      <c r="B21" s="67" t="s">
        <v>280</v>
      </c>
      <c r="C21" s="7"/>
      <c r="D21" s="7"/>
      <c r="E21" s="7"/>
      <c r="F21" s="58">
        <f>XIRR(G20:AB20,G16:AB16)</f>
        <v>0.45571401715278625</v>
      </c>
    </row>
    <row r="22" spans="1:48" x14ac:dyDescent="0.2">
      <c r="A22" s="190"/>
      <c r="B22" s="67" t="s">
        <v>281</v>
      </c>
      <c r="C22" s="7"/>
      <c r="D22" s="7"/>
      <c r="E22" s="7"/>
      <c r="F22" s="68">
        <f>SUMIF(F20:AB20,"&gt;0")/-SUMIF(F20:AB20,"&lt;0")</f>
        <v>2.1387741676384615</v>
      </c>
    </row>
    <row r="23" spans="1:48" x14ac:dyDescent="0.2">
      <c r="A23" s="190"/>
      <c r="B23" s="67" t="s">
        <v>282</v>
      </c>
      <c r="C23" s="7"/>
      <c r="D23" s="7"/>
      <c r="E23" s="7"/>
      <c r="F23" s="73">
        <f>F20+E23</f>
        <v>0</v>
      </c>
      <c r="G23" s="73">
        <f t="shared" ref="G23:AB23" si="3">G20+F23</f>
        <v>-15000000</v>
      </c>
      <c r="H23" s="73">
        <f t="shared" si="3"/>
        <v>-15000000</v>
      </c>
      <c r="I23" s="73">
        <f t="shared" si="3"/>
        <v>-15000000</v>
      </c>
      <c r="J23" s="73">
        <f t="shared" si="3"/>
        <v>-15000000</v>
      </c>
      <c r="K23" s="73">
        <f t="shared" si="3"/>
        <v>-15000000</v>
      </c>
      <c r="L23" s="73">
        <f t="shared" si="3"/>
        <v>-15000000</v>
      </c>
      <c r="M23" s="73">
        <f t="shared" si="3"/>
        <v>-3000000</v>
      </c>
      <c r="N23" s="73">
        <f t="shared" si="3"/>
        <v>4624825.039576916</v>
      </c>
      <c r="O23" s="73">
        <f t="shared" si="3"/>
        <v>4624825.039576916</v>
      </c>
      <c r="P23" s="73">
        <f t="shared" si="3"/>
        <v>4624825.039576916</v>
      </c>
      <c r="Q23" s="73">
        <f t="shared" si="3"/>
        <v>4624825.039576916</v>
      </c>
      <c r="R23" s="73">
        <f t="shared" si="3"/>
        <v>10674825.039576918</v>
      </c>
      <c r="S23" s="73">
        <f t="shared" si="3"/>
        <v>17081612.514576919</v>
      </c>
      <c r="T23" s="73">
        <f t="shared" si="3"/>
        <v>17081612.514576919</v>
      </c>
      <c r="U23" s="73">
        <f t="shared" si="3"/>
        <v>17081612.514576919</v>
      </c>
      <c r="V23" s="73">
        <f t="shared" si="3"/>
        <v>17081612.514576919</v>
      </c>
      <c r="W23" s="73">
        <f t="shared" si="3"/>
        <v>17081612.514576919</v>
      </c>
      <c r="X23" s="73">
        <f t="shared" si="3"/>
        <v>17081612.514576919</v>
      </c>
      <c r="Y23" s="73">
        <f t="shared" si="3"/>
        <v>17081612.514576919</v>
      </c>
      <c r="Z23" s="73">
        <f t="shared" si="3"/>
        <v>17081612.514576919</v>
      </c>
      <c r="AA23" s="73">
        <f t="shared" si="3"/>
        <v>17081612.514576919</v>
      </c>
      <c r="AB23" s="73">
        <f t="shared" si="3"/>
        <v>17081612.514576919</v>
      </c>
    </row>
    <row r="24" spans="1:48" x14ac:dyDescent="0.2">
      <c r="A24" s="190"/>
      <c r="B24" s="67"/>
      <c r="C24" s="7"/>
      <c r="D24" s="7"/>
      <c r="E24" s="7"/>
      <c r="F24" s="73"/>
      <c r="G24" s="73"/>
      <c r="H24" s="73"/>
      <c r="I24" s="73"/>
      <c r="J24" s="73"/>
      <c r="K24" s="73"/>
      <c r="L24" s="73"/>
      <c r="M24" s="73"/>
      <c r="N24" s="73"/>
      <c r="O24" s="73"/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  <c r="AA24" s="73"/>
      <c r="AB24" s="73"/>
    </row>
    <row r="25" spans="1:48" x14ac:dyDescent="0.2">
      <c r="A25" s="190"/>
      <c r="B25" s="59" t="s">
        <v>283</v>
      </c>
      <c r="C25" s="59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  <c r="R25" s="59"/>
      <c r="S25" s="59"/>
      <c r="T25" s="59"/>
      <c r="U25" s="59"/>
      <c r="V25" s="59"/>
      <c r="W25" s="59"/>
      <c r="X25" s="59"/>
      <c r="Y25" s="59"/>
      <c r="Z25" s="59"/>
      <c r="AA25" s="59"/>
      <c r="AB25" s="59"/>
      <c r="AC25" s="59"/>
    </row>
    <row r="26" spans="1:48" hidden="1" x14ac:dyDescent="0.2">
      <c r="A26" s="190"/>
      <c r="B26" s="125" t="s">
        <v>284</v>
      </c>
      <c r="C26" s="7"/>
      <c r="D26" s="191">
        <f>SUM(F26:AA26)</f>
        <v>1375174.960423084</v>
      </c>
      <c r="E26" s="7"/>
      <c r="F26" s="73"/>
      <c r="G26" s="73"/>
      <c r="H26" s="73">
        <f>H61</f>
        <v>0</v>
      </c>
      <c r="I26" s="73">
        <f>I61</f>
        <v>0</v>
      </c>
      <c r="J26" s="73">
        <f>J61</f>
        <v>0</v>
      </c>
      <c r="K26" s="73">
        <f>K61</f>
        <v>0</v>
      </c>
      <c r="L26" s="73">
        <f>L61</f>
        <v>0</v>
      </c>
      <c r="M26" s="73">
        <f t="shared" ref="M26:Q26" si="4">M64</f>
        <v>0</v>
      </c>
      <c r="N26" s="73">
        <f t="shared" si="4"/>
        <v>1375174.960423084</v>
      </c>
      <c r="O26" s="73">
        <f t="shared" si="4"/>
        <v>0</v>
      </c>
      <c r="P26" s="73">
        <f t="shared" si="4"/>
        <v>0</v>
      </c>
      <c r="Q26" s="73">
        <f t="shared" si="4"/>
        <v>0</v>
      </c>
      <c r="R26" s="73"/>
      <c r="S26" s="73"/>
      <c r="T26" s="73"/>
      <c r="U26" s="73"/>
      <c r="V26" s="73"/>
      <c r="W26" s="73"/>
      <c r="X26" s="73"/>
      <c r="Y26" s="73"/>
      <c r="Z26" s="73"/>
      <c r="AA26" s="73"/>
      <c r="AB26" s="73"/>
    </row>
    <row r="27" spans="1:48" hidden="1" x14ac:dyDescent="0.2">
      <c r="A27" s="190"/>
      <c r="B27" s="67" t="s">
        <v>285</v>
      </c>
      <c r="C27" s="7"/>
      <c r="D27" s="191">
        <f>SUM(F27:AA27)</f>
        <v>14000000</v>
      </c>
      <c r="E27" s="7"/>
      <c r="F27" s="73">
        <f>'Proforma (PreSales)'!E64+'Proforma (PreSales)'!E63</f>
        <v>0</v>
      </c>
      <c r="G27" s="73">
        <f>'Proforma (PreSales)'!F64+'Proforma (PreSales)'!F63</f>
        <v>14000000</v>
      </c>
      <c r="H27" s="73">
        <f>'Proforma (PreSales)'!G64+'Proforma (PreSales)'!G63</f>
        <v>0</v>
      </c>
      <c r="I27" s="73">
        <f>'Proforma (PreSales)'!H64+'Proforma (PreSales)'!H63</f>
        <v>0</v>
      </c>
      <c r="J27" s="73">
        <f>'Proforma (PreSales)'!I64+'Proforma (PreSales)'!I63</f>
        <v>0</v>
      </c>
      <c r="K27" s="73">
        <f>'Proforma (PreSales)'!J64+'Proforma (PreSales)'!J63</f>
        <v>0</v>
      </c>
      <c r="L27" s="73">
        <f>'Proforma (PreSales)'!K64+'Proforma (PreSales)'!K63</f>
        <v>0</v>
      </c>
      <c r="M27" s="73">
        <f>'Proforma (PreSales)'!L64+'Proforma (PreSales)'!L63</f>
        <v>0</v>
      </c>
      <c r="N27" s="73">
        <f>'Proforma (PreSales)'!M64+'Proforma (PreSales)'!M63</f>
        <v>0</v>
      </c>
      <c r="O27" s="73">
        <f>'Proforma (PreSales)'!N64+'Proforma (PreSales)'!N63</f>
        <v>0</v>
      </c>
      <c r="P27" s="73">
        <f>'Proforma (PreSales)'!O64+'Proforma (PreSales)'!O63</f>
        <v>0</v>
      </c>
      <c r="Q27" s="73">
        <f>'Proforma (PreSales)'!P64+'Proforma (PreSales)'!P63</f>
        <v>0</v>
      </c>
      <c r="R27" s="73"/>
      <c r="S27" s="73"/>
      <c r="T27" s="73"/>
      <c r="U27" s="73"/>
      <c r="V27" s="73"/>
      <c r="W27" s="73"/>
      <c r="X27" s="73"/>
      <c r="Y27" s="73"/>
      <c r="Z27" s="73"/>
      <c r="AA27" s="73"/>
      <c r="AB27" s="73"/>
      <c r="AC27" s="27"/>
      <c r="AD27" s="27"/>
      <c r="AE27" s="69"/>
      <c r="AF27" s="69"/>
      <c r="AG27" s="69"/>
      <c r="AH27" s="69"/>
      <c r="AI27" s="69"/>
      <c r="AJ27" s="69"/>
      <c r="AK27" s="69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</row>
    <row r="28" spans="1:48" ht="17" hidden="1" thickBot="1" x14ac:dyDescent="0.25">
      <c r="A28" s="190"/>
      <c r="B28" s="67" t="s">
        <v>286</v>
      </c>
      <c r="C28" s="7"/>
      <c r="D28" s="192">
        <f>SUM(F28:AA28)</f>
        <v>-12624825.039576916</v>
      </c>
      <c r="E28" s="7"/>
      <c r="F28" s="73">
        <f>F26-F27</f>
        <v>0</v>
      </c>
      <c r="G28" s="73">
        <f t="shared" ref="G28:Q28" si="5">G26-G27</f>
        <v>-14000000</v>
      </c>
      <c r="H28" s="73">
        <f t="shared" si="5"/>
        <v>0</v>
      </c>
      <c r="I28" s="73">
        <f t="shared" si="5"/>
        <v>0</v>
      </c>
      <c r="J28" s="73">
        <f t="shared" si="5"/>
        <v>0</v>
      </c>
      <c r="K28" s="73">
        <f t="shared" si="5"/>
        <v>0</v>
      </c>
      <c r="L28" s="73">
        <f t="shared" si="5"/>
        <v>0</v>
      </c>
      <c r="M28" s="73">
        <f t="shared" si="5"/>
        <v>0</v>
      </c>
      <c r="N28" s="73">
        <f t="shared" si="5"/>
        <v>1375174.960423084</v>
      </c>
      <c r="O28" s="73">
        <f t="shared" si="5"/>
        <v>0</v>
      </c>
      <c r="P28" s="73">
        <f t="shared" si="5"/>
        <v>0</v>
      </c>
      <c r="Q28" s="73">
        <f t="shared" si="5"/>
        <v>0</v>
      </c>
      <c r="R28" s="73"/>
      <c r="S28" s="73"/>
      <c r="T28" s="73"/>
      <c r="U28" s="73"/>
      <c r="V28" s="73"/>
      <c r="W28" s="73"/>
      <c r="X28" s="73"/>
      <c r="Y28" s="73"/>
      <c r="Z28" s="73"/>
      <c r="AA28" s="73"/>
      <c r="AB28" s="73"/>
      <c r="AC28" s="27"/>
      <c r="AD28" s="27"/>
      <c r="AE28" s="69"/>
      <c r="AF28" s="69"/>
      <c r="AG28" s="69"/>
      <c r="AH28" s="69"/>
      <c r="AI28" s="69"/>
      <c r="AJ28" s="69"/>
      <c r="AK28" s="69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</row>
    <row r="29" spans="1:48" hidden="1" x14ac:dyDescent="0.2">
      <c r="A29" s="190"/>
      <c r="B29" s="67" t="s">
        <v>287</v>
      </c>
      <c r="C29" s="7"/>
      <c r="D29" s="7"/>
      <c r="E29" s="7"/>
      <c r="F29" s="58">
        <f>XIRR(F28:AA28,F16:AA16)</f>
        <v>2.9802322387695314E-9</v>
      </c>
    </row>
    <row r="30" spans="1:48" hidden="1" x14ac:dyDescent="0.2">
      <c r="A30" s="190"/>
      <c r="B30" s="67" t="s">
        <v>288</v>
      </c>
      <c r="C30" s="7"/>
      <c r="D30" s="7"/>
      <c r="E30" s="7"/>
      <c r="F30" s="68">
        <f>SUMIF(F28:AA28,"&gt;0")/-SUMIF(F28:AA28,"&lt;0")</f>
        <v>9.822678288736314E-2</v>
      </c>
    </row>
    <row r="31" spans="1:48" ht="16" hidden="1" customHeight="1" x14ac:dyDescent="0.2">
      <c r="A31" s="190"/>
      <c r="B31" s="67"/>
      <c r="C31" s="7"/>
      <c r="D31" s="191"/>
      <c r="E31" s="7"/>
      <c r="F31" s="73"/>
      <c r="G31" s="73"/>
      <c r="H31" s="73"/>
      <c r="I31" s="73"/>
      <c r="J31" s="73"/>
      <c r="K31" s="73"/>
      <c r="L31" s="73"/>
      <c r="M31" s="73"/>
      <c r="N31" s="73"/>
      <c r="O31" s="73"/>
      <c r="P31" s="73"/>
      <c r="Q31" s="73"/>
      <c r="R31" s="73"/>
      <c r="S31" s="73"/>
      <c r="T31" s="73"/>
      <c r="U31" s="73"/>
      <c r="V31" s="73"/>
      <c r="W31" s="73"/>
      <c r="X31" s="73"/>
      <c r="Y31" s="73"/>
      <c r="Z31" s="73"/>
      <c r="AA31" s="73"/>
      <c r="AB31" s="73"/>
    </row>
    <row r="32" spans="1:48" hidden="1" x14ac:dyDescent="0.2">
      <c r="A32" s="190"/>
      <c r="B32" s="67" t="s">
        <v>289</v>
      </c>
      <c r="C32" s="7"/>
      <c r="D32" s="191">
        <f>SUM(F32:AA32)</f>
        <v>0</v>
      </c>
      <c r="E32" s="7"/>
      <c r="F32" s="73">
        <f t="shared" ref="F32:Q32" si="6">SUMIF(F62,"&gt;0")+SUMIF(F65,"&gt;0")</f>
        <v>0</v>
      </c>
      <c r="G32" s="73">
        <f t="shared" si="6"/>
        <v>0</v>
      </c>
      <c r="H32" s="73">
        <f t="shared" si="6"/>
        <v>0</v>
      </c>
      <c r="I32" s="73">
        <f t="shared" si="6"/>
        <v>0</v>
      </c>
      <c r="J32" s="73">
        <f t="shared" si="6"/>
        <v>0</v>
      </c>
      <c r="K32" s="73">
        <f t="shared" si="6"/>
        <v>0</v>
      </c>
      <c r="L32" s="73">
        <f t="shared" si="6"/>
        <v>0</v>
      </c>
      <c r="M32" s="73">
        <f t="shared" si="6"/>
        <v>0</v>
      </c>
      <c r="N32" s="73">
        <f t="shared" si="6"/>
        <v>0</v>
      </c>
      <c r="O32" s="73">
        <f t="shared" si="6"/>
        <v>0</v>
      </c>
      <c r="P32" s="73">
        <f t="shared" si="6"/>
        <v>0</v>
      </c>
      <c r="Q32" s="73">
        <f t="shared" si="6"/>
        <v>0</v>
      </c>
      <c r="R32" s="73"/>
      <c r="S32" s="73"/>
      <c r="T32" s="73"/>
      <c r="U32" s="73"/>
      <c r="V32" s="73"/>
      <c r="W32" s="73"/>
      <c r="X32" s="73"/>
      <c r="Y32" s="73"/>
      <c r="Z32" s="73"/>
      <c r="AA32" s="73"/>
      <c r="AB32" s="73"/>
    </row>
    <row r="33" spans="1:48" hidden="1" x14ac:dyDescent="0.2">
      <c r="A33" s="190"/>
      <c r="B33" s="67" t="s">
        <v>290</v>
      </c>
      <c r="C33" s="7"/>
      <c r="D33" s="191">
        <f>SUM(F33:AA33)</f>
        <v>14000000</v>
      </c>
      <c r="E33" s="7"/>
      <c r="F33" s="73">
        <f>'Proforma (PreSales)'!E64</f>
        <v>0</v>
      </c>
      <c r="G33" s="73">
        <f>'Proforma (PreSales)'!F64</f>
        <v>14000000</v>
      </c>
      <c r="H33" s="73">
        <f>'Proforma (PreSales)'!G64</f>
        <v>0</v>
      </c>
      <c r="I33" s="73">
        <f>'Proforma (PreSales)'!H64</f>
        <v>0</v>
      </c>
      <c r="J33" s="73">
        <f>'Proforma (PreSales)'!I64</f>
        <v>0</v>
      </c>
      <c r="K33" s="73">
        <f>'Proforma (PreSales)'!J64</f>
        <v>0</v>
      </c>
      <c r="L33" s="73">
        <f>'Proforma (PreSales)'!K64</f>
        <v>0</v>
      </c>
      <c r="M33" s="73">
        <f>'Proforma (PreSales)'!L64</f>
        <v>0</v>
      </c>
      <c r="N33" s="73">
        <f>'Proforma (PreSales)'!M64</f>
        <v>0</v>
      </c>
      <c r="O33" s="73">
        <f>'Proforma (PreSales)'!N64</f>
        <v>0</v>
      </c>
      <c r="P33" s="73">
        <f>'Proforma (PreSales)'!O64</f>
        <v>0</v>
      </c>
      <c r="Q33" s="73">
        <f>'Proforma (PreSales)'!P64</f>
        <v>0</v>
      </c>
      <c r="R33" s="73"/>
      <c r="S33" s="73"/>
      <c r="T33" s="73"/>
      <c r="U33" s="73"/>
      <c r="V33" s="73"/>
      <c r="W33" s="73"/>
      <c r="X33" s="73"/>
      <c r="Y33" s="73"/>
      <c r="Z33" s="73"/>
      <c r="AA33" s="73"/>
      <c r="AB33" s="73"/>
    </row>
    <row r="34" spans="1:48" ht="17" hidden="1" thickBot="1" x14ac:dyDescent="0.25">
      <c r="A34" s="190"/>
      <c r="B34" s="67" t="s">
        <v>291</v>
      </c>
      <c r="C34" s="7"/>
      <c r="D34" s="192">
        <f>SUM(F34:AA34)</f>
        <v>-14000000</v>
      </c>
      <c r="E34" s="7"/>
      <c r="F34" s="73">
        <f t="shared" ref="F34:Q34" si="7">F32-F33</f>
        <v>0</v>
      </c>
      <c r="G34" s="73">
        <f t="shared" si="7"/>
        <v>-14000000</v>
      </c>
      <c r="H34" s="73">
        <f t="shared" si="7"/>
        <v>0</v>
      </c>
      <c r="I34" s="73">
        <f t="shared" si="7"/>
        <v>0</v>
      </c>
      <c r="J34" s="73">
        <f t="shared" si="7"/>
        <v>0</v>
      </c>
      <c r="K34" s="73">
        <f t="shared" si="7"/>
        <v>0</v>
      </c>
      <c r="L34" s="73">
        <f t="shared" si="7"/>
        <v>0</v>
      </c>
      <c r="M34" s="73">
        <f t="shared" si="7"/>
        <v>0</v>
      </c>
      <c r="N34" s="73">
        <f t="shared" si="7"/>
        <v>0</v>
      </c>
      <c r="O34" s="73">
        <f t="shared" si="7"/>
        <v>0</v>
      </c>
      <c r="P34" s="73">
        <f t="shared" si="7"/>
        <v>0</v>
      </c>
      <c r="Q34" s="73">
        <f t="shared" si="7"/>
        <v>0</v>
      </c>
      <c r="R34" s="73"/>
      <c r="S34" s="73"/>
      <c r="T34" s="73"/>
      <c r="U34" s="73"/>
      <c r="V34" s="73"/>
      <c r="W34" s="73"/>
      <c r="X34" s="73"/>
      <c r="Y34" s="73"/>
      <c r="Z34" s="73"/>
      <c r="AA34" s="73"/>
      <c r="AB34" s="73"/>
    </row>
    <row r="35" spans="1:48" hidden="1" x14ac:dyDescent="0.2">
      <c r="A35" s="190"/>
      <c r="B35" s="67" t="s">
        <v>292</v>
      </c>
      <c r="C35" s="7"/>
      <c r="D35" s="7"/>
      <c r="E35" s="7"/>
      <c r="F35" s="58" t="e">
        <f>XIRR(F34:AA34,F16:AA16)</f>
        <v>#NUM!</v>
      </c>
      <c r="G35" s="73"/>
      <c r="H35" s="73"/>
      <c r="I35" s="73"/>
      <c r="J35" s="73"/>
      <c r="K35" s="73"/>
      <c r="L35" s="73"/>
      <c r="M35" s="73"/>
      <c r="N35" s="73"/>
      <c r="O35" s="73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  <c r="AA35" s="73"/>
      <c r="AB35" s="73"/>
    </row>
    <row r="36" spans="1:48" hidden="1" x14ac:dyDescent="0.2">
      <c r="A36" s="190"/>
      <c r="B36" s="67" t="s">
        <v>293</v>
      </c>
      <c r="C36" s="7"/>
      <c r="D36" s="7"/>
      <c r="E36" s="7"/>
      <c r="F36" s="68">
        <f>SUMIF(F34:AA34,"&gt;0")/-SUMIF(F34:AA34,"&lt;0")</f>
        <v>0</v>
      </c>
      <c r="G36" s="73"/>
      <c r="H36" s="73"/>
      <c r="I36" s="73"/>
      <c r="J36" s="73"/>
      <c r="K36" s="73"/>
      <c r="L36" s="73"/>
      <c r="M36" s="73"/>
      <c r="N36" s="73"/>
      <c r="O36" s="73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3"/>
      <c r="AA36" s="73"/>
      <c r="AB36" s="73"/>
    </row>
    <row r="37" spans="1:48" ht="8.25" hidden="1" customHeight="1" x14ac:dyDescent="0.2">
      <c r="A37" s="190"/>
      <c r="B37" s="67"/>
      <c r="C37" s="7"/>
      <c r="D37" s="7"/>
      <c r="E37" s="7"/>
      <c r="F37" s="68"/>
      <c r="G37" s="20"/>
      <c r="H37" s="20"/>
      <c r="I37" s="20"/>
      <c r="J37" s="20"/>
      <c r="K37" s="20"/>
      <c r="L37" s="20"/>
      <c r="M37" s="20"/>
      <c r="N37" s="20"/>
    </row>
    <row r="38" spans="1:48" x14ac:dyDescent="0.2">
      <c r="A38" s="190"/>
      <c r="B38" s="67" t="s">
        <v>294</v>
      </c>
      <c r="C38" s="7"/>
      <c r="D38" s="191">
        <f>SUM(F38:AB38)</f>
        <v>11567091.985423082</v>
      </c>
      <c r="E38" s="7"/>
      <c r="F38" s="73">
        <f t="shared" ref="F38:AA38" si="8">F58</f>
        <v>0</v>
      </c>
      <c r="G38" s="73">
        <f t="shared" si="8"/>
        <v>0</v>
      </c>
      <c r="H38" s="73">
        <f t="shared" si="8"/>
        <v>0</v>
      </c>
      <c r="I38" s="73">
        <f t="shared" si="8"/>
        <v>0</v>
      </c>
      <c r="J38" s="73">
        <f t="shared" si="8"/>
        <v>0</v>
      </c>
      <c r="K38" s="73">
        <f t="shared" si="8"/>
        <v>0</v>
      </c>
      <c r="L38" s="73">
        <f t="shared" si="8"/>
        <v>0</v>
      </c>
      <c r="M38" s="73">
        <f t="shared" si="8"/>
        <v>0</v>
      </c>
      <c r="N38" s="73">
        <f t="shared" si="8"/>
        <v>1375174.960423084</v>
      </c>
      <c r="O38" s="73">
        <f t="shared" si="8"/>
        <v>0</v>
      </c>
      <c r="P38" s="73">
        <f t="shared" si="8"/>
        <v>0</v>
      </c>
      <c r="Q38" s="73">
        <f t="shared" si="8"/>
        <v>0</v>
      </c>
      <c r="R38" s="73">
        <f t="shared" si="8"/>
        <v>4949999.9999999991</v>
      </c>
      <c r="S38" s="73">
        <f t="shared" si="8"/>
        <v>5241917.0249999994</v>
      </c>
      <c r="T38" s="73">
        <f t="shared" si="8"/>
        <v>0</v>
      </c>
      <c r="U38" s="73">
        <f t="shared" si="8"/>
        <v>0</v>
      </c>
      <c r="V38" s="73">
        <f t="shared" si="8"/>
        <v>0</v>
      </c>
      <c r="W38" s="73">
        <f t="shared" si="8"/>
        <v>0</v>
      </c>
      <c r="X38" s="73">
        <f t="shared" si="8"/>
        <v>0</v>
      </c>
      <c r="Y38" s="73">
        <f t="shared" si="8"/>
        <v>0</v>
      </c>
      <c r="Z38" s="73">
        <f t="shared" si="8"/>
        <v>0</v>
      </c>
      <c r="AA38" s="73">
        <f t="shared" si="8"/>
        <v>0</v>
      </c>
      <c r="AB38" s="73">
        <f>AB58</f>
        <v>0</v>
      </c>
    </row>
    <row r="39" spans="1:48" x14ac:dyDescent="0.2">
      <c r="A39" s="190"/>
      <c r="B39" s="67" t="str">
        <f>'Proforma (PreSales)'!B209</f>
        <v>Developer Overhead (% of COSTS less LAND &amp; RE Fees)</v>
      </c>
      <c r="C39" s="7"/>
      <c r="D39" s="191">
        <f>SUM(F39:AB39)</f>
        <v>2022553.2584485479</v>
      </c>
      <c r="E39" s="7"/>
      <c r="F39" s="73">
        <f>'Proforma (PreSales)'!E209</f>
        <v>0</v>
      </c>
      <c r="G39" s="73">
        <f>'Proforma (PreSales)'!F209</f>
        <v>41327.997344765623</v>
      </c>
      <c r="H39" s="73">
        <f>'Proforma (PreSales)'!G209</f>
        <v>74180.6757534668</v>
      </c>
      <c r="I39" s="73">
        <f>'Proforma (PreSales)'!H209</f>
        <v>131316.03362278454</v>
      </c>
      <c r="J39" s="73">
        <f>'Proforma (PreSales)'!I209</f>
        <v>178921.90210775746</v>
      </c>
      <c r="K39" s="73">
        <f>'Proforma (PreSales)'!J209</f>
        <v>180623.54810808916</v>
      </c>
      <c r="L39" s="73">
        <f>'Proforma (PreSales)'!K209</f>
        <v>213731.12170747222</v>
      </c>
      <c r="M39" s="73">
        <f>'Proforma (PreSales)'!L209</f>
        <v>214130.38008449573</v>
      </c>
      <c r="N39" s="73">
        <f>'Proforma (PreSales)'!M209</f>
        <v>260333.4456611168</v>
      </c>
      <c r="O39" s="73">
        <f>'Proforma (PreSales)'!N209</f>
        <v>247057.2943292952</v>
      </c>
      <c r="P39" s="73">
        <f>'Proforma (PreSales)'!O209</f>
        <v>218933.56785548336</v>
      </c>
      <c r="Q39" s="73">
        <f>'Proforma (PreSales)'!P209</f>
        <v>152646.34172260956</v>
      </c>
      <c r="R39" s="73">
        <f>'Proforma (PreSales)'!Q209</f>
        <v>80151.755117280671</v>
      </c>
      <c r="S39" s="73">
        <f>'Proforma (PreSales)'!R209</f>
        <v>29199.19503393085</v>
      </c>
      <c r="T39" s="73">
        <f>'Proforma (PreSales)'!S209</f>
        <v>0</v>
      </c>
      <c r="U39" s="73">
        <f>'Proforma (PreSales)'!T209</f>
        <v>0</v>
      </c>
      <c r="V39" s="73">
        <f>'Proforma (PreSales)'!U209</f>
        <v>0</v>
      </c>
      <c r="W39" s="73">
        <f>'Proforma (PreSales)'!V209</f>
        <v>0</v>
      </c>
      <c r="X39" s="73">
        <f>'Proforma (PreSales)'!W209</f>
        <v>0</v>
      </c>
      <c r="Y39" s="73">
        <f>'Proforma (PreSales)'!X209</f>
        <v>0</v>
      </c>
      <c r="Z39" s="73">
        <f>'Proforma (PreSales)'!Y209</f>
        <v>0</v>
      </c>
      <c r="AA39" s="73">
        <f>'Proforma (PreSales)'!Z209</f>
        <v>0</v>
      </c>
      <c r="AB39" s="73">
        <f>'Proforma (PreSales)'!AA209</f>
        <v>0</v>
      </c>
    </row>
    <row r="40" spans="1:48" x14ac:dyDescent="0.2">
      <c r="A40" s="190"/>
      <c r="B40" s="67" t="str">
        <f>'Proforma (PreSales)'!B210</f>
        <v>Disposition Fees (% of Sales)</v>
      </c>
      <c r="C40" s="7"/>
      <c r="D40" s="191">
        <f>SUM(F40:AB40)</f>
        <v>617984.28129019053</v>
      </c>
      <c r="E40" s="7"/>
      <c r="F40" s="73">
        <f>'Proforma (PreSales)'!E210</f>
        <v>0</v>
      </c>
      <c r="G40" s="73">
        <f>'Proforma (PreSales)'!F210</f>
        <v>0</v>
      </c>
      <c r="H40" s="73">
        <f>'Proforma (PreSales)'!G210</f>
        <v>15694.550000000001</v>
      </c>
      <c r="I40" s="73">
        <f>'Proforma (PreSales)'!H210</f>
        <v>19575.587500000001</v>
      </c>
      <c r="J40" s="73">
        <f>'Proforma (PreSales)'!I210</f>
        <v>25646.043125</v>
      </c>
      <c r="K40" s="73">
        <f>'Proforma (PreSales)'!J210</f>
        <v>9831.3810937500002</v>
      </c>
      <c r="L40" s="73">
        <f>'Proforma (PreSales)'!K210</f>
        <v>65559.453822363284</v>
      </c>
      <c r="M40" s="73">
        <f>'Proforma (PreSales)'!L210</f>
        <v>100216.26039399413</v>
      </c>
      <c r="N40" s="73">
        <f>'Proforma (PreSales)'!M210</f>
        <v>95825.396346308902</v>
      </c>
      <c r="O40" s="73">
        <f>'Proforma (PreSales)'!N210</f>
        <v>31590.675229977798</v>
      </c>
      <c r="P40" s="73">
        <f>'Proforma (PreSales)'!O210</f>
        <v>6985.0542387456935</v>
      </c>
      <c r="Q40" s="73">
        <f>'Proforma (PreSales)'!P210</f>
        <v>106860.49093347113</v>
      </c>
      <c r="R40" s="73">
        <f>'Proforma (PreSales)'!Q210</f>
        <v>76698.413213897977</v>
      </c>
      <c r="S40" s="73">
        <f>'Proforma (PreSales)'!R210</f>
        <v>63500.975392681517</v>
      </c>
      <c r="T40" s="73">
        <f>'Proforma (PreSales)'!S210</f>
        <v>0</v>
      </c>
      <c r="U40" s="73">
        <f>'Proforma (PreSales)'!T210</f>
        <v>0</v>
      </c>
      <c r="V40" s="73">
        <f>'Proforma (PreSales)'!U210</f>
        <v>0</v>
      </c>
      <c r="W40" s="73">
        <f>'Proforma (PreSales)'!V210</f>
        <v>0</v>
      </c>
      <c r="X40" s="73">
        <f>'Proforma (PreSales)'!W210</f>
        <v>0</v>
      </c>
      <c r="Y40" s="73">
        <f>'Proforma (PreSales)'!X210</f>
        <v>0</v>
      </c>
      <c r="Z40" s="73">
        <f>'Proforma (PreSales)'!Y210</f>
        <v>0</v>
      </c>
      <c r="AA40" s="73">
        <f>'Proforma (PreSales)'!Z210</f>
        <v>0</v>
      </c>
      <c r="AB40" s="73">
        <f>'Proforma (PreSales)'!AA210</f>
        <v>0</v>
      </c>
    </row>
    <row r="41" spans="1:48" x14ac:dyDescent="0.2">
      <c r="A41" s="190"/>
      <c r="B41" s="67" t="str">
        <f>'Proforma (PreSales)'!B211</f>
        <v>Warranty Fee (% of Sales)</v>
      </c>
      <c r="C41" s="7"/>
      <c r="D41" s="191">
        <f>SUM(F41:AB41)</f>
        <v>1235968.5625803811</v>
      </c>
      <c r="E41" s="7"/>
      <c r="F41" s="73">
        <f>'Proforma (PreSales)'!E211</f>
        <v>0</v>
      </c>
      <c r="G41" s="73">
        <f>'Proforma (PreSales)'!F211</f>
        <v>0</v>
      </c>
      <c r="H41" s="73">
        <f>'Proforma (PreSales)'!G211</f>
        <v>31389.100000000002</v>
      </c>
      <c r="I41" s="73">
        <f>'Proforma (PreSales)'!H211</f>
        <v>39151.175000000003</v>
      </c>
      <c r="J41" s="73">
        <f>'Proforma (PreSales)'!I211</f>
        <v>51292.08625</v>
      </c>
      <c r="K41" s="73">
        <f>'Proforma (PreSales)'!J211</f>
        <v>19662.7621875</v>
      </c>
      <c r="L41" s="73">
        <f>'Proforma (PreSales)'!K211</f>
        <v>131118.90764472657</v>
      </c>
      <c r="M41" s="73">
        <f>'Proforma (PreSales)'!L211</f>
        <v>200432.52078798827</v>
      </c>
      <c r="N41" s="73">
        <f>'Proforma (PreSales)'!M211</f>
        <v>191650.7926926178</v>
      </c>
      <c r="O41" s="73">
        <f>'Proforma (PreSales)'!N211</f>
        <v>63181.350459955596</v>
      </c>
      <c r="P41" s="73">
        <f>'Proforma (PreSales)'!O211</f>
        <v>13970.108477491387</v>
      </c>
      <c r="Q41" s="73">
        <f>'Proforma (PreSales)'!P211</f>
        <v>213720.98186694225</v>
      </c>
      <c r="R41" s="73">
        <f>'Proforma (PreSales)'!Q211</f>
        <v>153396.82642779595</v>
      </c>
      <c r="S41" s="73">
        <f>'Proforma (PreSales)'!R211</f>
        <v>127001.95078536303</v>
      </c>
      <c r="T41" s="73">
        <f>'Proforma (PreSales)'!S211</f>
        <v>0</v>
      </c>
      <c r="U41" s="73">
        <f>'Proforma (PreSales)'!T211</f>
        <v>0</v>
      </c>
      <c r="V41" s="73">
        <f>'Proforma (PreSales)'!U211</f>
        <v>0</v>
      </c>
      <c r="W41" s="73">
        <f>'Proforma (PreSales)'!V211</f>
        <v>0</v>
      </c>
      <c r="X41" s="73">
        <f>'Proforma (PreSales)'!W211</f>
        <v>0</v>
      </c>
      <c r="Y41" s="73">
        <f>'Proforma (PreSales)'!X211</f>
        <v>0</v>
      </c>
      <c r="Z41" s="73">
        <f>'Proforma (PreSales)'!Y211</f>
        <v>0</v>
      </c>
      <c r="AA41" s="73">
        <f>'Proforma (PreSales)'!Z211</f>
        <v>0</v>
      </c>
      <c r="AB41" s="73">
        <f>'Proforma (PreSales)'!AA211</f>
        <v>0</v>
      </c>
    </row>
    <row r="42" spans="1:48" ht="17" thickBot="1" x14ac:dyDescent="0.25">
      <c r="A42" s="190"/>
      <c r="B42" s="67" t="s">
        <v>295</v>
      </c>
      <c r="C42" s="7"/>
      <c r="D42" s="192">
        <f>SUM(F42:AB42)</f>
        <v>15443598.087742202</v>
      </c>
      <c r="E42" s="7"/>
      <c r="F42" s="73">
        <f>F38+F39+F40+F41</f>
        <v>0</v>
      </c>
      <c r="G42" s="73">
        <f t="shared" ref="G42:AB42" si="9">G38+G39+G40+G41</f>
        <v>41327.997344765623</v>
      </c>
      <c r="H42" s="73">
        <f t="shared" si="9"/>
        <v>121264.32575346681</v>
      </c>
      <c r="I42" s="73">
        <f t="shared" si="9"/>
        <v>190042.79612278455</v>
      </c>
      <c r="J42" s="73">
        <f t="shared" si="9"/>
        <v>255860.03148275745</v>
      </c>
      <c r="K42" s="73">
        <f t="shared" si="9"/>
        <v>210117.69138933916</v>
      </c>
      <c r="L42" s="73">
        <f t="shared" si="9"/>
        <v>410409.4831745621</v>
      </c>
      <c r="M42" s="73">
        <f t="shared" si="9"/>
        <v>514779.16126647813</v>
      </c>
      <c r="N42" s="73">
        <f t="shared" si="9"/>
        <v>1922984.5951231276</v>
      </c>
      <c r="O42" s="73">
        <f t="shared" si="9"/>
        <v>341829.32001922856</v>
      </c>
      <c r="P42" s="73">
        <f t="shared" si="9"/>
        <v>239888.73057172043</v>
      </c>
      <c r="Q42" s="73">
        <f t="shared" si="9"/>
        <v>473227.81452302297</v>
      </c>
      <c r="R42" s="73">
        <f t="shared" si="9"/>
        <v>5260246.9947589738</v>
      </c>
      <c r="S42" s="73">
        <f t="shared" si="9"/>
        <v>5461619.1462119753</v>
      </c>
      <c r="T42" s="73">
        <f t="shared" si="9"/>
        <v>0</v>
      </c>
      <c r="U42" s="73">
        <f t="shared" si="9"/>
        <v>0</v>
      </c>
      <c r="V42" s="73">
        <f t="shared" si="9"/>
        <v>0</v>
      </c>
      <c r="W42" s="73">
        <f t="shared" si="9"/>
        <v>0</v>
      </c>
      <c r="X42" s="73">
        <f t="shared" si="9"/>
        <v>0</v>
      </c>
      <c r="Y42" s="73">
        <f t="shared" si="9"/>
        <v>0</v>
      </c>
      <c r="Z42" s="73">
        <f t="shared" si="9"/>
        <v>0</v>
      </c>
      <c r="AA42" s="73">
        <f t="shared" si="9"/>
        <v>0</v>
      </c>
      <c r="AB42" s="73">
        <f t="shared" si="9"/>
        <v>0</v>
      </c>
      <c r="AC42" s="27"/>
      <c r="AD42" s="27"/>
      <c r="AE42" s="69"/>
      <c r="AF42" s="69"/>
      <c r="AG42" s="69"/>
      <c r="AH42" s="69"/>
      <c r="AI42" s="69"/>
      <c r="AJ42" s="69"/>
      <c r="AK42" s="69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7"/>
    </row>
    <row r="43" spans="1:48" ht="17" hidden="1" thickTop="1" x14ac:dyDescent="0.2">
      <c r="A43" s="190"/>
      <c r="B43" s="67" t="s">
        <v>296</v>
      </c>
      <c r="C43" s="7"/>
      <c r="D43" s="7"/>
      <c r="E43" s="7"/>
      <c r="F43" s="77">
        <f>D42/'Proforma (PreSales)'!AB64</f>
        <v>1.1031141491244429</v>
      </c>
      <c r="G43" s="7"/>
      <c r="H43" s="20"/>
      <c r="I43" s="20"/>
      <c r="J43" s="20"/>
      <c r="K43" s="20"/>
      <c r="L43" s="20"/>
      <c r="M43" s="20"/>
      <c r="N43" s="20"/>
    </row>
    <row r="44" spans="1:48" ht="17" thickTop="1" x14ac:dyDescent="0.2">
      <c r="A44" s="190"/>
      <c r="B44" s="67"/>
      <c r="C44" s="7"/>
      <c r="D44" s="7"/>
      <c r="E44" s="7"/>
      <c r="F44" s="77"/>
      <c r="G44" s="7"/>
      <c r="H44" s="20"/>
      <c r="I44" s="20"/>
      <c r="J44" s="20"/>
      <c r="K44" s="20"/>
      <c r="L44" s="20"/>
      <c r="M44" s="20"/>
      <c r="N44" s="20"/>
    </row>
    <row r="45" spans="1:48" ht="16" customHeight="1" x14ac:dyDescent="0.2">
      <c r="A45" s="190"/>
      <c r="B45" s="67"/>
      <c r="C45" s="7"/>
      <c r="D45" s="191"/>
      <c r="E45" s="7"/>
      <c r="F45" s="73"/>
      <c r="G45" s="73"/>
      <c r="H45" s="73"/>
      <c r="I45" s="73"/>
      <c r="J45" s="73"/>
      <c r="K45" s="73"/>
      <c r="L45" s="73"/>
      <c r="M45" s="73"/>
      <c r="N45" s="73"/>
      <c r="O45" s="73"/>
      <c r="P45" s="73"/>
      <c r="Q45" s="73"/>
      <c r="R45" s="73"/>
      <c r="S45" s="73"/>
      <c r="T45" s="73"/>
      <c r="U45" s="73"/>
      <c r="V45" s="73"/>
      <c r="W45" s="73"/>
      <c r="X45" s="73"/>
      <c r="Y45" s="73"/>
      <c r="Z45" s="73"/>
      <c r="AA45" s="73"/>
      <c r="AB45" s="73"/>
    </row>
    <row r="46" spans="1:48" x14ac:dyDescent="0.2">
      <c r="A46" s="190"/>
      <c r="B46" s="105" t="s">
        <v>297</v>
      </c>
      <c r="C46" s="9"/>
      <c r="D46" s="9"/>
      <c r="E46" s="9"/>
      <c r="F46" s="441">
        <f>'Proforma (PreSales)'!E22</f>
        <v>46023</v>
      </c>
      <c r="G46" s="441">
        <f>'Proforma (PreSales)'!F22</f>
        <v>46113</v>
      </c>
      <c r="H46" s="441">
        <f>'Proforma (PreSales)'!G22</f>
        <v>46204</v>
      </c>
      <c r="I46" s="441">
        <f>'Proforma (PreSales)'!H22</f>
        <v>46296</v>
      </c>
      <c r="J46" s="441">
        <f>'Proforma (PreSales)'!I22</f>
        <v>46388</v>
      </c>
      <c r="K46" s="441">
        <f>'Proforma (PreSales)'!J22</f>
        <v>46478</v>
      </c>
      <c r="L46" s="441">
        <f>'Proforma (PreSales)'!K22</f>
        <v>46569</v>
      </c>
      <c r="M46" s="441">
        <f>'Proforma (PreSales)'!L22</f>
        <v>46661</v>
      </c>
      <c r="N46" s="441">
        <f>'Proforma (PreSales)'!M22</f>
        <v>46753</v>
      </c>
      <c r="O46" s="441">
        <f>'Proforma (PreSales)'!N22</f>
        <v>46844</v>
      </c>
      <c r="P46" s="441">
        <f>'Proforma (PreSales)'!O22</f>
        <v>46935</v>
      </c>
      <c r="Q46" s="441">
        <f>'Proforma (PreSales)'!P22</f>
        <v>47027</v>
      </c>
      <c r="R46" s="441">
        <f>'Proforma (PreSales)'!Q22</f>
        <v>47119</v>
      </c>
      <c r="S46" s="441">
        <f>'Proforma (PreSales)'!R22</f>
        <v>47209</v>
      </c>
      <c r="T46" s="441">
        <f>'Proforma (PreSales)'!S22</f>
        <v>47300</v>
      </c>
      <c r="U46" s="441">
        <f>'Proforma (PreSales)'!T22</f>
        <v>47392</v>
      </c>
      <c r="V46" s="441">
        <f>'Proforma (PreSales)'!U22</f>
        <v>47484</v>
      </c>
      <c r="W46" s="441">
        <f>'Proforma (PreSales)'!V22</f>
        <v>47574</v>
      </c>
      <c r="X46" s="441">
        <f>'Proforma (PreSales)'!W22</f>
        <v>47665</v>
      </c>
      <c r="Y46" s="441">
        <f>'Proforma (PreSales)'!X22</f>
        <v>47757</v>
      </c>
      <c r="Z46" s="441">
        <f>'Proforma (PreSales)'!Y22</f>
        <v>47849</v>
      </c>
      <c r="AA46" s="441">
        <f>'Proforma (PreSales)'!Z22</f>
        <v>47939</v>
      </c>
      <c r="AB46" s="441">
        <f>'Proforma (PreSales)'!AA22</f>
        <v>48030</v>
      </c>
      <c r="AC46" s="189"/>
      <c r="AD46" s="189"/>
    </row>
    <row r="47" spans="1:48" x14ac:dyDescent="0.2">
      <c r="A47" s="190"/>
      <c r="B47" s="59" t="s">
        <v>298</v>
      </c>
      <c r="C47" s="59"/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/>
      <c r="Q47" s="59"/>
      <c r="R47" s="59"/>
      <c r="S47" s="59"/>
      <c r="T47" s="59"/>
      <c r="U47" s="59"/>
      <c r="V47" s="59"/>
      <c r="W47" s="59"/>
      <c r="X47" s="59"/>
      <c r="Y47" s="59"/>
      <c r="Z47" s="59"/>
      <c r="AA47" s="59"/>
      <c r="AB47" s="59"/>
      <c r="AC47" s="59"/>
      <c r="AD47" s="189"/>
    </row>
    <row r="48" spans="1:48" x14ac:dyDescent="0.2">
      <c r="A48" s="190"/>
      <c r="B48" s="190" t="s">
        <v>299</v>
      </c>
      <c r="F48" s="20">
        <f>'Proforma (PreSales)'!E233</f>
        <v>0</v>
      </c>
      <c r="G48" s="20">
        <f>'Proforma (PreSales)'!F233</f>
        <v>-15000000</v>
      </c>
      <c r="H48" s="20">
        <f>'Proforma (PreSales)'!G233</f>
        <v>0</v>
      </c>
      <c r="I48" s="20">
        <f>'Proforma (PreSales)'!H233</f>
        <v>0</v>
      </c>
      <c r="J48" s="20">
        <f>'Proforma (PreSales)'!I233</f>
        <v>0</v>
      </c>
      <c r="K48" s="20">
        <f>'Proforma (PreSales)'!J233</f>
        <v>0</v>
      </c>
      <c r="L48" s="20">
        <f>'Proforma (PreSales)'!K233</f>
        <v>0</v>
      </c>
      <c r="M48" s="20">
        <f>'Proforma (PreSales)'!L233</f>
        <v>12000000</v>
      </c>
      <c r="N48" s="20">
        <f>'Proforma (PreSales)'!M233</f>
        <v>9000000</v>
      </c>
      <c r="O48" s="20">
        <f>'Proforma (PreSales)'!N233</f>
        <v>0</v>
      </c>
      <c r="P48" s="20">
        <f>'Proforma (PreSales)'!O233</f>
        <v>0</v>
      </c>
      <c r="Q48" s="20">
        <f>'Proforma (PreSales)'!P233</f>
        <v>0</v>
      </c>
      <c r="R48" s="20">
        <f>'Proforma (PreSales)'!Q233</f>
        <v>11000000</v>
      </c>
      <c r="S48" s="20">
        <f>'Proforma (PreSales)'!R233</f>
        <v>11648704.5</v>
      </c>
      <c r="T48" s="20">
        <f>'Proforma (PreSales)'!S233</f>
        <v>0</v>
      </c>
      <c r="U48" s="20">
        <f>'Proforma (PreSales)'!T233</f>
        <v>0</v>
      </c>
      <c r="V48" s="20">
        <f>'Proforma (PreSales)'!U233</f>
        <v>0</v>
      </c>
      <c r="W48" s="20">
        <f>'Proforma (PreSales)'!V233</f>
        <v>0</v>
      </c>
      <c r="X48" s="20">
        <f>'Proforma (PreSales)'!W233</f>
        <v>0</v>
      </c>
      <c r="Y48" s="20">
        <f>'Proforma (PreSales)'!X233</f>
        <v>0</v>
      </c>
      <c r="Z48" s="20">
        <f>'Proforma (PreSales)'!Y233</f>
        <v>0</v>
      </c>
      <c r="AA48" s="20">
        <f>'Proforma (PreSales)'!Z233</f>
        <v>0</v>
      </c>
      <c r="AB48" s="20">
        <f>'Proforma (PreSales)'!AA233</f>
        <v>0</v>
      </c>
    </row>
    <row r="49" spans="1:35" x14ac:dyDescent="0.2">
      <c r="A49" s="190"/>
      <c r="B49" s="67" t="s">
        <v>300</v>
      </c>
      <c r="F49" s="58">
        <f>XIRR(G48:AB48,G46:AB46)</f>
        <v>0.6368719875812533</v>
      </c>
      <c r="G49" s="20"/>
      <c r="H49" s="20"/>
      <c r="I49" s="20"/>
      <c r="J49" s="20"/>
      <c r="K49" s="20"/>
      <c r="L49" s="20"/>
      <c r="M49" s="20"/>
      <c r="N49" s="20"/>
    </row>
    <row r="50" spans="1:35" x14ac:dyDescent="0.2">
      <c r="A50" s="190"/>
      <c r="B50" s="67" t="s">
        <v>301</v>
      </c>
      <c r="F50" s="205">
        <f>SUMIF(F48:AB48,"&gt;0")/-SUMIF(F48:AA48,"&lt;0")</f>
        <v>2.9099136333333333</v>
      </c>
      <c r="M50" s="26"/>
    </row>
    <row r="51" spans="1:35" x14ac:dyDescent="0.2">
      <c r="A51" s="190"/>
      <c r="F51" s="68"/>
      <c r="G51" s="26"/>
      <c r="H51" s="26"/>
      <c r="I51" s="26"/>
      <c r="J51" s="26"/>
      <c r="K51" s="26"/>
      <c r="L51" s="26"/>
      <c r="M51" s="26"/>
    </row>
    <row r="52" spans="1:35" x14ac:dyDescent="0.2">
      <c r="A52" s="190"/>
      <c r="B52" s="59" t="s">
        <v>302</v>
      </c>
      <c r="C52" s="59"/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</row>
    <row r="53" spans="1:35" x14ac:dyDescent="0.2">
      <c r="A53" s="190"/>
      <c r="B53" s="190" t="s">
        <v>299</v>
      </c>
      <c r="F53" s="122">
        <f>F48</f>
        <v>0</v>
      </c>
      <c r="G53" s="122">
        <f t="shared" ref="G53:M53" si="10">G48</f>
        <v>-15000000</v>
      </c>
      <c r="H53" s="122">
        <f t="shared" si="10"/>
        <v>0</v>
      </c>
      <c r="I53" s="122">
        <f t="shared" si="10"/>
        <v>0</v>
      </c>
      <c r="J53" s="122">
        <f t="shared" si="10"/>
        <v>0</v>
      </c>
      <c r="K53" s="122">
        <f t="shared" si="10"/>
        <v>0</v>
      </c>
      <c r="L53" s="122">
        <f t="shared" si="10"/>
        <v>0</v>
      </c>
      <c r="M53" s="122">
        <f t="shared" si="10"/>
        <v>12000000</v>
      </c>
      <c r="N53" s="122">
        <f>'Proforma (PreSales)'!M227</f>
        <v>9000000</v>
      </c>
      <c r="O53" s="122">
        <f>'Proforma (PreSales)'!N227</f>
        <v>0</v>
      </c>
      <c r="P53" s="122">
        <f>'Proforma (PreSales)'!O227</f>
        <v>0</v>
      </c>
      <c r="Q53" s="122">
        <f>'Proforma (PreSales)'!P227</f>
        <v>0</v>
      </c>
      <c r="R53" s="122">
        <f>'Proforma (PreSales)'!Q227</f>
        <v>11000000</v>
      </c>
      <c r="S53" s="122">
        <f>'Proforma (PreSales)'!R227</f>
        <v>11648704.5</v>
      </c>
      <c r="T53" s="20">
        <f>'Proforma (PreSales)'!S227</f>
        <v>0</v>
      </c>
      <c r="U53" s="20">
        <f>'Proforma (PreSales)'!T227</f>
        <v>0</v>
      </c>
      <c r="V53" s="20">
        <f>'Proforma (PreSales)'!U227</f>
        <v>0</v>
      </c>
      <c r="W53" s="20">
        <f>'Proforma (PreSales)'!V227</f>
        <v>0</v>
      </c>
      <c r="X53" s="20">
        <f>'Proforma (PreSales)'!W227</f>
        <v>0</v>
      </c>
      <c r="Y53" s="20">
        <f>'Proforma (PreSales)'!X227</f>
        <v>0</v>
      </c>
      <c r="Z53" s="20">
        <f>'Proforma (PreSales)'!Y227</f>
        <v>0</v>
      </c>
      <c r="AA53" s="20">
        <f>'Proforma (PreSales)'!Z227</f>
        <v>0</v>
      </c>
      <c r="AB53" s="20">
        <f>'Proforma (PreSales)'!AA227</f>
        <v>0</v>
      </c>
    </row>
    <row r="54" spans="1:35" x14ac:dyDescent="0.2">
      <c r="A54" s="190"/>
      <c r="B54" s="125" t="s">
        <v>303</v>
      </c>
      <c r="F54" s="122">
        <f>F53</f>
        <v>0</v>
      </c>
      <c r="G54" s="20">
        <f t="shared" ref="G54:T54" si="11">G53</f>
        <v>-15000000</v>
      </c>
      <c r="H54" s="20">
        <f t="shared" si="11"/>
        <v>0</v>
      </c>
      <c r="I54" s="20">
        <f t="shared" si="11"/>
        <v>0</v>
      </c>
      <c r="J54" s="20">
        <f t="shared" si="11"/>
        <v>0</v>
      </c>
      <c r="K54" s="20">
        <f t="shared" si="11"/>
        <v>0</v>
      </c>
      <c r="L54" s="20">
        <f t="shared" si="11"/>
        <v>0</v>
      </c>
      <c r="M54" s="122">
        <f t="shared" si="11"/>
        <v>12000000</v>
      </c>
      <c r="N54" s="164">
        <v>5944055.6435042573</v>
      </c>
      <c r="O54" s="122">
        <f t="shared" si="11"/>
        <v>0</v>
      </c>
      <c r="P54" s="122">
        <f t="shared" si="11"/>
        <v>0</v>
      </c>
      <c r="Q54" s="164"/>
      <c r="R54" s="122"/>
      <c r="S54" s="122"/>
      <c r="T54" s="20">
        <f t="shared" si="11"/>
        <v>0</v>
      </c>
      <c r="U54" s="21"/>
      <c r="V54" s="21"/>
      <c r="W54" s="20"/>
      <c r="X54" s="20"/>
      <c r="Y54" s="21"/>
      <c r="Z54" s="20"/>
      <c r="AA54" s="49">
        <f>AA53</f>
        <v>0</v>
      </c>
      <c r="AB54" s="21"/>
      <c r="AC54" s="17"/>
      <c r="AE54" s="107">
        <f>SUM(F54:AD54)</f>
        <v>2944055.6435042573</v>
      </c>
    </row>
    <row r="55" spans="1:35" x14ac:dyDescent="0.2">
      <c r="A55" s="190"/>
      <c r="B55" s="67" t="s">
        <v>304</v>
      </c>
      <c r="E55" s="233"/>
      <c r="F55" s="440">
        <f>XIRR(G54:AB54,G46:AB46)</f>
        <v>0.11977946162223815</v>
      </c>
      <c r="AE55"/>
      <c r="AF55"/>
      <c r="AG55"/>
      <c r="AH55"/>
      <c r="AI55"/>
    </row>
    <row r="56" spans="1:35" x14ac:dyDescent="0.2">
      <c r="A56" s="190"/>
      <c r="B56" t="s">
        <v>305</v>
      </c>
      <c r="F56" s="20">
        <f t="shared" ref="F56:AB56" si="12">F53-F54</f>
        <v>0</v>
      </c>
      <c r="G56" s="20">
        <f t="shared" si="12"/>
        <v>0</v>
      </c>
      <c r="H56" s="20">
        <f t="shared" si="12"/>
        <v>0</v>
      </c>
      <c r="I56" s="20">
        <f t="shared" si="12"/>
        <v>0</v>
      </c>
      <c r="J56" s="20">
        <f t="shared" si="12"/>
        <v>0</v>
      </c>
      <c r="K56" s="20">
        <f t="shared" si="12"/>
        <v>0</v>
      </c>
      <c r="L56" s="20">
        <f t="shared" si="12"/>
        <v>0</v>
      </c>
      <c r="M56" s="122">
        <f t="shared" si="12"/>
        <v>0</v>
      </c>
      <c r="N56" s="122">
        <f t="shared" si="12"/>
        <v>3055944.3564957427</v>
      </c>
      <c r="O56" s="122">
        <f t="shared" si="12"/>
        <v>0</v>
      </c>
      <c r="P56" s="122">
        <f t="shared" si="12"/>
        <v>0</v>
      </c>
      <c r="Q56" s="122">
        <f t="shared" si="12"/>
        <v>0</v>
      </c>
      <c r="R56" s="122">
        <f t="shared" si="12"/>
        <v>11000000</v>
      </c>
      <c r="S56" s="122">
        <f t="shared" si="12"/>
        <v>11648704.5</v>
      </c>
      <c r="T56" s="20">
        <f t="shared" si="12"/>
        <v>0</v>
      </c>
      <c r="U56" s="20">
        <f t="shared" si="12"/>
        <v>0</v>
      </c>
      <c r="V56" s="20">
        <f t="shared" si="12"/>
        <v>0</v>
      </c>
      <c r="W56" s="20">
        <f t="shared" si="12"/>
        <v>0</v>
      </c>
      <c r="X56" s="20">
        <f t="shared" si="12"/>
        <v>0</v>
      </c>
      <c r="Y56" s="20">
        <f t="shared" si="12"/>
        <v>0</v>
      </c>
      <c r="Z56" s="20">
        <f t="shared" si="12"/>
        <v>0</v>
      </c>
      <c r="AA56" s="20">
        <f t="shared" si="12"/>
        <v>0</v>
      </c>
      <c r="AB56" s="20">
        <f t="shared" si="12"/>
        <v>0</v>
      </c>
      <c r="AE56"/>
      <c r="AF56"/>
      <c r="AG56"/>
      <c r="AH56"/>
      <c r="AI56"/>
    </row>
    <row r="57" spans="1:35" x14ac:dyDescent="0.2">
      <c r="A57" s="190"/>
      <c r="B57" s="194" t="str">
        <f>B11</f>
        <v>EQUITY: Preferred Members (LP)</v>
      </c>
      <c r="C57" s="195">
        <f>C11</f>
        <v>0.55000000000000004</v>
      </c>
      <c r="D57" s="195"/>
      <c r="E57" s="195"/>
      <c r="F57" s="111">
        <f t="shared" ref="F57:AB58" si="13">F$56*$C57</f>
        <v>0</v>
      </c>
      <c r="G57" s="111">
        <f t="shared" si="13"/>
        <v>0</v>
      </c>
      <c r="H57" s="111">
        <f t="shared" si="13"/>
        <v>0</v>
      </c>
      <c r="I57" s="111">
        <f t="shared" si="13"/>
        <v>0</v>
      </c>
      <c r="J57" s="111">
        <f t="shared" si="13"/>
        <v>0</v>
      </c>
      <c r="K57" s="111">
        <f t="shared" si="13"/>
        <v>0</v>
      </c>
      <c r="L57" s="111">
        <f t="shared" si="13"/>
        <v>0</v>
      </c>
      <c r="M57" s="439">
        <f t="shared" si="13"/>
        <v>0</v>
      </c>
      <c r="N57" s="439">
        <f t="shared" si="13"/>
        <v>1680769.3960726587</v>
      </c>
      <c r="O57" s="439">
        <f t="shared" si="13"/>
        <v>0</v>
      </c>
      <c r="P57" s="439">
        <f t="shared" si="13"/>
        <v>0</v>
      </c>
      <c r="Q57" s="439">
        <f t="shared" si="13"/>
        <v>0</v>
      </c>
      <c r="R57" s="439">
        <f t="shared" si="13"/>
        <v>6050000.0000000009</v>
      </c>
      <c r="S57" s="439">
        <f t="shared" si="13"/>
        <v>6406787.4750000006</v>
      </c>
      <c r="T57" s="111">
        <f t="shared" si="13"/>
        <v>0</v>
      </c>
      <c r="U57" s="111">
        <f t="shared" si="13"/>
        <v>0</v>
      </c>
      <c r="V57" s="111">
        <f t="shared" si="13"/>
        <v>0</v>
      </c>
      <c r="W57" s="111">
        <f t="shared" si="13"/>
        <v>0</v>
      </c>
      <c r="X57" s="111">
        <f t="shared" si="13"/>
        <v>0</v>
      </c>
      <c r="Y57" s="111">
        <f t="shared" si="13"/>
        <v>0</v>
      </c>
      <c r="Z57" s="111">
        <f t="shared" si="13"/>
        <v>0</v>
      </c>
      <c r="AA57" s="111">
        <f t="shared" si="13"/>
        <v>0</v>
      </c>
      <c r="AB57" s="111">
        <f t="shared" si="13"/>
        <v>0</v>
      </c>
      <c r="AC57" s="109"/>
      <c r="AE57"/>
      <c r="AF57"/>
      <c r="AG57"/>
      <c r="AH57"/>
      <c r="AI57"/>
    </row>
    <row r="58" spans="1:35" x14ac:dyDescent="0.2">
      <c r="A58" s="190"/>
      <c r="B58" s="190" t="str">
        <f>B12</f>
        <v>Common Members (GP)</v>
      </c>
      <c r="C58" s="13">
        <f>C12</f>
        <v>0.44999999999999996</v>
      </c>
      <c r="D58" s="13"/>
      <c r="E58" s="13"/>
      <c r="F58" s="20">
        <f t="shared" si="13"/>
        <v>0</v>
      </c>
      <c r="G58" s="20">
        <f t="shared" si="13"/>
        <v>0</v>
      </c>
      <c r="H58" s="20">
        <f t="shared" si="13"/>
        <v>0</v>
      </c>
      <c r="I58" s="20">
        <f t="shared" si="13"/>
        <v>0</v>
      </c>
      <c r="J58" s="20">
        <f t="shared" si="13"/>
        <v>0</v>
      </c>
      <c r="K58" s="20">
        <f t="shared" si="13"/>
        <v>0</v>
      </c>
      <c r="L58" s="20">
        <f t="shared" si="13"/>
        <v>0</v>
      </c>
      <c r="M58" s="122">
        <f t="shared" si="13"/>
        <v>0</v>
      </c>
      <c r="N58" s="122">
        <f t="shared" si="13"/>
        <v>1375174.960423084</v>
      </c>
      <c r="O58" s="122">
        <f t="shared" si="13"/>
        <v>0</v>
      </c>
      <c r="P58" s="122">
        <f t="shared" si="13"/>
        <v>0</v>
      </c>
      <c r="Q58" s="122">
        <f t="shared" si="13"/>
        <v>0</v>
      </c>
      <c r="R58" s="122">
        <f t="shared" si="13"/>
        <v>4949999.9999999991</v>
      </c>
      <c r="S58" s="122">
        <f t="shared" si="13"/>
        <v>5241917.0249999994</v>
      </c>
      <c r="T58" s="20">
        <f t="shared" si="13"/>
        <v>0</v>
      </c>
      <c r="U58" s="20">
        <f t="shared" si="13"/>
        <v>0</v>
      </c>
      <c r="V58" s="20">
        <f t="shared" si="13"/>
        <v>0</v>
      </c>
      <c r="W58" s="20">
        <f t="shared" si="13"/>
        <v>0</v>
      </c>
      <c r="X58" s="20">
        <f t="shared" si="13"/>
        <v>0</v>
      </c>
      <c r="Y58" s="20">
        <f t="shared" si="13"/>
        <v>0</v>
      </c>
      <c r="Z58" s="20">
        <f t="shared" si="13"/>
        <v>0</v>
      </c>
      <c r="AA58" s="20">
        <f t="shared" si="13"/>
        <v>0</v>
      </c>
      <c r="AB58" s="20">
        <f t="shared" si="13"/>
        <v>0</v>
      </c>
      <c r="AE58"/>
      <c r="AF58"/>
      <c r="AG58"/>
      <c r="AH58"/>
      <c r="AI58"/>
    </row>
    <row r="59" spans="1:35" x14ac:dyDescent="0.2">
      <c r="A59" s="190"/>
      <c r="B59" s="190"/>
      <c r="C59" s="13"/>
      <c r="D59" s="13"/>
      <c r="E59" s="13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E59"/>
      <c r="AF59"/>
      <c r="AG59"/>
      <c r="AH59"/>
      <c r="AI59"/>
    </row>
    <row r="60" spans="1:35" hidden="1" x14ac:dyDescent="0.2">
      <c r="B60" s="59" t="s">
        <v>306</v>
      </c>
      <c r="C60" s="59"/>
      <c r="D60" s="59"/>
      <c r="E60" s="59"/>
      <c r="F60" s="59"/>
      <c r="G60" s="59"/>
      <c r="H60" s="59"/>
      <c r="I60" s="59"/>
      <c r="J60" s="59"/>
      <c r="K60" s="59"/>
      <c r="L60" s="59"/>
      <c r="M60" s="59"/>
      <c r="N60" s="59"/>
      <c r="O60" s="59"/>
      <c r="P60" s="59"/>
      <c r="Q60" s="59"/>
      <c r="R60" s="59"/>
      <c r="S60" s="59"/>
      <c r="T60" s="59"/>
      <c r="U60" s="59"/>
      <c r="V60" s="59"/>
      <c r="W60" s="59"/>
      <c r="X60" s="59"/>
      <c r="Y60" s="59"/>
      <c r="Z60" s="59"/>
      <c r="AA60" s="59"/>
      <c r="AB60" s="59"/>
      <c r="AC60" s="59"/>
      <c r="AE60"/>
      <c r="AF60"/>
      <c r="AG60"/>
      <c r="AH60"/>
      <c r="AI60"/>
    </row>
    <row r="61" spans="1:35" hidden="1" x14ac:dyDescent="0.2">
      <c r="B61" s="190" t="s">
        <v>299</v>
      </c>
      <c r="F61" s="20">
        <f>-F33</f>
        <v>0</v>
      </c>
      <c r="G61" s="20">
        <f>-G33</f>
        <v>-14000000</v>
      </c>
      <c r="H61" s="20">
        <f>-H33</f>
        <v>0</v>
      </c>
      <c r="I61" s="20">
        <f>I58</f>
        <v>0</v>
      </c>
      <c r="J61" s="20">
        <f t="shared" ref="J61:Q61" si="14">J58</f>
        <v>0</v>
      </c>
      <c r="K61" s="20">
        <f t="shared" si="14"/>
        <v>0</v>
      </c>
      <c r="L61" s="20">
        <f t="shared" si="14"/>
        <v>0</v>
      </c>
      <c r="M61" s="20">
        <f t="shared" si="14"/>
        <v>0</v>
      </c>
      <c r="N61" s="20">
        <f t="shared" si="14"/>
        <v>1375174.960423084</v>
      </c>
      <c r="O61" s="20">
        <f t="shared" si="14"/>
        <v>0</v>
      </c>
      <c r="P61" s="20">
        <f t="shared" si="14"/>
        <v>0</v>
      </c>
      <c r="Q61" s="20">
        <f t="shared" si="14"/>
        <v>0</v>
      </c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E61"/>
      <c r="AF61"/>
      <c r="AG61"/>
      <c r="AH61"/>
      <c r="AI61"/>
    </row>
    <row r="62" spans="1:35" hidden="1" x14ac:dyDescent="0.2">
      <c r="B62" s="125" t="s">
        <v>303</v>
      </c>
      <c r="F62" s="20">
        <f>F61</f>
        <v>0</v>
      </c>
      <c r="G62" s="20">
        <f>G61</f>
        <v>-14000000</v>
      </c>
      <c r="H62" s="20"/>
      <c r="I62" s="20"/>
      <c r="J62" s="20"/>
      <c r="K62" s="196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17"/>
    </row>
    <row r="63" spans="1:35" hidden="1" x14ac:dyDescent="0.2">
      <c r="B63" s="67" t="s">
        <v>304</v>
      </c>
      <c r="F63" s="58" t="e">
        <f>XIRR(F62:AA62,F46:AA46)</f>
        <v>#NUM!</v>
      </c>
      <c r="AE63" s="62">
        <v>0.1</v>
      </c>
    </row>
    <row r="64" spans="1:35" hidden="1" x14ac:dyDescent="0.2">
      <c r="B64" t="s">
        <v>305</v>
      </c>
      <c r="F64" s="20">
        <f t="shared" ref="F64:Q64" si="15">F61-F62</f>
        <v>0</v>
      </c>
      <c r="G64" s="20">
        <f t="shared" si="15"/>
        <v>0</v>
      </c>
      <c r="H64" s="20">
        <f t="shared" si="15"/>
        <v>0</v>
      </c>
      <c r="I64" s="20">
        <f t="shared" si="15"/>
        <v>0</v>
      </c>
      <c r="J64" s="20">
        <f t="shared" si="15"/>
        <v>0</v>
      </c>
      <c r="K64" s="20">
        <f>K61-K62</f>
        <v>0</v>
      </c>
      <c r="L64" s="20">
        <f t="shared" si="15"/>
        <v>0</v>
      </c>
      <c r="M64" s="20">
        <f t="shared" si="15"/>
        <v>0</v>
      </c>
      <c r="N64" s="20">
        <f t="shared" si="15"/>
        <v>1375174.960423084</v>
      </c>
      <c r="O64" s="20">
        <f t="shared" si="15"/>
        <v>0</v>
      </c>
      <c r="P64" s="20">
        <f t="shared" si="15"/>
        <v>0</v>
      </c>
      <c r="Q64" s="20">
        <f t="shared" si="15"/>
        <v>0</v>
      </c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</row>
    <row r="65" spans="2:33" hidden="1" x14ac:dyDescent="0.2">
      <c r="B65" s="194" t="s">
        <v>307</v>
      </c>
      <c r="C65" s="195">
        <v>0</v>
      </c>
      <c r="D65" s="195"/>
      <c r="E65" s="195"/>
      <c r="F65" s="111">
        <f t="shared" ref="F65:J66" si="16">F$64*$C65</f>
        <v>0</v>
      </c>
      <c r="G65" s="111">
        <f t="shared" si="16"/>
        <v>0</v>
      </c>
      <c r="H65" s="111">
        <f t="shared" si="16"/>
        <v>0</v>
      </c>
      <c r="I65" s="111">
        <f t="shared" si="16"/>
        <v>0</v>
      </c>
      <c r="J65" s="111">
        <f t="shared" si="16"/>
        <v>0</v>
      </c>
      <c r="K65" s="111">
        <f>K$64*$C65</f>
        <v>0</v>
      </c>
      <c r="L65" s="111">
        <f t="shared" ref="L65:Q66" si="17">L$64*$C65</f>
        <v>0</v>
      </c>
      <c r="M65" s="111">
        <f t="shared" si="17"/>
        <v>0</v>
      </c>
      <c r="N65" s="111">
        <f t="shared" si="17"/>
        <v>0</v>
      </c>
      <c r="O65" s="111">
        <f t="shared" si="17"/>
        <v>0</v>
      </c>
      <c r="P65" s="111">
        <f t="shared" si="17"/>
        <v>0</v>
      </c>
      <c r="Q65" s="111">
        <f t="shared" si="17"/>
        <v>0</v>
      </c>
      <c r="R65" s="111"/>
      <c r="S65" s="111"/>
      <c r="T65" s="111"/>
      <c r="U65" s="111"/>
      <c r="V65" s="111"/>
      <c r="W65" s="111"/>
      <c r="X65" s="111"/>
      <c r="Y65" s="111"/>
      <c r="Z65" s="111"/>
      <c r="AA65" s="111"/>
      <c r="AB65" s="111"/>
      <c r="AC65" s="140"/>
    </row>
    <row r="66" spans="2:33" hidden="1" x14ac:dyDescent="0.2">
      <c r="B66" s="190" t="s">
        <v>308</v>
      </c>
      <c r="C66" s="13">
        <f>1-C65</f>
        <v>1</v>
      </c>
      <c r="D66" s="13"/>
      <c r="E66" s="13"/>
      <c r="F66" s="20">
        <f t="shared" si="16"/>
        <v>0</v>
      </c>
      <c r="G66" s="20">
        <f t="shared" si="16"/>
        <v>0</v>
      </c>
      <c r="H66" s="20">
        <f t="shared" si="16"/>
        <v>0</v>
      </c>
      <c r="I66" s="20">
        <f t="shared" si="16"/>
        <v>0</v>
      </c>
      <c r="J66" s="20">
        <f t="shared" si="16"/>
        <v>0</v>
      </c>
      <c r="K66" s="20">
        <f>K$64*$C66</f>
        <v>0</v>
      </c>
      <c r="L66" s="20">
        <f t="shared" si="17"/>
        <v>0</v>
      </c>
      <c r="M66" s="20">
        <f t="shared" si="17"/>
        <v>0</v>
      </c>
      <c r="N66" s="20">
        <f t="shared" si="17"/>
        <v>1375174.960423084</v>
      </c>
      <c r="O66" s="20">
        <f t="shared" si="17"/>
        <v>0</v>
      </c>
      <c r="P66" s="20">
        <f t="shared" si="17"/>
        <v>0</v>
      </c>
      <c r="Q66" s="20">
        <f t="shared" si="17"/>
        <v>0</v>
      </c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17"/>
      <c r="AE66" s="107">
        <f>SUM(D66:AD66)</f>
        <v>1375174.960423084</v>
      </c>
    </row>
    <row r="67" spans="2:33" s="1" customFormat="1" x14ac:dyDescent="0.2"/>
    <row r="68" spans="2:33" s="1" customFormat="1" hidden="1" x14ac:dyDescent="0.2">
      <c r="B68" s="161" t="s">
        <v>309</v>
      </c>
      <c r="C68"/>
      <c r="D68"/>
      <c r="E68"/>
      <c r="F68"/>
      <c r="G68"/>
      <c r="H68"/>
      <c r="I68"/>
      <c r="J68"/>
      <c r="K68"/>
      <c r="L68"/>
      <c r="M68"/>
      <c r="N68"/>
      <c r="AD68"/>
    </row>
    <row r="69" spans="2:33" s="1" customFormat="1" hidden="1" x14ac:dyDescent="0.2">
      <c r="B69" s="160" t="s">
        <v>310</v>
      </c>
      <c r="C69"/>
      <c r="D69"/>
      <c r="E69"/>
      <c r="F69"/>
      <c r="G69"/>
      <c r="H69"/>
      <c r="I69"/>
      <c r="J69"/>
      <c r="K69"/>
      <c r="L69"/>
      <c r="M69"/>
      <c r="N69"/>
      <c r="AD69"/>
    </row>
    <row r="70" spans="2:33" s="1" customFormat="1" hidden="1" x14ac:dyDescent="0.2">
      <c r="B70" s="160" t="s">
        <v>311</v>
      </c>
      <c r="C70"/>
      <c r="D70"/>
      <c r="E70"/>
      <c r="F70"/>
      <c r="G70"/>
      <c r="H70"/>
      <c r="I70"/>
      <c r="J70"/>
      <c r="K70"/>
      <c r="L70"/>
      <c r="M70"/>
      <c r="N70"/>
      <c r="AD70"/>
    </row>
    <row r="71" spans="2:33" s="1" customFormat="1" hidden="1" x14ac:dyDescent="0.2">
      <c r="B71" s="160" t="s">
        <v>312</v>
      </c>
      <c r="C71"/>
      <c r="D71"/>
      <c r="E71"/>
      <c r="F71"/>
      <c r="G71"/>
      <c r="H71"/>
      <c r="I71"/>
      <c r="J71"/>
      <c r="K71"/>
      <c r="L71"/>
      <c r="M71"/>
      <c r="N71"/>
      <c r="AD71"/>
    </row>
    <row r="72" spans="2:33" s="1" customFormat="1" x14ac:dyDescent="0.2">
      <c r="AE72" s="207"/>
      <c r="AF72" s="220"/>
      <c r="AG72" s="107"/>
    </row>
    <row r="73" spans="2:33" s="1" customFormat="1" x14ac:dyDescent="0.2">
      <c r="AE73" s="207"/>
      <c r="AF73" s="220"/>
      <c r="AG73" s="107"/>
    </row>
    <row r="74" spans="2:33" s="1" customFormat="1" x14ac:dyDescent="0.2">
      <c r="AE74" s="207"/>
      <c r="AF74" s="220"/>
      <c r="AG74" s="107"/>
    </row>
    <row r="75" spans="2:33" s="1" customFormat="1" x14ac:dyDescent="0.2"/>
    <row r="76" spans="2:33" s="1" customFormat="1" x14ac:dyDescent="0.2"/>
    <row r="77" spans="2:33" s="1" customFormat="1" x14ac:dyDescent="0.2"/>
    <row r="78" spans="2:33" s="1" customFormat="1" x14ac:dyDescent="0.2"/>
    <row r="79" spans="2:33" s="1" customFormat="1" x14ac:dyDescent="0.2"/>
    <row r="80" spans="2:33" s="1" customFormat="1" x14ac:dyDescent="0.2"/>
    <row r="81" s="1" customFormat="1" x14ac:dyDescent="0.2"/>
    <row r="82" s="1" customFormat="1" x14ac:dyDescent="0.2"/>
    <row r="83" s="1" customFormat="1" x14ac:dyDescent="0.2"/>
    <row r="84" s="1" customFormat="1" x14ac:dyDescent="0.2"/>
    <row r="85" s="1" customFormat="1" x14ac:dyDescent="0.2"/>
    <row r="86" s="1" customFormat="1" x14ac:dyDescent="0.2"/>
    <row r="87" s="1" customFormat="1" x14ac:dyDescent="0.2"/>
    <row r="88" s="1" customFormat="1" x14ac:dyDescent="0.2"/>
    <row r="89" s="1" customFormat="1" x14ac:dyDescent="0.2"/>
    <row r="90" s="1" customFormat="1" x14ac:dyDescent="0.2"/>
    <row r="91" s="1" customFormat="1" x14ac:dyDescent="0.2"/>
    <row r="92" s="1" customFormat="1" x14ac:dyDescent="0.2"/>
    <row r="93" s="1" customFormat="1" x14ac:dyDescent="0.2"/>
    <row r="94" s="1" customFormat="1" x14ac:dyDescent="0.2"/>
    <row r="95" s="1" customFormat="1" x14ac:dyDescent="0.2"/>
    <row r="96" s="1" customFormat="1" x14ac:dyDescent="0.2"/>
    <row r="97" s="1" customFormat="1" x14ac:dyDescent="0.2"/>
    <row r="98" s="1" customFormat="1" x14ac:dyDescent="0.2"/>
    <row r="99" s="1" customFormat="1" x14ac:dyDescent="0.2"/>
    <row r="100" s="1" customFormat="1" x14ac:dyDescent="0.2"/>
    <row r="101" s="1" customFormat="1" x14ac:dyDescent="0.2"/>
    <row r="102" s="1" customFormat="1" x14ac:dyDescent="0.2"/>
    <row r="103" s="1" customFormat="1" x14ac:dyDescent="0.2"/>
  </sheetData>
  <conditionalFormatting sqref="F8">
    <cfRule type="expression" dxfId="2" priority="2">
      <formula>$F$4="Equity Multiple"</formula>
    </cfRule>
  </conditionalFormatting>
  <conditionalFormatting sqref="D8:E8">
    <cfRule type="expression" dxfId="1" priority="1">
      <formula>$F$4&lt;&gt;"Equity Multiple"</formula>
    </cfRule>
  </conditionalFormatting>
  <pageMargins left="0.7" right="0.7" top="0.5" bottom="0.5" header="0.3" footer="0.3"/>
  <pageSetup scale="61" fitToHeight="2" orientation="landscape" r:id="rId1"/>
  <headerFooter>
    <oddFooter>&amp;L&amp;"Calibri,Regular"&amp;16&amp;K000000&amp;D&amp;R&amp;"Calibri,Regular"&amp;16&amp;K000000Page &amp;P</oddFooter>
  </headerFooter>
  <rowBreaks count="1" manualBreakCount="1">
    <brk id="66" min="1" max="12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B251E-FBDA-4D52-88B7-586E9A3A22A4}">
  <sheetPr codeName="Sheet3">
    <tabColor rgb="FFFF0000"/>
    <pageSetUpPr fitToPage="1"/>
  </sheetPr>
  <dimension ref="A1:AQ322"/>
  <sheetViews>
    <sheetView showGridLines="0" topLeftCell="A2" zoomScaleNormal="100" zoomScaleSheetLayoutView="85" zoomScalePageLayoutView="50" workbookViewId="0">
      <selection activeCell="E58" sqref="E58"/>
    </sheetView>
  </sheetViews>
  <sheetFormatPr baseColWidth="10" defaultColWidth="11" defaultRowHeight="16" outlineLevelRow="1" outlineLevelCol="1" x14ac:dyDescent="0.2"/>
  <cols>
    <col min="1" max="1" width="7.33203125" style="7" customWidth="1"/>
    <col min="2" max="2" width="46" customWidth="1"/>
    <col min="3" max="12" width="20.5" customWidth="1"/>
    <col min="13" max="16" width="20.5" hidden="1" customWidth="1" outlineLevel="1"/>
    <col min="17" max="17" width="20.5" customWidth="1" collapsed="1"/>
    <col min="18" max="18" width="13" hidden="1" customWidth="1"/>
    <col min="19" max="19" width="13.5" style="1" customWidth="1"/>
    <col min="20" max="23" width="11" style="1"/>
  </cols>
  <sheetData>
    <row r="1" spans="1:43" s="1" customFormat="1" ht="12" hidden="1" customHeight="1" x14ac:dyDescent="0.2">
      <c r="A1" s="7"/>
    </row>
    <row r="2" spans="1:43" ht="91" customHeight="1" x14ac:dyDescent="0.45">
      <c r="B2" s="5"/>
      <c r="C2" s="3"/>
      <c r="E2" s="30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</row>
    <row r="3" spans="1:43" ht="8.25" customHeight="1" x14ac:dyDescent="0.25">
      <c r="B3" s="5"/>
      <c r="C3" s="3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</row>
    <row r="4" spans="1:43" ht="21" x14ac:dyDescent="0.25">
      <c r="B4" s="5" t="s">
        <v>313</v>
      </c>
      <c r="C4" s="3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</row>
    <row r="5" spans="1:43" ht="21" x14ac:dyDescent="0.25">
      <c r="B5" s="4" t="s">
        <v>314</v>
      </c>
      <c r="C5" s="4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</row>
    <row r="6" spans="1:43" s="1" customFormat="1" x14ac:dyDescent="0.2">
      <c r="A6" s="7"/>
      <c r="E6" s="162" t="s">
        <v>315</v>
      </c>
      <c r="F6" s="162" t="s">
        <v>316</v>
      </c>
      <c r="G6" s="162" t="s">
        <v>317</v>
      </c>
      <c r="H6" s="162" t="s">
        <v>318</v>
      </c>
      <c r="I6" s="162" t="s">
        <v>319</v>
      </c>
      <c r="J6" s="162" t="s">
        <v>320</v>
      </c>
      <c r="K6" s="162" t="s">
        <v>321</v>
      </c>
      <c r="L6" s="162" t="s">
        <v>322</v>
      </c>
      <c r="M6" s="162" t="s">
        <v>323</v>
      </c>
      <c r="N6" s="162" t="s">
        <v>324</v>
      </c>
      <c r="O6" s="162" t="s">
        <v>325</v>
      </c>
      <c r="P6" s="162" t="s">
        <v>326</v>
      </c>
      <c r="R6"/>
    </row>
    <row r="7" spans="1:43" s="23" customFormat="1" ht="34" x14ac:dyDescent="0.2">
      <c r="A7" s="105"/>
      <c r="B7"/>
      <c r="C7"/>
      <c r="D7"/>
      <c r="E7" s="451" t="s">
        <v>327</v>
      </c>
      <c r="F7" s="451"/>
      <c r="G7" s="451"/>
      <c r="H7" s="451"/>
      <c r="I7" s="452" t="s">
        <v>328</v>
      </c>
      <c r="J7" s="452"/>
      <c r="K7" s="452"/>
      <c r="L7" s="373" t="s">
        <v>329</v>
      </c>
      <c r="M7" s="372"/>
      <c r="N7" s="372"/>
      <c r="O7" s="372"/>
      <c r="P7" s="130" t="s">
        <v>330</v>
      </c>
      <c r="Q7" s="132" t="s">
        <v>60</v>
      </c>
      <c r="R7" s="8"/>
    </row>
    <row r="8" spans="1:43" s="8" customFormat="1" x14ac:dyDescent="0.2">
      <c r="A8" s="105"/>
      <c r="D8" s="11"/>
      <c r="E8" s="11">
        <v>2022</v>
      </c>
      <c r="F8" s="11">
        <f t="shared" ref="F8:P8" si="0">E8+1</f>
        <v>2023</v>
      </c>
      <c r="G8" s="11">
        <f t="shared" si="0"/>
        <v>2024</v>
      </c>
      <c r="H8" s="11">
        <f t="shared" si="0"/>
        <v>2025</v>
      </c>
      <c r="I8" s="11">
        <f t="shared" si="0"/>
        <v>2026</v>
      </c>
      <c r="J8" s="11">
        <f t="shared" si="0"/>
        <v>2027</v>
      </c>
      <c r="K8" s="11">
        <f t="shared" si="0"/>
        <v>2028</v>
      </c>
      <c r="L8" s="11">
        <f t="shared" si="0"/>
        <v>2029</v>
      </c>
      <c r="M8" s="11">
        <f t="shared" si="0"/>
        <v>2030</v>
      </c>
      <c r="N8" s="11">
        <f t="shared" si="0"/>
        <v>2031</v>
      </c>
      <c r="O8" s="11">
        <f t="shared" si="0"/>
        <v>2032</v>
      </c>
      <c r="P8" s="11">
        <f t="shared" si="0"/>
        <v>2033</v>
      </c>
      <c r="S8" s="23"/>
      <c r="T8" s="23"/>
      <c r="U8" s="23"/>
      <c r="V8" s="23"/>
      <c r="W8" s="23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</row>
    <row r="9" spans="1:43" s="1" customFormat="1" ht="5.25" customHeight="1" x14ac:dyDescent="0.2">
      <c r="A9" s="7"/>
      <c r="B9" s="113"/>
      <c r="C9" s="28"/>
      <c r="D9" s="114"/>
      <c r="E9" s="115"/>
      <c r="F9" s="115"/>
      <c r="G9" s="115"/>
      <c r="H9" s="115"/>
      <c r="I9" s="115"/>
      <c r="J9" s="115"/>
      <c r="K9" s="115"/>
      <c r="L9" s="115"/>
      <c r="M9" s="115"/>
      <c r="N9" s="115"/>
      <c r="O9" s="115"/>
      <c r="P9" s="115"/>
      <c r="Q9" s="118"/>
      <c r="R9"/>
    </row>
    <row r="10" spans="1:43" x14ac:dyDescent="0.2">
      <c r="B10" s="59" t="s">
        <v>331</v>
      </c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</row>
    <row r="11" spans="1:43" ht="16" hidden="1" customHeight="1" outlineLevel="1" x14ac:dyDescent="0.2">
      <c r="B11" s="37" t="s">
        <v>332</v>
      </c>
      <c r="C11" s="245" t="s">
        <v>333</v>
      </c>
      <c r="D11" s="245" t="s">
        <v>334</v>
      </c>
      <c r="E11" s="245" t="s">
        <v>266</v>
      </c>
      <c r="Q11" s="122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</row>
    <row r="12" spans="1:43" ht="16" hidden="1" customHeight="1" outlineLevel="1" x14ac:dyDescent="0.2">
      <c r="B12" s="18" t="s">
        <v>335</v>
      </c>
      <c r="C12" s="165">
        <v>12</v>
      </c>
      <c r="D12" s="336">
        <f>C12*625</f>
        <v>7500</v>
      </c>
      <c r="E12" s="355">
        <f>((150000*1.5)*12)/D12</f>
        <v>360</v>
      </c>
      <c r="F12" s="20">
        <f>D12*E12</f>
        <v>2700000</v>
      </c>
      <c r="H12" s="20"/>
      <c r="I12" s="20"/>
      <c r="J12" s="20"/>
      <c r="K12" s="20"/>
      <c r="L12" s="20"/>
      <c r="M12" s="20"/>
      <c r="N12" s="20"/>
      <c r="O12" s="20"/>
      <c r="P12" s="20"/>
      <c r="Q12" s="20">
        <f>SUM(F12:P12)</f>
        <v>2700000</v>
      </c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</row>
    <row r="13" spans="1:43" hidden="1" outlineLevel="1" x14ac:dyDescent="0.2">
      <c r="B13" s="18" t="s">
        <v>336</v>
      </c>
      <c r="C13" s="165">
        <v>1</v>
      </c>
      <c r="D13" s="165">
        <f>C13*8000</f>
        <v>8000</v>
      </c>
      <c r="E13" s="355">
        <v>300</v>
      </c>
      <c r="F13" s="20">
        <f>D13*E13</f>
        <v>2400000</v>
      </c>
      <c r="H13" s="20"/>
      <c r="I13" s="20"/>
      <c r="J13" s="20"/>
      <c r="K13" s="20"/>
      <c r="L13" s="20"/>
      <c r="M13" s="20"/>
      <c r="N13" s="20"/>
      <c r="O13" s="20"/>
      <c r="P13" s="20"/>
      <c r="Q13" s="20">
        <f t="shared" ref="Q13:Q20" si="1">SUM(F13:P13)</f>
        <v>2400000</v>
      </c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</row>
    <row r="14" spans="1:43" hidden="1" outlineLevel="1" x14ac:dyDescent="0.2">
      <c r="B14" s="18" t="s">
        <v>337</v>
      </c>
      <c r="C14" s="165">
        <v>4</v>
      </c>
      <c r="D14" s="165">
        <f>C14*300</f>
        <v>1200</v>
      </c>
      <c r="E14" s="393">
        <v>500</v>
      </c>
      <c r="F14" s="20">
        <f>D14*E14</f>
        <v>600000</v>
      </c>
      <c r="H14" s="20"/>
      <c r="I14" s="20"/>
      <c r="J14" s="20"/>
      <c r="K14" s="20"/>
      <c r="L14" s="20"/>
      <c r="M14" s="20"/>
      <c r="N14" s="20"/>
      <c r="O14" s="20"/>
      <c r="P14" s="20"/>
      <c r="Q14" s="20">
        <f t="shared" si="1"/>
        <v>600000</v>
      </c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</row>
    <row r="15" spans="1:43" hidden="1" outlineLevel="1" x14ac:dyDescent="0.2">
      <c r="B15" s="18" t="s">
        <v>338</v>
      </c>
      <c r="C15" s="165">
        <v>1</v>
      </c>
      <c r="D15" s="165">
        <f>C15*1666.6666</f>
        <v>1666.6666</v>
      </c>
      <c r="E15" s="355">
        <v>300</v>
      </c>
      <c r="F15" s="20">
        <f>D15*E15</f>
        <v>499999.98</v>
      </c>
      <c r="H15" s="20"/>
      <c r="I15" s="20"/>
      <c r="J15" s="20"/>
      <c r="K15" s="20"/>
      <c r="L15" s="20"/>
      <c r="M15" s="20"/>
      <c r="N15" s="20"/>
      <c r="O15" s="20"/>
      <c r="P15" s="20"/>
      <c r="Q15" s="20">
        <f t="shared" si="1"/>
        <v>499999.98</v>
      </c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</row>
    <row r="16" spans="1:43" ht="8.25" hidden="1" customHeight="1" outlineLevel="1" x14ac:dyDescent="0.2">
      <c r="B16" s="18"/>
      <c r="C16" s="165"/>
      <c r="D16" s="165"/>
      <c r="E16" s="355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</row>
    <row r="17" spans="1:43" hidden="1" outlineLevel="1" x14ac:dyDescent="0.2">
      <c r="B17" s="18" t="s">
        <v>339</v>
      </c>
      <c r="C17" s="165">
        <v>1</v>
      </c>
      <c r="D17" s="165">
        <f>C17*8900</f>
        <v>8900</v>
      </c>
      <c r="E17" s="355">
        <v>600</v>
      </c>
      <c r="F17" s="20"/>
      <c r="G17" s="20">
        <f>($D17*$E17)</f>
        <v>5340000</v>
      </c>
      <c r="H17" s="20"/>
      <c r="I17" s="20"/>
      <c r="J17" s="20"/>
      <c r="K17" s="20"/>
      <c r="L17" s="20"/>
      <c r="M17" s="20"/>
      <c r="N17" s="20"/>
      <c r="O17" s="20"/>
      <c r="P17" s="20"/>
      <c r="Q17" s="20">
        <f t="shared" si="1"/>
        <v>5340000</v>
      </c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</row>
    <row r="18" spans="1:43" hidden="1" outlineLevel="1" x14ac:dyDescent="0.2">
      <c r="B18" s="18" t="s">
        <v>340</v>
      </c>
      <c r="C18" s="165">
        <v>12</v>
      </c>
      <c r="D18" s="165">
        <f>C18*935</f>
        <v>11220</v>
      </c>
      <c r="E18" s="355">
        <v>725</v>
      </c>
      <c r="F18" s="20"/>
      <c r="G18" s="20">
        <f>($D18*$E18)</f>
        <v>8134500</v>
      </c>
      <c r="H18" s="20"/>
      <c r="I18" s="20"/>
      <c r="J18" s="20"/>
      <c r="K18" s="20"/>
      <c r="L18" s="20"/>
      <c r="M18" s="20"/>
      <c r="N18" s="20"/>
      <c r="O18" s="20"/>
      <c r="P18" s="20"/>
      <c r="Q18" s="20">
        <f t="shared" si="1"/>
        <v>8134500</v>
      </c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</row>
    <row r="19" spans="1:43" hidden="1" outlineLevel="1" x14ac:dyDescent="0.2">
      <c r="B19" s="18" t="s">
        <v>341</v>
      </c>
      <c r="C19" s="165">
        <v>6</v>
      </c>
      <c r="D19" s="165">
        <f>C19*300</f>
        <v>1800</v>
      </c>
      <c r="E19" s="355">
        <v>833.33339999999998</v>
      </c>
      <c r="F19" s="20"/>
      <c r="G19" s="20">
        <f>($D19*$E19)</f>
        <v>1500000.1199999999</v>
      </c>
      <c r="H19" s="20"/>
      <c r="I19" s="20"/>
      <c r="J19" s="20"/>
      <c r="K19" s="20"/>
      <c r="L19" s="20"/>
      <c r="M19" s="20"/>
      <c r="N19" s="20"/>
      <c r="O19" s="20"/>
      <c r="P19" s="20"/>
      <c r="Q19" s="20">
        <f t="shared" si="1"/>
        <v>1500000.1199999999</v>
      </c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</row>
    <row r="20" spans="1:43" hidden="1" outlineLevel="1" x14ac:dyDescent="0.2">
      <c r="B20" s="18" t="s">
        <v>342</v>
      </c>
      <c r="C20" s="165">
        <v>1</v>
      </c>
      <c r="D20" s="165">
        <f>C20*7500</f>
        <v>7500</v>
      </c>
      <c r="E20" s="355">
        <v>900</v>
      </c>
      <c r="F20" s="20"/>
      <c r="G20" s="20">
        <f>($D20*$E20)</f>
        <v>6750000</v>
      </c>
      <c r="H20" s="20"/>
      <c r="I20" s="20"/>
      <c r="J20" s="20"/>
      <c r="K20" s="20"/>
      <c r="L20" s="20"/>
      <c r="M20" s="20"/>
      <c r="N20" s="20"/>
      <c r="O20" s="20"/>
      <c r="P20" s="20"/>
      <c r="Q20" s="20">
        <f t="shared" si="1"/>
        <v>6750000</v>
      </c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</row>
    <row r="21" spans="1:43" hidden="1" outlineLevel="1" x14ac:dyDescent="0.2">
      <c r="B21" s="358" t="s">
        <v>343</v>
      </c>
      <c r="C21" s="210"/>
      <c r="D21" s="210">
        <f>SUM(D12:D20)</f>
        <v>47786.666599999997</v>
      </c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</row>
    <row r="22" spans="1:43" hidden="1" outlineLevel="1" x14ac:dyDescent="0.2">
      <c r="B22" s="38" t="s">
        <v>171</v>
      </c>
      <c r="C22" s="46">
        <v>0.05</v>
      </c>
      <c r="D22" s="40"/>
      <c r="E22" s="40"/>
      <c r="F22" s="40">
        <f t="shared" ref="F22:P22" si="2">SUM(F11:F21)*$C$22</f>
        <v>309999.99900000001</v>
      </c>
      <c r="G22" s="40">
        <f t="shared" si="2"/>
        <v>1086225.0059999998</v>
      </c>
      <c r="H22" s="40">
        <f t="shared" si="2"/>
        <v>0</v>
      </c>
      <c r="I22" s="40">
        <f t="shared" si="2"/>
        <v>0</v>
      </c>
      <c r="J22" s="40">
        <f t="shared" si="2"/>
        <v>0</v>
      </c>
      <c r="K22" s="40">
        <f t="shared" si="2"/>
        <v>0</v>
      </c>
      <c r="L22" s="40">
        <f t="shared" si="2"/>
        <v>0</v>
      </c>
      <c r="M22" s="40">
        <f t="shared" si="2"/>
        <v>0</v>
      </c>
      <c r="N22" s="40">
        <f t="shared" si="2"/>
        <v>0</v>
      </c>
      <c r="O22" s="40">
        <f t="shared" si="2"/>
        <v>0</v>
      </c>
      <c r="P22" s="40">
        <f t="shared" si="2"/>
        <v>0</v>
      </c>
      <c r="Q22" s="40">
        <f>SUM(D22:P22)</f>
        <v>1396225.0049999999</v>
      </c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</row>
    <row r="23" spans="1:43" collapsed="1" x14ac:dyDescent="0.2">
      <c r="B23" s="37" t="str">
        <f>B11</f>
        <v>VERTICAL CONSTRUCTION COSTS</v>
      </c>
      <c r="C23" s="47"/>
      <c r="D23" s="49"/>
      <c r="E23" s="49"/>
      <c r="F23" s="49">
        <f t="shared" ref="F23:P23" si="3">SUM(F11:F22)</f>
        <v>6509999.9790000003</v>
      </c>
      <c r="G23" s="49">
        <f t="shared" si="3"/>
        <v>22810725.125999998</v>
      </c>
      <c r="H23" s="49">
        <f t="shared" si="3"/>
        <v>0</v>
      </c>
      <c r="I23" s="49">
        <f t="shared" si="3"/>
        <v>0</v>
      </c>
      <c r="J23" s="49">
        <f t="shared" si="3"/>
        <v>0</v>
      </c>
      <c r="K23" s="49">
        <f t="shared" si="3"/>
        <v>0</v>
      </c>
      <c r="L23" s="49">
        <f t="shared" si="3"/>
        <v>0</v>
      </c>
      <c r="M23" s="49">
        <f t="shared" si="3"/>
        <v>0</v>
      </c>
      <c r="N23" s="49">
        <f t="shared" si="3"/>
        <v>0</v>
      </c>
      <c r="O23" s="49">
        <f t="shared" si="3"/>
        <v>0</v>
      </c>
      <c r="P23" s="49">
        <f t="shared" si="3"/>
        <v>0</v>
      </c>
      <c r="Q23" s="43">
        <f>SUM(D23:P23)</f>
        <v>29320725.104999997</v>
      </c>
      <c r="S23" s="370" t="s">
        <v>344</v>
      </c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</row>
    <row r="24" spans="1:43" hidden="1" outlineLevel="1" x14ac:dyDescent="0.2">
      <c r="B24" s="136" t="s">
        <v>345</v>
      </c>
      <c r="C24" s="33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20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</row>
    <row r="25" spans="1:43" hidden="1" outlineLevel="1" x14ac:dyDescent="0.2">
      <c r="B25" s="18" t="s">
        <v>346</v>
      </c>
      <c r="C25" s="21">
        <v>35000</v>
      </c>
      <c r="D25" s="49"/>
      <c r="F25" s="49">
        <f>$C$25*SUM($C12:$C15)</f>
        <v>630000</v>
      </c>
      <c r="G25" s="49">
        <f>$C$25*SUM($C17:$C20)</f>
        <v>700000</v>
      </c>
      <c r="H25" s="49"/>
      <c r="I25" s="49"/>
      <c r="J25" s="49"/>
      <c r="K25" s="49"/>
      <c r="L25" s="49"/>
      <c r="M25" s="49"/>
      <c r="N25" s="49"/>
      <c r="O25" s="49"/>
      <c r="P25" s="49"/>
      <c r="Q25" s="20">
        <f>SUM(D25:P25)</f>
        <v>1330000</v>
      </c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</row>
    <row r="26" spans="1:43" hidden="1" outlineLevel="1" x14ac:dyDescent="0.2">
      <c r="B26" s="18" t="s">
        <v>347</v>
      </c>
      <c r="C26" s="394">
        <v>30000</v>
      </c>
      <c r="D26" s="49"/>
      <c r="E26" s="49"/>
      <c r="F26" s="49">
        <f>$C26*SUM(C12:C15)</f>
        <v>540000</v>
      </c>
      <c r="G26" s="49">
        <f>$C26*SUM($C$17:$C$20)*0.5</f>
        <v>300000</v>
      </c>
      <c r="H26" s="49">
        <f>$C26*SUM($C$17:$C$20)*0.5</f>
        <v>300000</v>
      </c>
      <c r="I26" s="49"/>
      <c r="J26" s="49"/>
      <c r="K26" s="49"/>
      <c r="L26" s="49"/>
      <c r="M26" s="49"/>
      <c r="N26" s="49"/>
      <c r="O26" s="49"/>
      <c r="P26" s="49"/>
      <c r="Q26" s="20">
        <f>SUM(D26:P26)</f>
        <v>1140000</v>
      </c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</row>
    <row r="27" spans="1:43" s="1" customFormat="1" hidden="1" outlineLevel="1" x14ac:dyDescent="0.2">
      <c r="A27" s="7"/>
      <c r="B27" s="38" t="s">
        <v>171</v>
      </c>
      <c r="C27" s="104">
        <v>0.05</v>
      </c>
      <c r="D27" s="42"/>
      <c r="E27" s="42"/>
      <c r="F27" s="42">
        <f t="shared" ref="F27:P27" si="4">SUM(F25:F26)*$C$27</f>
        <v>58500</v>
      </c>
      <c r="G27" s="42">
        <f t="shared" si="4"/>
        <v>50000</v>
      </c>
      <c r="H27" s="42">
        <f t="shared" si="4"/>
        <v>15000</v>
      </c>
      <c r="I27" s="42">
        <f t="shared" si="4"/>
        <v>0</v>
      </c>
      <c r="J27" s="42">
        <f t="shared" si="4"/>
        <v>0</v>
      </c>
      <c r="K27" s="42">
        <f t="shared" si="4"/>
        <v>0</v>
      </c>
      <c r="L27" s="42">
        <f t="shared" si="4"/>
        <v>0</v>
      </c>
      <c r="M27" s="42">
        <f t="shared" si="4"/>
        <v>0</v>
      </c>
      <c r="N27" s="42">
        <f t="shared" si="4"/>
        <v>0</v>
      </c>
      <c r="O27" s="42">
        <f t="shared" si="4"/>
        <v>0</v>
      </c>
      <c r="P27" s="42">
        <f t="shared" si="4"/>
        <v>0</v>
      </c>
      <c r="Q27" s="40">
        <f>SUM(D27:P27)</f>
        <v>123500</v>
      </c>
      <c r="R27"/>
    </row>
    <row r="28" spans="1:43" s="1" customFormat="1" collapsed="1" x14ac:dyDescent="0.2">
      <c r="A28" s="7"/>
      <c r="B28" s="37" t="str">
        <f>B24</f>
        <v>HARD COSTS - SITE</v>
      </c>
      <c r="C28" s="33"/>
      <c r="D28" s="17"/>
      <c r="E28" s="17">
        <f>SUM(E24:E27)</f>
        <v>0</v>
      </c>
      <c r="F28" s="17">
        <f>SUM(F24:F27)</f>
        <v>1228500</v>
      </c>
      <c r="G28" s="17">
        <f t="shared" ref="G28:P28" si="5">SUM(G24:G27)</f>
        <v>1050000</v>
      </c>
      <c r="H28" s="17">
        <f t="shared" si="5"/>
        <v>315000</v>
      </c>
      <c r="I28" s="17">
        <f t="shared" si="5"/>
        <v>0</v>
      </c>
      <c r="J28" s="17">
        <f t="shared" si="5"/>
        <v>0</v>
      </c>
      <c r="K28" s="17">
        <f t="shared" si="5"/>
        <v>0</v>
      </c>
      <c r="L28" s="17">
        <f t="shared" si="5"/>
        <v>0</v>
      </c>
      <c r="M28" s="17">
        <f t="shared" si="5"/>
        <v>0</v>
      </c>
      <c r="N28" s="17">
        <f t="shared" si="5"/>
        <v>0</v>
      </c>
      <c r="O28" s="17">
        <f t="shared" si="5"/>
        <v>0</v>
      </c>
      <c r="P28" s="17">
        <f t="shared" si="5"/>
        <v>0</v>
      </c>
      <c r="Q28" s="43">
        <f>SUM(D28:P28)</f>
        <v>2593500</v>
      </c>
      <c r="R28"/>
      <c r="S28" s="108"/>
    </row>
    <row r="29" spans="1:43" s="1" customFormat="1" hidden="1" outlineLevel="1" x14ac:dyDescent="0.2">
      <c r="A29" s="7"/>
      <c r="B29" s="37"/>
      <c r="C29" s="33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49">
        <f>SUM(D29:L29)</f>
        <v>0</v>
      </c>
      <c r="R29"/>
    </row>
    <row r="30" spans="1:43" s="1" customFormat="1" hidden="1" outlineLevel="1" x14ac:dyDescent="0.2">
      <c r="A30" s="7"/>
      <c r="B30" s="435" t="s">
        <v>348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 s="49">
        <f>SUM(D30:P30)</f>
        <v>0</v>
      </c>
      <c r="R30"/>
    </row>
    <row r="31" spans="1:43" s="1" customFormat="1" hidden="1" outlineLevel="1" x14ac:dyDescent="0.2">
      <c r="A31" s="7"/>
      <c r="B31" s="18" t="s">
        <v>349</v>
      </c>
      <c r="C31" s="129">
        <v>4.4999999999999998E-2</v>
      </c>
      <c r="D31" s="56"/>
      <c r="E31" s="56">
        <f>$C31*F$25</f>
        <v>28350</v>
      </c>
      <c r="F31" s="56">
        <f>$C31*G$25</f>
        <v>31500</v>
      </c>
      <c r="G31" s="56">
        <f>$C31*H$25</f>
        <v>0</v>
      </c>
      <c r="H31" s="56">
        <f>$C31*I$25</f>
        <v>0</v>
      </c>
      <c r="I31" s="56"/>
      <c r="J31" s="56"/>
      <c r="K31" s="56"/>
      <c r="L31" s="56"/>
      <c r="M31" s="56"/>
      <c r="N31" s="56"/>
      <c r="O31" s="56"/>
      <c r="P31" s="56"/>
      <c r="Q31" s="49">
        <f>SUM(D31:P31)</f>
        <v>59850</v>
      </c>
      <c r="R31"/>
    </row>
    <row r="32" spans="1:43" s="1" customFormat="1" hidden="1" outlineLevel="1" x14ac:dyDescent="0.2">
      <c r="A32" s="7"/>
      <c r="B32" s="18" t="s">
        <v>350</v>
      </c>
      <c r="C32" s="129">
        <v>0.05</v>
      </c>
      <c r="D32" s="56"/>
      <c r="E32" s="56">
        <f>$C32*F$23</f>
        <v>325499.99895000004</v>
      </c>
      <c r="F32" s="56">
        <f>$C32*G$23</f>
        <v>1140536.2563</v>
      </c>
      <c r="G32" s="56">
        <f>$C32*H$23</f>
        <v>0</v>
      </c>
      <c r="H32" s="56">
        <f>$C32*I$23</f>
        <v>0</v>
      </c>
      <c r="I32" s="56"/>
      <c r="J32" s="56"/>
      <c r="K32" s="56"/>
      <c r="L32" s="56"/>
      <c r="M32" s="56"/>
      <c r="N32" s="56"/>
      <c r="O32" s="56"/>
      <c r="P32" s="56"/>
      <c r="Q32" s="49">
        <f>SUM(D32:P32)</f>
        <v>1466036.2552499999</v>
      </c>
      <c r="R32"/>
    </row>
    <row r="33" spans="1:43" s="1" customFormat="1" hidden="1" outlineLevel="1" x14ac:dyDescent="0.2">
      <c r="A33" s="7"/>
      <c r="B33" s="18" t="s">
        <v>351</v>
      </c>
      <c r="C33" s="395">
        <v>5.0000000000000001E-3</v>
      </c>
      <c r="D33" s="56"/>
      <c r="E33" s="56"/>
      <c r="F33" s="56">
        <f>$C33*F$23</f>
        <v>32549.999895000001</v>
      </c>
      <c r="G33" s="56">
        <f>$C33*G$23</f>
        <v>114053.62562999999</v>
      </c>
      <c r="H33" s="56">
        <f>$C33*H$23</f>
        <v>0</v>
      </c>
      <c r="I33" s="56"/>
      <c r="J33" s="56"/>
      <c r="K33" s="56"/>
      <c r="L33" s="56"/>
      <c r="M33" s="56"/>
      <c r="N33" s="56"/>
      <c r="O33" s="56"/>
      <c r="P33" s="56"/>
      <c r="Q33" s="49">
        <f>SUM(D33:P33)</f>
        <v>146603.62552499998</v>
      </c>
      <c r="R33"/>
    </row>
    <row r="34" spans="1:43" s="1" customFormat="1" hidden="1" outlineLevel="1" x14ac:dyDescent="0.2">
      <c r="A34" s="7"/>
      <c r="B34" s="18" t="s">
        <v>352</v>
      </c>
      <c r="C34" s="129">
        <v>0.1</v>
      </c>
      <c r="D34" s="56"/>
      <c r="E34" s="56"/>
      <c r="F34" s="56">
        <f>$C$34*F26</f>
        <v>54000</v>
      </c>
      <c r="G34" s="56">
        <f>$C$34*G26</f>
        <v>30000</v>
      </c>
      <c r="H34" s="56">
        <f>$C$34*H26</f>
        <v>30000</v>
      </c>
      <c r="I34" s="56"/>
      <c r="J34" s="56"/>
      <c r="K34" s="56"/>
      <c r="L34" s="56"/>
      <c r="M34" s="56"/>
      <c r="N34" s="56"/>
      <c r="O34" s="56"/>
      <c r="P34" s="56"/>
      <c r="Q34" s="49">
        <f>SUM(E34:P34)</f>
        <v>114000</v>
      </c>
      <c r="R34"/>
    </row>
    <row r="35" spans="1:43" s="1" customFormat="1" hidden="1" outlineLevel="1" x14ac:dyDescent="0.2">
      <c r="A35" s="7"/>
      <c r="B35" s="18" t="s">
        <v>353</v>
      </c>
      <c r="C35" s="129">
        <v>2.5000000000000001E-2</v>
      </c>
      <c r="D35" s="56"/>
      <c r="E35" s="56"/>
      <c r="F35" s="56">
        <f>$C$35*F26</f>
        <v>13500</v>
      </c>
      <c r="G35" s="56">
        <f>$C$35*G26</f>
        <v>7500</v>
      </c>
      <c r="H35" s="56">
        <f>$C$35*H26</f>
        <v>7500</v>
      </c>
      <c r="I35" s="56"/>
      <c r="J35" s="56"/>
      <c r="K35" s="56"/>
      <c r="L35" s="56"/>
      <c r="M35" s="56"/>
      <c r="N35" s="56"/>
      <c r="O35" s="56"/>
      <c r="P35" s="56"/>
      <c r="Q35" s="49">
        <f t="shared" ref="Q35:Q41" si="6">SUM(D35:P35)</f>
        <v>28500</v>
      </c>
      <c r="R35"/>
    </row>
    <row r="36" spans="1:43" s="1" customFormat="1" hidden="1" outlineLevel="1" x14ac:dyDescent="0.2">
      <c r="A36" s="7"/>
      <c r="B36" s="18" t="s">
        <v>354</v>
      </c>
      <c r="C36" s="396">
        <v>6.5</v>
      </c>
      <c r="D36" s="56"/>
      <c r="E36" s="56">
        <f>($C$36*SUMPRODUCT(D12:D15))</f>
        <v>119383.33290000001</v>
      </c>
      <c r="F36" s="56">
        <f>($C$36*SUMPRODUCT(D17:D20))</f>
        <v>191230</v>
      </c>
      <c r="G36" s="56"/>
      <c r="H36" s="56"/>
      <c r="I36" s="56"/>
      <c r="J36" s="56"/>
      <c r="K36" s="56"/>
      <c r="L36" s="56"/>
      <c r="M36" s="56"/>
      <c r="N36" s="56"/>
      <c r="O36"/>
      <c r="P36"/>
      <c r="Q36" s="49">
        <f t="shared" si="6"/>
        <v>310613.33290000004</v>
      </c>
      <c r="R36"/>
    </row>
    <row r="37" spans="1:43" s="1" customFormat="1" hidden="1" outlineLevel="1" x14ac:dyDescent="0.2">
      <c r="A37" s="7"/>
      <c r="B37" s="18" t="s">
        <v>355</v>
      </c>
      <c r="C37" s="128">
        <f>C36*0.2</f>
        <v>1.3</v>
      </c>
      <c r="D37" s="56"/>
      <c r="E37" s="56"/>
      <c r="F37" s="56">
        <f>($C$37*SUMPRODUCT($D$12:$D$15))*0.5</f>
        <v>11938.33329</v>
      </c>
      <c r="G37" s="56">
        <f>($C$37*SUMPRODUCT($D$12:$D$20))*0.5</f>
        <v>31061.333289999999</v>
      </c>
      <c r="H37" s="56">
        <f>($C$37*SUMPRODUCT($D$17:$D$20))*0.5</f>
        <v>19123</v>
      </c>
      <c r="I37" s="56"/>
      <c r="J37" s="56"/>
      <c r="K37" s="56"/>
      <c r="L37" s="56"/>
      <c r="M37" s="56"/>
      <c r="N37" s="56"/>
      <c r="O37"/>
      <c r="P37"/>
      <c r="Q37" s="49">
        <f t="shared" si="6"/>
        <v>62122.666579999997</v>
      </c>
      <c r="R37"/>
    </row>
    <row r="38" spans="1:43" s="1" customFormat="1" hidden="1" outlineLevel="1" x14ac:dyDescent="0.2">
      <c r="A38" s="7"/>
      <c r="B38" s="18" t="s">
        <v>186</v>
      </c>
      <c r="C38" s="394">
        <v>10000</v>
      </c>
      <c r="D38" s="56"/>
      <c r="E38" s="56"/>
      <c r="F38" s="56">
        <f>$C$38*0.5</f>
        <v>5000</v>
      </c>
      <c r="G38" s="56">
        <f>$C$38*0.25</f>
        <v>2500</v>
      </c>
      <c r="H38" s="56">
        <f>$C$38*0.25</f>
        <v>2500</v>
      </c>
      <c r="I38" s="56"/>
      <c r="J38" s="56"/>
      <c r="K38" s="56"/>
      <c r="L38" s="56"/>
      <c r="M38" s="56"/>
      <c r="N38" s="56"/>
      <c r="O38"/>
      <c r="P38"/>
      <c r="Q38" s="49">
        <f t="shared" si="6"/>
        <v>10000</v>
      </c>
      <c r="R38"/>
    </row>
    <row r="39" spans="1:43" s="1" customFormat="1" hidden="1" outlineLevel="1" x14ac:dyDescent="0.2">
      <c r="A39" s="7"/>
      <c r="B39" s="18" t="s">
        <v>356</v>
      </c>
      <c r="C39" s="16">
        <v>3500</v>
      </c>
      <c r="D39" s="49"/>
      <c r="E39" s="49"/>
      <c r="F39" s="49">
        <f>$C$39</f>
        <v>3500</v>
      </c>
      <c r="G39" s="49">
        <f>$C$39</f>
        <v>3500</v>
      </c>
      <c r="H39" s="49">
        <f>$C$39</f>
        <v>3500</v>
      </c>
      <c r="I39" s="49"/>
      <c r="J39" s="49"/>
      <c r="K39" s="49"/>
      <c r="L39" s="49"/>
      <c r="M39" s="49"/>
      <c r="N39" s="49"/>
      <c r="O39" s="49"/>
      <c r="P39" s="49"/>
      <c r="Q39" s="49">
        <f t="shared" si="6"/>
        <v>10500</v>
      </c>
      <c r="R39"/>
    </row>
    <row r="40" spans="1:43" s="1" customFormat="1" hidden="1" outlineLevel="1" x14ac:dyDescent="0.2">
      <c r="A40" s="7"/>
      <c r="B40" s="38" t="s">
        <v>188</v>
      </c>
      <c r="C40" s="104">
        <v>0.05</v>
      </c>
      <c r="D40" s="42"/>
      <c r="E40" s="42">
        <f t="shared" ref="E40:P40" si="7">SUM(E30:E39)*$C$40</f>
        <v>23661.666592500005</v>
      </c>
      <c r="F40" s="42">
        <f t="shared" si="7"/>
        <v>74187.729474249994</v>
      </c>
      <c r="G40" s="42">
        <f t="shared" si="7"/>
        <v>9430.7479460000013</v>
      </c>
      <c r="H40" s="42">
        <f t="shared" si="7"/>
        <v>3131.15</v>
      </c>
      <c r="I40" s="42">
        <f t="shared" si="7"/>
        <v>0</v>
      </c>
      <c r="J40" s="42">
        <f t="shared" si="7"/>
        <v>0</v>
      </c>
      <c r="K40" s="42">
        <f t="shared" si="7"/>
        <v>0</v>
      </c>
      <c r="L40" s="42">
        <f t="shared" si="7"/>
        <v>0</v>
      </c>
      <c r="M40" s="42">
        <f t="shared" si="7"/>
        <v>0</v>
      </c>
      <c r="N40" s="42">
        <f t="shared" si="7"/>
        <v>0</v>
      </c>
      <c r="O40" s="42">
        <f t="shared" si="7"/>
        <v>0</v>
      </c>
      <c r="P40" s="42">
        <f t="shared" si="7"/>
        <v>0</v>
      </c>
      <c r="Q40" s="49">
        <f t="shared" si="6"/>
        <v>110411.29401274999</v>
      </c>
      <c r="R40"/>
    </row>
    <row r="41" spans="1:43" s="1" customFormat="1" collapsed="1" x14ac:dyDescent="0.2">
      <c r="A41" s="7"/>
      <c r="B41" s="436" t="str">
        <f>B30</f>
        <v>SOFT COSTS - PROFESSIONALS</v>
      </c>
      <c r="C41"/>
      <c r="D41" s="17"/>
      <c r="E41" s="17">
        <f t="shared" ref="E41:P41" si="8">SUM(E30:E40)</f>
        <v>496894.99844250007</v>
      </c>
      <c r="F41" s="17">
        <f t="shared" si="8"/>
        <v>1557942.3189592499</v>
      </c>
      <c r="G41" s="17">
        <f t="shared" si="8"/>
        <v>198045.70686599999</v>
      </c>
      <c r="H41" s="17">
        <f t="shared" si="8"/>
        <v>65754.149999999994</v>
      </c>
      <c r="I41" s="17">
        <f t="shared" si="8"/>
        <v>0</v>
      </c>
      <c r="J41" s="17">
        <f t="shared" si="8"/>
        <v>0</v>
      </c>
      <c r="K41" s="17">
        <f t="shared" si="8"/>
        <v>0</v>
      </c>
      <c r="L41" s="17">
        <f t="shared" si="8"/>
        <v>0</v>
      </c>
      <c r="M41" s="17">
        <f t="shared" si="8"/>
        <v>0</v>
      </c>
      <c r="N41" s="17">
        <f t="shared" si="8"/>
        <v>0</v>
      </c>
      <c r="O41" s="17">
        <f t="shared" si="8"/>
        <v>0</v>
      </c>
      <c r="P41" s="17">
        <f t="shared" si="8"/>
        <v>0</v>
      </c>
      <c r="Q41" s="43">
        <f t="shared" si="6"/>
        <v>2318637.1742677498</v>
      </c>
      <c r="R41"/>
    </row>
    <row r="42" spans="1:43" hidden="1" outlineLevel="1" x14ac:dyDescent="0.2">
      <c r="B42" s="435"/>
      <c r="Q42" s="49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</row>
    <row r="43" spans="1:43" hidden="1" outlineLevel="1" x14ac:dyDescent="0.2">
      <c r="B43" s="435" t="s">
        <v>210</v>
      </c>
      <c r="Q43" s="49">
        <f>SUM(D43:P43)</f>
        <v>0</v>
      </c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</row>
    <row r="44" spans="1:43" hidden="1" outlineLevel="1" x14ac:dyDescent="0.2">
      <c r="B44" s="18" t="s">
        <v>211</v>
      </c>
      <c r="C44" s="397">
        <v>5000</v>
      </c>
      <c r="D44" s="157"/>
      <c r="E44" s="49"/>
      <c r="F44" s="49">
        <f>($C$44)</f>
        <v>5000</v>
      </c>
      <c r="G44" s="49">
        <f t="shared" ref="G44:O44" si="9">($C$44)</f>
        <v>5000</v>
      </c>
      <c r="H44" s="49">
        <f t="shared" si="9"/>
        <v>5000</v>
      </c>
      <c r="I44" s="49">
        <f t="shared" si="9"/>
        <v>5000</v>
      </c>
      <c r="J44" s="49">
        <f t="shared" si="9"/>
        <v>5000</v>
      </c>
      <c r="K44" s="49">
        <f t="shared" si="9"/>
        <v>5000</v>
      </c>
      <c r="L44" s="49">
        <f t="shared" si="9"/>
        <v>5000</v>
      </c>
      <c r="M44" s="49">
        <f t="shared" si="9"/>
        <v>5000</v>
      </c>
      <c r="N44" s="49">
        <f t="shared" si="9"/>
        <v>5000</v>
      </c>
      <c r="O44" s="49">
        <f t="shared" si="9"/>
        <v>5000</v>
      </c>
      <c r="P44" s="49"/>
      <c r="Q44" s="49">
        <f>SUM(D44:P44)</f>
        <v>50000</v>
      </c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</row>
    <row r="45" spans="1:43" hidden="1" outlineLevel="1" x14ac:dyDescent="0.2">
      <c r="B45" s="38" t="s">
        <v>213</v>
      </c>
      <c r="C45" s="112">
        <v>5.4999999999999997E-3</v>
      </c>
      <c r="D45" s="137"/>
      <c r="E45" s="137">
        <f t="shared" ref="E45:P45" si="10">$C$45*(E23+E28)</f>
        <v>0</v>
      </c>
      <c r="F45" s="137">
        <f t="shared" si="10"/>
        <v>42561.749884500001</v>
      </c>
      <c r="G45" s="137">
        <f t="shared" si="10"/>
        <v>131233.988193</v>
      </c>
      <c r="H45" s="137">
        <f t="shared" si="10"/>
        <v>1732.5</v>
      </c>
      <c r="I45" s="137">
        <f t="shared" si="10"/>
        <v>0</v>
      </c>
      <c r="J45" s="137">
        <f t="shared" si="10"/>
        <v>0</v>
      </c>
      <c r="K45" s="137">
        <f t="shared" si="10"/>
        <v>0</v>
      </c>
      <c r="L45" s="137">
        <f t="shared" si="10"/>
        <v>0</v>
      </c>
      <c r="M45" s="137">
        <f t="shared" si="10"/>
        <v>0</v>
      </c>
      <c r="N45" s="137">
        <f t="shared" si="10"/>
        <v>0</v>
      </c>
      <c r="O45" s="137">
        <f t="shared" si="10"/>
        <v>0</v>
      </c>
      <c r="P45" s="137">
        <f t="shared" si="10"/>
        <v>0</v>
      </c>
      <c r="Q45" s="49">
        <f>SUM(D45:P45)</f>
        <v>175528.23807749999</v>
      </c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</row>
    <row r="46" spans="1:43" collapsed="1" x14ac:dyDescent="0.2">
      <c r="B46" s="436" t="str">
        <f>B43</f>
        <v>SOFT COSTS - TAXES AND INSURANCE</v>
      </c>
      <c r="D46" s="49"/>
      <c r="E46" s="49"/>
      <c r="F46" s="49">
        <f t="shared" ref="F46:P46" si="11">SUM(F44:F45)</f>
        <v>47561.749884500001</v>
      </c>
      <c r="G46" s="49">
        <f t="shared" si="11"/>
        <v>136233.988193</v>
      </c>
      <c r="H46" s="49">
        <f t="shared" si="11"/>
        <v>6732.5</v>
      </c>
      <c r="I46" s="49">
        <f t="shared" si="11"/>
        <v>5000</v>
      </c>
      <c r="J46" s="49">
        <f t="shared" si="11"/>
        <v>5000</v>
      </c>
      <c r="K46" s="49">
        <f t="shared" si="11"/>
        <v>5000</v>
      </c>
      <c r="L46" s="49">
        <f t="shared" si="11"/>
        <v>5000</v>
      </c>
      <c r="M46" s="49">
        <f t="shared" si="11"/>
        <v>5000</v>
      </c>
      <c r="N46" s="49">
        <f t="shared" si="11"/>
        <v>5000</v>
      </c>
      <c r="O46" s="49">
        <f t="shared" si="11"/>
        <v>5000</v>
      </c>
      <c r="P46" s="49">
        <f t="shared" si="11"/>
        <v>0</v>
      </c>
      <c r="Q46" s="43">
        <f>SUM(D46:P46)</f>
        <v>225528.23807749999</v>
      </c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</row>
    <row r="47" spans="1:43" hidden="1" outlineLevel="1" x14ac:dyDescent="0.2">
      <c r="B47" s="435"/>
      <c r="Q47" s="49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</row>
    <row r="48" spans="1:43" hidden="1" outlineLevel="1" x14ac:dyDescent="0.2">
      <c r="B48" s="435" t="s">
        <v>214</v>
      </c>
      <c r="Q48" s="49">
        <f t="shared" ref="Q48:Q55" si="12">SUM(D48:P48)</f>
        <v>0</v>
      </c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</row>
    <row r="49" spans="1:43" hidden="1" outlineLevel="1" x14ac:dyDescent="0.2">
      <c r="B49" s="18" t="s">
        <v>357</v>
      </c>
      <c r="C49" s="398">
        <v>0.01</v>
      </c>
      <c r="D49" s="138"/>
      <c r="E49" s="138"/>
      <c r="F49" s="138">
        <f>$C$49*F23</f>
        <v>65099.999790000002</v>
      </c>
      <c r="G49" s="138">
        <f t="shared" ref="G49:P49" si="13">$C$49*G23</f>
        <v>228107.25125999999</v>
      </c>
      <c r="H49" s="138">
        <f t="shared" si="13"/>
        <v>0</v>
      </c>
      <c r="I49" s="138">
        <f t="shared" si="13"/>
        <v>0</v>
      </c>
      <c r="J49" s="138">
        <f t="shared" si="13"/>
        <v>0</v>
      </c>
      <c r="K49" s="138">
        <f t="shared" si="13"/>
        <v>0</v>
      </c>
      <c r="L49" s="138">
        <f t="shared" si="13"/>
        <v>0</v>
      </c>
      <c r="M49" s="138">
        <f t="shared" si="13"/>
        <v>0</v>
      </c>
      <c r="N49" s="138">
        <f t="shared" si="13"/>
        <v>0</v>
      </c>
      <c r="O49" s="138">
        <f t="shared" si="13"/>
        <v>0</v>
      </c>
      <c r="P49" s="138">
        <f t="shared" si="13"/>
        <v>0</v>
      </c>
      <c r="Q49" s="49">
        <f t="shared" si="12"/>
        <v>293207.25104999996</v>
      </c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</row>
    <row r="50" spans="1:43" hidden="1" outlineLevel="1" x14ac:dyDescent="0.2">
      <c r="B50" s="18" t="s">
        <v>358</v>
      </c>
      <c r="C50" s="95">
        <v>0</v>
      </c>
      <c r="D50" s="138"/>
      <c r="E50" s="138"/>
      <c r="F50" s="138"/>
      <c r="G50" s="138"/>
      <c r="H50" s="138"/>
      <c r="I50" s="138"/>
      <c r="J50" s="138"/>
      <c r="K50" s="138"/>
      <c r="L50" s="138"/>
      <c r="M50" s="138"/>
      <c r="N50" s="138"/>
      <c r="O50" s="138"/>
      <c r="P50" s="138"/>
      <c r="Q50" s="49">
        <f t="shared" si="12"/>
        <v>0</v>
      </c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</row>
    <row r="51" spans="1:43" collapsed="1" x14ac:dyDescent="0.2">
      <c r="B51" s="436" t="str">
        <f>B48</f>
        <v>SOFT COSTS - MUNICIPALITY FEES</v>
      </c>
      <c r="C51" s="96"/>
      <c r="D51" s="138"/>
      <c r="E51" s="138"/>
      <c r="F51" s="138">
        <f t="shared" ref="F51:P51" si="14">SUM(F49:F50)</f>
        <v>65099.999790000002</v>
      </c>
      <c r="G51" s="138">
        <f t="shared" si="14"/>
        <v>228107.25125999999</v>
      </c>
      <c r="H51" s="138">
        <f t="shared" si="14"/>
        <v>0</v>
      </c>
      <c r="I51" s="138">
        <f t="shared" si="14"/>
        <v>0</v>
      </c>
      <c r="J51" s="138">
        <f t="shared" si="14"/>
        <v>0</v>
      </c>
      <c r="K51" s="138">
        <f t="shared" si="14"/>
        <v>0</v>
      </c>
      <c r="L51" s="138">
        <f t="shared" si="14"/>
        <v>0</v>
      </c>
      <c r="M51" s="138">
        <f t="shared" si="14"/>
        <v>0</v>
      </c>
      <c r="N51" s="138">
        <f t="shared" si="14"/>
        <v>0</v>
      </c>
      <c r="O51" s="138">
        <f t="shared" si="14"/>
        <v>0</v>
      </c>
      <c r="P51" s="138">
        <f t="shared" si="14"/>
        <v>0</v>
      </c>
      <c r="Q51" s="49">
        <f t="shared" si="12"/>
        <v>293207.25104999996</v>
      </c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</row>
    <row r="52" spans="1:43" hidden="1" outlineLevel="1" x14ac:dyDescent="0.2">
      <c r="B52" s="435"/>
      <c r="Q52" s="49">
        <f t="shared" si="12"/>
        <v>0</v>
      </c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</row>
    <row r="53" spans="1:43" hidden="1" outlineLevel="1" x14ac:dyDescent="0.2">
      <c r="B53" s="435" t="s">
        <v>218</v>
      </c>
      <c r="Q53" s="49">
        <f t="shared" si="12"/>
        <v>0</v>
      </c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</row>
    <row r="54" spans="1:43" hidden="1" outlineLevel="1" x14ac:dyDescent="0.2">
      <c r="B54" s="18" t="s">
        <v>359</v>
      </c>
      <c r="C54" s="124">
        <v>0.04</v>
      </c>
      <c r="D54" s="17"/>
      <c r="E54" s="17"/>
      <c r="F54" s="17">
        <f>(F23+F28+F41+F46+F51)*$C$54</f>
        <v>376364.16190534993</v>
      </c>
      <c r="G54" s="17">
        <f>(G23+G28+G41+G46+G51)*$C$54</f>
        <v>976924.48289276008</v>
      </c>
      <c r="H54" s="17">
        <f>(H23+H28+H41+H46+H51)*$C$54</f>
        <v>15499.466</v>
      </c>
      <c r="I54" s="17"/>
      <c r="J54" s="17"/>
      <c r="K54" s="17"/>
      <c r="L54" s="17"/>
      <c r="M54" s="17"/>
      <c r="N54" s="17"/>
      <c r="O54" s="17"/>
      <c r="P54" s="17">
        <f>(P23+P28+P41+P46+P51)*$C$54</f>
        <v>0</v>
      </c>
      <c r="Q54" s="49">
        <f t="shared" si="12"/>
        <v>1368788.11079811</v>
      </c>
      <c r="S54" s="103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</row>
    <row r="55" spans="1:43" s="1" customFormat="1" collapsed="1" x14ac:dyDescent="0.2">
      <c r="A55" s="7"/>
      <c r="B55" s="436" t="str">
        <f>B53</f>
        <v>DEVELOPMENT FEES</v>
      </c>
      <c r="C55" s="55"/>
      <c r="D55" s="17"/>
      <c r="E55" s="17"/>
      <c r="F55" s="17">
        <f t="shared" ref="F55:P55" si="15">SUM(F54:F54)</f>
        <v>376364.16190534993</v>
      </c>
      <c r="G55" s="17">
        <f t="shared" si="15"/>
        <v>976924.48289276008</v>
      </c>
      <c r="H55" s="17">
        <f t="shared" si="15"/>
        <v>15499.466</v>
      </c>
      <c r="I55" s="17">
        <f t="shared" si="15"/>
        <v>0</v>
      </c>
      <c r="J55" s="17">
        <f t="shared" si="15"/>
        <v>0</v>
      </c>
      <c r="K55" s="17">
        <f t="shared" si="15"/>
        <v>0</v>
      </c>
      <c r="L55" s="17">
        <f t="shared" si="15"/>
        <v>0</v>
      </c>
      <c r="M55" s="17">
        <f t="shared" si="15"/>
        <v>0</v>
      </c>
      <c r="N55" s="17">
        <f t="shared" si="15"/>
        <v>0</v>
      </c>
      <c r="O55" s="17">
        <f t="shared" si="15"/>
        <v>0</v>
      </c>
      <c r="P55" s="17">
        <f t="shared" si="15"/>
        <v>0</v>
      </c>
      <c r="Q55" s="49">
        <f t="shared" si="12"/>
        <v>1368788.11079811</v>
      </c>
      <c r="R55"/>
    </row>
    <row r="56" spans="1:43" s="1" customFormat="1" ht="5.25" customHeight="1" x14ac:dyDescent="0.2">
      <c r="A56" s="7"/>
      <c r="B56" s="436"/>
      <c r="C56" s="55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31"/>
      <c r="R56"/>
    </row>
    <row r="57" spans="1:43" s="1" customFormat="1" x14ac:dyDescent="0.2">
      <c r="A57" s="7"/>
      <c r="B57" s="142" t="s">
        <v>360</v>
      </c>
      <c r="C57" s="99"/>
      <c r="D57" s="100"/>
      <c r="E57" s="100">
        <f t="shared" ref="E57:P57" si="16">E23+E28+E41+E46+E51+E55</f>
        <v>496894.99844250007</v>
      </c>
      <c r="F57" s="100">
        <f t="shared" si="16"/>
        <v>9785468.2095390987</v>
      </c>
      <c r="G57" s="100">
        <f t="shared" si="16"/>
        <v>25400036.55521176</v>
      </c>
      <c r="H57" s="100">
        <f t="shared" si="16"/>
        <v>402986.11600000004</v>
      </c>
      <c r="I57" s="100">
        <f t="shared" si="16"/>
        <v>5000</v>
      </c>
      <c r="J57" s="100">
        <f t="shared" si="16"/>
        <v>5000</v>
      </c>
      <c r="K57" s="100">
        <f t="shared" si="16"/>
        <v>5000</v>
      </c>
      <c r="L57" s="100">
        <f t="shared" si="16"/>
        <v>5000</v>
      </c>
      <c r="M57" s="100">
        <f t="shared" si="16"/>
        <v>5000</v>
      </c>
      <c r="N57" s="100">
        <f t="shared" si="16"/>
        <v>5000</v>
      </c>
      <c r="O57" s="100">
        <f t="shared" si="16"/>
        <v>5000</v>
      </c>
      <c r="P57" s="100">
        <f t="shared" si="16"/>
        <v>0</v>
      </c>
      <c r="Q57" s="100">
        <f>SUM(D57:P57)</f>
        <v>36120385.879193358</v>
      </c>
      <c r="R57" s="44">
        <f>R23+R28+R41+R46+R51+R55</f>
        <v>0</v>
      </c>
      <c r="T57" s="201">
        <f>Q57/D21</f>
        <v>755.8674510934261</v>
      </c>
      <c r="U57" s="158" t="s">
        <v>361</v>
      </c>
    </row>
    <row r="58" spans="1:43" x14ac:dyDescent="0.2">
      <c r="B58" s="435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</row>
    <row r="59" spans="1:43" x14ac:dyDescent="0.2">
      <c r="B59" s="59" t="s">
        <v>362</v>
      </c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  <c r="N59" s="60"/>
      <c r="O59" s="60"/>
      <c r="P59" s="60"/>
      <c r="Q59" s="6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</row>
    <row r="60" spans="1:43" s="1" customFormat="1" x14ac:dyDescent="0.2">
      <c r="A60" s="7"/>
      <c r="B60" s="436" t="str">
        <f>'Amenity Annual CF'!A37</f>
        <v>MODELED NET OPERATING INCOME</v>
      </c>
      <c r="C60" s="91"/>
      <c r="D60" s="92"/>
      <c r="E60" s="56"/>
      <c r="F60" s="56">
        <f ca="1">'Amenity Annual CF'!D37</f>
        <v>862224.38399999996</v>
      </c>
      <c r="G60" s="56">
        <f ca="1">'Amenity Annual CF'!E37</f>
        <v>1158015.849312</v>
      </c>
      <c r="H60" s="56">
        <f ca="1">'Amenity Annual CF'!F37</f>
        <v>1586885.02627536</v>
      </c>
      <c r="I60" s="56">
        <f ca="1">'Amenity Annual CF'!G37</f>
        <v>1637011.5770636208</v>
      </c>
      <c r="J60" s="56">
        <f ca="1">'Amenity Annual CF'!H37</f>
        <v>1692333.7427398998</v>
      </c>
      <c r="K60" s="56">
        <f ca="1">'Amenity Annual CF'!I37</f>
        <v>1741821.182106795</v>
      </c>
      <c r="L60" s="56">
        <f ca="1">'Amenity Annual CF'!J37</f>
        <v>1796595.817569999</v>
      </c>
      <c r="M60" s="56">
        <f ca="1">'Amenity Annual CF'!K37</f>
        <v>1853013.6920970993</v>
      </c>
      <c r="N60" s="56">
        <f ca="1">'Amenity Annual CF'!L37</f>
        <v>1915279.2769540302</v>
      </c>
      <c r="O60" s="56">
        <f ca="1">'Amenity Annual CF'!M37</f>
        <v>1970977.8259458127</v>
      </c>
      <c r="P60" s="56">
        <f ca="1">O60</f>
        <v>1970977.8259458127</v>
      </c>
      <c r="Q60" s="20"/>
      <c r="R60"/>
      <c r="S60" s="103"/>
    </row>
    <row r="61" spans="1:43" s="1" customFormat="1" x14ac:dyDescent="0.2">
      <c r="A61" s="7"/>
      <c r="B61" s="139" t="s">
        <v>363</v>
      </c>
      <c r="C61" s="91"/>
      <c r="D61" s="92"/>
      <c r="E61" s="92"/>
      <c r="F61" s="381">
        <v>-0.5</v>
      </c>
      <c r="G61" s="381">
        <v>-0.25</v>
      </c>
      <c r="H61" s="381">
        <v>-0.1</v>
      </c>
      <c r="I61" s="381">
        <v>0</v>
      </c>
      <c r="J61" s="381">
        <v>0</v>
      </c>
      <c r="K61" s="381">
        <v>0</v>
      </c>
      <c r="L61" s="381">
        <v>0</v>
      </c>
      <c r="M61" s="127">
        <v>0</v>
      </c>
      <c r="N61" s="127">
        <v>0</v>
      </c>
      <c r="O61" s="127">
        <v>0</v>
      </c>
      <c r="P61" s="127">
        <v>0</v>
      </c>
      <c r="Q61" s="20"/>
      <c r="R61"/>
      <c r="S61" s="103"/>
    </row>
    <row r="62" spans="1:43" s="1" customFormat="1" x14ac:dyDescent="0.2">
      <c r="A62" s="7"/>
      <c r="B62" s="125" t="s">
        <v>364</v>
      </c>
      <c r="C62" s="24"/>
      <c r="D62" s="25"/>
      <c r="E62" s="56"/>
      <c r="F62" s="56">
        <f t="shared" ref="F62:O62" ca="1" si="17">F60*(1+F61)</f>
        <v>431112.19199999998</v>
      </c>
      <c r="G62" s="56">
        <f t="shared" ca="1" si="17"/>
        <v>868511.88698399998</v>
      </c>
      <c r="H62" s="56">
        <f t="shared" ca="1" si="17"/>
        <v>1428196.5236478241</v>
      </c>
      <c r="I62" s="56">
        <f t="shared" ca="1" si="17"/>
        <v>1637011.5770636208</v>
      </c>
      <c r="J62" s="56">
        <f t="shared" ca="1" si="17"/>
        <v>1692333.7427398998</v>
      </c>
      <c r="K62" s="56">
        <f t="shared" ca="1" si="17"/>
        <v>1741821.182106795</v>
      </c>
      <c r="L62" s="56">
        <f t="shared" ca="1" si="17"/>
        <v>1796595.817569999</v>
      </c>
      <c r="M62" s="56">
        <f t="shared" ca="1" si="17"/>
        <v>1853013.6920970993</v>
      </c>
      <c r="N62" s="56">
        <f t="shared" ca="1" si="17"/>
        <v>1915279.2769540302</v>
      </c>
      <c r="O62" s="56">
        <f t="shared" ca="1" si="17"/>
        <v>1970977.8259458127</v>
      </c>
      <c r="P62" s="56">
        <f ca="1">P60*(1+P61)</f>
        <v>1970977.8259458127</v>
      </c>
      <c r="Q62" s="20"/>
      <c r="R62"/>
      <c r="S62" s="119"/>
    </row>
    <row r="63" spans="1:43" x14ac:dyDescent="0.2">
      <c r="B63" s="18" t="s">
        <v>365</v>
      </c>
      <c r="C63" s="16">
        <f>2500*12</f>
        <v>30000</v>
      </c>
      <c r="D63" s="141" t="s">
        <v>366</v>
      </c>
      <c r="E63" s="17"/>
      <c r="F63" s="17" t="e">
        <f>SUM(#REF!)*$C$63+#REF!*$C$63*0.5</f>
        <v>#REF!</v>
      </c>
      <c r="G63" s="17" t="e">
        <f>SUM(#REF!)*$C$63+#REF!*$C$63*0.5</f>
        <v>#REF!</v>
      </c>
      <c r="H63" s="17" t="e">
        <f>SUM(#REF!:#REF!)*$C$63+#REF!*$C$63*0.5</f>
        <v>#REF!</v>
      </c>
      <c r="I63" s="17" t="e">
        <f>SUM(#REF!:#REF!)*$C$63+#REF!*$C$63*0.5</f>
        <v>#REF!</v>
      </c>
      <c r="J63" s="17" t="e">
        <f>SUM(#REF!:#REF!)*$C$63+#REF!*$C$63*0.5</f>
        <v>#REF!</v>
      </c>
      <c r="K63" s="17" t="e">
        <f>SUM(#REF!:#REF!)*$C$63+#REF!*$C$63*0.5</f>
        <v>#REF!</v>
      </c>
      <c r="L63" s="17" t="e">
        <f>SUM(#REF!:#REF!)*$C$63+#REF!*$C$63*0.5</f>
        <v>#REF!</v>
      </c>
      <c r="M63" s="17" t="e">
        <f>SUM(#REF!:#REF!)*$C$63+#REF!*$C$63*0.5</f>
        <v>#REF!</v>
      </c>
      <c r="N63" s="17" t="e">
        <f>SUM(#REF!:#REF!)*$C$63+#REF!*$C$63*0.5</f>
        <v>#REF!</v>
      </c>
      <c r="O63" s="17" t="e">
        <f>N63</f>
        <v>#REF!</v>
      </c>
      <c r="P63" s="17" t="e">
        <f>O63</f>
        <v>#REF!</v>
      </c>
      <c r="Q63" s="20"/>
      <c r="S63" s="103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</row>
    <row r="64" spans="1:43" ht="5.25" customHeight="1" x14ac:dyDescent="0.2">
      <c r="B64" s="38"/>
      <c r="C64" s="134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S64" s="103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</row>
    <row r="65" spans="1:20" s="1" customFormat="1" x14ac:dyDescent="0.2">
      <c r="A65" s="7"/>
      <c r="B65" s="8" t="s">
        <v>367</v>
      </c>
      <c r="C65" s="55"/>
      <c r="D65" s="44"/>
      <c r="E65" s="44"/>
      <c r="F65" s="44" t="e">
        <f ca="1">F62+F63</f>
        <v>#REF!</v>
      </c>
      <c r="G65" s="44" t="e">
        <f t="shared" ref="G65:P65" ca="1" si="18">G62+G63</f>
        <v>#REF!</v>
      </c>
      <c r="H65" s="44" t="e">
        <f t="shared" ca="1" si="18"/>
        <v>#REF!</v>
      </c>
      <c r="I65" s="44" t="e">
        <f t="shared" ca="1" si="18"/>
        <v>#REF!</v>
      </c>
      <c r="J65" s="44" t="e">
        <f t="shared" ca="1" si="18"/>
        <v>#REF!</v>
      </c>
      <c r="K65" s="44" t="e">
        <f t="shared" ca="1" si="18"/>
        <v>#REF!</v>
      </c>
      <c r="L65" s="44" t="e">
        <f t="shared" ca="1" si="18"/>
        <v>#REF!</v>
      </c>
      <c r="M65" s="44" t="e">
        <f t="shared" ca="1" si="18"/>
        <v>#REF!</v>
      </c>
      <c r="N65" s="44" t="e">
        <f t="shared" ca="1" si="18"/>
        <v>#REF!</v>
      </c>
      <c r="O65" s="44" t="e">
        <f t="shared" ca="1" si="18"/>
        <v>#REF!</v>
      </c>
      <c r="P65" s="44" t="e">
        <f t="shared" ca="1" si="18"/>
        <v>#REF!</v>
      </c>
      <c r="Q65" s="131" t="e">
        <f ca="1">SUM(D65:L65)</f>
        <v>#REF!</v>
      </c>
      <c r="R65"/>
    </row>
    <row r="66" spans="1:20" s="1" customFormat="1" x14ac:dyDescent="0.2">
      <c r="A66" s="7"/>
      <c r="B66" s="8"/>
      <c r="C66" s="55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3"/>
      <c r="R66"/>
    </row>
    <row r="67" spans="1:20" s="1" customFormat="1" x14ac:dyDescent="0.2">
      <c r="A67" s="7"/>
      <c r="B67" s="59" t="s">
        <v>368</v>
      </c>
      <c r="C67" s="60"/>
      <c r="D67" s="60"/>
      <c r="E67" s="60"/>
      <c r="F67" s="60"/>
      <c r="G67" s="60"/>
      <c r="H67" s="60"/>
      <c r="I67" s="60"/>
      <c r="J67" s="60"/>
      <c r="K67" s="60"/>
      <c r="L67" s="60"/>
      <c r="M67" s="60"/>
      <c r="N67" s="60"/>
      <c r="O67" s="60"/>
      <c r="P67" s="60"/>
      <c r="Q67" s="61"/>
      <c r="R67"/>
    </row>
    <row r="68" spans="1:20" s="1" customFormat="1" hidden="1" x14ac:dyDescent="0.2">
      <c r="A68" s="7"/>
      <c r="B68" s="125" t="s">
        <v>369</v>
      </c>
      <c r="C68"/>
      <c r="D68" s="16"/>
      <c r="E68" s="45"/>
      <c r="F68" s="45"/>
      <c r="G68" s="45"/>
      <c r="H68" s="16">
        <v>0</v>
      </c>
      <c r="I68" s="16">
        <v>0</v>
      </c>
      <c r="J68" s="16">
        <v>0</v>
      </c>
      <c r="K68" s="16">
        <v>0</v>
      </c>
      <c r="L68" s="16"/>
      <c r="M68" s="16"/>
      <c r="N68" s="16"/>
      <c r="O68" s="16"/>
      <c r="P68" s="16"/>
      <c r="Q68" s="43">
        <f>SUM(D68:P68)</f>
        <v>0</v>
      </c>
      <c r="R68"/>
    </row>
    <row r="69" spans="1:20" s="1" customFormat="1" x14ac:dyDescent="0.2">
      <c r="A69" s="7"/>
      <c r="B69" s="125" t="s">
        <v>370</v>
      </c>
      <c r="C69"/>
      <c r="D69" s="16"/>
      <c r="E69" s="45">
        <v>500000</v>
      </c>
      <c r="F69" s="45">
        <v>4000000</v>
      </c>
      <c r="G69" s="45">
        <v>5000000</v>
      </c>
      <c r="H69" s="16"/>
      <c r="I69" s="16"/>
      <c r="J69" s="16">
        <v>0</v>
      </c>
      <c r="K69" s="16">
        <v>0</v>
      </c>
      <c r="L69" s="16"/>
      <c r="M69" s="16"/>
      <c r="N69" s="16"/>
      <c r="O69" s="16"/>
      <c r="P69" s="16"/>
      <c r="Q69" s="43">
        <f>SUM(D69:P69)</f>
        <v>9500000</v>
      </c>
      <c r="R69"/>
      <c r="S69" s="103"/>
    </row>
    <row r="70" spans="1:20" s="1" customFormat="1" x14ac:dyDescent="0.2">
      <c r="A70" s="7"/>
      <c r="B70" s="125" t="s">
        <v>371</v>
      </c>
      <c r="C70" s="24"/>
      <c r="D70" s="16"/>
      <c r="E70" s="135"/>
      <c r="F70" s="164">
        <v>6500000</v>
      </c>
      <c r="G70" s="164">
        <v>22000000</v>
      </c>
      <c r="H70" s="164">
        <v>1000000</v>
      </c>
      <c r="I70" s="164">
        <f t="shared" ref="I70:P70" si="19">I69*2.5</f>
        <v>0</v>
      </c>
      <c r="J70" s="164">
        <f t="shared" si="19"/>
        <v>0</v>
      </c>
      <c r="K70" s="164">
        <f t="shared" si="19"/>
        <v>0</v>
      </c>
      <c r="L70" s="164">
        <f t="shared" si="19"/>
        <v>0</v>
      </c>
      <c r="M70" s="135">
        <f t="shared" si="19"/>
        <v>0</v>
      </c>
      <c r="N70" s="135">
        <f t="shared" si="19"/>
        <v>0</v>
      </c>
      <c r="O70" s="135">
        <f t="shared" si="19"/>
        <v>0</v>
      </c>
      <c r="P70" s="135">
        <f t="shared" si="19"/>
        <v>0</v>
      </c>
      <c r="Q70" s="43">
        <f>SUM(D70:L70)</f>
        <v>29500000</v>
      </c>
      <c r="R70"/>
      <c r="S70" s="103">
        <f>Q70/Q57</f>
        <v>0.81671331249517631</v>
      </c>
      <c r="T70" s="1" t="s">
        <v>107</v>
      </c>
    </row>
    <row r="71" spans="1:20" s="1" customFormat="1" x14ac:dyDescent="0.2">
      <c r="A71" s="7"/>
      <c r="B71" s="424" t="s">
        <v>372</v>
      </c>
      <c r="C71" s="55"/>
      <c r="D71" s="17"/>
      <c r="E71" s="17"/>
      <c r="F71" s="17">
        <f t="shared" ref="F71:P71" si="20">F70+E71-E74</f>
        <v>6500000</v>
      </c>
      <c r="G71" s="17">
        <f t="shared" si="20"/>
        <v>28500000</v>
      </c>
      <c r="H71" s="17">
        <f t="shared" si="20"/>
        <v>29500000</v>
      </c>
      <c r="I71" s="17">
        <f t="shared" si="20"/>
        <v>29500000</v>
      </c>
      <c r="J71" s="17">
        <f t="shared" si="20"/>
        <v>29500000</v>
      </c>
      <c r="K71" s="17">
        <f t="shared" si="20"/>
        <v>29500000</v>
      </c>
      <c r="L71" s="17">
        <f t="shared" si="20"/>
        <v>29500000</v>
      </c>
      <c r="M71" s="17">
        <f t="shared" si="20"/>
        <v>29500000</v>
      </c>
      <c r="N71" s="17">
        <f t="shared" si="20"/>
        <v>29500000</v>
      </c>
      <c r="O71" s="17">
        <f t="shared" si="20"/>
        <v>29500000</v>
      </c>
      <c r="P71" s="17">
        <f t="shared" si="20"/>
        <v>29500000</v>
      </c>
      <c r="Q71" s="43"/>
      <c r="R71"/>
      <c r="S71" s="103" t="e">
        <f ca="1">Q70/J83</f>
        <v>#REF!</v>
      </c>
      <c r="T71" s="1" t="s">
        <v>373</v>
      </c>
    </row>
    <row r="72" spans="1:20" s="1" customFormat="1" x14ac:dyDescent="0.2">
      <c r="A72" s="7"/>
      <c r="B72" s="18" t="s">
        <v>374</v>
      </c>
      <c r="C72" s="224">
        <v>7.4999999999999997E-2</v>
      </c>
      <c r="D72" s="17"/>
      <c r="E72" s="17"/>
      <c r="F72" s="17">
        <f>$C72*F71</f>
        <v>487500</v>
      </c>
      <c r="G72" s="17">
        <f t="shared" ref="G72:P72" si="21">$C72*G71</f>
        <v>2137500</v>
      </c>
      <c r="H72" s="17">
        <f t="shared" si="21"/>
        <v>2212500</v>
      </c>
      <c r="I72" s="17">
        <f t="shared" si="21"/>
        <v>2212500</v>
      </c>
      <c r="J72" s="17">
        <f t="shared" si="21"/>
        <v>2212500</v>
      </c>
      <c r="K72" s="17">
        <f t="shared" si="21"/>
        <v>2212500</v>
      </c>
      <c r="L72" s="17">
        <f t="shared" si="21"/>
        <v>2212500</v>
      </c>
      <c r="M72" s="17">
        <f t="shared" si="21"/>
        <v>2212500</v>
      </c>
      <c r="N72" s="17">
        <f t="shared" si="21"/>
        <v>2212500</v>
      </c>
      <c r="O72" s="17">
        <f t="shared" si="21"/>
        <v>2212500</v>
      </c>
      <c r="P72" s="17">
        <f t="shared" si="21"/>
        <v>2212500</v>
      </c>
      <c r="Q72" s="43">
        <f>SUM(D72:L72)</f>
        <v>13687500</v>
      </c>
      <c r="R72"/>
    </row>
    <row r="73" spans="1:20" s="1" customFormat="1" x14ac:dyDescent="0.2">
      <c r="A73" s="7"/>
      <c r="B73" s="18" t="s">
        <v>375</v>
      </c>
      <c r="C73" s="224">
        <v>0.02</v>
      </c>
      <c r="D73" s="17"/>
      <c r="E73" s="17"/>
      <c r="F73" s="17">
        <f>$C73*Q70</f>
        <v>590000</v>
      </c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43">
        <f>SUM(D73:L73)</f>
        <v>590000</v>
      </c>
      <c r="R73"/>
    </row>
    <row r="74" spans="1:20" s="1" customFormat="1" ht="4" customHeight="1" x14ac:dyDescent="0.2">
      <c r="A74" s="7"/>
      <c r="B74" s="18" t="s">
        <v>376</v>
      </c>
      <c r="C74" s="22"/>
      <c r="D74" s="17"/>
      <c r="E74" s="25"/>
      <c r="F74" s="25">
        <v>0</v>
      </c>
      <c r="G74" s="25">
        <v>0</v>
      </c>
      <c r="H74" s="25">
        <v>0</v>
      </c>
      <c r="I74" s="25">
        <v>0</v>
      </c>
      <c r="J74" s="25">
        <v>0</v>
      </c>
      <c r="K74" s="25">
        <v>0</v>
      </c>
      <c r="L74" s="25">
        <v>0</v>
      </c>
      <c r="M74" s="25">
        <v>0</v>
      </c>
      <c r="N74" s="25">
        <v>0</v>
      </c>
      <c r="O74" s="25">
        <v>0</v>
      </c>
      <c r="P74" s="25">
        <v>0</v>
      </c>
      <c r="Q74" s="17">
        <f>SUM(D74:P74)</f>
        <v>0</v>
      </c>
      <c r="R74"/>
    </row>
    <row r="75" spans="1:20" s="1" customFormat="1" ht="17" thickBot="1" x14ac:dyDescent="0.25">
      <c r="A75" s="7"/>
      <c r="B75" s="125" t="s">
        <v>377</v>
      </c>
      <c r="C75" s="31"/>
      <c r="D75" s="17"/>
      <c r="E75" s="377">
        <f t="shared" ref="E75:P75" si="22">-E57+E65+(SUM(E68:E70))-E72-E73+E74</f>
        <v>3105.001557499927</v>
      </c>
      <c r="F75" s="377" t="e">
        <f t="shared" ca="1" si="22"/>
        <v>#REF!</v>
      </c>
      <c r="G75" s="377" t="e">
        <f t="shared" ca="1" si="22"/>
        <v>#REF!</v>
      </c>
      <c r="H75" s="377" t="e">
        <f t="shared" ca="1" si="22"/>
        <v>#REF!</v>
      </c>
      <c r="I75" s="377" t="e">
        <f t="shared" ca="1" si="22"/>
        <v>#REF!</v>
      </c>
      <c r="J75" s="377" t="e">
        <f t="shared" ca="1" si="22"/>
        <v>#REF!</v>
      </c>
      <c r="K75" s="377" t="e">
        <f t="shared" ca="1" si="22"/>
        <v>#REF!</v>
      </c>
      <c r="L75" s="377" t="e">
        <f t="shared" ca="1" si="22"/>
        <v>#REF!</v>
      </c>
      <c r="M75" s="377" t="e">
        <f t="shared" ca="1" si="22"/>
        <v>#REF!</v>
      </c>
      <c r="N75" s="377" t="e">
        <f t="shared" ca="1" si="22"/>
        <v>#REF!</v>
      </c>
      <c r="O75" s="377" t="e">
        <f t="shared" ca="1" si="22"/>
        <v>#REF!</v>
      </c>
      <c r="P75" s="377" t="e">
        <f t="shared" ca="1" si="22"/>
        <v>#REF!</v>
      </c>
      <c r="Q75" s="17"/>
      <c r="R75"/>
    </row>
    <row r="76" spans="1:20" s="1" customFormat="1" ht="17" thickTop="1" x14ac:dyDescent="0.2">
      <c r="A76" s="7"/>
      <c r="B76" s="18" t="s">
        <v>378</v>
      </c>
      <c r="C76" s="22"/>
      <c r="D76" s="17"/>
      <c r="E76" s="143"/>
      <c r="F76" s="143"/>
      <c r="G76" s="143"/>
      <c r="H76" s="143" t="e">
        <f t="shared" ref="H76:O76" ca="1" si="23">H65/H71</f>
        <v>#REF!</v>
      </c>
      <c r="I76" s="143" t="e">
        <f t="shared" ca="1" si="23"/>
        <v>#REF!</v>
      </c>
      <c r="J76" s="143" t="e">
        <f t="shared" ca="1" si="23"/>
        <v>#REF!</v>
      </c>
      <c r="K76" s="143" t="e">
        <f t="shared" ca="1" si="23"/>
        <v>#REF!</v>
      </c>
      <c r="L76" s="143" t="e">
        <f t="shared" ca="1" si="23"/>
        <v>#REF!</v>
      </c>
      <c r="M76" s="143" t="e">
        <f t="shared" ca="1" si="23"/>
        <v>#REF!</v>
      </c>
      <c r="N76" s="143" t="e">
        <f t="shared" ca="1" si="23"/>
        <v>#REF!</v>
      </c>
      <c r="O76" s="143" t="e">
        <f t="shared" ca="1" si="23"/>
        <v>#REF!</v>
      </c>
      <c r="P76" s="143" t="e">
        <f ca="1">P65/P71</f>
        <v>#REF!</v>
      </c>
      <c r="Q76" s="17"/>
      <c r="R76"/>
    </row>
    <row r="77" spans="1:20" s="1" customFormat="1" hidden="1" x14ac:dyDescent="0.2">
      <c r="A77" s="7"/>
      <c r="B77" s="18" t="s">
        <v>379</v>
      </c>
      <c r="C77" s="22"/>
      <c r="D77" s="17"/>
      <c r="E77" s="144"/>
      <c r="F77" s="144"/>
      <c r="G77" s="144"/>
      <c r="H77" s="145" t="e">
        <f t="shared" ref="H77:O77" ca="1" si="24">H72/H65</f>
        <v>#REF!</v>
      </c>
      <c r="I77" s="145" t="e">
        <f t="shared" ca="1" si="24"/>
        <v>#REF!</v>
      </c>
      <c r="J77" s="145" t="e">
        <f t="shared" ca="1" si="24"/>
        <v>#REF!</v>
      </c>
      <c r="K77" s="145" t="e">
        <f t="shared" ca="1" si="24"/>
        <v>#REF!</v>
      </c>
      <c r="L77" s="145" t="e">
        <f t="shared" ca="1" si="24"/>
        <v>#REF!</v>
      </c>
      <c r="M77" s="145" t="e">
        <f t="shared" ca="1" si="24"/>
        <v>#REF!</v>
      </c>
      <c r="N77" s="145" t="e">
        <f t="shared" ca="1" si="24"/>
        <v>#REF!</v>
      </c>
      <c r="O77" s="145" t="e">
        <f t="shared" ca="1" si="24"/>
        <v>#REF!</v>
      </c>
      <c r="P77" s="145"/>
      <c r="Q77" s="17"/>
      <c r="R77"/>
    </row>
    <row r="78" spans="1:20" s="1" customFormat="1" x14ac:dyDescent="0.2">
      <c r="A78" s="7"/>
      <c r="B78" s="18" t="s">
        <v>380</v>
      </c>
      <c r="C78" s="22"/>
      <c r="D78" s="17"/>
      <c r="E78" s="144"/>
      <c r="F78" s="144"/>
      <c r="G78" s="144"/>
      <c r="H78" s="143" t="e">
        <f t="shared" ref="H78:P78" ca="1" si="25">H65/$Q$69</f>
        <v>#REF!</v>
      </c>
      <c r="I78" s="143" t="e">
        <f t="shared" ca="1" si="25"/>
        <v>#REF!</v>
      </c>
      <c r="J78" s="143" t="e">
        <f t="shared" ca="1" si="25"/>
        <v>#REF!</v>
      </c>
      <c r="K78" s="143" t="e">
        <f t="shared" ca="1" si="25"/>
        <v>#REF!</v>
      </c>
      <c r="L78" s="143" t="e">
        <f t="shared" ca="1" si="25"/>
        <v>#REF!</v>
      </c>
      <c r="M78" s="143" t="e">
        <f t="shared" ca="1" si="25"/>
        <v>#REF!</v>
      </c>
      <c r="N78" s="143" t="e">
        <f t="shared" ca="1" si="25"/>
        <v>#REF!</v>
      </c>
      <c r="O78" s="143" t="e">
        <f t="shared" ca="1" si="25"/>
        <v>#REF!</v>
      </c>
      <c r="P78" s="143" t="e">
        <f t="shared" ca="1" si="25"/>
        <v>#REF!</v>
      </c>
      <c r="Q78" s="17"/>
      <c r="R78"/>
    </row>
    <row r="79" spans="1:20" s="1" customFormat="1" ht="5.25" customHeight="1" x14ac:dyDescent="0.2">
      <c r="A79" s="7"/>
      <c r="B79" s="18"/>
      <c r="C79" s="22"/>
      <c r="D79" s="17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17"/>
      <c r="R79"/>
    </row>
    <row r="80" spans="1:20" s="1" customFormat="1" x14ac:dyDescent="0.2">
      <c r="A80" s="7"/>
      <c r="B80" s="98" t="s">
        <v>368</v>
      </c>
      <c r="C80" s="99"/>
      <c r="D80" s="100"/>
      <c r="E80" s="100"/>
      <c r="F80" s="100">
        <f t="shared" ref="F80:P80" si="26">SUM(F72:F74)</f>
        <v>1077500</v>
      </c>
      <c r="G80" s="100">
        <f t="shared" si="26"/>
        <v>2137500</v>
      </c>
      <c r="H80" s="100">
        <f t="shared" si="26"/>
        <v>2212500</v>
      </c>
      <c r="I80" s="100">
        <f t="shared" si="26"/>
        <v>2212500</v>
      </c>
      <c r="J80" s="100">
        <f t="shared" si="26"/>
        <v>2212500</v>
      </c>
      <c r="K80" s="100">
        <f t="shared" si="26"/>
        <v>2212500</v>
      </c>
      <c r="L80" s="100">
        <f t="shared" si="26"/>
        <v>2212500</v>
      </c>
      <c r="M80" s="100">
        <f t="shared" si="26"/>
        <v>2212500</v>
      </c>
      <c r="N80" s="100">
        <f t="shared" si="26"/>
        <v>2212500</v>
      </c>
      <c r="O80" s="100">
        <f t="shared" si="26"/>
        <v>2212500</v>
      </c>
      <c r="P80" s="100">
        <f t="shared" si="26"/>
        <v>2212500</v>
      </c>
      <c r="Q80" s="131"/>
      <c r="R80"/>
    </row>
    <row r="81" spans="1:43" s="1" customFormat="1" x14ac:dyDescent="0.2">
      <c r="A81" s="7"/>
      <c r="B81" s="18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43" x14ac:dyDescent="0.2">
      <c r="B82" s="59" t="s">
        <v>381</v>
      </c>
      <c r="C82" s="60"/>
      <c r="D82" s="60"/>
      <c r="E82" s="60"/>
      <c r="F82" s="60"/>
      <c r="G82" s="60"/>
      <c r="H82" s="60"/>
      <c r="I82" s="60"/>
      <c r="J82" s="60"/>
      <c r="K82" s="60"/>
      <c r="L82" s="60"/>
      <c r="M82" s="60"/>
      <c r="N82" s="60"/>
      <c r="O82" s="60"/>
      <c r="P82" s="60"/>
      <c r="Q82" s="6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</row>
    <row r="83" spans="1:43" s="1" customFormat="1" x14ac:dyDescent="0.2">
      <c r="A83" s="7"/>
      <c r="B83" s="37" t="s">
        <v>382</v>
      </c>
      <c r="C83" s="224">
        <v>6.5000000000000002E-2</v>
      </c>
      <c r="D83" t="s">
        <v>383</v>
      </c>
      <c r="E83" s="17"/>
      <c r="F83" s="17" t="e">
        <f ca="1">F65/$C$83</f>
        <v>#REF!</v>
      </c>
      <c r="G83" s="17" t="e">
        <f t="shared" ref="G83:P83" ca="1" si="27">G65/$C$83</f>
        <v>#REF!</v>
      </c>
      <c r="H83" s="17" t="e">
        <f t="shared" ca="1" si="27"/>
        <v>#REF!</v>
      </c>
      <c r="I83" s="17" t="e">
        <f t="shared" ca="1" si="27"/>
        <v>#REF!</v>
      </c>
      <c r="J83" s="17" t="e">
        <f t="shared" ca="1" si="27"/>
        <v>#REF!</v>
      </c>
      <c r="K83" s="17" t="e">
        <f t="shared" ca="1" si="27"/>
        <v>#REF!</v>
      </c>
      <c r="L83" s="17" t="e">
        <f t="shared" ca="1" si="27"/>
        <v>#REF!</v>
      </c>
      <c r="M83" s="17" t="e">
        <f t="shared" ca="1" si="27"/>
        <v>#REF!</v>
      </c>
      <c r="N83" s="17" t="e">
        <f t="shared" ca="1" si="27"/>
        <v>#REF!</v>
      </c>
      <c r="O83" s="17" t="e">
        <f t="shared" ca="1" si="27"/>
        <v>#REF!</v>
      </c>
      <c r="P83" s="17" t="e">
        <f t="shared" ca="1" si="27"/>
        <v>#REF!</v>
      </c>
      <c r="Q83"/>
      <c r="R83"/>
    </row>
    <row r="84" spans="1:43" s="1" customFormat="1" x14ac:dyDescent="0.2">
      <c r="A84" s="7"/>
      <c r="B84" s="18" t="s">
        <v>384</v>
      </c>
      <c r="C84" s="224">
        <v>0.05</v>
      </c>
      <c r="D84" t="s">
        <v>385</v>
      </c>
      <c r="E84" s="17"/>
      <c r="F84" s="17" t="e">
        <f ca="1">F83*$C$84</f>
        <v>#REF!</v>
      </c>
      <c r="G84" s="17" t="e">
        <f t="shared" ref="G84:P84" ca="1" si="28">G83*$C$84</f>
        <v>#REF!</v>
      </c>
      <c r="H84" s="17" t="e">
        <f t="shared" ca="1" si="28"/>
        <v>#REF!</v>
      </c>
      <c r="I84" s="17" t="e">
        <f t="shared" ca="1" si="28"/>
        <v>#REF!</v>
      </c>
      <c r="J84" s="17" t="e">
        <f t="shared" ca="1" si="28"/>
        <v>#REF!</v>
      </c>
      <c r="K84" s="17" t="e">
        <f t="shared" ca="1" si="28"/>
        <v>#REF!</v>
      </c>
      <c r="L84" s="17" t="e">
        <f t="shared" ca="1" si="28"/>
        <v>#REF!</v>
      </c>
      <c r="M84" s="17" t="e">
        <f t="shared" ca="1" si="28"/>
        <v>#REF!</v>
      </c>
      <c r="N84" s="17" t="e">
        <f t="shared" ca="1" si="28"/>
        <v>#REF!</v>
      </c>
      <c r="O84" s="17" t="e">
        <f t="shared" ca="1" si="28"/>
        <v>#REF!</v>
      </c>
      <c r="P84" s="17" t="e">
        <f t="shared" ca="1" si="28"/>
        <v>#REF!</v>
      </c>
      <c r="Q84"/>
      <c r="R84"/>
    </row>
    <row r="85" spans="1:43" s="1" customFormat="1" x14ac:dyDescent="0.2">
      <c r="A85" s="7"/>
      <c r="B85" s="37" t="s">
        <v>386</v>
      </c>
      <c r="C85"/>
      <c r="D85"/>
      <c r="E85" s="17"/>
      <c r="F85" s="17">
        <f t="shared" ref="F85:P85" si="29">F71</f>
        <v>6500000</v>
      </c>
      <c r="G85" s="17">
        <f t="shared" si="29"/>
        <v>28500000</v>
      </c>
      <c r="H85" s="17">
        <f t="shared" si="29"/>
        <v>29500000</v>
      </c>
      <c r="I85" s="17">
        <f t="shared" si="29"/>
        <v>29500000</v>
      </c>
      <c r="J85" s="17">
        <f t="shared" si="29"/>
        <v>29500000</v>
      </c>
      <c r="K85" s="17">
        <f t="shared" si="29"/>
        <v>29500000</v>
      </c>
      <c r="L85" s="17">
        <f t="shared" si="29"/>
        <v>29500000</v>
      </c>
      <c r="M85" s="17">
        <f t="shared" si="29"/>
        <v>29500000</v>
      </c>
      <c r="N85" s="17">
        <f t="shared" si="29"/>
        <v>29500000</v>
      </c>
      <c r="O85" s="17">
        <f t="shared" si="29"/>
        <v>29500000</v>
      </c>
      <c r="P85" s="17">
        <f t="shared" si="29"/>
        <v>29500000</v>
      </c>
      <c r="Q85"/>
      <c r="R85"/>
    </row>
    <row r="86" spans="1:43" s="1" customFormat="1" x14ac:dyDescent="0.2">
      <c r="A86" s="7"/>
      <c r="B86" s="37" t="s">
        <v>387</v>
      </c>
      <c r="C86"/>
      <c r="D86"/>
      <c r="E86" s="100"/>
      <c r="F86" s="100" t="e">
        <f t="shared" ref="F86:P86" ca="1" si="30">F83-F84-F85</f>
        <v>#REF!</v>
      </c>
      <c r="G86" s="100" t="e">
        <f t="shared" ca="1" si="30"/>
        <v>#REF!</v>
      </c>
      <c r="H86" s="100" t="e">
        <f t="shared" ca="1" si="30"/>
        <v>#REF!</v>
      </c>
      <c r="I86" s="100" t="e">
        <f t="shared" ca="1" si="30"/>
        <v>#REF!</v>
      </c>
      <c r="J86" s="100" t="e">
        <f t="shared" ca="1" si="30"/>
        <v>#REF!</v>
      </c>
      <c r="K86" s="100" t="e">
        <f t="shared" ca="1" si="30"/>
        <v>#REF!</v>
      </c>
      <c r="L86" s="100" t="e">
        <f t="shared" ca="1" si="30"/>
        <v>#REF!</v>
      </c>
      <c r="M86" s="100" t="e">
        <f t="shared" ca="1" si="30"/>
        <v>#REF!</v>
      </c>
      <c r="N86" s="100" t="e">
        <f t="shared" ca="1" si="30"/>
        <v>#REF!</v>
      </c>
      <c r="O86" s="100" t="e">
        <f t="shared" ca="1" si="30"/>
        <v>#REF!</v>
      </c>
      <c r="P86" s="100" t="e">
        <f t="shared" ca="1" si="30"/>
        <v>#REF!</v>
      </c>
      <c r="Q86"/>
      <c r="R86"/>
    </row>
    <row r="87" spans="1:43" s="1" customFormat="1" ht="5.25" customHeight="1" x14ac:dyDescent="0.2">
      <c r="A87" s="7"/>
      <c r="B87" s="18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43" s="1" customFormat="1" x14ac:dyDescent="0.2">
      <c r="A88" s="7"/>
      <c r="B88" s="98" t="s">
        <v>388</v>
      </c>
      <c r="C88" s="99"/>
      <c r="D88" s="100"/>
      <c r="E88" s="100"/>
      <c r="F88" s="100" t="e">
        <f t="shared" ref="F88:P88" ca="1" si="31">F75+F86</f>
        <v>#REF!</v>
      </c>
      <c r="G88" s="100" t="e">
        <f t="shared" ca="1" si="31"/>
        <v>#REF!</v>
      </c>
      <c r="H88" s="100" t="e">
        <f t="shared" ca="1" si="31"/>
        <v>#REF!</v>
      </c>
      <c r="I88" s="100" t="e">
        <f t="shared" ca="1" si="31"/>
        <v>#REF!</v>
      </c>
      <c r="J88" s="100" t="e">
        <f t="shared" ca="1" si="31"/>
        <v>#REF!</v>
      </c>
      <c r="K88" s="100" t="e">
        <f t="shared" ca="1" si="31"/>
        <v>#REF!</v>
      </c>
      <c r="L88" s="100" t="e">
        <f t="shared" ca="1" si="31"/>
        <v>#REF!</v>
      </c>
      <c r="M88" s="100" t="e">
        <f t="shared" ca="1" si="31"/>
        <v>#REF!</v>
      </c>
      <c r="N88" s="100" t="e">
        <f t="shared" ca="1" si="31"/>
        <v>#REF!</v>
      </c>
      <c r="O88" s="100" t="e">
        <f t="shared" ca="1" si="31"/>
        <v>#REF!</v>
      </c>
      <c r="P88" s="100" t="e">
        <f t="shared" ca="1" si="31"/>
        <v>#REF!</v>
      </c>
      <c r="Q88" s="131"/>
      <c r="R88"/>
    </row>
    <row r="89" spans="1:43" x14ac:dyDescent="0.2">
      <c r="A89"/>
      <c r="B89" s="9"/>
      <c r="Q89" s="122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</row>
    <row r="90" spans="1:43" x14ac:dyDescent="0.2">
      <c r="B90" s="59" t="s">
        <v>389</v>
      </c>
      <c r="C90" s="60"/>
      <c r="D90" s="60"/>
      <c r="E90" s="60"/>
      <c r="F90" s="60"/>
      <c r="G90" s="60"/>
      <c r="H90" s="60"/>
      <c r="I90" s="60"/>
      <c r="J90" s="60"/>
      <c r="K90" s="60"/>
      <c r="L90" s="60"/>
      <c r="M90" s="60"/>
      <c r="N90" s="60"/>
      <c r="O90" s="60"/>
      <c r="P90" s="60"/>
      <c r="Q90" s="6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</row>
    <row r="91" spans="1:43" x14ac:dyDescent="0.2">
      <c r="B91" s="125" t="s">
        <v>390</v>
      </c>
      <c r="E91" s="17"/>
      <c r="F91" s="17">
        <f>-$E$69+$E$75</f>
        <v>-496894.99844250007</v>
      </c>
      <c r="G91" s="17">
        <f t="shared" ref="G91:L91" si="32">-$E$69+$E$75</f>
        <v>-496894.99844250007</v>
      </c>
      <c r="H91" s="17">
        <f t="shared" si="32"/>
        <v>-496894.99844250007</v>
      </c>
      <c r="I91" s="17">
        <f t="shared" si="32"/>
        <v>-496894.99844250007</v>
      </c>
      <c r="J91" s="17">
        <f t="shared" si="32"/>
        <v>-496894.99844250007</v>
      </c>
      <c r="K91" s="17">
        <f t="shared" si="32"/>
        <v>-496894.99844250007</v>
      </c>
      <c r="L91" s="17">
        <f t="shared" si="32"/>
        <v>-496894.99844250007</v>
      </c>
      <c r="M91" s="17">
        <f t="shared" ref="M91:P91" si="33">-$F$69</f>
        <v>-4000000</v>
      </c>
      <c r="N91" s="17">
        <f t="shared" si="33"/>
        <v>-4000000</v>
      </c>
      <c r="O91" s="17">
        <f t="shared" si="33"/>
        <v>-4000000</v>
      </c>
      <c r="P91" s="17">
        <f t="shared" si="33"/>
        <v>-4000000</v>
      </c>
      <c r="Q91" s="122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</row>
    <row r="92" spans="1:43" x14ac:dyDescent="0.2">
      <c r="A92"/>
      <c r="B92" s="125" t="s">
        <v>391</v>
      </c>
      <c r="E92" s="17"/>
      <c r="F92" s="17" t="e">
        <f ca="1">F88</f>
        <v>#REF!</v>
      </c>
      <c r="G92" s="17" t="e">
        <f t="shared" ref="G92:P92" ca="1" si="34">$F$75</f>
        <v>#REF!</v>
      </c>
      <c r="H92" s="17" t="e">
        <f t="shared" ca="1" si="34"/>
        <v>#REF!</v>
      </c>
      <c r="I92" s="17" t="e">
        <f t="shared" ca="1" si="34"/>
        <v>#REF!</v>
      </c>
      <c r="J92" s="17" t="e">
        <f t="shared" ca="1" si="34"/>
        <v>#REF!</v>
      </c>
      <c r="K92" s="17" t="e">
        <f t="shared" ca="1" si="34"/>
        <v>#REF!</v>
      </c>
      <c r="L92" s="17" t="e">
        <f t="shared" ca="1" si="34"/>
        <v>#REF!</v>
      </c>
      <c r="M92" s="17" t="e">
        <f t="shared" ca="1" si="34"/>
        <v>#REF!</v>
      </c>
      <c r="N92" s="17" t="e">
        <f t="shared" ca="1" si="34"/>
        <v>#REF!</v>
      </c>
      <c r="O92" s="17" t="e">
        <f t="shared" ca="1" si="34"/>
        <v>#REF!</v>
      </c>
      <c r="P92" s="17" t="e">
        <f t="shared" ca="1" si="34"/>
        <v>#REF!</v>
      </c>
      <c r="Q92" s="122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</row>
    <row r="93" spans="1:43" x14ac:dyDescent="0.2">
      <c r="A93"/>
      <c r="B93" s="125" t="s">
        <v>392</v>
      </c>
      <c r="G93" s="17" t="e">
        <f ca="1">G88</f>
        <v>#REF!</v>
      </c>
      <c r="H93" s="17" t="e">
        <f ca="1">$G$75</f>
        <v>#REF!</v>
      </c>
      <c r="I93" s="17" t="e">
        <f t="shared" ref="I93:P93" ca="1" si="35">$G$75</f>
        <v>#REF!</v>
      </c>
      <c r="J93" s="17" t="e">
        <f t="shared" ca="1" si="35"/>
        <v>#REF!</v>
      </c>
      <c r="K93" s="17" t="e">
        <f t="shared" ca="1" si="35"/>
        <v>#REF!</v>
      </c>
      <c r="L93" s="17" t="e">
        <f t="shared" ca="1" si="35"/>
        <v>#REF!</v>
      </c>
      <c r="M93" s="17" t="e">
        <f t="shared" ca="1" si="35"/>
        <v>#REF!</v>
      </c>
      <c r="N93" s="17" t="e">
        <f t="shared" ca="1" si="35"/>
        <v>#REF!</v>
      </c>
      <c r="O93" s="17" t="e">
        <f t="shared" ca="1" si="35"/>
        <v>#REF!</v>
      </c>
      <c r="P93" s="17" t="e">
        <f t="shared" ca="1" si="35"/>
        <v>#REF!</v>
      </c>
      <c r="Q93" s="122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</row>
    <row r="94" spans="1:43" x14ac:dyDescent="0.2">
      <c r="A94"/>
      <c r="B94" s="125" t="s">
        <v>393</v>
      </c>
      <c r="H94" s="17" t="e">
        <f ca="1">H88</f>
        <v>#REF!</v>
      </c>
      <c r="I94" s="17" t="e">
        <f ca="1">$H$75</f>
        <v>#REF!</v>
      </c>
      <c r="J94" s="17" t="e">
        <f t="shared" ref="J94:P94" ca="1" si="36">$H$75</f>
        <v>#REF!</v>
      </c>
      <c r="K94" s="17" t="e">
        <f t="shared" ca="1" si="36"/>
        <v>#REF!</v>
      </c>
      <c r="L94" s="17" t="e">
        <f t="shared" ca="1" si="36"/>
        <v>#REF!</v>
      </c>
      <c r="M94" s="17" t="e">
        <f t="shared" ca="1" si="36"/>
        <v>#REF!</v>
      </c>
      <c r="N94" s="17" t="e">
        <f t="shared" ca="1" si="36"/>
        <v>#REF!</v>
      </c>
      <c r="O94" s="17" t="e">
        <f t="shared" ca="1" si="36"/>
        <v>#REF!</v>
      </c>
      <c r="P94" s="17" t="e">
        <f t="shared" ca="1" si="36"/>
        <v>#REF!</v>
      </c>
      <c r="Q94" s="122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</row>
    <row r="95" spans="1:43" x14ac:dyDescent="0.2">
      <c r="A95"/>
      <c r="B95" s="125" t="s">
        <v>394</v>
      </c>
      <c r="I95" s="17" t="e">
        <f ca="1">I88</f>
        <v>#REF!</v>
      </c>
      <c r="J95" s="17" t="e">
        <f ca="1">$I$75</f>
        <v>#REF!</v>
      </c>
      <c r="K95" s="17" t="e">
        <f t="shared" ref="K95:P95" ca="1" si="37">$I$75</f>
        <v>#REF!</v>
      </c>
      <c r="L95" s="17" t="e">
        <f t="shared" ca="1" si="37"/>
        <v>#REF!</v>
      </c>
      <c r="M95" s="17" t="e">
        <f t="shared" ca="1" si="37"/>
        <v>#REF!</v>
      </c>
      <c r="N95" s="17" t="e">
        <f t="shared" ca="1" si="37"/>
        <v>#REF!</v>
      </c>
      <c r="O95" s="17" t="e">
        <f t="shared" ca="1" si="37"/>
        <v>#REF!</v>
      </c>
      <c r="P95" s="17" t="e">
        <f t="shared" ca="1" si="37"/>
        <v>#REF!</v>
      </c>
      <c r="Q95" s="122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</row>
    <row r="96" spans="1:43" x14ac:dyDescent="0.2">
      <c r="A96"/>
      <c r="B96" s="125" t="s">
        <v>395</v>
      </c>
      <c r="J96" s="17" t="e">
        <f ca="1">$J$88</f>
        <v>#REF!</v>
      </c>
      <c r="K96" s="17" t="e">
        <f t="shared" ref="K96:P96" ca="1" si="38">$J$75</f>
        <v>#REF!</v>
      </c>
      <c r="L96" s="17" t="e">
        <f t="shared" ca="1" si="38"/>
        <v>#REF!</v>
      </c>
      <c r="M96" s="17" t="e">
        <f t="shared" ca="1" si="38"/>
        <v>#REF!</v>
      </c>
      <c r="N96" s="17" t="e">
        <f t="shared" ca="1" si="38"/>
        <v>#REF!</v>
      </c>
      <c r="O96" s="17" t="e">
        <f t="shared" ca="1" si="38"/>
        <v>#REF!</v>
      </c>
      <c r="P96" s="17" t="e">
        <f t="shared" ca="1" si="38"/>
        <v>#REF!</v>
      </c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</row>
    <row r="97" spans="1:43" x14ac:dyDescent="0.2">
      <c r="A97"/>
      <c r="B97" s="125" t="s">
        <v>396</v>
      </c>
      <c r="K97" s="17" t="e">
        <f ca="1">$K$88</f>
        <v>#REF!</v>
      </c>
      <c r="L97" s="17" t="e">
        <f ca="1">$K$75</f>
        <v>#REF!</v>
      </c>
      <c r="M97" s="17" t="e">
        <f ca="1">$K$75</f>
        <v>#REF!</v>
      </c>
      <c r="N97" s="17" t="e">
        <f ca="1">$K$75</f>
        <v>#REF!</v>
      </c>
      <c r="O97" s="17" t="e">
        <f ca="1">$K$75</f>
        <v>#REF!</v>
      </c>
      <c r="P97" s="17" t="e">
        <f ca="1">$K$75</f>
        <v>#REF!</v>
      </c>
      <c r="Q97" s="122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</row>
    <row r="98" spans="1:43" x14ac:dyDescent="0.2">
      <c r="A98"/>
      <c r="B98" s="125" t="s">
        <v>397</v>
      </c>
      <c r="L98" s="17" t="e">
        <f ca="1">$L$88</f>
        <v>#REF!</v>
      </c>
      <c r="M98" s="17" t="e">
        <f ca="1">$L$75</f>
        <v>#REF!</v>
      </c>
      <c r="N98" s="17" t="e">
        <f ca="1">$L$75</f>
        <v>#REF!</v>
      </c>
      <c r="O98" s="17" t="e">
        <f ca="1">$L$75</f>
        <v>#REF!</v>
      </c>
      <c r="P98" s="17" t="e">
        <f ca="1">$L$75</f>
        <v>#REF!</v>
      </c>
      <c r="Q98" s="122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</row>
    <row r="99" spans="1:43" x14ac:dyDescent="0.2">
      <c r="A99"/>
      <c r="B99" s="125" t="s">
        <v>398</v>
      </c>
      <c r="M99" s="17" t="e">
        <f ca="1">$M$88</f>
        <v>#REF!</v>
      </c>
      <c r="N99" s="17" t="e">
        <f ca="1">$M$75</f>
        <v>#REF!</v>
      </c>
      <c r="O99" s="17" t="e">
        <f ca="1">$M$75</f>
        <v>#REF!</v>
      </c>
      <c r="P99" s="17" t="e">
        <f ca="1">$M$75</f>
        <v>#REF!</v>
      </c>
      <c r="Q99" s="122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</row>
    <row r="100" spans="1:43" x14ac:dyDescent="0.2">
      <c r="A100"/>
      <c r="B100" s="125" t="s">
        <v>399</v>
      </c>
      <c r="N100" s="17" t="e">
        <f ca="1">$N$88</f>
        <v>#REF!</v>
      </c>
      <c r="O100" s="17" t="e">
        <f ca="1">$N$75</f>
        <v>#REF!</v>
      </c>
      <c r="P100" s="17" t="e">
        <f ca="1">$N$75</f>
        <v>#REF!</v>
      </c>
      <c r="Q100" s="122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</row>
    <row r="101" spans="1:43" s="1" customFormat="1" x14ac:dyDescent="0.2">
      <c r="A101" s="7"/>
      <c r="B101" s="125" t="s">
        <v>400</v>
      </c>
      <c r="C101"/>
      <c r="D101"/>
      <c r="E101"/>
      <c r="F101"/>
      <c r="G101"/>
      <c r="H101"/>
      <c r="I101"/>
      <c r="J101"/>
      <c r="K101"/>
      <c r="L101"/>
      <c r="M101"/>
      <c r="N101"/>
      <c r="O101" s="17" t="e">
        <f ca="1">$O$88</f>
        <v>#REF!</v>
      </c>
      <c r="P101" s="17" t="e">
        <f ca="1">$O$75</f>
        <v>#REF!</v>
      </c>
      <c r="Q101"/>
      <c r="R101"/>
    </row>
    <row r="102" spans="1:43" s="1" customFormat="1" x14ac:dyDescent="0.2">
      <c r="A102" s="7"/>
      <c r="B102" s="125" t="s">
        <v>401</v>
      </c>
      <c r="C102"/>
      <c r="D102"/>
      <c r="E102"/>
      <c r="F102"/>
      <c r="G102"/>
      <c r="H102"/>
      <c r="I102"/>
      <c r="J102"/>
      <c r="K102"/>
      <c r="L102"/>
      <c r="M102"/>
      <c r="N102"/>
      <c r="O102"/>
      <c r="P102" s="17" t="e">
        <f ca="1">$P$88</f>
        <v>#REF!</v>
      </c>
      <c r="Q102"/>
      <c r="R102"/>
    </row>
    <row r="103" spans="1:43" hidden="1" x14ac:dyDescent="0.2">
      <c r="B103" s="125" t="s">
        <v>402</v>
      </c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</row>
    <row r="104" spans="1:43" s="1" customFormat="1" hidden="1" x14ac:dyDescent="0.2">
      <c r="A104" s="7"/>
      <c r="B104" s="125" t="s">
        <v>403</v>
      </c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43" hidden="1" x14ac:dyDescent="0.2">
      <c r="B105" s="125" t="s">
        <v>404</v>
      </c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</row>
    <row r="106" spans="1:43" ht="5.25" customHeight="1" x14ac:dyDescent="0.2">
      <c r="B106" s="133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</row>
    <row r="107" spans="1:43" x14ac:dyDescent="0.2">
      <c r="B107" s="133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</row>
    <row r="108" spans="1:43" x14ac:dyDescent="0.2">
      <c r="B108" s="146" t="s">
        <v>405</v>
      </c>
      <c r="C108" s="98"/>
      <c r="D108" s="98"/>
      <c r="E108" s="149"/>
      <c r="F108" s="149"/>
      <c r="G108" s="149"/>
      <c r="H108" s="149"/>
      <c r="I108" s="149" t="e">
        <f t="shared" ref="I108" ca="1" si="39">IRR(I91:I96)</f>
        <v>#VALUE!</v>
      </c>
      <c r="J108" s="149" t="e">
        <f ca="1">IRR(J91:J96)</f>
        <v>#VALUE!</v>
      </c>
      <c r="K108" s="149" t="e">
        <f ca="1">IRR(K91:K97)</f>
        <v>#VALUE!</v>
      </c>
      <c r="L108" s="150" t="e">
        <f ca="1">IRR(L91:L98)</f>
        <v>#VALUE!</v>
      </c>
      <c r="M108" s="149" t="e">
        <f ca="1">IRR(M91:M99)</f>
        <v>#VALUE!</v>
      </c>
      <c r="N108" s="149" t="e">
        <f ca="1">IRR(N91:N100)</f>
        <v>#VALUE!</v>
      </c>
      <c r="O108" s="149" t="e">
        <f ca="1">IRR(O91:O101)</f>
        <v>#VALUE!</v>
      </c>
      <c r="P108" s="150" t="e">
        <f ca="1">IRR(P91:P102)</f>
        <v>#VALUE!</v>
      </c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</row>
    <row r="109" spans="1:43" x14ac:dyDescent="0.2">
      <c r="B109" s="147" t="s">
        <v>406</v>
      </c>
      <c r="C109" s="8"/>
      <c r="D109" s="8"/>
      <c r="E109" s="151"/>
      <c r="F109" s="151"/>
      <c r="G109" s="151"/>
      <c r="H109" s="151" t="e">
        <f t="shared" ref="H109:O109" ca="1" si="40">H78</f>
        <v>#REF!</v>
      </c>
      <c r="I109" s="151" t="e">
        <f t="shared" ca="1" si="40"/>
        <v>#REF!</v>
      </c>
      <c r="J109" s="151" t="e">
        <f t="shared" ca="1" si="40"/>
        <v>#REF!</v>
      </c>
      <c r="K109" s="151" t="e">
        <f t="shared" ca="1" si="40"/>
        <v>#REF!</v>
      </c>
      <c r="L109" s="152" t="e">
        <f t="shared" ca="1" si="40"/>
        <v>#REF!</v>
      </c>
      <c r="M109" s="151" t="e">
        <f t="shared" ca="1" si="40"/>
        <v>#REF!</v>
      </c>
      <c r="N109" s="151" t="e">
        <f t="shared" ca="1" si="40"/>
        <v>#REF!</v>
      </c>
      <c r="O109" s="151" t="e">
        <f t="shared" ca="1" si="40"/>
        <v>#REF!</v>
      </c>
      <c r="P109" s="152" t="e">
        <f ca="1">P78</f>
        <v>#REF!</v>
      </c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</row>
    <row r="110" spans="1:43" x14ac:dyDescent="0.2">
      <c r="B110" s="147" t="s">
        <v>407</v>
      </c>
      <c r="C110" s="8"/>
      <c r="D110" s="8"/>
      <c r="E110" s="44">
        <f t="shared" ref="E110:P110" si="41">E65-(SUM(E68:E69))</f>
        <v>-500000</v>
      </c>
      <c r="F110" s="44" t="e">
        <f t="shared" ca="1" si="41"/>
        <v>#REF!</v>
      </c>
      <c r="G110" s="44" t="e">
        <f t="shared" ca="1" si="41"/>
        <v>#REF!</v>
      </c>
      <c r="H110" s="44" t="e">
        <f t="shared" ca="1" si="41"/>
        <v>#REF!</v>
      </c>
      <c r="I110" s="44" t="e">
        <f t="shared" ca="1" si="41"/>
        <v>#REF!</v>
      </c>
      <c r="J110" s="44" t="e">
        <f t="shared" ca="1" si="41"/>
        <v>#REF!</v>
      </c>
      <c r="K110" s="44" t="e">
        <f t="shared" ca="1" si="41"/>
        <v>#REF!</v>
      </c>
      <c r="L110" s="153" t="e">
        <f t="shared" ca="1" si="41"/>
        <v>#REF!</v>
      </c>
      <c r="M110" s="44" t="e">
        <f t="shared" ca="1" si="41"/>
        <v>#REF!</v>
      </c>
      <c r="N110" s="44" t="e">
        <f t="shared" ca="1" si="41"/>
        <v>#REF!</v>
      </c>
      <c r="O110" s="44" t="e">
        <f t="shared" ca="1" si="41"/>
        <v>#REF!</v>
      </c>
      <c r="P110" s="153" t="e">
        <f t="shared" ca="1" si="41"/>
        <v>#REF!</v>
      </c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</row>
    <row r="111" spans="1:43" x14ac:dyDescent="0.2">
      <c r="B111" s="148" t="s">
        <v>408</v>
      </c>
      <c r="C111" s="154"/>
      <c r="D111" s="154"/>
      <c r="E111" s="156" t="e">
        <f ca="1">IRR(E110:P110)</f>
        <v>#VALUE!</v>
      </c>
      <c r="F111" s="154"/>
      <c r="G111" s="154"/>
      <c r="H111" s="154"/>
      <c r="I111" s="154"/>
      <c r="J111" s="154"/>
      <c r="K111" s="154"/>
      <c r="L111" s="155"/>
      <c r="M111" s="154"/>
      <c r="N111" s="154"/>
      <c r="O111" s="154"/>
      <c r="P111" s="155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</row>
    <row r="112" spans="1:43" x14ac:dyDescent="0.2"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</row>
    <row r="113" spans="1:43" x14ac:dyDescent="0.2"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</row>
    <row r="114" spans="1:43" hidden="1" x14ac:dyDescent="0.2"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</row>
    <row r="115" spans="1:43" hidden="1" x14ac:dyDescent="0.2"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</row>
    <row r="116" spans="1:43" ht="21" hidden="1" x14ac:dyDescent="0.25">
      <c r="B116" s="5" t="str">
        <f>B4</f>
        <v>CLARENDON - AMENITY DEVELOPMENT</v>
      </c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12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</row>
    <row r="117" spans="1:43" hidden="1" x14ac:dyDescent="0.2">
      <c r="B117" s="8" t="s">
        <v>251</v>
      </c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12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</row>
    <row r="118" spans="1:43" s="81" customFormat="1" ht="32.25" hidden="1" customHeight="1" x14ac:dyDescent="0.25">
      <c r="A118" s="106"/>
      <c r="B118" s="79" t="e">
        <f>#REF!</f>
        <v>#REF!</v>
      </c>
      <c r="C118" s="79"/>
      <c r="D118" s="80" t="e">
        <f>#REF!</f>
        <v>#REF!</v>
      </c>
      <c r="E118" s="80" t="e">
        <f>#REF!</f>
        <v>#REF!</v>
      </c>
      <c r="F118" s="80" t="e">
        <f>#REF!</f>
        <v>#REF!</v>
      </c>
      <c r="G118" s="80" t="e">
        <f>#REF!</f>
        <v>#REF!</v>
      </c>
      <c r="H118" s="80" t="e">
        <f>#REF!</f>
        <v>#REF!</v>
      </c>
      <c r="I118" s="80" t="e">
        <f>#REF!</f>
        <v>#REF!</v>
      </c>
      <c r="J118" s="80" t="e">
        <f>#REF!</f>
        <v>#REF!</v>
      </c>
      <c r="K118" s="80" t="e">
        <f>#REF!</f>
        <v>#REF!</v>
      </c>
      <c r="L118" s="80" t="e">
        <f>#REF!</f>
        <v>#REF!</v>
      </c>
      <c r="M118" s="80" t="e">
        <f>#REF!</f>
        <v>#REF!</v>
      </c>
      <c r="N118" s="80" t="e">
        <f>#REF!</f>
        <v>#REF!</v>
      </c>
      <c r="O118" s="80" t="e">
        <f>#REF!</f>
        <v>#REF!</v>
      </c>
      <c r="P118" s="80" t="e">
        <f>#REF!</f>
        <v>#REF!</v>
      </c>
      <c r="Q118" s="80" t="e">
        <f>#REF!</f>
        <v>#REF!</v>
      </c>
      <c r="S118" s="78"/>
      <c r="T118" s="78"/>
      <c r="U118" s="78"/>
      <c r="V118" s="78"/>
      <c r="W118" s="78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</row>
    <row r="119" spans="1:43" s="81" customFormat="1" ht="32.25" hidden="1" customHeight="1" x14ac:dyDescent="0.25">
      <c r="A119" s="106"/>
      <c r="B119" s="81" t="str">
        <f>B68</f>
        <v>PURSUIT CAPITAL</v>
      </c>
      <c r="C119" s="82"/>
      <c r="D119" s="83">
        <f t="shared" ref="D119:Q119" si="42">D68</f>
        <v>0</v>
      </c>
      <c r="E119" s="83">
        <f t="shared" si="42"/>
        <v>0</v>
      </c>
      <c r="F119" s="83">
        <f t="shared" si="42"/>
        <v>0</v>
      </c>
      <c r="G119" s="83">
        <f t="shared" si="42"/>
        <v>0</v>
      </c>
      <c r="H119" s="83">
        <f t="shared" si="42"/>
        <v>0</v>
      </c>
      <c r="I119" s="83">
        <f t="shared" si="42"/>
        <v>0</v>
      </c>
      <c r="J119" s="83">
        <f t="shared" si="42"/>
        <v>0</v>
      </c>
      <c r="K119" s="83">
        <f t="shared" si="42"/>
        <v>0</v>
      </c>
      <c r="L119" s="83">
        <f t="shared" si="42"/>
        <v>0</v>
      </c>
      <c r="M119" s="83">
        <f t="shared" si="42"/>
        <v>0</v>
      </c>
      <c r="N119" s="83">
        <f t="shared" si="42"/>
        <v>0</v>
      </c>
      <c r="O119" s="83">
        <f t="shared" si="42"/>
        <v>0</v>
      </c>
      <c r="P119" s="83">
        <f t="shared" si="42"/>
        <v>0</v>
      </c>
      <c r="Q119" s="83">
        <f t="shared" si="42"/>
        <v>0</v>
      </c>
      <c r="S119" s="78"/>
      <c r="T119" s="78"/>
      <c r="U119" s="78"/>
      <c r="V119" s="78"/>
      <c r="W119" s="78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</row>
    <row r="120" spans="1:43" s="81" customFormat="1" ht="32.25" hidden="1" customHeight="1" x14ac:dyDescent="0.25">
      <c r="A120" s="106"/>
      <c r="B120" s="81" t="str">
        <f>B69</f>
        <v>EQUITY CAPITAL</v>
      </c>
      <c r="C120" s="82"/>
      <c r="D120" s="83">
        <f t="shared" ref="D120:Q120" si="43">D69</f>
        <v>0</v>
      </c>
      <c r="E120" s="83">
        <f t="shared" si="43"/>
        <v>500000</v>
      </c>
      <c r="F120" s="83">
        <f t="shared" si="43"/>
        <v>4000000</v>
      </c>
      <c r="G120" s="83">
        <f t="shared" si="43"/>
        <v>5000000</v>
      </c>
      <c r="H120" s="83">
        <f t="shared" si="43"/>
        <v>0</v>
      </c>
      <c r="I120" s="83">
        <f t="shared" si="43"/>
        <v>0</v>
      </c>
      <c r="J120" s="83">
        <f t="shared" si="43"/>
        <v>0</v>
      </c>
      <c r="K120" s="83">
        <f t="shared" si="43"/>
        <v>0</v>
      </c>
      <c r="L120" s="83">
        <f t="shared" si="43"/>
        <v>0</v>
      </c>
      <c r="M120" s="83">
        <f t="shared" si="43"/>
        <v>0</v>
      </c>
      <c r="N120" s="83">
        <f t="shared" si="43"/>
        <v>0</v>
      </c>
      <c r="O120" s="83">
        <f t="shared" si="43"/>
        <v>0</v>
      </c>
      <c r="P120" s="83">
        <f t="shared" si="43"/>
        <v>0</v>
      </c>
      <c r="Q120" s="83">
        <f t="shared" si="43"/>
        <v>9500000</v>
      </c>
      <c r="S120" s="78"/>
      <c r="T120" s="78"/>
      <c r="U120" s="78"/>
      <c r="V120" s="78"/>
      <c r="W120" s="78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</row>
    <row r="121" spans="1:43" s="81" customFormat="1" ht="32.25" hidden="1" customHeight="1" x14ac:dyDescent="0.25">
      <c r="A121" s="106"/>
      <c r="B121" s="81" t="str">
        <f>B70</f>
        <v>NEW BANK DEBT</v>
      </c>
      <c r="C121" s="82"/>
      <c r="D121" s="83">
        <f t="shared" ref="D121:Q121" si="44">D70</f>
        <v>0</v>
      </c>
      <c r="E121" s="83">
        <f t="shared" si="44"/>
        <v>0</v>
      </c>
      <c r="F121" s="83">
        <f t="shared" si="44"/>
        <v>6500000</v>
      </c>
      <c r="G121" s="83">
        <f t="shared" si="44"/>
        <v>22000000</v>
      </c>
      <c r="H121" s="83">
        <f t="shared" si="44"/>
        <v>1000000</v>
      </c>
      <c r="I121" s="83">
        <f t="shared" si="44"/>
        <v>0</v>
      </c>
      <c r="J121" s="83">
        <f t="shared" si="44"/>
        <v>0</v>
      </c>
      <c r="K121" s="83">
        <f t="shared" si="44"/>
        <v>0</v>
      </c>
      <c r="L121" s="83">
        <f t="shared" si="44"/>
        <v>0</v>
      </c>
      <c r="M121" s="83">
        <f t="shared" si="44"/>
        <v>0</v>
      </c>
      <c r="N121" s="83">
        <f t="shared" si="44"/>
        <v>0</v>
      </c>
      <c r="O121" s="83">
        <f t="shared" si="44"/>
        <v>0</v>
      </c>
      <c r="P121" s="83">
        <f t="shared" si="44"/>
        <v>0</v>
      </c>
      <c r="Q121" s="83">
        <f t="shared" si="44"/>
        <v>29500000</v>
      </c>
      <c r="S121" s="78"/>
      <c r="T121" s="78"/>
      <c r="U121" s="78"/>
      <c r="V121" s="78"/>
      <c r="W121" s="78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</row>
    <row r="122" spans="1:43" s="81" customFormat="1" ht="32.25" hidden="1" customHeight="1" x14ac:dyDescent="0.25">
      <c r="A122" s="106"/>
      <c r="B122" s="81" t="e">
        <f>#REF!</f>
        <v>#REF!</v>
      </c>
      <c r="C122" s="82"/>
      <c r="D122" s="83" t="e">
        <f>#REF!</f>
        <v>#REF!</v>
      </c>
      <c r="E122" s="83" t="e">
        <f>#REF!</f>
        <v>#REF!</v>
      </c>
      <c r="F122" s="83" t="e">
        <f>#REF!</f>
        <v>#REF!</v>
      </c>
      <c r="G122" s="83" t="e">
        <f>#REF!</f>
        <v>#REF!</v>
      </c>
      <c r="H122" s="83" t="e">
        <f>#REF!</f>
        <v>#REF!</v>
      </c>
      <c r="I122" s="83" t="e">
        <f>#REF!</f>
        <v>#REF!</v>
      </c>
      <c r="J122" s="83" t="e">
        <f>#REF!</f>
        <v>#REF!</v>
      </c>
      <c r="K122" s="83" t="e">
        <f>#REF!</f>
        <v>#REF!</v>
      </c>
      <c r="L122" s="83" t="e">
        <f>#REF!</f>
        <v>#REF!</v>
      </c>
      <c r="M122" s="83" t="e">
        <f>#REF!</f>
        <v>#REF!</v>
      </c>
      <c r="N122" s="83" t="e">
        <f>#REF!</f>
        <v>#REF!</v>
      </c>
      <c r="O122" s="83" t="e">
        <f>#REF!</f>
        <v>#REF!</v>
      </c>
      <c r="P122" s="83" t="e">
        <f>#REF!</f>
        <v>#REF!</v>
      </c>
      <c r="Q122" s="83" t="e">
        <f>#REF!</f>
        <v>#REF!</v>
      </c>
      <c r="S122" s="78"/>
      <c r="T122" s="78"/>
      <c r="U122" s="78"/>
      <c r="V122" s="78"/>
      <c r="W122" s="78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</row>
    <row r="123" spans="1:43" s="81" customFormat="1" ht="32.25" hidden="1" customHeight="1" x14ac:dyDescent="0.25">
      <c r="A123" s="106"/>
      <c r="B123" s="81" t="e">
        <f>#REF!</f>
        <v>#REF!</v>
      </c>
      <c r="C123" s="82"/>
      <c r="D123" s="83" t="e">
        <f>#REF!</f>
        <v>#REF!</v>
      </c>
      <c r="E123" s="83" t="e">
        <f>#REF!</f>
        <v>#REF!</v>
      </c>
      <c r="F123" s="83" t="e">
        <f>#REF!</f>
        <v>#REF!</v>
      </c>
      <c r="G123" s="83" t="e">
        <f>#REF!</f>
        <v>#REF!</v>
      </c>
      <c r="H123" s="83" t="e">
        <f>#REF!</f>
        <v>#REF!</v>
      </c>
      <c r="I123" s="83" t="e">
        <f>#REF!</f>
        <v>#REF!</v>
      </c>
      <c r="J123" s="83" t="e">
        <f>#REF!</f>
        <v>#REF!</v>
      </c>
      <c r="K123" s="83" t="e">
        <f>#REF!</f>
        <v>#REF!</v>
      </c>
      <c r="L123" s="83" t="e">
        <f>#REF!</f>
        <v>#REF!</v>
      </c>
      <c r="M123" s="83" t="e">
        <f>#REF!</f>
        <v>#REF!</v>
      </c>
      <c r="N123" s="83" t="e">
        <f>#REF!</f>
        <v>#REF!</v>
      </c>
      <c r="O123" s="83" t="e">
        <f>#REF!</f>
        <v>#REF!</v>
      </c>
      <c r="P123" s="83" t="e">
        <f>#REF!</f>
        <v>#REF!</v>
      </c>
      <c r="Q123" s="83" t="e">
        <f>#REF!</f>
        <v>#REF!</v>
      </c>
      <c r="S123" s="78"/>
      <c r="T123" s="78"/>
      <c r="U123" s="78"/>
      <c r="V123" s="78"/>
      <c r="W123" s="78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</row>
    <row r="124" spans="1:43" s="81" customFormat="1" ht="32.25" hidden="1" customHeight="1" x14ac:dyDescent="0.25">
      <c r="A124" s="106"/>
      <c r="B124" s="84" t="e">
        <f>#REF!</f>
        <v>#REF!</v>
      </c>
      <c r="C124" s="85"/>
      <c r="D124" s="86" t="e">
        <f>#REF!</f>
        <v>#REF!</v>
      </c>
      <c r="E124" s="86" t="e">
        <f>#REF!</f>
        <v>#REF!</v>
      </c>
      <c r="F124" s="86" t="e">
        <f>#REF!</f>
        <v>#REF!</v>
      </c>
      <c r="G124" s="86" t="e">
        <f>#REF!</f>
        <v>#REF!</v>
      </c>
      <c r="H124" s="86" t="e">
        <f>#REF!</f>
        <v>#REF!</v>
      </c>
      <c r="I124" s="86" t="e">
        <f>#REF!</f>
        <v>#REF!</v>
      </c>
      <c r="J124" s="86" t="e">
        <f>#REF!</f>
        <v>#REF!</v>
      </c>
      <c r="K124" s="86" t="e">
        <f>#REF!</f>
        <v>#REF!</v>
      </c>
      <c r="L124" s="86" t="e">
        <f>#REF!</f>
        <v>#REF!</v>
      </c>
      <c r="M124" s="86" t="e">
        <f>#REF!</f>
        <v>#REF!</v>
      </c>
      <c r="N124" s="86" t="e">
        <f>#REF!</f>
        <v>#REF!</v>
      </c>
      <c r="O124" s="86" t="e">
        <f>#REF!</f>
        <v>#REF!</v>
      </c>
      <c r="P124" s="86" t="e">
        <f>#REF!</f>
        <v>#REF!</v>
      </c>
      <c r="Q124" s="86" t="e">
        <f>#REF!</f>
        <v>#REF!</v>
      </c>
      <c r="S124" s="78"/>
      <c r="T124" s="78"/>
      <c r="U124" s="78"/>
      <c r="V124" s="78"/>
      <c r="W124" s="78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</row>
    <row r="125" spans="1:43" s="81" customFormat="1" ht="32.25" hidden="1" customHeight="1" x14ac:dyDescent="0.25">
      <c r="A125" s="106"/>
      <c r="C125" s="82"/>
      <c r="D125" s="87"/>
      <c r="E125" s="87"/>
      <c r="F125" s="87"/>
      <c r="G125" s="87"/>
      <c r="H125" s="87"/>
      <c r="I125" s="87"/>
      <c r="J125" s="87"/>
      <c r="K125" s="87"/>
      <c r="L125" s="87"/>
      <c r="M125" s="87"/>
      <c r="N125" s="87"/>
      <c r="O125" s="87"/>
      <c r="P125" s="87"/>
      <c r="Q125" s="87"/>
      <c r="S125" s="78"/>
      <c r="T125" s="78"/>
      <c r="U125" s="78"/>
      <c r="V125" s="78"/>
      <c r="W125" s="78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</row>
    <row r="126" spans="1:43" s="81" customFormat="1" ht="32.25" hidden="1" customHeight="1" x14ac:dyDescent="0.25">
      <c r="A126" s="106"/>
      <c r="B126" s="79" t="str">
        <f>B10</f>
        <v>CONSTRUCTION COSTS</v>
      </c>
      <c r="C126" s="88"/>
      <c r="D126" s="89" t="e">
        <f>#REF!</f>
        <v>#REF!</v>
      </c>
      <c r="E126" s="89" t="e">
        <f>#REF!</f>
        <v>#REF!</v>
      </c>
      <c r="F126" s="89" t="e">
        <f>#REF!</f>
        <v>#REF!</v>
      </c>
      <c r="G126" s="89" t="e">
        <f>#REF!</f>
        <v>#REF!</v>
      </c>
      <c r="H126" s="89" t="e">
        <f>#REF!</f>
        <v>#REF!</v>
      </c>
      <c r="I126" s="89" t="e">
        <f>#REF!</f>
        <v>#REF!</v>
      </c>
      <c r="J126" s="89" t="e">
        <f>#REF!</f>
        <v>#REF!</v>
      </c>
      <c r="K126" s="89" t="e">
        <f>#REF!</f>
        <v>#REF!</v>
      </c>
      <c r="L126" s="89" t="e">
        <f>#REF!</f>
        <v>#REF!</v>
      </c>
      <c r="M126" s="89" t="e">
        <f>#REF!</f>
        <v>#REF!</v>
      </c>
      <c r="N126" s="89" t="e">
        <f>#REF!</f>
        <v>#REF!</v>
      </c>
      <c r="O126" s="89" t="e">
        <f>#REF!</f>
        <v>#REF!</v>
      </c>
      <c r="P126" s="89" t="e">
        <f>#REF!</f>
        <v>#REF!</v>
      </c>
      <c r="Q126" s="89" t="e">
        <f>#REF!</f>
        <v>#REF!</v>
      </c>
      <c r="S126" s="78"/>
      <c r="T126" s="78"/>
      <c r="U126" s="78"/>
      <c r="V126" s="78"/>
      <c r="W126" s="78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</row>
    <row r="127" spans="1:43" s="81" customFormat="1" ht="32.25" hidden="1" customHeight="1" x14ac:dyDescent="0.25">
      <c r="A127" s="106"/>
      <c r="B127" s="81" t="str">
        <f>B23</f>
        <v>VERTICAL CONSTRUCTION COSTS</v>
      </c>
      <c r="C127" s="82"/>
      <c r="D127" s="83">
        <f t="shared" ref="D127:Q127" si="45">D23</f>
        <v>0</v>
      </c>
      <c r="E127" s="83">
        <f t="shared" si="45"/>
        <v>0</v>
      </c>
      <c r="F127" s="83">
        <f t="shared" si="45"/>
        <v>6509999.9790000003</v>
      </c>
      <c r="G127" s="83">
        <f t="shared" si="45"/>
        <v>22810725.125999998</v>
      </c>
      <c r="H127" s="83">
        <f t="shared" si="45"/>
        <v>0</v>
      </c>
      <c r="I127" s="83">
        <f t="shared" si="45"/>
        <v>0</v>
      </c>
      <c r="J127" s="83">
        <f t="shared" si="45"/>
        <v>0</v>
      </c>
      <c r="K127" s="83">
        <f t="shared" si="45"/>
        <v>0</v>
      </c>
      <c r="L127" s="83">
        <f t="shared" si="45"/>
        <v>0</v>
      </c>
      <c r="M127" s="83">
        <f t="shared" si="45"/>
        <v>0</v>
      </c>
      <c r="N127" s="83">
        <f t="shared" si="45"/>
        <v>0</v>
      </c>
      <c r="O127" s="83">
        <f t="shared" si="45"/>
        <v>0</v>
      </c>
      <c r="P127" s="83">
        <f t="shared" si="45"/>
        <v>0</v>
      </c>
      <c r="Q127" s="83">
        <f t="shared" si="45"/>
        <v>29320725.104999997</v>
      </c>
      <c r="S127" s="78"/>
      <c r="T127" s="78"/>
      <c r="U127" s="78"/>
      <c r="V127" s="78"/>
      <c r="W127" s="78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</row>
    <row r="128" spans="1:43" s="81" customFormat="1" ht="32.25" hidden="1" customHeight="1" x14ac:dyDescent="0.25">
      <c r="A128" s="106"/>
      <c r="B128" s="81" t="str">
        <f>B28</f>
        <v>HARD COSTS - SITE</v>
      </c>
      <c r="C128" s="82"/>
      <c r="D128" s="83">
        <f t="shared" ref="D128:Q128" si="46">D28</f>
        <v>0</v>
      </c>
      <c r="E128" s="83">
        <f t="shared" si="46"/>
        <v>0</v>
      </c>
      <c r="F128" s="83">
        <f t="shared" si="46"/>
        <v>1228500</v>
      </c>
      <c r="G128" s="83">
        <f t="shared" si="46"/>
        <v>1050000</v>
      </c>
      <c r="H128" s="83">
        <f t="shared" si="46"/>
        <v>315000</v>
      </c>
      <c r="I128" s="83">
        <f t="shared" si="46"/>
        <v>0</v>
      </c>
      <c r="J128" s="83">
        <f t="shared" si="46"/>
        <v>0</v>
      </c>
      <c r="K128" s="83">
        <f t="shared" si="46"/>
        <v>0</v>
      </c>
      <c r="L128" s="83">
        <f t="shared" si="46"/>
        <v>0</v>
      </c>
      <c r="M128" s="83">
        <f t="shared" si="46"/>
        <v>0</v>
      </c>
      <c r="N128" s="83">
        <f t="shared" si="46"/>
        <v>0</v>
      </c>
      <c r="O128" s="83">
        <f t="shared" si="46"/>
        <v>0</v>
      </c>
      <c r="P128" s="83">
        <f t="shared" si="46"/>
        <v>0</v>
      </c>
      <c r="Q128" s="83">
        <f t="shared" si="46"/>
        <v>2593500</v>
      </c>
      <c r="S128" s="78"/>
      <c r="T128" s="78"/>
      <c r="U128" s="78"/>
      <c r="V128" s="78"/>
      <c r="W128" s="78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</row>
    <row r="129" spans="1:43" s="81" customFormat="1" ht="32.25" hidden="1" customHeight="1" x14ac:dyDescent="0.25">
      <c r="A129" s="106"/>
      <c r="B129" s="81" t="str">
        <f>B41</f>
        <v>SOFT COSTS - PROFESSIONALS</v>
      </c>
      <c r="C129" s="82"/>
      <c r="D129" s="83">
        <f t="shared" ref="D129:Q129" si="47">D41</f>
        <v>0</v>
      </c>
      <c r="E129" s="83">
        <f t="shared" si="47"/>
        <v>496894.99844250007</v>
      </c>
      <c r="F129" s="83">
        <f t="shared" si="47"/>
        <v>1557942.3189592499</v>
      </c>
      <c r="G129" s="83">
        <f t="shared" si="47"/>
        <v>198045.70686599999</v>
      </c>
      <c r="H129" s="83">
        <f t="shared" si="47"/>
        <v>65754.149999999994</v>
      </c>
      <c r="I129" s="83">
        <f t="shared" si="47"/>
        <v>0</v>
      </c>
      <c r="J129" s="83">
        <f t="shared" si="47"/>
        <v>0</v>
      </c>
      <c r="K129" s="83">
        <f t="shared" si="47"/>
        <v>0</v>
      </c>
      <c r="L129" s="83">
        <f t="shared" si="47"/>
        <v>0</v>
      </c>
      <c r="M129" s="83">
        <f t="shared" si="47"/>
        <v>0</v>
      </c>
      <c r="N129" s="83">
        <f t="shared" si="47"/>
        <v>0</v>
      </c>
      <c r="O129" s="83">
        <f t="shared" si="47"/>
        <v>0</v>
      </c>
      <c r="P129" s="83">
        <f t="shared" si="47"/>
        <v>0</v>
      </c>
      <c r="Q129" s="83">
        <f t="shared" si="47"/>
        <v>2318637.1742677498</v>
      </c>
      <c r="S129" s="78"/>
      <c r="T129" s="78"/>
      <c r="U129" s="78"/>
      <c r="V129" s="78"/>
      <c r="W129" s="78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</row>
    <row r="130" spans="1:43" s="81" customFormat="1" ht="32.25" hidden="1" customHeight="1" x14ac:dyDescent="0.25">
      <c r="A130" s="106"/>
      <c r="B130" s="81" t="e">
        <f>#REF!</f>
        <v>#REF!</v>
      </c>
      <c r="C130" s="82"/>
      <c r="D130" s="83" t="e">
        <f>#REF!</f>
        <v>#REF!</v>
      </c>
      <c r="E130" s="83" t="e">
        <f>#REF!</f>
        <v>#REF!</v>
      </c>
      <c r="F130" s="83" t="e">
        <f>#REF!</f>
        <v>#REF!</v>
      </c>
      <c r="G130" s="83" t="e">
        <f>#REF!</f>
        <v>#REF!</v>
      </c>
      <c r="H130" s="83" t="e">
        <f>#REF!</f>
        <v>#REF!</v>
      </c>
      <c r="I130" s="83" t="e">
        <f>#REF!</f>
        <v>#REF!</v>
      </c>
      <c r="J130" s="83" t="e">
        <f>#REF!</f>
        <v>#REF!</v>
      </c>
      <c r="K130" s="83" t="e">
        <f>#REF!</f>
        <v>#REF!</v>
      </c>
      <c r="L130" s="83" t="e">
        <f>#REF!</f>
        <v>#REF!</v>
      </c>
      <c r="M130" s="83" t="e">
        <f>#REF!</f>
        <v>#REF!</v>
      </c>
      <c r="N130" s="83" t="e">
        <f>#REF!</f>
        <v>#REF!</v>
      </c>
      <c r="O130" s="83" t="e">
        <f>#REF!</f>
        <v>#REF!</v>
      </c>
      <c r="P130" s="83" t="e">
        <f>#REF!</f>
        <v>#REF!</v>
      </c>
      <c r="Q130" s="83" t="e">
        <f>#REF!</f>
        <v>#REF!</v>
      </c>
      <c r="S130" s="78"/>
      <c r="T130" s="78"/>
      <c r="U130" s="78"/>
      <c r="V130" s="78"/>
      <c r="W130" s="78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</row>
    <row r="131" spans="1:43" s="81" customFormat="1" ht="32.25" hidden="1" customHeight="1" x14ac:dyDescent="0.25">
      <c r="A131" s="106"/>
      <c r="B131" s="81" t="str">
        <f>B46</f>
        <v>SOFT COSTS - TAXES AND INSURANCE</v>
      </c>
      <c r="C131" s="82"/>
      <c r="D131" s="83">
        <f t="shared" ref="D131:Q131" si="48">D46</f>
        <v>0</v>
      </c>
      <c r="E131" s="83">
        <f t="shared" si="48"/>
        <v>0</v>
      </c>
      <c r="F131" s="83">
        <f t="shared" si="48"/>
        <v>47561.749884500001</v>
      </c>
      <c r="G131" s="83">
        <f t="shared" si="48"/>
        <v>136233.988193</v>
      </c>
      <c r="H131" s="83">
        <f t="shared" si="48"/>
        <v>6732.5</v>
      </c>
      <c r="I131" s="83">
        <f t="shared" si="48"/>
        <v>5000</v>
      </c>
      <c r="J131" s="83">
        <f t="shared" si="48"/>
        <v>5000</v>
      </c>
      <c r="K131" s="83">
        <f t="shared" si="48"/>
        <v>5000</v>
      </c>
      <c r="L131" s="83">
        <f t="shared" si="48"/>
        <v>5000</v>
      </c>
      <c r="M131" s="83">
        <f t="shared" si="48"/>
        <v>5000</v>
      </c>
      <c r="N131" s="83">
        <f t="shared" si="48"/>
        <v>5000</v>
      </c>
      <c r="O131" s="83">
        <f t="shared" si="48"/>
        <v>5000</v>
      </c>
      <c r="P131" s="83">
        <f t="shared" si="48"/>
        <v>0</v>
      </c>
      <c r="Q131" s="83">
        <f t="shared" si="48"/>
        <v>225528.23807749999</v>
      </c>
      <c r="S131" s="78"/>
      <c r="T131" s="78"/>
      <c r="U131" s="78"/>
      <c r="V131" s="78"/>
      <c r="W131" s="78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</row>
    <row r="132" spans="1:43" s="81" customFormat="1" ht="32.25" hidden="1" customHeight="1" x14ac:dyDescent="0.25">
      <c r="A132" s="106"/>
      <c r="B132" s="81" t="str">
        <f>B51</f>
        <v>SOFT COSTS - MUNICIPALITY FEES</v>
      </c>
      <c r="C132" s="82"/>
      <c r="D132" s="83">
        <f t="shared" ref="D132:Q132" si="49">D51</f>
        <v>0</v>
      </c>
      <c r="E132" s="83">
        <f t="shared" si="49"/>
        <v>0</v>
      </c>
      <c r="F132" s="83">
        <f t="shared" si="49"/>
        <v>65099.999790000002</v>
      </c>
      <c r="G132" s="83">
        <f t="shared" si="49"/>
        <v>228107.25125999999</v>
      </c>
      <c r="H132" s="83">
        <f t="shared" si="49"/>
        <v>0</v>
      </c>
      <c r="I132" s="83">
        <f t="shared" si="49"/>
        <v>0</v>
      </c>
      <c r="J132" s="83">
        <f t="shared" si="49"/>
        <v>0</v>
      </c>
      <c r="K132" s="83">
        <f t="shared" si="49"/>
        <v>0</v>
      </c>
      <c r="L132" s="83">
        <f t="shared" si="49"/>
        <v>0</v>
      </c>
      <c r="M132" s="83">
        <f t="shared" si="49"/>
        <v>0</v>
      </c>
      <c r="N132" s="83">
        <f t="shared" si="49"/>
        <v>0</v>
      </c>
      <c r="O132" s="83">
        <f t="shared" si="49"/>
        <v>0</v>
      </c>
      <c r="P132" s="83">
        <f t="shared" si="49"/>
        <v>0</v>
      </c>
      <c r="Q132" s="83">
        <f t="shared" si="49"/>
        <v>293207.25104999996</v>
      </c>
      <c r="S132" s="78"/>
      <c r="T132" s="78"/>
      <c r="U132" s="78"/>
      <c r="V132" s="78"/>
      <c r="W132" s="78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</row>
    <row r="133" spans="1:43" s="81" customFormat="1" ht="32.25" hidden="1" customHeight="1" x14ac:dyDescent="0.25">
      <c r="A133" s="106"/>
      <c r="B133" s="81" t="str">
        <f>B55</f>
        <v>DEVELOPMENT FEES</v>
      </c>
      <c r="C133" s="82"/>
      <c r="D133" s="83">
        <f t="shared" ref="D133:Q133" si="50">D55</f>
        <v>0</v>
      </c>
      <c r="E133" s="83">
        <f t="shared" si="50"/>
        <v>0</v>
      </c>
      <c r="F133" s="83">
        <f t="shared" si="50"/>
        <v>376364.16190534993</v>
      </c>
      <c r="G133" s="83">
        <f t="shared" si="50"/>
        <v>976924.48289276008</v>
      </c>
      <c r="H133" s="83">
        <f t="shared" si="50"/>
        <v>15499.466</v>
      </c>
      <c r="I133" s="83">
        <f t="shared" si="50"/>
        <v>0</v>
      </c>
      <c r="J133" s="83">
        <f t="shared" si="50"/>
        <v>0</v>
      </c>
      <c r="K133" s="83">
        <f t="shared" si="50"/>
        <v>0</v>
      </c>
      <c r="L133" s="83">
        <f t="shared" si="50"/>
        <v>0</v>
      </c>
      <c r="M133" s="83">
        <f t="shared" si="50"/>
        <v>0</v>
      </c>
      <c r="N133" s="83">
        <f t="shared" si="50"/>
        <v>0</v>
      </c>
      <c r="O133" s="83">
        <f t="shared" si="50"/>
        <v>0</v>
      </c>
      <c r="P133" s="83">
        <f t="shared" si="50"/>
        <v>0</v>
      </c>
      <c r="Q133" s="83">
        <f t="shared" si="50"/>
        <v>1368788.11079811</v>
      </c>
      <c r="S133" s="78"/>
      <c r="T133" s="78"/>
      <c r="U133" s="78"/>
      <c r="V133" s="78"/>
      <c r="W133" s="78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</row>
    <row r="134" spans="1:43" s="81" customFormat="1" ht="32.25" hidden="1" customHeight="1" x14ac:dyDescent="0.25">
      <c r="A134" s="106"/>
      <c r="B134" s="81" t="str">
        <f>B80</f>
        <v>FINANCING EXPENSES</v>
      </c>
      <c r="C134" s="82"/>
      <c r="D134" s="83">
        <f t="shared" ref="D134:Q134" si="51">D80</f>
        <v>0</v>
      </c>
      <c r="E134" s="83">
        <f t="shared" si="51"/>
        <v>0</v>
      </c>
      <c r="F134" s="83">
        <f t="shared" si="51"/>
        <v>1077500</v>
      </c>
      <c r="G134" s="83">
        <f t="shared" si="51"/>
        <v>2137500</v>
      </c>
      <c r="H134" s="83">
        <f t="shared" si="51"/>
        <v>2212500</v>
      </c>
      <c r="I134" s="83">
        <f t="shared" si="51"/>
        <v>2212500</v>
      </c>
      <c r="J134" s="83">
        <f t="shared" si="51"/>
        <v>2212500</v>
      </c>
      <c r="K134" s="83">
        <f t="shared" si="51"/>
        <v>2212500</v>
      </c>
      <c r="L134" s="83">
        <f t="shared" si="51"/>
        <v>2212500</v>
      </c>
      <c r="M134" s="83">
        <f t="shared" si="51"/>
        <v>2212500</v>
      </c>
      <c r="N134" s="83">
        <f t="shared" si="51"/>
        <v>2212500</v>
      </c>
      <c r="O134" s="83">
        <f t="shared" si="51"/>
        <v>2212500</v>
      </c>
      <c r="P134" s="83">
        <f t="shared" si="51"/>
        <v>2212500</v>
      </c>
      <c r="Q134" s="83">
        <f t="shared" si="51"/>
        <v>0</v>
      </c>
      <c r="S134" s="78"/>
      <c r="T134" s="78"/>
      <c r="U134" s="78"/>
      <c r="V134" s="78"/>
      <c r="W134" s="78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</row>
    <row r="135" spans="1:43" s="81" customFormat="1" ht="32.25" hidden="1" customHeight="1" x14ac:dyDescent="0.25">
      <c r="A135" s="106"/>
      <c r="B135" s="81" t="e">
        <f>#REF!</f>
        <v>#REF!</v>
      </c>
      <c r="C135" s="82"/>
      <c r="D135" s="83" t="e">
        <f>#REF!</f>
        <v>#REF!</v>
      </c>
      <c r="E135" s="83" t="e">
        <f>#REF!</f>
        <v>#REF!</v>
      </c>
      <c r="F135" s="83" t="e">
        <f>#REF!</f>
        <v>#REF!</v>
      </c>
      <c r="G135" s="83" t="e">
        <f>#REF!</f>
        <v>#REF!</v>
      </c>
      <c r="H135" s="83" t="e">
        <f>#REF!</f>
        <v>#REF!</v>
      </c>
      <c r="I135" s="83" t="e">
        <f>#REF!</f>
        <v>#REF!</v>
      </c>
      <c r="J135" s="83" t="e">
        <f>#REF!</f>
        <v>#REF!</v>
      </c>
      <c r="K135" s="83" t="e">
        <f>#REF!</f>
        <v>#REF!</v>
      </c>
      <c r="L135" s="83" t="e">
        <f>#REF!</f>
        <v>#REF!</v>
      </c>
      <c r="M135" s="83" t="e">
        <f>#REF!</f>
        <v>#REF!</v>
      </c>
      <c r="N135" s="83" t="e">
        <f>#REF!</f>
        <v>#REF!</v>
      </c>
      <c r="O135" s="83" t="e">
        <f>#REF!</f>
        <v>#REF!</v>
      </c>
      <c r="P135" s="83" t="e">
        <f>#REF!</f>
        <v>#REF!</v>
      </c>
      <c r="Q135" s="83" t="e">
        <f>#REF!</f>
        <v>#REF!</v>
      </c>
      <c r="S135" s="78"/>
      <c r="T135" s="78"/>
      <c r="U135" s="78"/>
      <c r="V135" s="78"/>
      <c r="W135" s="78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</row>
    <row r="136" spans="1:43" s="81" customFormat="1" ht="32.25" hidden="1" customHeight="1" x14ac:dyDescent="0.25">
      <c r="A136" s="106"/>
      <c r="B136" s="84" t="e">
        <f>#REF!</f>
        <v>#REF!</v>
      </c>
      <c r="C136" s="85"/>
      <c r="D136" s="86" t="e">
        <f>#REF!</f>
        <v>#REF!</v>
      </c>
      <c r="E136" s="86" t="e">
        <f>#REF!</f>
        <v>#REF!</v>
      </c>
      <c r="F136" s="86" t="e">
        <f>#REF!</f>
        <v>#REF!</v>
      </c>
      <c r="G136" s="86" t="e">
        <f>#REF!</f>
        <v>#REF!</v>
      </c>
      <c r="H136" s="86" t="e">
        <f>#REF!</f>
        <v>#REF!</v>
      </c>
      <c r="I136" s="86" t="e">
        <f>#REF!</f>
        <v>#REF!</v>
      </c>
      <c r="J136" s="86" t="e">
        <f>#REF!</f>
        <v>#REF!</v>
      </c>
      <c r="K136" s="86" t="e">
        <f>#REF!</f>
        <v>#REF!</v>
      </c>
      <c r="L136" s="86" t="e">
        <f>#REF!</f>
        <v>#REF!</v>
      </c>
      <c r="M136" s="86" t="e">
        <f>#REF!</f>
        <v>#REF!</v>
      </c>
      <c r="N136" s="86" t="e">
        <f>#REF!</f>
        <v>#REF!</v>
      </c>
      <c r="O136" s="86" t="e">
        <f>#REF!</f>
        <v>#REF!</v>
      </c>
      <c r="P136" s="86" t="e">
        <f>#REF!</f>
        <v>#REF!</v>
      </c>
      <c r="Q136" s="86" t="e">
        <f>#REF!</f>
        <v>#REF!</v>
      </c>
      <c r="S136" s="78"/>
      <c r="T136" s="78"/>
      <c r="U136" s="78"/>
      <c r="V136" s="78"/>
      <c r="W136" s="78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</row>
    <row r="137" spans="1:43" hidden="1" x14ac:dyDescent="0.2"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</row>
    <row r="138" spans="1:43" ht="19" hidden="1" x14ac:dyDescent="0.25">
      <c r="B138" s="84" t="str">
        <f>B4</f>
        <v>CLARENDON - AMENITY DEVELOPMENT</v>
      </c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</row>
    <row r="139" spans="1:43" hidden="1" x14ac:dyDescent="0.2">
      <c r="B139" s="8" t="s">
        <v>264</v>
      </c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</row>
    <row r="140" spans="1:43" hidden="1" x14ac:dyDescent="0.2">
      <c r="B140" s="70" t="e">
        <f t="shared" ref="B140:B146" si="52">B118</f>
        <v>#REF!</v>
      </c>
      <c r="C140" s="71" t="s">
        <v>265</v>
      </c>
      <c r="D140" s="72" t="s">
        <v>266</v>
      </c>
      <c r="E140" s="72" t="s">
        <v>409</v>
      </c>
      <c r="F140" s="72" t="s">
        <v>268</v>
      </c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</row>
    <row r="141" spans="1:43" hidden="1" x14ac:dyDescent="0.2">
      <c r="B141" s="20" t="str">
        <f t="shared" si="52"/>
        <v>PURSUIT CAPITAL</v>
      </c>
      <c r="C141" s="17">
        <f t="shared" ref="C141:C146" si="53">Q119</f>
        <v>0</v>
      </c>
      <c r="D141" s="17" t="e">
        <f>C141/#REF!</f>
        <v>#REF!</v>
      </c>
      <c r="E141" s="17" t="e">
        <f>C141/#REF!</f>
        <v>#REF!</v>
      </c>
      <c r="F141" s="29" t="e">
        <f t="shared" ref="F141:F146" si="54">E141/$E$146</f>
        <v>#REF!</v>
      </c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</row>
    <row r="142" spans="1:43" hidden="1" x14ac:dyDescent="0.2">
      <c r="B142" s="20" t="str">
        <f t="shared" si="52"/>
        <v>EQUITY CAPITAL</v>
      </c>
      <c r="C142" s="17">
        <f t="shared" si="53"/>
        <v>9500000</v>
      </c>
      <c r="D142" s="17" t="e">
        <f>C142/#REF!</f>
        <v>#REF!</v>
      </c>
      <c r="E142" s="17" t="e">
        <f>C142/#REF!</f>
        <v>#REF!</v>
      </c>
      <c r="F142" s="29" t="e">
        <f t="shared" si="54"/>
        <v>#REF!</v>
      </c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</row>
    <row r="143" spans="1:43" hidden="1" x14ac:dyDescent="0.2">
      <c r="B143" s="20" t="str">
        <f t="shared" si="52"/>
        <v>NEW BANK DEBT</v>
      </c>
      <c r="C143" s="17">
        <f t="shared" si="53"/>
        <v>29500000</v>
      </c>
      <c r="D143" s="17" t="e">
        <f>C143/#REF!</f>
        <v>#REF!</v>
      </c>
      <c r="E143" s="17" t="e">
        <f>C143/#REF!</f>
        <v>#REF!</v>
      </c>
      <c r="F143" s="29" t="e">
        <f t="shared" si="54"/>
        <v>#REF!</v>
      </c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</row>
    <row r="144" spans="1:43" hidden="1" x14ac:dyDescent="0.2">
      <c r="B144" s="20" t="e">
        <f t="shared" si="52"/>
        <v>#REF!</v>
      </c>
      <c r="C144" s="17" t="e">
        <f t="shared" si="53"/>
        <v>#REF!</v>
      </c>
      <c r="D144" s="17" t="e">
        <f>C144/#REF!</f>
        <v>#REF!</v>
      </c>
      <c r="E144" s="17" t="e">
        <f>C144/#REF!</f>
        <v>#REF!</v>
      </c>
      <c r="F144" s="29" t="e">
        <f t="shared" si="54"/>
        <v>#REF!</v>
      </c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</row>
    <row r="145" spans="2:43" hidden="1" x14ac:dyDescent="0.2">
      <c r="B145" s="40" t="e">
        <f t="shared" si="52"/>
        <v>#REF!</v>
      </c>
      <c r="C145" s="42" t="e">
        <f t="shared" si="53"/>
        <v>#REF!</v>
      </c>
      <c r="D145" s="42" t="e">
        <f>C145/#REF!</f>
        <v>#REF!</v>
      </c>
      <c r="E145" s="42" t="e">
        <f>C145/#REF!</f>
        <v>#REF!</v>
      </c>
      <c r="F145" s="74" t="e">
        <f t="shared" si="54"/>
        <v>#REF!</v>
      </c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</row>
    <row r="146" spans="2:43" hidden="1" x14ac:dyDescent="0.2">
      <c r="B146" s="43" t="e">
        <f t="shared" si="52"/>
        <v>#REF!</v>
      </c>
      <c r="C146" s="44" t="e">
        <f t="shared" si="53"/>
        <v>#REF!</v>
      </c>
      <c r="D146" s="17" t="e">
        <f>C146/#REF!</f>
        <v>#REF!</v>
      </c>
      <c r="E146" s="17" t="e">
        <f>C146/#REF!</f>
        <v>#REF!</v>
      </c>
      <c r="F146" s="29" t="e">
        <f t="shared" si="54"/>
        <v>#REF!</v>
      </c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</row>
    <row r="147" spans="2:43" hidden="1" x14ac:dyDescent="0.2">
      <c r="B147" s="20"/>
      <c r="C147" s="17"/>
      <c r="D147" s="17"/>
      <c r="E147" s="17"/>
      <c r="F147" s="75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</row>
    <row r="148" spans="2:43" hidden="1" x14ac:dyDescent="0.2">
      <c r="B148" s="70" t="str">
        <f t="shared" ref="B148:B158" si="55">B126</f>
        <v>CONSTRUCTION COSTS</v>
      </c>
      <c r="C148" s="71" t="s">
        <v>265</v>
      </c>
      <c r="D148" s="72" t="s">
        <v>266</v>
      </c>
      <c r="E148" s="72" t="s">
        <v>409</v>
      </c>
      <c r="F148" s="76" t="s">
        <v>268</v>
      </c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</row>
    <row r="149" spans="2:43" hidden="1" x14ac:dyDescent="0.2">
      <c r="B149" s="20" t="str">
        <f t="shared" si="55"/>
        <v>VERTICAL CONSTRUCTION COSTS</v>
      </c>
      <c r="C149" s="17">
        <f t="shared" ref="C149:C158" si="56">Q127</f>
        <v>29320725.104999997</v>
      </c>
      <c r="D149" s="17" t="e">
        <f>C149/#REF!</f>
        <v>#REF!</v>
      </c>
      <c r="E149" s="17" t="e">
        <f>C149/#REF!</f>
        <v>#REF!</v>
      </c>
      <c r="F149" s="29" t="e">
        <f>E149/$E$158</f>
        <v>#REF!</v>
      </c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</row>
    <row r="150" spans="2:43" hidden="1" x14ac:dyDescent="0.2">
      <c r="B150" s="20" t="str">
        <f t="shared" si="55"/>
        <v>HARD COSTS - SITE</v>
      </c>
      <c r="C150" s="17">
        <f t="shared" si="56"/>
        <v>2593500</v>
      </c>
      <c r="D150" s="17" t="e">
        <f>C150/#REF!</f>
        <v>#REF!</v>
      </c>
      <c r="E150" s="17" t="e">
        <f>C150/#REF!</f>
        <v>#REF!</v>
      </c>
      <c r="F150" s="29" t="e">
        <f t="shared" ref="F150:F158" si="57">E150/$E$158</f>
        <v>#REF!</v>
      </c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</row>
    <row r="151" spans="2:43" hidden="1" x14ac:dyDescent="0.2">
      <c r="B151" s="20" t="str">
        <f t="shared" si="55"/>
        <v>SOFT COSTS - PROFESSIONALS</v>
      </c>
      <c r="C151" s="17">
        <f t="shared" si="56"/>
        <v>2318637.1742677498</v>
      </c>
      <c r="D151" s="17" t="e">
        <f>C151/#REF!</f>
        <v>#REF!</v>
      </c>
      <c r="E151" s="17" t="e">
        <f>C151/#REF!</f>
        <v>#REF!</v>
      </c>
      <c r="F151" s="29" t="e">
        <f t="shared" si="57"/>
        <v>#REF!</v>
      </c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</row>
    <row r="152" spans="2:43" hidden="1" x14ac:dyDescent="0.2">
      <c r="B152" s="20" t="e">
        <f t="shared" si="55"/>
        <v>#REF!</v>
      </c>
      <c r="C152" s="17" t="e">
        <f t="shared" si="56"/>
        <v>#REF!</v>
      </c>
      <c r="D152" s="17" t="e">
        <f>C152/#REF!</f>
        <v>#REF!</v>
      </c>
      <c r="E152" s="17" t="e">
        <f>C152/#REF!</f>
        <v>#REF!</v>
      </c>
      <c r="F152" s="29" t="e">
        <f t="shared" si="57"/>
        <v>#REF!</v>
      </c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</row>
    <row r="153" spans="2:43" hidden="1" x14ac:dyDescent="0.2">
      <c r="B153" s="20" t="str">
        <f t="shared" si="55"/>
        <v>SOFT COSTS - TAXES AND INSURANCE</v>
      </c>
      <c r="C153" s="17">
        <f t="shared" si="56"/>
        <v>225528.23807749999</v>
      </c>
      <c r="D153" s="17" t="e">
        <f>C153/#REF!</f>
        <v>#REF!</v>
      </c>
      <c r="E153" s="17" t="e">
        <f>C153/#REF!</f>
        <v>#REF!</v>
      </c>
      <c r="F153" s="29" t="e">
        <f t="shared" si="57"/>
        <v>#REF!</v>
      </c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</row>
    <row r="154" spans="2:43" hidden="1" x14ac:dyDescent="0.2">
      <c r="B154" s="20" t="str">
        <f t="shared" si="55"/>
        <v>SOFT COSTS - MUNICIPALITY FEES</v>
      </c>
      <c r="C154" s="17">
        <f t="shared" si="56"/>
        <v>293207.25104999996</v>
      </c>
      <c r="D154" s="17" t="e">
        <f>C154/#REF!</f>
        <v>#REF!</v>
      </c>
      <c r="E154" s="17" t="e">
        <f>C154/#REF!</f>
        <v>#REF!</v>
      </c>
      <c r="F154" s="29" t="e">
        <f t="shared" si="57"/>
        <v>#REF!</v>
      </c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</row>
    <row r="155" spans="2:43" hidden="1" x14ac:dyDescent="0.2">
      <c r="B155" s="20" t="str">
        <f t="shared" si="55"/>
        <v>DEVELOPMENT FEES</v>
      </c>
      <c r="C155" s="17">
        <f t="shared" si="56"/>
        <v>1368788.11079811</v>
      </c>
      <c r="D155" s="17" t="e">
        <f>C155/#REF!</f>
        <v>#REF!</v>
      </c>
      <c r="E155" s="17" t="e">
        <f>C155/#REF!</f>
        <v>#REF!</v>
      </c>
      <c r="F155" s="29" t="e">
        <f t="shared" si="57"/>
        <v>#REF!</v>
      </c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</row>
    <row r="156" spans="2:43" hidden="1" x14ac:dyDescent="0.2">
      <c r="B156" s="20" t="str">
        <f t="shared" si="55"/>
        <v>FINANCING EXPENSES</v>
      </c>
      <c r="C156" s="17">
        <f t="shared" si="56"/>
        <v>0</v>
      </c>
      <c r="D156" s="17" t="e">
        <f>C156/#REF!</f>
        <v>#REF!</v>
      </c>
      <c r="E156" s="17" t="e">
        <f>C156/#REF!</f>
        <v>#REF!</v>
      </c>
      <c r="F156" s="29" t="e">
        <f t="shared" si="57"/>
        <v>#REF!</v>
      </c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</row>
    <row r="157" spans="2:43" hidden="1" x14ac:dyDescent="0.2">
      <c r="B157" s="40" t="e">
        <f t="shared" si="55"/>
        <v>#REF!</v>
      </c>
      <c r="C157" s="42" t="e">
        <f t="shared" si="56"/>
        <v>#REF!</v>
      </c>
      <c r="D157" s="42" t="e">
        <f>C157/#REF!</f>
        <v>#REF!</v>
      </c>
      <c r="E157" s="42" t="e">
        <f>C157/#REF!</f>
        <v>#REF!</v>
      </c>
      <c r="F157" s="74" t="e">
        <f t="shared" si="57"/>
        <v>#REF!</v>
      </c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</row>
    <row r="158" spans="2:43" hidden="1" x14ac:dyDescent="0.2">
      <c r="B158" s="43" t="e">
        <f t="shared" si="55"/>
        <v>#REF!</v>
      </c>
      <c r="C158" s="44" t="e">
        <f t="shared" si="56"/>
        <v>#REF!</v>
      </c>
      <c r="D158" s="17" t="e">
        <f>C158/#REF!</f>
        <v>#REF!</v>
      </c>
      <c r="E158" s="17" t="e">
        <f>C158/#REF!</f>
        <v>#REF!</v>
      </c>
      <c r="F158" s="29" t="e">
        <f t="shared" si="57"/>
        <v>#REF!</v>
      </c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</row>
    <row r="159" spans="2:43" hidden="1" x14ac:dyDescent="0.2"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</row>
    <row r="160" spans="2:43" hidden="1" x14ac:dyDescent="0.2"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</row>
    <row r="161" spans="2:43" hidden="1" x14ac:dyDescent="0.2">
      <c r="B161" t="s">
        <v>410</v>
      </c>
      <c r="C161" s="17" t="e">
        <f>C141/#REF!</f>
        <v>#REF!</v>
      </c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</row>
    <row r="162" spans="2:43" hidden="1" x14ac:dyDescent="0.2"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</row>
    <row r="163" spans="2:43" hidden="1" x14ac:dyDescent="0.2"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</row>
    <row r="164" spans="2:43" x14ac:dyDescent="0.2"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</row>
    <row r="165" spans="2:43" x14ac:dyDescent="0.2"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</row>
    <row r="166" spans="2:43" x14ac:dyDescent="0.2"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</row>
    <row r="167" spans="2:43" x14ac:dyDescent="0.2"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</row>
    <row r="168" spans="2:43" x14ac:dyDescent="0.2"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</row>
    <row r="169" spans="2:43" x14ac:dyDescent="0.2"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</row>
    <row r="170" spans="2:43" x14ac:dyDescent="0.2"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</row>
    <row r="171" spans="2:43" x14ac:dyDescent="0.2"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</row>
    <row r="172" spans="2:43" x14ac:dyDescent="0.2"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</row>
    <row r="173" spans="2:43" x14ac:dyDescent="0.2"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</row>
    <row r="174" spans="2:43" x14ac:dyDescent="0.2"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</row>
    <row r="175" spans="2:43" x14ac:dyDescent="0.2"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</row>
    <row r="176" spans="2:43" x14ac:dyDescent="0.2"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</row>
    <row r="177" spans="24:43" x14ac:dyDescent="0.2"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</row>
    <row r="178" spans="24:43" x14ac:dyDescent="0.2"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</row>
    <row r="179" spans="24:43" x14ac:dyDescent="0.2"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</row>
    <row r="180" spans="24:43" x14ac:dyDescent="0.2"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</row>
    <row r="181" spans="24:43" x14ac:dyDescent="0.2"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</row>
    <row r="182" spans="24:43" x14ac:dyDescent="0.2"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</row>
    <row r="183" spans="24:43" x14ac:dyDescent="0.2"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</row>
    <row r="184" spans="24:43" x14ac:dyDescent="0.2"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</row>
    <row r="185" spans="24:43" x14ac:dyDescent="0.2"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</row>
    <row r="186" spans="24:43" x14ac:dyDescent="0.2"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</row>
    <row r="187" spans="24:43" x14ac:dyDescent="0.2"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</row>
    <row r="188" spans="24:43" x14ac:dyDescent="0.2"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</row>
    <row r="189" spans="24:43" x14ac:dyDescent="0.2"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</row>
    <row r="190" spans="24:43" x14ac:dyDescent="0.2"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</row>
    <row r="191" spans="24:43" x14ac:dyDescent="0.2"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</row>
    <row r="192" spans="24:43" x14ac:dyDescent="0.2"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</row>
    <row r="193" spans="24:43" x14ac:dyDescent="0.2"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</row>
    <row r="194" spans="24:43" x14ac:dyDescent="0.2"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</row>
    <row r="195" spans="24:43" x14ac:dyDescent="0.2"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</row>
    <row r="196" spans="24:43" x14ac:dyDescent="0.2"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</row>
    <row r="197" spans="24:43" x14ac:dyDescent="0.2"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</row>
    <row r="198" spans="24:43" x14ac:dyDescent="0.2"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</row>
    <row r="199" spans="24:43" x14ac:dyDescent="0.2"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</row>
    <row r="200" spans="24:43" x14ac:dyDescent="0.2"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</row>
    <row r="201" spans="24:43" x14ac:dyDescent="0.2"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</row>
    <row r="202" spans="24:43" x14ac:dyDescent="0.2"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</row>
    <row r="203" spans="24:43" x14ac:dyDescent="0.2"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</row>
    <row r="204" spans="24:43" x14ac:dyDescent="0.2"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</row>
    <row r="205" spans="24:43" x14ac:dyDescent="0.2"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</row>
    <row r="206" spans="24:43" x14ac:dyDescent="0.2"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</row>
    <row r="207" spans="24:43" x14ac:dyDescent="0.2"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</row>
    <row r="208" spans="24:43" x14ac:dyDescent="0.2"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</row>
    <row r="209" spans="24:43" x14ac:dyDescent="0.2"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</row>
    <row r="210" spans="24:43" x14ac:dyDescent="0.2"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</row>
    <row r="211" spans="24:43" x14ac:dyDescent="0.2"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</row>
    <row r="212" spans="24:43" x14ac:dyDescent="0.2"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</row>
    <row r="213" spans="24:43" x14ac:dyDescent="0.2"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</row>
    <row r="214" spans="24:43" x14ac:dyDescent="0.2"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</row>
    <row r="215" spans="24:43" x14ac:dyDescent="0.2"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</row>
    <row r="216" spans="24:43" x14ac:dyDescent="0.2"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</row>
    <row r="217" spans="24:43" x14ac:dyDescent="0.2"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</row>
    <row r="218" spans="24:43" x14ac:dyDescent="0.2"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</row>
    <row r="219" spans="24:43" x14ac:dyDescent="0.2"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</row>
    <row r="220" spans="24:43" x14ac:dyDescent="0.2"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</row>
    <row r="221" spans="24:43" x14ac:dyDescent="0.2"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</row>
    <row r="222" spans="24:43" x14ac:dyDescent="0.2"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</row>
    <row r="223" spans="24:43" x14ac:dyDescent="0.2"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</row>
    <row r="224" spans="24:43" x14ac:dyDescent="0.2"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</row>
    <row r="225" spans="24:43" x14ac:dyDescent="0.2"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</row>
    <row r="226" spans="24:43" x14ac:dyDescent="0.2"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</row>
    <row r="227" spans="24:43" x14ac:dyDescent="0.2"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</row>
    <row r="228" spans="24:43" x14ac:dyDescent="0.2"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</row>
    <row r="229" spans="24:43" x14ac:dyDescent="0.2"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</row>
    <row r="230" spans="24:43" x14ac:dyDescent="0.2"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</row>
    <row r="231" spans="24:43" x14ac:dyDescent="0.2"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</row>
    <row r="232" spans="24:43" x14ac:dyDescent="0.2"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</row>
    <row r="233" spans="24:43" x14ac:dyDescent="0.2"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</row>
    <row r="234" spans="24:43" x14ac:dyDescent="0.2"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</row>
    <row r="235" spans="24:43" x14ac:dyDescent="0.2"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</row>
    <row r="236" spans="24:43" x14ac:dyDescent="0.2"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</row>
    <row r="237" spans="24:43" x14ac:dyDescent="0.2"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</row>
    <row r="238" spans="24:43" x14ac:dyDescent="0.2"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</row>
    <row r="239" spans="24:43" x14ac:dyDescent="0.2"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</row>
    <row r="240" spans="24:43" x14ac:dyDescent="0.2"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</row>
    <row r="241" spans="24:43" x14ac:dyDescent="0.2"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</row>
    <row r="242" spans="24:43" x14ac:dyDescent="0.2"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</row>
    <row r="243" spans="24:43" x14ac:dyDescent="0.2"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</row>
    <row r="244" spans="24:43" x14ac:dyDescent="0.2"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</row>
    <row r="245" spans="24:43" x14ac:dyDescent="0.2"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</row>
    <row r="246" spans="24:43" x14ac:dyDescent="0.2"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</row>
    <row r="247" spans="24:43" x14ac:dyDescent="0.2"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</row>
    <row r="248" spans="24:43" x14ac:dyDescent="0.2"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</row>
    <row r="249" spans="24:43" x14ac:dyDescent="0.2"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</row>
    <row r="250" spans="24:43" x14ac:dyDescent="0.2"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</row>
    <row r="251" spans="24:43" x14ac:dyDescent="0.2"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</row>
    <row r="252" spans="24:43" x14ac:dyDescent="0.2"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</row>
    <row r="253" spans="24:43" x14ac:dyDescent="0.2"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</row>
    <row r="254" spans="24:43" x14ac:dyDescent="0.2"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</row>
    <row r="255" spans="24:43" x14ac:dyDescent="0.2"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</row>
    <row r="256" spans="24:43" x14ac:dyDescent="0.2"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</row>
    <row r="257" spans="24:43" x14ac:dyDescent="0.2"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</row>
    <row r="258" spans="24:43" x14ac:dyDescent="0.2"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</row>
    <row r="259" spans="24:43" x14ac:dyDescent="0.2"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</row>
    <row r="260" spans="24:43" x14ac:dyDescent="0.2"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</row>
    <row r="261" spans="24:43" x14ac:dyDescent="0.2"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</row>
    <row r="262" spans="24:43" x14ac:dyDescent="0.2"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</row>
    <row r="263" spans="24:43" x14ac:dyDescent="0.2"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</row>
    <row r="264" spans="24:43" x14ac:dyDescent="0.2"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</row>
    <row r="265" spans="24:43" x14ac:dyDescent="0.2"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</row>
    <row r="266" spans="24:43" x14ac:dyDescent="0.2"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</row>
    <row r="267" spans="24:43" x14ac:dyDescent="0.2"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</row>
    <row r="268" spans="24:43" x14ac:dyDescent="0.2"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</row>
    <row r="269" spans="24:43" x14ac:dyDescent="0.2"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</row>
    <row r="270" spans="24:43" x14ac:dyDescent="0.2"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</row>
    <row r="271" spans="24:43" x14ac:dyDescent="0.2"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</row>
    <row r="272" spans="24:43" x14ac:dyDescent="0.2"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</row>
    <row r="273" spans="24:43" x14ac:dyDescent="0.2"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</row>
    <row r="274" spans="24:43" x14ac:dyDescent="0.2"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</row>
    <row r="275" spans="24:43" x14ac:dyDescent="0.2"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</row>
    <row r="276" spans="24:43" x14ac:dyDescent="0.2"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</row>
    <row r="277" spans="24:43" x14ac:dyDescent="0.2"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</row>
    <row r="278" spans="24:43" x14ac:dyDescent="0.2"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</row>
    <row r="279" spans="24:43" x14ac:dyDescent="0.2"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</row>
    <row r="280" spans="24:43" x14ac:dyDescent="0.2"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</row>
    <row r="281" spans="24:43" x14ac:dyDescent="0.2"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</row>
    <row r="282" spans="24:43" x14ac:dyDescent="0.2"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</row>
    <row r="283" spans="24:43" x14ac:dyDescent="0.2"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</row>
    <row r="284" spans="24:43" x14ac:dyDescent="0.2"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</row>
    <row r="285" spans="24:43" x14ac:dyDescent="0.2"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</row>
    <row r="286" spans="24:43" x14ac:dyDescent="0.2"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</row>
    <row r="287" spans="24:43" x14ac:dyDescent="0.2"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</row>
    <row r="288" spans="24:43" x14ac:dyDescent="0.2"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</row>
    <row r="289" spans="24:43" x14ac:dyDescent="0.2"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</row>
    <row r="290" spans="24:43" x14ac:dyDescent="0.2"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</row>
    <row r="291" spans="24:43" x14ac:dyDescent="0.2"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</row>
    <row r="292" spans="24:43" x14ac:dyDescent="0.2"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</row>
    <row r="293" spans="24:43" x14ac:dyDescent="0.2"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</row>
    <row r="294" spans="24:43" x14ac:dyDescent="0.2"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</row>
    <row r="295" spans="24:43" x14ac:dyDescent="0.2"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</row>
    <row r="296" spans="24:43" x14ac:dyDescent="0.2"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</row>
    <row r="297" spans="24:43" x14ac:dyDescent="0.2"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</row>
    <row r="298" spans="24:43" x14ac:dyDescent="0.2"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</row>
    <row r="299" spans="24:43" x14ac:dyDescent="0.2"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</row>
    <row r="300" spans="24:43" x14ac:dyDescent="0.2"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</row>
    <row r="301" spans="24:43" x14ac:dyDescent="0.2"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</row>
    <row r="302" spans="24:43" x14ac:dyDescent="0.2"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</row>
    <row r="303" spans="24:43" x14ac:dyDescent="0.2"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</row>
    <row r="304" spans="24:43" x14ac:dyDescent="0.2"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</row>
    <row r="305" spans="24:43" x14ac:dyDescent="0.2"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</row>
    <row r="306" spans="24:43" x14ac:dyDescent="0.2"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</row>
    <row r="307" spans="24:43" x14ac:dyDescent="0.2"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</row>
    <row r="308" spans="24:43" x14ac:dyDescent="0.2"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</row>
    <row r="309" spans="24:43" x14ac:dyDescent="0.2"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</row>
    <row r="310" spans="24:43" x14ac:dyDescent="0.2"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</row>
    <row r="311" spans="24:43" x14ac:dyDescent="0.2"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</row>
    <row r="312" spans="24:43" x14ac:dyDescent="0.2"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</row>
    <row r="313" spans="24:43" x14ac:dyDescent="0.2"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</row>
    <row r="314" spans="24:43" x14ac:dyDescent="0.2"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</row>
    <row r="315" spans="24:43" x14ac:dyDescent="0.2"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</row>
    <row r="316" spans="24:43" x14ac:dyDescent="0.2"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</row>
    <row r="317" spans="24:43" x14ac:dyDescent="0.2"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</row>
    <row r="318" spans="24:43" x14ac:dyDescent="0.2"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</row>
    <row r="319" spans="24:43" x14ac:dyDescent="0.2"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</row>
    <row r="320" spans="24:43" x14ac:dyDescent="0.2"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</row>
    <row r="321" spans="24:43" x14ac:dyDescent="0.2"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</row>
    <row r="322" spans="24:43" x14ac:dyDescent="0.2"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</row>
  </sheetData>
  <mergeCells count="2">
    <mergeCell ref="E7:H7"/>
    <mergeCell ref="I7:K7"/>
  </mergeCells>
  <phoneticPr fontId="30" type="noConversion"/>
  <conditionalFormatting sqref="D75:P75">
    <cfRule type="cellIs" dxfId="0" priority="1" operator="lessThan">
      <formula>$C$75</formula>
    </cfRule>
  </conditionalFormatting>
  <pageMargins left="0.7" right="0.7" top="0.5" bottom="0.5" header="0.3" footer="0.3"/>
  <pageSetup scale="42" orientation="landscape" r:id="rId1"/>
  <headerFooter>
    <oddFooter>&amp;L&amp;"Calibri,Regular"&amp;16&amp;K000000&amp;D&amp;R&amp;"Calibri,Regular"&amp;16&amp;K000000Page &amp;P</oddFooter>
  </headerFooter>
  <rowBreaks count="1" manualBreakCount="1">
    <brk id="66" min="1" max="17" man="1"/>
  </rowBreaks>
  <colBreaks count="1" manualBreakCount="1">
    <brk id="17" max="111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140E5-2F31-A34E-A8CD-BC28B89BD9DB}">
  <sheetPr codeName="Sheet4">
    <tabColor rgb="FFFF0000"/>
  </sheetPr>
  <dimension ref="A1:NI82"/>
  <sheetViews>
    <sheetView showGridLines="0" zoomScale="115" zoomScaleNormal="115" workbookViewId="0">
      <selection activeCell="E58" sqref="E58"/>
    </sheetView>
  </sheetViews>
  <sheetFormatPr baseColWidth="10" defaultColWidth="8.83203125" defaultRowHeight="15" x14ac:dyDescent="0.2"/>
  <cols>
    <col min="1" max="1" width="34.5" style="248" bestFit="1" customWidth="1"/>
    <col min="2" max="2" width="13.5" style="248" bestFit="1" customWidth="1"/>
    <col min="3" max="3" width="11.5" style="248" bestFit="1" customWidth="1"/>
    <col min="4" max="4" width="19" style="248" bestFit="1" customWidth="1"/>
    <col min="5" max="16" width="14.5" style="248" customWidth="1"/>
    <col min="17" max="373" width="10.5" style="248" bestFit="1" customWidth="1"/>
    <col min="374" max="16384" width="8.83203125" style="248"/>
  </cols>
  <sheetData>
    <row r="1" spans="1:16" x14ac:dyDescent="0.2">
      <c r="A1" s="246" t="s">
        <v>411</v>
      </c>
      <c r="B1" s="247"/>
      <c r="D1" s="249" t="s">
        <v>412</v>
      </c>
      <c r="E1" s="250">
        <v>1</v>
      </c>
      <c r="F1" s="250">
        <v>2</v>
      </c>
      <c r="G1" s="250">
        <f t="shared" ref="G1:P1" si="0">F1+1</f>
        <v>3</v>
      </c>
      <c r="H1" s="250">
        <f t="shared" si="0"/>
        <v>4</v>
      </c>
      <c r="I1" s="250">
        <f t="shared" si="0"/>
        <v>5</v>
      </c>
      <c r="J1" s="250">
        <f t="shared" si="0"/>
        <v>6</v>
      </c>
      <c r="K1" s="250">
        <f t="shared" si="0"/>
        <v>7</v>
      </c>
      <c r="L1" s="250">
        <f t="shared" si="0"/>
        <v>8</v>
      </c>
      <c r="M1" s="250">
        <f t="shared" si="0"/>
        <v>9</v>
      </c>
      <c r="N1" s="250">
        <f t="shared" si="0"/>
        <v>10</v>
      </c>
      <c r="O1" s="250">
        <f t="shared" si="0"/>
        <v>11</v>
      </c>
      <c r="P1" s="251">
        <f t="shared" si="0"/>
        <v>12</v>
      </c>
    </row>
    <row r="2" spans="1:16" x14ac:dyDescent="0.2">
      <c r="A2" s="252" t="s">
        <v>413</v>
      </c>
      <c r="B2" s="253">
        <v>44708</v>
      </c>
      <c r="D2" s="254" t="s">
        <v>414</v>
      </c>
      <c r="E2" s="255">
        <v>44562</v>
      </c>
      <c r="F2" s="255">
        <f t="shared" ref="F2:P2" si="1">E2+31</f>
        <v>44593</v>
      </c>
      <c r="G2" s="255">
        <f t="shared" si="1"/>
        <v>44624</v>
      </c>
      <c r="H2" s="255">
        <f t="shared" si="1"/>
        <v>44655</v>
      </c>
      <c r="I2" s="255">
        <f t="shared" si="1"/>
        <v>44686</v>
      </c>
      <c r="J2" s="255">
        <f t="shared" si="1"/>
        <v>44717</v>
      </c>
      <c r="K2" s="255">
        <f t="shared" si="1"/>
        <v>44748</v>
      </c>
      <c r="L2" s="255">
        <f t="shared" si="1"/>
        <v>44779</v>
      </c>
      <c r="M2" s="255">
        <f t="shared" si="1"/>
        <v>44810</v>
      </c>
      <c r="N2" s="255">
        <f t="shared" si="1"/>
        <v>44841</v>
      </c>
      <c r="O2" s="255">
        <f t="shared" si="1"/>
        <v>44872</v>
      </c>
      <c r="P2" s="256">
        <f t="shared" si="1"/>
        <v>44903</v>
      </c>
    </row>
    <row r="3" spans="1:16" ht="16" thickBot="1" x14ac:dyDescent="0.25">
      <c r="A3" s="257" t="s">
        <v>415</v>
      </c>
      <c r="B3" s="258">
        <v>13</v>
      </c>
      <c r="D3" s="259" t="s">
        <v>416</v>
      </c>
      <c r="E3" s="343">
        <v>0.45</v>
      </c>
      <c r="F3" s="344">
        <v>0.45</v>
      </c>
      <c r="G3" s="344">
        <v>0.4</v>
      </c>
      <c r="H3" s="344">
        <v>0.1</v>
      </c>
      <c r="I3" s="344">
        <v>0.2</v>
      </c>
      <c r="J3" s="344">
        <v>0.75</v>
      </c>
      <c r="K3" s="344">
        <v>0.8</v>
      </c>
      <c r="L3" s="344">
        <v>0.75</v>
      </c>
      <c r="M3" s="344">
        <v>0.65</v>
      </c>
      <c r="N3" s="344">
        <v>0.2</v>
      </c>
      <c r="O3" s="344">
        <v>0.2</v>
      </c>
      <c r="P3" s="345">
        <v>0.45</v>
      </c>
    </row>
    <row r="4" spans="1:16" ht="16" thickBot="1" x14ac:dyDescent="0.25">
      <c r="A4" s="257" t="s">
        <v>417</v>
      </c>
      <c r="B4" s="261">
        <v>12</v>
      </c>
      <c r="D4" s="262" t="s">
        <v>418</v>
      </c>
      <c r="E4" s="263">
        <f>AVERAGE(E3:P3)</f>
        <v>0.45000000000000012</v>
      </c>
    </row>
    <row r="5" spans="1:16" x14ac:dyDescent="0.2">
      <c r="A5" s="257" t="s">
        <v>419</v>
      </c>
      <c r="B5" s="261">
        <v>365</v>
      </c>
    </row>
    <row r="6" spans="1:16" x14ac:dyDescent="0.2">
      <c r="A6" s="257" t="s">
        <v>420</v>
      </c>
      <c r="B6" s="264">
        <v>700</v>
      </c>
    </row>
    <row r="7" spans="1:16" x14ac:dyDescent="0.2">
      <c r="A7" s="257" t="s">
        <v>421</v>
      </c>
      <c r="B7" s="265">
        <v>0.4</v>
      </c>
      <c r="D7" s="249" t="s">
        <v>422</v>
      </c>
      <c r="E7" s="250">
        <v>0</v>
      </c>
      <c r="F7" s="250">
        <f>E7+1</f>
        <v>1</v>
      </c>
      <c r="G7" s="250">
        <f t="shared" ref="G7:O7" si="2">F7+1</f>
        <v>2</v>
      </c>
      <c r="H7" s="250">
        <f t="shared" si="2"/>
        <v>3</v>
      </c>
      <c r="I7" s="250">
        <f t="shared" si="2"/>
        <v>4</v>
      </c>
      <c r="J7" s="250">
        <f t="shared" si="2"/>
        <v>5</v>
      </c>
      <c r="K7" s="250">
        <f t="shared" si="2"/>
        <v>6</v>
      </c>
      <c r="L7" s="250">
        <f t="shared" si="2"/>
        <v>7</v>
      </c>
      <c r="M7" s="250">
        <f t="shared" si="2"/>
        <v>8</v>
      </c>
      <c r="N7" s="250">
        <f t="shared" si="2"/>
        <v>9</v>
      </c>
      <c r="O7" s="251">
        <f t="shared" si="2"/>
        <v>10</v>
      </c>
    </row>
    <row r="8" spans="1:16" ht="16" thickBot="1" x14ac:dyDescent="0.25">
      <c r="A8" s="257" t="s">
        <v>423</v>
      </c>
      <c r="B8" s="266">
        <v>0.03</v>
      </c>
      <c r="D8" s="254" t="s">
        <v>424</v>
      </c>
      <c r="E8" s="267">
        <f>'Amenity Annual CF'!C3</f>
        <v>44708</v>
      </c>
      <c r="F8" s="267">
        <f>EOMONTH(E8,12)</f>
        <v>45077</v>
      </c>
      <c r="G8" s="267">
        <f t="shared" ref="G8:O8" si="3">EOMONTH(F8,12)</f>
        <v>45443</v>
      </c>
      <c r="H8" s="267">
        <f t="shared" si="3"/>
        <v>45808</v>
      </c>
      <c r="I8" s="267">
        <f t="shared" si="3"/>
        <v>46173</v>
      </c>
      <c r="J8" s="267">
        <f t="shared" si="3"/>
        <v>46538</v>
      </c>
      <c r="K8" s="267">
        <f t="shared" si="3"/>
        <v>46904</v>
      </c>
      <c r="L8" s="267">
        <f t="shared" si="3"/>
        <v>47269</v>
      </c>
      <c r="M8" s="267">
        <f t="shared" si="3"/>
        <v>47634</v>
      </c>
      <c r="N8" s="267">
        <f t="shared" si="3"/>
        <v>47999</v>
      </c>
      <c r="O8" s="268">
        <f t="shared" si="3"/>
        <v>48365</v>
      </c>
    </row>
    <row r="9" spans="1:16" ht="17" thickTop="1" thickBot="1" x14ac:dyDescent="0.25">
      <c r="A9" s="257" t="s">
        <v>425</v>
      </c>
      <c r="B9" s="269">
        <f>B4*B5</f>
        <v>4380</v>
      </c>
      <c r="D9" s="270" t="s">
        <v>426</v>
      </c>
      <c r="E9" s="271">
        <f>'Amenity Annual CF'!C37</f>
        <v>0</v>
      </c>
      <c r="F9" s="271">
        <f ca="1">'Amenity Annual CF'!D37</f>
        <v>862224.38399999996</v>
      </c>
      <c r="G9" s="271">
        <f ca="1">'Amenity Annual CF'!E37</f>
        <v>1158015.849312</v>
      </c>
      <c r="H9" s="271">
        <f ca="1">'Amenity Annual CF'!F37</f>
        <v>1586885.02627536</v>
      </c>
      <c r="I9" s="271">
        <f ca="1">'Amenity Annual CF'!G37</f>
        <v>1637011.5770636208</v>
      </c>
      <c r="J9" s="271">
        <f ca="1">'Amenity Annual CF'!H37</f>
        <v>1692333.7427398998</v>
      </c>
      <c r="K9" s="271">
        <f ca="1">'Amenity Annual CF'!I37</f>
        <v>1741821.182106795</v>
      </c>
      <c r="L9" s="271">
        <f ca="1">'Amenity Annual CF'!J37</f>
        <v>1796595.817569999</v>
      </c>
      <c r="M9" s="271">
        <f ca="1">'Amenity Annual CF'!K37</f>
        <v>1853013.6920970993</v>
      </c>
      <c r="N9" s="271">
        <f ca="1">'Amenity Annual CF'!L37</f>
        <v>1915279.2769540302</v>
      </c>
      <c r="O9" s="272">
        <f ca="1">'Amenity Annual CF'!M37</f>
        <v>1970977.8259458127</v>
      </c>
    </row>
    <row r="10" spans="1:16" ht="16" thickTop="1" x14ac:dyDescent="0.2">
      <c r="A10" s="273" t="s">
        <v>427</v>
      </c>
      <c r="B10" s="274">
        <f>B9*AVERAGE(E3:P3)</f>
        <v>1971.0000000000005</v>
      </c>
    </row>
    <row r="11" spans="1:16" x14ac:dyDescent="0.2">
      <c r="A11" s="275"/>
      <c r="B11" s="276"/>
    </row>
    <row r="12" spans="1:16" x14ac:dyDescent="0.2">
      <c r="A12" s="246" t="s">
        <v>428</v>
      </c>
      <c r="B12" s="247"/>
    </row>
    <row r="13" spans="1:16" x14ac:dyDescent="0.2">
      <c r="A13" s="252" t="s">
        <v>429</v>
      </c>
      <c r="B13" s="253">
        <v>45627</v>
      </c>
    </row>
    <row r="14" spans="1:16" x14ac:dyDescent="0.2">
      <c r="A14" s="257" t="s">
        <v>430</v>
      </c>
      <c r="B14" s="277">
        <v>30</v>
      </c>
    </row>
    <row r="15" spans="1:16" x14ac:dyDescent="0.2">
      <c r="A15" s="257" t="s">
        <v>417</v>
      </c>
      <c r="B15" s="261">
        <v>12</v>
      </c>
    </row>
    <row r="16" spans="1:16" x14ac:dyDescent="0.2">
      <c r="A16" s="257" t="s">
        <v>419</v>
      </c>
      <c r="B16" s="261">
        <v>365</v>
      </c>
    </row>
    <row r="17" spans="1:2" x14ac:dyDescent="0.2">
      <c r="A17" s="257" t="s">
        <v>420</v>
      </c>
      <c r="B17" s="264">
        <v>700</v>
      </c>
    </row>
    <row r="18" spans="1:2" x14ac:dyDescent="0.2">
      <c r="A18" s="257" t="s">
        <v>421</v>
      </c>
      <c r="B18" s="265">
        <v>0.4</v>
      </c>
    </row>
    <row r="19" spans="1:2" x14ac:dyDescent="0.2">
      <c r="A19" s="257" t="s">
        <v>423</v>
      </c>
      <c r="B19" s="266">
        <v>0.03</v>
      </c>
    </row>
    <row r="20" spans="1:2" x14ac:dyDescent="0.2">
      <c r="A20" s="257" t="s">
        <v>425</v>
      </c>
      <c r="B20" s="269">
        <f>B15*B16</f>
        <v>4380</v>
      </c>
    </row>
    <row r="21" spans="1:2" x14ac:dyDescent="0.2">
      <c r="A21" s="273" t="s">
        <v>427</v>
      </c>
      <c r="B21" s="274">
        <f>B20*AVERAGE(E3:P3)</f>
        <v>1971.0000000000005</v>
      </c>
    </row>
    <row r="23" spans="1:2" x14ac:dyDescent="0.2">
      <c r="A23" s="246" t="s">
        <v>431</v>
      </c>
      <c r="B23" s="247"/>
    </row>
    <row r="24" spans="1:2" x14ac:dyDescent="0.2">
      <c r="A24" s="257" t="s">
        <v>432</v>
      </c>
      <c r="B24" s="265">
        <v>0.27</v>
      </c>
    </row>
    <row r="25" spans="1:2" x14ac:dyDescent="0.2">
      <c r="A25" s="273" t="s">
        <v>433</v>
      </c>
      <c r="B25" s="278">
        <v>0.9</v>
      </c>
    </row>
    <row r="27" spans="1:2" x14ac:dyDescent="0.2">
      <c r="A27" s="246" t="s">
        <v>434</v>
      </c>
      <c r="B27" s="279"/>
    </row>
    <row r="28" spans="1:2" x14ac:dyDescent="0.2">
      <c r="A28" s="252" t="s">
        <v>435</v>
      </c>
      <c r="B28" s="280">
        <v>0.2</v>
      </c>
    </row>
    <row r="29" spans="1:2" x14ac:dyDescent="0.2">
      <c r="A29" s="273" t="s">
        <v>436</v>
      </c>
      <c r="B29" s="278">
        <v>0.6</v>
      </c>
    </row>
    <row r="31" spans="1:2" x14ac:dyDescent="0.2">
      <c r="A31" s="246" t="s">
        <v>437</v>
      </c>
      <c r="B31" s="279"/>
    </row>
    <row r="32" spans="1:2" x14ac:dyDescent="0.2">
      <c r="A32" s="281" t="s">
        <v>438</v>
      </c>
      <c r="B32" s="282">
        <v>12000</v>
      </c>
    </row>
    <row r="33" spans="1:6" x14ac:dyDescent="0.2">
      <c r="A33" s="283" t="s">
        <v>439</v>
      </c>
      <c r="B33" s="284">
        <v>1</v>
      </c>
    </row>
    <row r="34" spans="1:6" ht="16" x14ac:dyDescent="0.2">
      <c r="A34" s="283" t="s">
        <v>440</v>
      </c>
      <c r="B34" s="285">
        <v>45084</v>
      </c>
      <c r="F34" s="286"/>
    </row>
    <row r="35" spans="1:6" x14ac:dyDescent="0.2">
      <c r="A35" s="283" t="s">
        <v>441</v>
      </c>
      <c r="B35" s="285">
        <v>45200</v>
      </c>
    </row>
    <row r="36" spans="1:6" x14ac:dyDescent="0.2">
      <c r="A36" s="283" t="s">
        <v>442</v>
      </c>
      <c r="B36" s="287" cm="1">
        <f t="array" aca="1" ref="B36" ca="1">IF(B33=1,SUMPRODUCT(--(WEEKDAY(ROW(INDIRECT(B34&amp;":"&amp;B35)),2)&gt;5)),B35-B34)</f>
        <v>34</v>
      </c>
      <c r="C36" s="288"/>
    </row>
    <row r="37" spans="1:6" x14ac:dyDescent="0.2">
      <c r="A37" s="283" t="s">
        <v>443</v>
      </c>
      <c r="B37" s="289">
        <f>(YEAR(B35)-YEAR(B34))*12+(MONTH(B35)-MONTH(B34)+1)</f>
        <v>5</v>
      </c>
    </row>
    <row r="38" spans="1:6" x14ac:dyDescent="0.2">
      <c r="A38" s="283" t="s">
        <v>444</v>
      </c>
      <c r="B38" s="266">
        <v>0.1</v>
      </c>
    </row>
    <row r="39" spans="1:6" x14ac:dyDescent="0.2">
      <c r="A39" s="290" t="s">
        <v>445</v>
      </c>
      <c r="B39" s="371">
        <v>100000</v>
      </c>
    </row>
    <row r="41" spans="1:6" x14ac:dyDescent="0.2">
      <c r="A41" s="246" t="s">
        <v>446</v>
      </c>
      <c r="B41" s="279"/>
    </row>
    <row r="42" spans="1:6" x14ac:dyDescent="0.2">
      <c r="A42" s="252" t="s">
        <v>447</v>
      </c>
      <c r="B42" s="280">
        <v>0.16</v>
      </c>
    </row>
    <row r="43" spans="1:6" x14ac:dyDescent="0.2">
      <c r="A43" s="257" t="s">
        <v>448</v>
      </c>
      <c r="B43" s="265">
        <v>0.06</v>
      </c>
    </row>
    <row r="44" spans="1:6" x14ac:dyDescent="0.2">
      <c r="A44" s="257" t="s">
        <v>449</v>
      </c>
      <c r="B44" s="265">
        <v>0.06</v>
      </c>
    </row>
    <row r="45" spans="1:6" x14ac:dyDescent="0.2">
      <c r="A45" s="273" t="s">
        <v>450</v>
      </c>
      <c r="B45" s="278">
        <v>0.04</v>
      </c>
    </row>
    <row r="47" spans="1:6" x14ac:dyDescent="0.2">
      <c r="A47" s="291" t="s">
        <v>451</v>
      </c>
      <c r="B47" s="292">
        <v>132</v>
      </c>
    </row>
    <row r="79" spans="373:373" x14ac:dyDescent="0.2">
      <c r="NI79" s="248">
        <v>0</v>
      </c>
    </row>
    <row r="81" spans="1:2" x14ac:dyDescent="0.2">
      <c r="A81" s="248">
        <v>1</v>
      </c>
      <c r="B81" s="248" t="s">
        <v>452</v>
      </c>
    </row>
    <row r="82" spans="1:2" x14ac:dyDescent="0.2">
      <c r="A82" s="248">
        <v>0</v>
      </c>
      <c r="B82" s="248" t="s">
        <v>453</v>
      </c>
    </row>
  </sheetData>
  <dataValidations count="1">
    <dataValidation type="list" allowBlank="1" showInputMessage="1" showErrorMessage="1" sqref="B33" xr:uid="{AE74C0ED-B263-4447-B365-C90CD6465DB7}">
      <formula1>$A$81:$A$82</formula1>
    </dataValidation>
  </dataValidations>
  <pageMargins left="0.7" right="0.7" top="0.75" bottom="0.75" header="0.3" footer="0.3"/>
  <pageSetup orientation="portrait" verticalDpi="597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CCCF6-B5FE-0046-AE09-BBF4DC239821}">
  <sheetPr codeName="Sheet5">
    <tabColor rgb="FFFF0000"/>
  </sheetPr>
  <dimension ref="B1:ES46"/>
  <sheetViews>
    <sheetView zoomScale="120" zoomScaleNormal="120" workbookViewId="0">
      <selection activeCell="E58" sqref="E58"/>
    </sheetView>
  </sheetViews>
  <sheetFormatPr baseColWidth="10" defaultColWidth="8.83203125" defaultRowHeight="15" x14ac:dyDescent="0.2"/>
  <cols>
    <col min="1" max="1" width="8.83203125" style="248"/>
    <col min="2" max="2" width="30.5" style="248" bestFit="1" customWidth="1"/>
    <col min="3" max="3" width="11" style="248" bestFit="1" customWidth="1"/>
    <col min="4" max="135" width="10.5" style="248" bestFit="1" customWidth="1"/>
    <col min="136" max="148" width="8.83203125" style="248"/>
    <col min="149" max="149" width="1.5" style="248" bestFit="1" customWidth="1"/>
    <col min="150" max="16384" width="8.83203125" style="248"/>
  </cols>
  <sheetData>
    <row r="1" spans="2:149" x14ac:dyDescent="0.2">
      <c r="B1" s="293"/>
      <c r="C1" s="347" t="s">
        <v>25</v>
      </c>
      <c r="D1" s="346">
        <v>1</v>
      </c>
      <c r="E1" s="346">
        <f t="shared" ref="E1:M1" si="0">D1+1</f>
        <v>2</v>
      </c>
      <c r="F1" s="346">
        <f t="shared" si="0"/>
        <v>3</v>
      </c>
      <c r="G1" s="346">
        <f t="shared" si="0"/>
        <v>4</v>
      </c>
      <c r="H1" s="346">
        <f t="shared" si="0"/>
        <v>5</v>
      </c>
      <c r="I1" s="346">
        <f t="shared" si="0"/>
        <v>6</v>
      </c>
      <c r="J1" s="346">
        <f t="shared" si="0"/>
        <v>7</v>
      </c>
      <c r="K1" s="346">
        <f t="shared" si="0"/>
        <v>8</v>
      </c>
      <c r="L1" s="346">
        <f t="shared" si="0"/>
        <v>9</v>
      </c>
      <c r="M1" s="346">
        <f t="shared" si="0"/>
        <v>10</v>
      </c>
      <c r="N1" s="350"/>
      <c r="O1" s="350"/>
      <c r="P1" s="350"/>
      <c r="Q1" s="350"/>
      <c r="R1" s="350"/>
      <c r="S1" s="350"/>
      <c r="T1" s="350"/>
      <c r="U1" s="350"/>
      <c r="V1" s="350"/>
      <c r="W1" s="350"/>
      <c r="X1" s="350"/>
      <c r="Y1" s="350"/>
      <c r="Z1" s="350"/>
      <c r="AA1" s="350"/>
      <c r="AB1" s="350"/>
      <c r="AC1" s="350"/>
      <c r="AD1" s="350"/>
      <c r="AE1" s="350"/>
      <c r="AF1" s="350"/>
      <c r="AG1" s="350"/>
      <c r="AH1" s="350"/>
      <c r="AI1" s="350"/>
      <c r="AJ1" s="350"/>
      <c r="AK1" s="350"/>
      <c r="AL1" s="350"/>
      <c r="AM1" s="350"/>
      <c r="AN1" s="350"/>
      <c r="AO1" s="350"/>
      <c r="AP1" s="350"/>
      <c r="AQ1" s="350"/>
      <c r="AR1" s="350"/>
      <c r="AS1" s="350"/>
      <c r="AT1" s="350"/>
      <c r="AU1" s="350"/>
      <c r="AV1" s="350"/>
      <c r="AW1" s="350"/>
      <c r="AX1" s="350"/>
      <c r="AY1" s="350"/>
      <c r="AZ1" s="350"/>
      <c r="BA1" s="350"/>
      <c r="BB1" s="350"/>
      <c r="BC1" s="350"/>
      <c r="BD1" s="350"/>
      <c r="BE1" s="350"/>
      <c r="BF1" s="350"/>
      <c r="BG1" s="350"/>
      <c r="BH1" s="350"/>
      <c r="BI1" s="350"/>
      <c r="BJ1" s="350"/>
      <c r="BK1" s="350"/>
      <c r="BL1" s="350"/>
      <c r="BM1" s="350"/>
      <c r="BN1" s="350"/>
      <c r="BO1" s="350"/>
      <c r="BP1" s="350"/>
      <c r="BQ1" s="350"/>
      <c r="BR1" s="350"/>
      <c r="BS1" s="350"/>
      <c r="BT1" s="350"/>
      <c r="BU1" s="350"/>
      <c r="BV1" s="350"/>
      <c r="BW1" s="350"/>
      <c r="BX1" s="350"/>
      <c r="BY1" s="350"/>
      <c r="BZ1" s="350"/>
      <c r="CA1" s="350"/>
      <c r="CB1" s="350"/>
      <c r="CC1" s="350"/>
      <c r="CD1" s="350"/>
      <c r="CE1" s="350"/>
      <c r="CF1" s="350"/>
      <c r="CG1" s="350"/>
      <c r="CH1" s="350"/>
      <c r="CI1" s="350"/>
      <c r="CJ1" s="350"/>
      <c r="CK1" s="350"/>
      <c r="CL1" s="350"/>
      <c r="CM1" s="350"/>
      <c r="CN1" s="350"/>
      <c r="CO1" s="350"/>
      <c r="CP1" s="350"/>
      <c r="CQ1" s="350"/>
      <c r="CR1" s="350"/>
      <c r="CS1" s="350"/>
      <c r="CT1" s="350"/>
      <c r="CU1" s="350"/>
      <c r="CV1" s="350"/>
      <c r="CW1" s="350"/>
      <c r="CX1" s="350"/>
      <c r="CY1" s="350"/>
      <c r="CZ1" s="350"/>
      <c r="DA1" s="350"/>
      <c r="DB1" s="350"/>
      <c r="DC1" s="350"/>
      <c r="DD1" s="350"/>
      <c r="DE1" s="350"/>
      <c r="DF1" s="350"/>
      <c r="DG1" s="350"/>
      <c r="DH1" s="350"/>
      <c r="DI1" s="350"/>
      <c r="DJ1" s="350"/>
      <c r="DK1" s="350"/>
      <c r="DL1" s="350"/>
      <c r="DM1" s="350"/>
      <c r="DN1" s="350"/>
      <c r="DO1" s="350"/>
      <c r="DP1" s="350"/>
      <c r="DQ1" s="350"/>
      <c r="DR1" s="350"/>
      <c r="DS1" s="350"/>
      <c r="DT1" s="350"/>
      <c r="DU1" s="350"/>
      <c r="DV1" s="350"/>
      <c r="DW1" s="350"/>
      <c r="DX1" s="350"/>
      <c r="DY1" s="350"/>
      <c r="DZ1" s="350"/>
      <c r="EA1" s="350"/>
      <c r="EB1" s="350"/>
      <c r="EC1" s="350"/>
      <c r="ED1" s="350"/>
      <c r="EE1" s="350"/>
    </row>
    <row r="2" spans="2:149" x14ac:dyDescent="0.2">
      <c r="B2" s="294" t="s">
        <v>454</v>
      </c>
      <c r="C2" s="337"/>
      <c r="D2" s="338"/>
      <c r="E2" s="338">
        <f>'Amenity Dashboard'!$B$8</f>
        <v>0.03</v>
      </c>
      <c r="F2" s="338">
        <f>'Amenity Dashboard'!$B$8</f>
        <v>0.03</v>
      </c>
      <c r="G2" s="338">
        <f>'Amenity Dashboard'!$B$8</f>
        <v>0.03</v>
      </c>
      <c r="H2" s="338">
        <f>'Amenity Dashboard'!$B$8</f>
        <v>0.03</v>
      </c>
      <c r="I2" s="338">
        <f>'Amenity Dashboard'!$B$8</f>
        <v>0.03</v>
      </c>
      <c r="J2" s="338">
        <f>'Amenity Dashboard'!$B$8</f>
        <v>0.03</v>
      </c>
      <c r="K2" s="338">
        <f>'Amenity Dashboard'!$B$8</f>
        <v>0.03</v>
      </c>
      <c r="L2" s="338">
        <f>'Amenity Dashboard'!$B$8</f>
        <v>0.03</v>
      </c>
      <c r="M2" s="339">
        <f>'Amenity Dashboard'!$B$8</f>
        <v>0.03</v>
      </c>
      <c r="N2" s="351"/>
      <c r="O2" s="351"/>
      <c r="P2" s="351"/>
      <c r="Q2" s="351"/>
      <c r="R2" s="351"/>
      <c r="S2" s="351"/>
      <c r="T2" s="351"/>
      <c r="U2" s="351"/>
      <c r="V2" s="351"/>
      <c r="W2" s="351"/>
      <c r="X2" s="351"/>
      <c r="Y2" s="351"/>
      <c r="Z2" s="351"/>
      <c r="AA2" s="351"/>
      <c r="AB2" s="351"/>
      <c r="AC2" s="351"/>
      <c r="AD2" s="351"/>
      <c r="AE2" s="351"/>
      <c r="AF2" s="351"/>
      <c r="AG2" s="351"/>
      <c r="AH2" s="351"/>
      <c r="AI2" s="351"/>
      <c r="AJ2" s="351"/>
      <c r="AK2" s="351"/>
      <c r="AL2" s="351"/>
      <c r="AM2" s="351"/>
      <c r="AN2" s="351"/>
      <c r="AO2" s="351"/>
      <c r="AP2" s="351"/>
      <c r="AQ2" s="351"/>
      <c r="AR2" s="351"/>
      <c r="AS2" s="351"/>
      <c r="AT2" s="351"/>
      <c r="AU2" s="351"/>
      <c r="AV2" s="351"/>
      <c r="AW2" s="351"/>
      <c r="AX2" s="351"/>
      <c r="AY2" s="351"/>
      <c r="AZ2" s="351"/>
      <c r="BA2" s="351"/>
      <c r="BB2" s="351"/>
      <c r="BC2" s="351"/>
      <c r="BD2" s="351"/>
      <c r="BE2" s="351"/>
      <c r="BF2" s="351"/>
      <c r="BG2" s="351"/>
      <c r="BH2" s="351"/>
      <c r="BI2" s="351"/>
      <c r="BJ2" s="351"/>
      <c r="BK2" s="351"/>
      <c r="BL2" s="351"/>
      <c r="BM2" s="351"/>
      <c r="BN2" s="351"/>
      <c r="BO2" s="351"/>
      <c r="BP2" s="351"/>
      <c r="BQ2" s="351"/>
      <c r="BR2" s="351"/>
      <c r="BS2" s="351"/>
      <c r="BT2" s="351"/>
      <c r="BU2" s="351"/>
      <c r="BV2" s="351"/>
      <c r="BW2" s="351"/>
      <c r="BX2" s="351"/>
      <c r="BY2" s="351"/>
      <c r="BZ2" s="351"/>
      <c r="CA2" s="351"/>
      <c r="CB2" s="351"/>
      <c r="CC2" s="351"/>
      <c r="CD2" s="351"/>
      <c r="CE2" s="351"/>
      <c r="CF2" s="351"/>
      <c r="CG2" s="351"/>
      <c r="CH2" s="351"/>
      <c r="CI2" s="351"/>
      <c r="CJ2" s="351"/>
      <c r="CK2" s="351"/>
      <c r="CL2" s="351"/>
      <c r="CM2" s="351"/>
      <c r="CN2" s="351"/>
      <c r="CO2" s="351"/>
      <c r="CP2" s="351"/>
      <c r="CQ2" s="351"/>
      <c r="CR2" s="351"/>
      <c r="CS2" s="351"/>
      <c r="CT2" s="351"/>
      <c r="CU2" s="351"/>
      <c r="CV2" s="351"/>
      <c r="CW2" s="351"/>
      <c r="CX2" s="351"/>
      <c r="CY2" s="351"/>
      <c r="CZ2" s="351"/>
      <c r="DA2" s="351"/>
      <c r="DB2" s="351"/>
      <c r="DC2" s="351"/>
      <c r="DD2" s="351"/>
      <c r="DE2" s="351"/>
      <c r="DF2" s="351"/>
      <c r="DG2" s="351"/>
      <c r="DH2" s="351"/>
      <c r="DI2" s="351"/>
      <c r="DJ2" s="351"/>
      <c r="DK2" s="351"/>
      <c r="DL2" s="351"/>
      <c r="DM2" s="351"/>
      <c r="DN2" s="351"/>
      <c r="DO2" s="351"/>
      <c r="DP2" s="351"/>
      <c r="DQ2" s="351"/>
      <c r="DR2" s="351"/>
      <c r="DS2" s="351"/>
      <c r="DT2" s="351"/>
      <c r="DU2" s="351"/>
      <c r="DV2" s="351"/>
      <c r="DW2" s="351"/>
      <c r="DX2" s="351"/>
      <c r="DY2" s="351"/>
      <c r="DZ2" s="351"/>
      <c r="EA2" s="351"/>
      <c r="EB2" s="351"/>
      <c r="EC2" s="351"/>
      <c r="ED2" s="351"/>
      <c r="EE2" s="351"/>
    </row>
    <row r="3" spans="2:149" x14ac:dyDescent="0.2">
      <c r="B3" s="259" t="s">
        <v>455</v>
      </c>
      <c r="C3" s="340"/>
      <c r="D3" s="307">
        <f>'Amenity Dashboard'!$B$6</f>
        <v>700</v>
      </c>
      <c r="E3" s="307">
        <f>D3*(1+E$2)</f>
        <v>721</v>
      </c>
      <c r="F3" s="307">
        <f t="shared" ref="F3:M3" si="1">E3*(1+F2)</f>
        <v>742.63</v>
      </c>
      <c r="G3" s="307">
        <f t="shared" si="1"/>
        <v>764.90890000000002</v>
      </c>
      <c r="H3" s="307">
        <f t="shared" si="1"/>
        <v>787.85616700000003</v>
      </c>
      <c r="I3" s="307">
        <f t="shared" si="1"/>
        <v>811.49185201</v>
      </c>
      <c r="J3" s="307">
        <f t="shared" si="1"/>
        <v>835.83660757029998</v>
      </c>
      <c r="K3" s="307">
        <f t="shared" si="1"/>
        <v>860.91170579740901</v>
      </c>
      <c r="L3" s="307">
        <f t="shared" si="1"/>
        <v>886.73905697133125</v>
      </c>
      <c r="M3" s="353">
        <f t="shared" si="1"/>
        <v>913.3412286804712</v>
      </c>
      <c r="N3" s="348"/>
      <c r="O3" s="348"/>
      <c r="P3" s="307"/>
      <c r="Q3" s="349"/>
      <c r="R3" s="349"/>
      <c r="S3" s="349"/>
      <c r="T3" s="349"/>
      <c r="U3" s="349"/>
      <c r="V3" s="349"/>
      <c r="W3" s="349"/>
      <c r="X3" s="349"/>
      <c r="Y3" s="349"/>
      <c r="Z3" s="349"/>
      <c r="AA3" s="349"/>
      <c r="AB3" s="349"/>
      <c r="AC3" s="349"/>
      <c r="AD3" s="349"/>
      <c r="AE3" s="349"/>
      <c r="AF3" s="349"/>
      <c r="AG3" s="349"/>
      <c r="AH3" s="349"/>
      <c r="AI3" s="349"/>
      <c r="AJ3" s="349"/>
      <c r="AK3" s="349"/>
      <c r="AL3" s="349"/>
      <c r="AM3" s="349"/>
      <c r="AN3" s="349"/>
      <c r="AO3" s="349"/>
      <c r="AP3" s="349"/>
      <c r="AQ3" s="349"/>
      <c r="AR3" s="349"/>
      <c r="AS3" s="349"/>
      <c r="AT3" s="349"/>
      <c r="AU3" s="349"/>
      <c r="AV3" s="349"/>
      <c r="AW3" s="349"/>
      <c r="AX3" s="349"/>
      <c r="AY3" s="349"/>
      <c r="AZ3" s="349"/>
      <c r="BA3" s="349"/>
      <c r="BB3" s="349"/>
      <c r="BC3" s="349"/>
      <c r="BD3" s="349"/>
      <c r="BE3" s="349"/>
      <c r="BF3" s="349"/>
      <c r="BG3" s="349"/>
      <c r="BH3" s="349"/>
      <c r="BI3" s="349"/>
      <c r="BJ3" s="349"/>
      <c r="BK3" s="349"/>
      <c r="BL3" s="349"/>
      <c r="BM3" s="349"/>
      <c r="BN3" s="349"/>
      <c r="BO3" s="349"/>
      <c r="BP3" s="349"/>
      <c r="BQ3" s="349"/>
      <c r="BR3" s="349"/>
      <c r="BS3" s="349"/>
      <c r="BT3" s="349"/>
      <c r="BU3" s="349"/>
      <c r="BV3" s="349"/>
      <c r="BW3" s="349"/>
      <c r="BX3" s="349"/>
      <c r="BY3" s="349"/>
      <c r="BZ3" s="349"/>
      <c r="CA3" s="349"/>
      <c r="CB3" s="349"/>
      <c r="CC3" s="349"/>
      <c r="CD3" s="349"/>
      <c r="CE3" s="349"/>
      <c r="CF3" s="349"/>
      <c r="CG3" s="349"/>
      <c r="CH3" s="349"/>
      <c r="CI3" s="349"/>
      <c r="CJ3" s="349"/>
      <c r="CK3" s="349"/>
      <c r="CL3" s="349"/>
      <c r="CM3" s="349"/>
      <c r="CN3" s="349"/>
      <c r="CO3" s="349"/>
      <c r="CP3" s="349"/>
      <c r="CQ3" s="349"/>
      <c r="CR3" s="349"/>
      <c r="CS3" s="349"/>
      <c r="CT3" s="349"/>
      <c r="CU3" s="349"/>
      <c r="CV3" s="349"/>
      <c r="CW3" s="349"/>
      <c r="CX3" s="349"/>
      <c r="CY3" s="349"/>
      <c r="CZ3" s="349"/>
      <c r="DA3" s="349"/>
      <c r="DB3" s="349"/>
      <c r="DC3" s="349"/>
      <c r="DD3" s="349"/>
      <c r="DE3" s="349"/>
      <c r="DF3" s="349"/>
      <c r="DG3" s="349"/>
      <c r="DH3" s="349"/>
      <c r="DI3" s="349"/>
      <c r="DJ3" s="349"/>
      <c r="DK3" s="349"/>
      <c r="DL3" s="349"/>
      <c r="DM3" s="349"/>
      <c r="DN3" s="349"/>
      <c r="DO3" s="349"/>
      <c r="DP3" s="349"/>
      <c r="DQ3" s="349"/>
      <c r="DR3" s="349"/>
      <c r="DS3" s="349"/>
      <c r="DT3" s="349"/>
      <c r="DU3" s="349"/>
      <c r="DV3" s="349"/>
      <c r="DW3" s="349"/>
      <c r="DX3" s="349"/>
      <c r="DY3" s="349"/>
      <c r="DZ3" s="349"/>
      <c r="EA3" s="349"/>
      <c r="EB3" s="349"/>
      <c r="EC3" s="349"/>
      <c r="ED3" s="349"/>
      <c r="EE3" s="349"/>
    </row>
    <row r="4" spans="2:149" x14ac:dyDescent="0.2">
      <c r="B4" s="259" t="s">
        <v>438</v>
      </c>
      <c r="C4" s="341"/>
      <c r="D4" s="307">
        <f>'Amenity Dashboard'!$B$32</f>
        <v>12000</v>
      </c>
      <c r="E4" s="307">
        <f>D4*(1+E$2)</f>
        <v>12360</v>
      </c>
      <c r="F4" s="307">
        <f t="shared" ref="F4:M4" si="2">E4*(1+F$2)</f>
        <v>12730.800000000001</v>
      </c>
      <c r="G4" s="307">
        <f t="shared" si="2"/>
        <v>13112.724000000002</v>
      </c>
      <c r="H4" s="307">
        <f t="shared" si="2"/>
        <v>13506.105720000003</v>
      </c>
      <c r="I4" s="307">
        <f t="shared" si="2"/>
        <v>13911.288891600003</v>
      </c>
      <c r="J4" s="307">
        <f t="shared" si="2"/>
        <v>14328.627558348004</v>
      </c>
      <c r="K4" s="307">
        <f t="shared" si="2"/>
        <v>14758.486385098444</v>
      </c>
      <c r="L4" s="307">
        <f t="shared" si="2"/>
        <v>15201.240976651397</v>
      </c>
      <c r="M4" s="353">
        <f t="shared" si="2"/>
        <v>15657.278205950939</v>
      </c>
      <c r="N4" s="348"/>
      <c r="O4" s="348"/>
      <c r="P4" s="307"/>
      <c r="Q4" s="349"/>
      <c r="R4" s="349"/>
      <c r="S4" s="349"/>
      <c r="T4" s="349"/>
      <c r="U4" s="349"/>
      <c r="V4" s="349"/>
      <c r="W4" s="349"/>
      <c r="X4" s="349"/>
      <c r="Y4" s="349"/>
      <c r="Z4" s="349"/>
      <c r="AA4" s="349"/>
      <c r="AB4" s="349"/>
      <c r="AC4" s="349"/>
      <c r="AD4" s="349"/>
      <c r="AE4" s="349"/>
      <c r="AF4" s="349"/>
      <c r="AG4" s="349"/>
      <c r="AH4" s="349"/>
      <c r="AI4" s="349"/>
      <c r="AJ4" s="349"/>
      <c r="AK4" s="349"/>
      <c r="AL4" s="349"/>
      <c r="AM4" s="349"/>
      <c r="AN4" s="349"/>
      <c r="AO4" s="349"/>
      <c r="AP4" s="349"/>
      <c r="AQ4" s="349"/>
      <c r="AR4" s="349"/>
      <c r="AS4" s="349"/>
      <c r="AT4" s="349"/>
      <c r="AU4" s="349"/>
      <c r="AV4" s="349"/>
      <c r="AW4" s="349"/>
      <c r="AX4" s="349"/>
      <c r="AY4" s="349"/>
      <c r="AZ4" s="349"/>
      <c r="BA4" s="349"/>
      <c r="BB4" s="349"/>
      <c r="BC4" s="349"/>
      <c r="BD4" s="349"/>
      <c r="BE4" s="349"/>
      <c r="BF4" s="349"/>
      <c r="BG4" s="349"/>
      <c r="BH4" s="349"/>
      <c r="BI4" s="349"/>
      <c r="BJ4" s="349"/>
      <c r="BK4" s="349"/>
      <c r="BL4" s="349"/>
      <c r="BM4" s="349"/>
      <c r="BN4" s="349"/>
      <c r="BO4" s="349"/>
      <c r="BP4" s="349"/>
      <c r="BQ4" s="349"/>
      <c r="BR4" s="349"/>
      <c r="BS4" s="349"/>
      <c r="BT4" s="349"/>
      <c r="BU4" s="349"/>
      <c r="BV4" s="349"/>
      <c r="BW4" s="349"/>
      <c r="BX4" s="349"/>
      <c r="BY4" s="349"/>
      <c r="BZ4" s="349"/>
      <c r="CA4" s="349"/>
      <c r="CB4" s="349"/>
      <c r="CC4" s="349"/>
      <c r="CD4" s="349"/>
      <c r="CE4" s="349"/>
      <c r="CF4" s="349"/>
      <c r="CG4" s="349"/>
      <c r="CH4" s="349"/>
      <c r="CI4" s="349"/>
      <c r="CJ4" s="349"/>
      <c r="CK4" s="349"/>
      <c r="CL4" s="349"/>
      <c r="CM4" s="349"/>
      <c r="CN4" s="349"/>
      <c r="CO4" s="349"/>
      <c r="CP4" s="349"/>
      <c r="CQ4" s="349"/>
      <c r="CR4" s="349"/>
      <c r="CS4" s="349"/>
      <c r="CT4" s="349"/>
      <c r="CU4" s="349"/>
      <c r="CV4" s="349"/>
      <c r="CW4" s="349"/>
      <c r="CX4" s="349"/>
      <c r="CY4" s="349"/>
      <c r="CZ4" s="349"/>
      <c r="DA4" s="349"/>
      <c r="DB4" s="349"/>
      <c r="DC4" s="349"/>
      <c r="DD4" s="349"/>
      <c r="DE4" s="349"/>
      <c r="DF4" s="349"/>
      <c r="DG4" s="349"/>
      <c r="DH4" s="349"/>
      <c r="DI4" s="349"/>
      <c r="DJ4" s="349"/>
      <c r="DK4" s="349"/>
      <c r="DL4" s="349"/>
      <c r="DM4" s="349"/>
      <c r="DN4" s="349"/>
      <c r="DO4" s="349"/>
      <c r="DP4" s="349"/>
      <c r="DQ4" s="349"/>
      <c r="DR4" s="349"/>
      <c r="DS4" s="349"/>
      <c r="DT4" s="349"/>
      <c r="DU4" s="349"/>
      <c r="DV4" s="349"/>
      <c r="DW4" s="349"/>
      <c r="DX4" s="349"/>
      <c r="DY4" s="349"/>
      <c r="DZ4" s="349"/>
      <c r="EA4" s="349"/>
      <c r="EB4" s="349"/>
      <c r="EC4" s="349"/>
      <c r="ED4" s="349"/>
      <c r="EE4" s="349"/>
    </row>
    <row r="5" spans="2:149" x14ac:dyDescent="0.2">
      <c r="B5" s="259" t="s">
        <v>420</v>
      </c>
      <c r="C5" s="342"/>
      <c r="D5" s="352">
        <f>'Amenity Dashboard'!$B$17</f>
        <v>700</v>
      </c>
      <c r="E5" s="352">
        <f>D5*(1+E$2)</f>
        <v>721</v>
      </c>
      <c r="F5" s="352">
        <f t="shared" ref="F5:M5" si="3">E5*(1+F$2)</f>
        <v>742.63</v>
      </c>
      <c r="G5" s="352">
        <f t="shared" si="3"/>
        <v>764.90890000000002</v>
      </c>
      <c r="H5" s="352">
        <f t="shared" si="3"/>
        <v>787.85616700000003</v>
      </c>
      <c r="I5" s="352">
        <f t="shared" si="3"/>
        <v>811.49185201</v>
      </c>
      <c r="J5" s="352">
        <f t="shared" si="3"/>
        <v>835.83660757029998</v>
      </c>
      <c r="K5" s="352">
        <f t="shared" si="3"/>
        <v>860.91170579740901</v>
      </c>
      <c r="L5" s="352">
        <f t="shared" si="3"/>
        <v>886.73905697133125</v>
      </c>
      <c r="M5" s="354">
        <f t="shared" si="3"/>
        <v>913.3412286804712</v>
      </c>
      <c r="N5" s="348"/>
      <c r="O5" s="348"/>
      <c r="P5" s="348"/>
      <c r="Q5" s="348"/>
      <c r="R5" s="348"/>
      <c r="S5" s="348"/>
      <c r="T5" s="348"/>
      <c r="U5" s="348"/>
      <c r="V5" s="348"/>
      <c r="W5" s="348"/>
      <c r="X5" s="348"/>
      <c r="Y5" s="348"/>
      <c r="Z5" s="348"/>
      <c r="AA5" s="348"/>
      <c r="AB5" s="348"/>
      <c r="AC5" s="348"/>
      <c r="AD5" s="348"/>
      <c r="AE5" s="348"/>
      <c r="AF5" s="348"/>
      <c r="AG5" s="349"/>
      <c r="AH5" s="349"/>
      <c r="AI5" s="349"/>
      <c r="AJ5" s="349"/>
      <c r="AK5" s="349"/>
      <c r="AL5" s="349"/>
      <c r="AM5" s="349"/>
      <c r="AN5" s="349"/>
      <c r="AO5" s="349"/>
      <c r="AP5" s="349"/>
      <c r="AQ5" s="349"/>
      <c r="AR5" s="349"/>
      <c r="AS5" s="349"/>
      <c r="AT5" s="349"/>
      <c r="AU5" s="349"/>
      <c r="AV5" s="349"/>
      <c r="AW5" s="349"/>
      <c r="AX5" s="349"/>
      <c r="AY5" s="349"/>
      <c r="AZ5" s="349"/>
      <c r="BA5" s="349"/>
      <c r="BB5" s="349"/>
      <c r="BC5" s="349"/>
      <c r="BD5" s="349"/>
      <c r="BE5" s="349"/>
      <c r="BF5" s="349"/>
      <c r="BG5" s="349"/>
      <c r="BH5" s="349"/>
      <c r="BI5" s="349"/>
      <c r="BJ5" s="349"/>
      <c r="BK5" s="349"/>
      <c r="BL5" s="349"/>
      <c r="BM5" s="349"/>
      <c r="BN5" s="349"/>
      <c r="BO5" s="349"/>
      <c r="BP5" s="349"/>
      <c r="BQ5" s="349"/>
      <c r="BR5" s="349"/>
      <c r="BS5" s="349"/>
      <c r="BT5" s="349"/>
      <c r="BU5" s="349"/>
      <c r="BV5" s="349"/>
      <c r="BW5" s="349"/>
      <c r="BX5" s="349"/>
      <c r="BY5" s="349"/>
      <c r="BZ5" s="349"/>
      <c r="CA5" s="349"/>
      <c r="CB5" s="349"/>
      <c r="CC5" s="349"/>
      <c r="CD5" s="349"/>
      <c r="CE5" s="349"/>
      <c r="CF5" s="349"/>
      <c r="CG5" s="349"/>
      <c r="CH5" s="349"/>
      <c r="CI5" s="349"/>
      <c r="CJ5" s="349"/>
      <c r="CK5" s="349"/>
      <c r="CL5" s="349"/>
      <c r="CM5" s="349"/>
      <c r="CN5" s="349"/>
      <c r="CO5" s="349"/>
      <c r="CP5" s="349"/>
      <c r="CQ5" s="349"/>
      <c r="CR5" s="349"/>
      <c r="CS5" s="349"/>
      <c r="CT5" s="349"/>
      <c r="CU5" s="349"/>
      <c r="CV5" s="349"/>
      <c r="CW5" s="349"/>
      <c r="CX5" s="349"/>
      <c r="CY5" s="349"/>
      <c r="CZ5" s="349"/>
      <c r="DA5" s="349"/>
      <c r="DB5" s="349"/>
      <c r="DC5" s="349"/>
      <c r="DD5" s="349"/>
      <c r="DE5" s="349"/>
      <c r="DF5" s="349"/>
      <c r="DG5" s="349"/>
      <c r="DH5" s="349"/>
      <c r="DI5" s="349"/>
      <c r="DJ5" s="349"/>
      <c r="DK5" s="349"/>
      <c r="DL5" s="349"/>
      <c r="DM5" s="349"/>
      <c r="DN5" s="349"/>
      <c r="DO5" s="349"/>
      <c r="DP5" s="349"/>
      <c r="DQ5" s="349"/>
      <c r="DR5" s="349"/>
      <c r="DS5" s="349"/>
      <c r="DT5" s="349"/>
      <c r="DU5" s="349"/>
      <c r="DV5" s="349"/>
      <c r="DW5" s="349"/>
      <c r="DX5" s="349"/>
      <c r="DY5" s="349"/>
      <c r="DZ5" s="349"/>
      <c r="EA5" s="349"/>
      <c r="EB5" s="349"/>
      <c r="EC5" s="349"/>
      <c r="ED5" s="349"/>
      <c r="EE5" s="349"/>
    </row>
    <row r="6" spans="2:149" x14ac:dyDescent="0.2">
      <c r="P6" s="260"/>
      <c r="Q6" s="260"/>
      <c r="R6" s="260"/>
      <c r="S6" s="260"/>
      <c r="T6" s="260"/>
      <c r="U6" s="260"/>
      <c r="V6" s="260"/>
      <c r="W6" s="260"/>
      <c r="X6" s="260"/>
      <c r="Y6" s="260"/>
      <c r="Z6" s="260"/>
      <c r="AA6" s="260"/>
      <c r="AB6" s="260"/>
      <c r="AC6" s="260"/>
      <c r="AD6" s="260"/>
      <c r="AE6" s="260"/>
      <c r="AF6" s="260"/>
      <c r="AG6" s="260"/>
      <c r="AH6" s="260"/>
    </row>
    <row r="7" spans="2:149" x14ac:dyDescent="0.2">
      <c r="B7" s="249" t="s">
        <v>422</v>
      </c>
      <c r="C7" s="250"/>
      <c r="D7" s="250">
        <f t="shared" ref="D7:O7" si="4">ROUNDUP(D8/12,0)-1</f>
        <v>0</v>
      </c>
      <c r="E7" s="250">
        <f t="shared" si="4"/>
        <v>0</v>
      </c>
      <c r="F7" s="250">
        <f t="shared" si="4"/>
        <v>0</v>
      </c>
      <c r="G7" s="250">
        <f t="shared" si="4"/>
        <v>0</v>
      </c>
      <c r="H7" s="250">
        <f t="shared" si="4"/>
        <v>0</v>
      </c>
      <c r="I7" s="250">
        <f t="shared" si="4"/>
        <v>0</v>
      </c>
      <c r="J7" s="250">
        <f t="shared" si="4"/>
        <v>0</v>
      </c>
      <c r="K7" s="250">
        <f t="shared" si="4"/>
        <v>0</v>
      </c>
      <c r="L7" s="250">
        <f t="shared" si="4"/>
        <v>0</v>
      </c>
      <c r="M7" s="250">
        <f t="shared" si="4"/>
        <v>0</v>
      </c>
      <c r="N7" s="250">
        <f t="shared" si="4"/>
        <v>0</v>
      </c>
      <c r="O7" s="250">
        <f t="shared" si="4"/>
        <v>0</v>
      </c>
      <c r="P7" s="250">
        <f>ROUNDUP(P8/12,0)-1</f>
        <v>1</v>
      </c>
      <c r="Q7" s="250">
        <f t="shared" ref="Q7:CB7" si="5">ROUNDUP(Q8/12,0)-1</f>
        <v>1</v>
      </c>
      <c r="R7" s="250">
        <f t="shared" si="5"/>
        <v>1</v>
      </c>
      <c r="S7" s="250">
        <f t="shared" si="5"/>
        <v>1</v>
      </c>
      <c r="T7" s="250">
        <f t="shared" si="5"/>
        <v>1</v>
      </c>
      <c r="U7" s="250">
        <f t="shared" si="5"/>
        <v>1</v>
      </c>
      <c r="V7" s="250">
        <f t="shared" si="5"/>
        <v>1</v>
      </c>
      <c r="W7" s="250">
        <f t="shared" si="5"/>
        <v>1</v>
      </c>
      <c r="X7" s="250">
        <f t="shared" si="5"/>
        <v>1</v>
      </c>
      <c r="Y7" s="250">
        <f t="shared" si="5"/>
        <v>1</v>
      </c>
      <c r="Z7" s="250">
        <f t="shared" si="5"/>
        <v>1</v>
      </c>
      <c r="AA7" s="250">
        <f t="shared" si="5"/>
        <v>1</v>
      </c>
      <c r="AB7" s="250">
        <f t="shared" si="5"/>
        <v>2</v>
      </c>
      <c r="AC7" s="250">
        <f t="shared" si="5"/>
        <v>2</v>
      </c>
      <c r="AD7" s="250">
        <f t="shared" si="5"/>
        <v>2</v>
      </c>
      <c r="AE7" s="250">
        <f t="shared" si="5"/>
        <v>2</v>
      </c>
      <c r="AF7" s="250">
        <f t="shared" si="5"/>
        <v>2</v>
      </c>
      <c r="AG7" s="250">
        <f t="shared" si="5"/>
        <v>2</v>
      </c>
      <c r="AH7" s="250">
        <f t="shared" si="5"/>
        <v>2</v>
      </c>
      <c r="AI7" s="250">
        <f t="shared" si="5"/>
        <v>2</v>
      </c>
      <c r="AJ7" s="250">
        <f t="shared" si="5"/>
        <v>2</v>
      </c>
      <c r="AK7" s="250">
        <f t="shared" si="5"/>
        <v>2</v>
      </c>
      <c r="AL7" s="250">
        <f t="shared" si="5"/>
        <v>2</v>
      </c>
      <c r="AM7" s="250">
        <f t="shared" si="5"/>
        <v>2</v>
      </c>
      <c r="AN7" s="250">
        <f t="shared" si="5"/>
        <v>3</v>
      </c>
      <c r="AO7" s="250">
        <f t="shared" si="5"/>
        <v>3</v>
      </c>
      <c r="AP7" s="250">
        <f t="shared" si="5"/>
        <v>3</v>
      </c>
      <c r="AQ7" s="250">
        <f t="shared" si="5"/>
        <v>3</v>
      </c>
      <c r="AR7" s="250">
        <f t="shared" si="5"/>
        <v>3</v>
      </c>
      <c r="AS7" s="250">
        <f t="shared" si="5"/>
        <v>3</v>
      </c>
      <c r="AT7" s="250">
        <f t="shared" si="5"/>
        <v>3</v>
      </c>
      <c r="AU7" s="250">
        <f t="shared" si="5"/>
        <v>3</v>
      </c>
      <c r="AV7" s="250">
        <f t="shared" si="5"/>
        <v>3</v>
      </c>
      <c r="AW7" s="250">
        <f t="shared" si="5"/>
        <v>3</v>
      </c>
      <c r="AX7" s="250">
        <f t="shared" si="5"/>
        <v>3</v>
      </c>
      <c r="AY7" s="250">
        <f t="shared" si="5"/>
        <v>3</v>
      </c>
      <c r="AZ7" s="250">
        <f t="shared" si="5"/>
        <v>4</v>
      </c>
      <c r="BA7" s="250">
        <f t="shared" si="5"/>
        <v>4</v>
      </c>
      <c r="BB7" s="250">
        <f t="shared" si="5"/>
        <v>4</v>
      </c>
      <c r="BC7" s="250">
        <f t="shared" si="5"/>
        <v>4</v>
      </c>
      <c r="BD7" s="250">
        <f t="shared" si="5"/>
        <v>4</v>
      </c>
      <c r="BE7" s="250">
        <f t="shared" si="5"/>
        <v>4</v>
      </c>
      <c r="BF7" s="250">
        <f t="shared" si="5"/>
        <v>4</v>
      </c>
      <c r="BG7" s="250">
        <f t="shared" si="5"/>
        <v>4</v>
      </c>
      <c r="BH7" s="250">
        <f t="shared" si="5"/>
        <v>4</v>
      </c>
      <c r="BI7" s="250">
        <f t="shared" si="5"/>
        <v>4</v>
      </c>
      <c r="BJ7" s="250">
        <f t="shared" si="5"/>
        <v>4</v>
      </c>
      <c r="BK7" s="250">
        <f t="shared" si="5"/>
        <v>4</v>
      </c>
      <c r="BL7" s="250">
        <f t="shared" si="5"/>
        <v>5</v>
      </c>
      <c r="BM7" s="250">
        <f t="shared" si="5"/>
        <v>5</v>
      </c>
      <c r="BN7" s="250">
        <f t="shared" si="5"/>
        <v>5</v>
      </c>
      <c r="BO7" s="250">
        <f t="shared" si="5"/>
        <v>5</v>
      </c>
      <c r="BP7" s="250">
        <f t="shared" si="5"/>
        <v>5</v>
      </c>
      <c r="BQ7" s="250">
        <f t="shared" si="5"/>
        <v>5</v>
      </c>
      <c r="BR7" s="250">
        <f t="shared" si="5"/>
        <v>5</v>
      </c>
      <c r="BS7" s="250">
        <f t="shared" si="5"/>
        <v>5</v>
      </c>
      <c r="BT7" s="250">
        <f t="shared" si="5"/>
        <v>5</v>
      </c>
      <c r="BU7" s="250">
        <f t="shared" si="5"/>
        <v>5</v>
      </c>
      <c r="BV7" s="250">
        <f t="shared" si="5"/>
        <v>5</v>
      </c>
      <c r="BW7" s="250">
        <f t="shared" si="5"/>
        <v>5</v>
      </c>
      <c r="BX7" s="250">
        <f t="shared" si="5"/>
        <v>6</v>
      </c>
      <c r="BY7" s="250">
        <f t="shared" si="5"/>
        <v>6</v>
      </c>
      <c r="BZ7" s="250">
        <f t="shared" si="5"/>
        <v>6</v>
      </c>
      <c r="CA7" s="250">
        <f t="shared" si="5"/>
        <v>6</v>
      </c>
      <c r="CB7" s="250">
        <f t="shared" si="5"/>
        <v>6</v>
      </c>
      <c r="CC7" s="250">
        <f t="shared" ref="CC7:EE7" si="6">ROUNDUP(CC8/12,0)-1</f>
        <v>6</v>
      </c>
      <c r="CD7" s="250">
        <f t="shared" si="6"/>
        <v>6</v>
      </c>
      <c r="CE7" s="250">
        <f t="shared" si="6"/>
        <v>6</v>
      </c>
      <c r="CF7" s="250">
        <f t="shared" si="6"/>
        <v>6</v>
      </c>
      <c r="CG7" s="250">
        <f t="shared" si="6"/>
        <v>6</v>
      </c>
      <c r="CH7" s="250">
        <f t="shared" si="6"/>
        <v>6</v>
      </c>
      <c r="CI7" s="250">
        <f t="shared" si="6"/>
        <v>6</v>
      </c>
      <c r="CJ7" s="250">
        <f t="shared" si="6"/>
        <v>7</v>
      </c>
      <c r="CK7" s="250">
        <f t="shared" si="6"/>
        <v>7</v>
      </c>
      <c r="CL7" s="250">
        <f t="shared" si="6"/>
        <v>7</v>
      </c>
      <c r="CM7" s="250">
        <f t="shared" si="6"/>
        <v>7</v>
      </c>
      <c r="CN7" s="250">
        <f t="shared" si="6"/>
        <v>7</v>
      </c>
      <c r="CO7" s="250">
        <f t="shared" si="6"/>
        <v>7</v>
      </c>
      <c r="CP7" s="250">
        <f t="shared" si="6"/>
        <v>7</v>
      </c>
      <c r="CQ7" s="250">
        <f t="shared" si="6"/>
        <v>7</v>
      </c>
      <c r="CR7" s="250">
        <f t="shared" si="6"/>
        <v>7</v>
      </c>
      <c r="CS7" s="250">
        <f t="shared" si="6"/>
        <v>7</v>
      </c>
      <c r="CT7" s="250">
        <f t="shared" si="6"/>
        <v>7</v>
      </c>
      <c r="CU7" s="250">
        <f t="shared" si="6"/>
        <v>7</v>
      </c>
      <c r="CV7" s="250">
        <f t="shared" si="6"/>
        <v>8</v>
      </c>
      <c r="CW7" s="250">
        <f t="shared" si="6"/>
        <v>8</v>
      </c>
      <c r="CX7" s="250">
        <f t="shared" si="6"/>
        <v>8</v>
      </c>
      <c r="CY7" s="250">
        <f t="shared" si="6"/>
        <v>8</v>
      </c>
      <c r="CZ7" s="250">
        <f t="shared" si="6"/>
        <v>8</v>
      </c>
      <c r="DA7" s="250">
        <f t="shared" si="6"/>
        <v>8</v>
      </c>
      <c r="DB7" s="250">
        <f t="shared" si="6"/>
        <v>8</v>
      </c>
      <c r="DC7" s="250">
        <f t="shared" si="6"/>
        <v>8</v>
      </c>
      <c r="DD7" s="250">
        <f t="shared" si="6"/>
        <v>8</v>
      </c>
      <c r="DE7" s="250">
        <f t="shared" si="6"/>
        <v>8</v>
      </c>
      <c r="DF7" s="250">
        <f t="shared" si="6"/>
        <v>8</v>
      </c>
      <c r="DG7" s="250">
        <f t="shared" si="6"/>
        <v>8</v>
      </c>
      <c r="DH7" s="250">
        <f t="shared" si="6"/>
        <v>9</v>
      </c>
      <c r="DI7" s="250">
        <f t="shared" si="6"/>
        <v>9</v>
      </c>
      <c r="DJ7" s="250">
        <f t="shared" si="6"/>
        <v>9</v>
      </c>
      <c r="DK7" s="250">
        <f t="shared" si="6"/>
        <v>9</v>
      </c>
      <c r="DL7" s="250">
        <f t="shared" si="6"/>
        <v>9</v>
      </c>
      <c r="DM7" s="250">
        <f t="shared" si="6"/>
        <v>9</v>
      </c>
      <c r="DN7" s="250">
        <f t="shared" si="6"/>
        <v>9</v>
      </c>
      <c r="DO7" s="250">
        <f t="shared" si="6"/>
        <v>9</v>
      </c>
      <c r="DP7" s="250">
        <f t="shared" si="6"/>
        <v>9</v>
      </c>
      <c r="DQ7" s="250">
        <f t="shared" si="6"/>
        <v>9</v>
      </c>
      <c r="DR7" s="250">
        <f t="shared" si="6"/>
        <v>9</v>
      </c>
      <c r="DS7" s="250">
        <f t="shared" si="6"/>
        <v>9</v>
      </c>
      <c r="DT7" s="250">
        <f t="shared" si="6"/>
        <v>10</v>
      </c>
      <c r="DU7" s="250">
        <f t="shared" si="6"/>
        <v>10</v>
      </c>
      <c r="DV7" s="250">
        <f t="shared" si="6"/>
        <v>10</v>
      </c>
      <c r="DW7" s="250">
        <f t="shared" si="6"/>
        <v>10</v>
      </c>
      <c r="DX7" s="250">
        <f t="shared" si="6"/>
        <v>10</v>
      </c>
      <c r="DY7" s="250">
        <f t="shared" si="6"/>
        <v>10</v>
      </c>
      <c r="DZ7" s="250">
        <f t="shared" si="6"/>
        <v>10</v>
      </c>
      <c r="EA7" s="250">
        <f t="shared" si="6"/>
        <v>10</v>
      </c>
      <c r="EB7" s="250">
        <f t="shared" si="6"/>
        <v>10</v>
      </c>
      <c r="EC7" s="250">
        <f t="shared" si="6"/>
        <v>10</v>
      </c>
      <c r="ED7" s="250">
        <f t="shared" si="6"/>
        <v>10</v>
      </c>
      <c r="EE7" s="250">
        <f t="shared" si="6"/>
        <v>10</v>
      </c>
      <c r="ES7" s="248">
        <v>0</v>
      </c>
    </row>
    <row r="8" spans="2:149" x14ac:dyDescent="0.2">
      <c r="B8" s="254" t="s">
        <v>414</v>
      </c>
      <c r="C8" s="295">
        <v>0</v>
      </c>
      <c r="D8" s="296">
        <v>1</v>
      </c>
      <c r="E8" s="296">
        <f t="shared" ref="E8:BP8" si="7">D8+1</f>
        <v>2</v>
      </c>
      <c r="F8" s="296">
        <f t="shared" si="7"/>
        <v>3</v>
      </c>
      <c r="G8" s="296">
        <f t="shared" si="7"/>
        <v>4</v>
      </c>
      <c r="H8" s="296">
        <f t="shared" si="7"/>
        <v>5</v>
      </c>
      <c r="I8" s="296">
        <f t="shared" si="7"/>
        <v>6</v>
      </c>
      <c r="J8" s="296">
        <f t="shared" si="7"/>
        <v>7</v>
      </c>
      <c r="K8" s="296">
        <f t="shared" si="7"/>
        <v>8</v>
      </c>
      <c r="L8" s="296">
        <f t="shared" si="7"/>
        <v>9</v>
      </c>
      <c r="M8" s="296">
        <f t="shared" si="7"/>
        <v>10</v>
      </c>
      <c r="N8" s="296">
        <f t="shared" si="7"/>
        <v>11</v>
      </c>
      <c r="O8" s="296">
        <f t="shared" si="7"/>
        <v>12</v>
      </c>
      <c r="P8" s="296">
        <f t="shared" si="7"/>
        <v>13</v>
      </c>
      <c r="Q8" s="296">
        <f t="shared" si="7"/>
        <v>14</v>
      </c>
      <c r="R8" s="296">
        <f t="shared" si="7"/>
        <v>15</v>
      </c>
      <c r="S8" s="296">
        <f t="shared" si="7"/>
        <v>16</v>
      </c>
      <c r="T8" s="296">
        <f t="shared" si="7"/>
        <v>17</v>
      </c>
      <c r="U8" s="296">
        <f t="shared" si="7"/>
        <v>18</v>
      </c>
      <c r="V8" s="296">
        <f t="shared" si="7"/>
        <v>19</v>
      </c>
      <c r="W8" s="296">
        <f t="shared" si="7"/>
        <v>20</v>
      </c>
      <c r="X8" s="296">
        <f t="shared" si="7"/>
        <v>21</v>
      </c>
      <c r="Y8" s="296">
        <f t="shared" si="7"/>
        <v>22</v>
      </c>
      <c r="Z8" s="296">
        <f t="shared" si="7"/>
        <v>23</v>
      </c>
      <c r="AA8" s="296">
        <f t="shared" si="7"/>
        <v>24</v>
      </c>
      <c r="AB8" s="296">
        <f t="shared" si="7"/>
        <v>25</v>
      </c>
      <c r="AC8" s="296">
        <f t="shared" si="7"/>
        <v>26</v>
      </c>
      <c r="AD8" s="296">
        <f t="shared" si="7"/>
        <v>27</v>
      </c>
      <c r="AE8" s="296">
        <f t="shared" si="7"/>
        <v>28</v>
      </c>
      <c r="AF8" s="296">
        <f t="shared" si="7"/>
        <v>29</v>
      </c>
      <c r="AG8" s="296">
        <f t="shared" si="7"/>
        <v>30</v>
      </c>
      <c r="AH8" s="296">
        <f t="shared" si="7"/>
        <v>31</v>
      </c>
      <c r="AI8" s="296">
        <f t="shared" si="7"/>
        <v>32</v>
      </c>
      <c r="AJ8" s="296">
        <f t="shared" si="7"/>
        <v>33</v>
      </c>
      <c r="AK8" s="296">
        <f t="shared" si="7"/>
        <v>34</v>
      </c>
      <c r="AL8" s="296">
        <f t="shared" si="7"/>
        <v>35</v>
      </c>
      <c r="AM8" s="296">
        <f t="shared" si="7"/>
        <v>36</v>
      </c>
      <c r="AN8" s="296">
        <f t="shared" si="7"/>
        <v>37</v>
      </c>
      <c r="AO8" s="296">
        <f t="shared" si="7"/>
        <v>38</v>
      </c>
      <c r="AP8" s="296">
        <f t="shared" si="7"/>
        <v>39</v>
      </c>
      <c r="AQ8" s="296">
        <f t="shared" si="7"/>
        <v>40</v>
      </c>
      <c r="AR8" s="296">
        <f t="shared" si="7"/>
        <v>41</v>
      </c>
      <c r="AS8" s="296">
        <f t="shared" si="7"/>
        <v>42</v>
      </c>
      <c r="AT8" s="296">
        <f t="shared" si="7"/>
        <v>43</v>
      </c>
      <c r="AU8" s="296">
        <f t="shared" si="7"/>
        <v>44</v>
      </c>
      <c r="AV8" s="296">
        <f t="shared" si="7"/>
        <v>45</v>
      </c>
      <c r="AW8" s="296">
        <f t="shared" si="7"/>
        <v>46</v>
      </c>
      <c r="AX8" s="296">
        <f t="shared" si="7"/>
        <v>47</v>
      </c>
      <c r="AY8" s="296">
        <f t="shared" si="7"/>
        <v>48</v>
      </c>
      <c r="AZ8" s="296">
        <f t="shared" si="7"/>
        <v>49</v>
      </c>
      <c r="BA8" s="296">
        <f t="shared" si="7"/>
        <v>50</v>
      </c>
      <c r="BB8" s="296">
        <f t="shared" si="7"/>
        <v>51</v>
      </c>
      <c r="BC8" s="296">
        <f t="shared" si="7"/>
        <v>52</v>
      </c>
      <c r="BD8" s="296">
        <f t="shared" si="7"/>
        <v>53</v>
      </c>
      <c r="BE8" s="296">
        <f t="shared" si="7"/>
        <v>54</v>
      </c>
      <c r="BF8" s="296">
        <f t="shared" si="7"/>
        <v>55</v>
      </c>
      <c r="BG8" s="296">
        <f t="shared" si="7"/>
        <v>56</v>
      </c>
      <c r="BH8" s="296">
        <f t="shared" si="7"/>
        <v>57</v>
      </c>
      <c r="BI8" s="296">
        <f t="shared" si="7"/>
        <v>58</v>
      </c>
      <c r="BJ8" s="296">
        <f t="shared" si="7"/>
        <v>59</v>
      </c>
      <c r="BK8" s="296">
        <f t="shared" si="7"/>
        <v>60</v>
      </c>
      <c r="BL8" s="296">
        <f t="shared" si="7"/>
        <v>61</v>
      </c>
      <c r="BM8" s="296">
        <f t="shared" si="7"/>
        <v>62</v>
      </c>
      <c r="BN8" s="296">
        <f t="shared" si="7"/>
        <v>63</v>
      </c>
      <c r="BO8" s="296">
        <f t="shared" si="7"/>
        <v>64</v>
      </c>
      <c r="BP8" s="296">
        <f t="shared" si="7"/>
        <v>65</v>
      </c>
      <c r="BQ8" s="296">
        <f t="shared" ref="BQ8:EB8" si="8">BP8+1</f>
        <v>66</v>
      </c>
      <c r="BR8" s="296">
        <f t="shared" si="8"/>
        <v>67</v>
      </c>
      <c r="BS8" s="296">
        <f t="shared" si="8"/>
        <v>68</v>
      </c>
      <c r="BT8" s="296">
        <f t="shared" si="8"/>
        <v>69</v>
      </c>
      <c r="BU8" s="296">
        <f t="shared" si="8"/>
        <v>70</v>
      </c>
      <c r="BV8" s="296">
        <f t="shared" si="8"/>
        <v>71</v>
      </c>
      <c r="BW8" s="296">
        <f t="shared" si="8"/>
        <v>72</v>
      </c>
      <c r="BX8" s="296">
        <f t="shared" si="8"/>
        <v>73</v>
      </c>
      <c r="BY8" s="296">
        <f t="shared" si="8"/>
        <v>74</v>
      </c>
      <c r="BZ8" s="296">
        <f t="shared" si="8"/>
        <v>75</v>
      </c>
      <c r="CA8" s="296">
        <f t="shared" si="8"/>
        <v>76</v>
      </c>
      <c r="CB8" s="296">
        <f t="shared" si="8"/>
        <v>77</v>
      </c>
      <c r="CC8" s="296">
        <f t="shared" si="8"/>
        <v>78</v>
      </c>
      <c r="CD8" s="296">
        <f t="shared" si="8"/>
        <v>79</v>
      </c>
      <c r="CE8" s="296">
        <f t="shared" si="8"/>
        <v>80</v>
      </c>
      <c r="CF8" s="296">
        <f t="shared" si="8"/>
        <v>81</v>
      </c>
      <c r="CG8" s="296">
        <f t="shared" si="8"/>
        <v>82</v>
      </c>
      <c r="CH8" s="296">
        <f t="shared" si="8"/>
        <v>83</v>
      </c>
      <c r="CI8" s="296">
        <f t="shared" si="8"/>
        <v>84</v>
      </c>
      <c r="CJ8" s="296">
        <f t="shared" si="8"/>
        <v>85</v>
      </c>
      <c r="CK8" s="296">
        <f t="shared" si="8"/>
        <v>86</v>
      </c>
      <c r="CL8" s="296">
        <f t="shared" si="8"/>
        <v>87</v>
      </c>
      <c r="CM8" s="296">
        <f t="shared" si="8"/>
        <v>88</v>
      </c>
      <c r="CN8" s="296">
        <f t="shared" si="8"/>
        <v>89</v>
      </c>
      <c r="CO8" s="296">
        <f t="shared" si="8"/>
        <v>90</v>
      </c>
      <c r="CP8" s="296">
        <f t="shared" si="8"/>
        <v>91</v>
      </c>
      <c r="CQ8" s="296">
        <f t="shared" si="8"/>
        <v>92</v>
      </c>
      <c r="CR8" s="296">
        <f t="shared" si="8"/>
        <v>93</v>
      </c>
      <c r="CS8" s="296">
        <f t="shared" si="8"/>
        <v>94</v>
      </c>
      <c r="CT8" s="296">
        <f t="shared" si="8"/>
        <v>95</v>
      </c>
      <c r="CU8" s="296">
        <f t="shared" si="8"/>
        <v>96</v>
      </c>
      <c r="CV8" s="296">
        <f t="shared" si="8"/>
        <v>97</v>
      </c>
      <c r="CW8" s="296">
        <f t="shared" si="8"/>
        <v>98</v>
      </c>
      <c r="CX8" s="296">
        <f t="shared" si="8"/>
        <v>99</v>
      </c>
      <c r="CY8" s="296">
        <f t="shared" si="8"/>
        <v>100</v>
      </c>
      <c r="CZ8" s="296">
        <f t="shared" si="8"/>
        <v>101</v>
      </c>
      <c r="DA8" s="296">
        <f t="shared" si="8"/>
        <v>102</v>
      </c>
      <c r="DB8" s="296">
        <f t="shared" si="8"/>
        <v>103</v>
      </c>
      <c r="DC8" s="296">
        <f t="shared" si="8"/>
        <v>104</v>
      </c>
      <c r="DD8" s="296">
        <f t="shared" si="8"/>
        <v>105</v>
      </c>
      <c r="DE8" s="296">
        <f t="shared" si="8"/>
        <v>106</v>
      </c>
      <c r="DF8" s="296">
        <f t="shared" si="8"/>
        <v>107</v>
      </c>
      <c r="DG8" s="296">
        <f t="shared" si="8"/>
        <v>108</v>
      </c>
      <c r="DH8" s="296">
        <f t="shared" si="8"/>
        <v>109</v>
      </c>
      <c r="DI8" s="296">
        <f t="shared" si="8"/>
        <v>110</v>
      </c>
      <c r="DJ8" s="296">
        <f t="shared" si="8"/>
        <v>111</v>
      </c>
      <c r="DK8" s="296">
        <f t="shared" si="8"/>
        <v>112</v>
      </c>
      <c r="DL8" s="296">
        <f t="shared" si="8"/>
        <v>113</v>
      </c>
      <c r="DM8" s="296">
        <f t="shared" si="8"/>
        <v>114</v>
      </c>
      <c r="DN8" s="296">
        <f t="shared" si="8"/>
        <v>115</v>
      </c>
      <c r="DO8" s="296">
        <f t="shared" si="8"/>
        <v>116</v>
      </c>
      <c r="DP8" s="296">
        <f t="shared" si="8"/>
        <v>117</v>
      </c>
      <c r="DQ8" s="296">
        <f t="shared" si="8"/>
        <v>118</v>
      </c>
      <c r="DR8" s="296">
        <f t="shared" si="8"/>
        <v>119</v>
      </c>
      <c r="DS8" s="296">
        <f t="shared" si="8"/>
        <v>120</v>
      </c>
      <c r="DT8" s="296">
        <f t="shared" si="8"/>
        <v>121</v>
      </c>
      <c r="DU8" s="296">
        <f t="shared" si="8"/>
        <v>122</v>
      </c>
      <c r="DV8" s="296">
        <f t="shared" si="8"/>
        <v>123</v>
      </c>
      <c r="DW8" s="296">
        <f t="shared" si="8"/>
        <v>124</v>
      </c>
      <c r="DX8" s="296">
        <f t="shared" si="8"/>
        <v>125</v>
      </c>
      <c r="DY8" s="296">
        <f t="shared" si="8"/>
        <v>126</v>
      </c>
      <c r="DZ8" s="296">
        <f t="shared" si="8"/>
        <v>127</v>
      </c>
      <c r="EA8" s="296">
        <f t="shared" si="8"/>
        <v>128</v>
      </c>
      <c r="EB8" s="296">
        <f t="shared" si="8"/>
        <v>129</v>
      </c>
      <c r="EC8" s="296">
        <f>EB8+1</f>
        <v>130</v>
      </c>
      <c r="ED8" s="296">
        <f>EC8+1</f>
        <v>131</v>
      </c>
      <c r="EE8" s="296">
        <f>ED8+1</f>
        <v>132</v>
      </c>
    </row>
    <row r="9" spans="2:149" x14ac:dyDescent="0.2">
      <c r="B9" s="254" t="s">
        <v>424</v>
      </c>
      <c r="C9" s="297">
        <f>'Amenity Dashboard'!B2</f>
        <v>44708</v>
      </c>
      <c r="D9" s="267">
        <f>EOMONTH('Amenity Dashboard'!B2,1)</f>
        <v>44742</v>
      </c>
      <c r="E9" s="267">
        <f t="shared" ref="E9:BP9" si="9">EOMONTH(D9,1)</f>
        <v>44773</v>
      </c>
      <c r="F9" s="267">
        <f t="shared" si="9"/>
        <v>44804</v>
      </c>
      <c r="G9" s="267">
        <f t="shared" si="9"/>
        <v>44834</v>
      </c>
      <c r="H9" s="267">
        <f t="shared" si="9"/>
        <v>44865</v>
      </c>
      <c r="I9" s="267">
        <f t="shared" si="9"/>
        <v>44895</v>
      </c>
      <c r="J9" s="267">
        <f t="shared" si="9"/>
        <v>44926</v>
      </c>
      <c r="K9" s="267">
        <f t="shared" si="9"/>
        <v>44957</v>
      </c>
      <c r="L9" s="267">
        <f t="shared" si="9"/>
        <v>44985</v>
      </c>
      <c r="M9" s="267">
        <f t="shared" si="9"/>
        <v>45016</v>
      </c>
      <c r="N9" s="267">
        <f t="shared" si="9"/>
        <v>45046</v>
      </c>
      <c r="O9" s="267">
        <f t="shared" si="9"/>
        <v>45077</v>
      </c>
      <c r="P9" s="267">
        <f t="shared" si="9"/>
        <v>45107</v>
      </c>
      <c r="Q9" s="267">
        <f t="shared" si="9"/>
        <v>45138</v>
      </c>
      <c r="R9" s="267">
        <f t="shared" si="9"/>
        <v>45169</v>
      </c>
      <c r="S9" s="267">
        <f t="shared" si="9"/>
        <v>45199</v>
      </c>
      <c r="T9" s="267">
        <f t="shared" si="9"/>
        <v>45230</v>
      </c>
      <c r="U9" s="267">
        <f t="shared" si="9"/>
        <v>45260</v>
      </c>
      <c r="V9" s="267">
        <f t="shared" si="9"/>
        <v>45291</v>
      </c>
      <c r="W9" s="267">
        <f t="shared" si="9"/>
        <v>45322</v>
      </c>
      <c r="X9" s="267">
        <f t="shared" si="9"/>
        <v>45351</v>
      </c>
      <c r="Y9" s="267">
        <f t="shared" si="9"/>
        <v>45382</v>
      </c>
      <c r="Z9" s="267">
        <f t="shared" si="9"/>
        <v>45412</v>
      </c>
      <c r="AA9" s="267">
        <f t="shared" si="9"/>
        <v>45443</v>
      </c>
      <c r="AB9" s="267">
        <f t="shared" si="9"/>
        <v>45473</v>
      </c>
      <c r="AC9" s="267">
        <f t="shared" si="9"/>
        <v>45504</v>
      </c>
      <c r="AD9" s="267">
        <f t="shared" si="9"/>
        <v>45535</v>
      </c>
      <c r="AE9" s="267">
        <f t="shared" si="9"/>
        <v>45565</v>
      </c>
      <c r="AF9" s="267">
        <f t="shared" si="9"/>
        <v>45596</v>
      </c>
      <c r="AG9" s="267">
        <f t="shared" si="9"/>
        <v>45626</v>
      </c>
      <c r="AH9" s="267">
        <f t="shared" si="9"/>
        <v>45657</v>
      </c>
      <c r="AI9" s="267">
        <f t="shared" si="9"/>
        <v>45688</v>
      </c>
      <c r="AJ9" s="267">
        <f t="shared" si="9"/>
        <v>45716</v>
      </c>
      <c r="AK9" s="267">
        <f t="shared" si="9"/>
        <v>45747</v>
      </c>
      <c r="AL9" s="267">
        <f t="shared" si="9"/>
        <v>45777</v>
      </c>
      <c r="AM9" s="267">
        <f t="shared" si="9"/>
        <v>45808</v>
      </c>
      <c r="AN9" s="267">
        <f t="shared" si="9"/>
        <v>45838</v>
      </c>
      <c r="AO9" s="267">
        <f t="shared" si="9"/>
        <v>45869</v>
      </c>
      <c r="AP9" s="267">
        <f t="shared" si="9"/>
        <v>45900</v>
      </c>
      <c r="AQ9" s="267">
        <f t="shared" si="9"/>
        <v>45930</v>
      </c>
      <c r="AR9" s="267">
        <f t="shared" si="9"/>
        <v>45961</v>
      </c>
      <c r="AS9" s="267">
        <f t="shared" si="9"/>
        <v>45991</v>
      </c>
      <c r="AT9" s="267">
        <f t="shared" si="9"/>
        <v>46022</v>
      </c>
      <c r="AU9" s="267">
        <f t="shared" si="9"/>
        <v>46053</v>
      </c>
      <c r="AV9" s="267">
        <f t="shared" si="9"/>
        <v>46081</v>
      </c>
      <c r="AW9" s="267">
        <f t="shared" si="9"/>
        <v>46112</v>
      </c>
      <c r="AX9" s="267">
        <f t="shared" si="9"/>
        <v>46142</v>
      </c>
      <c r="AY9" s="267">
        <f t="shared" si="9"/>
        <v>46173</v>
      </c>
      <c r="AZ9" s="267">
        <f t="shared" si="9"/>
        <v>46203</v>
      </c>
      <c r="BA9" s="267">
        <f t="shared" si="9"/>
        <v>46234</v>
      </c>
      <c r="BB9" s="267">
        <f t="shared" si="9"/>
        <v>46265</v>
      </c>
      <c r="BC9" s="267">
        <f t="shared" si="9"/>
        <v>46295</v>
      </c>
      <c r="BD9" s="267">
        <f t="shared" si="9"/>
        <v>46326</v>
      </c>
      <c r="BE9" s="267">
        <f t="shared" si="9"/>
        <v>46356</v>
      </c>
      <c r="BF9" s="267">
        <f t="shared" si="9"/>
        <v>46387</v>
      </c>
      <c r="BG9" s="267">
        <f t="shared" si="9"/>
        <v>46418</v>
      </c>
      <c r="BH9" s="267">
        <f t="shared" si="9"/>
        <v>46446</v>
      </c>
      <c r="BI9" s="267">
        <f t="shared" si="9"/>
        <v>46477</v>
      </c>
      <c r="BJ9" s="267">
        <f t="shared" si="9"/>
        <v>46507</v>
      </c>
      <c r="BK9" s="267">
        <f t="shared" si="9"/>
        <v>46538</v>
      </c>
      <c r="BL9" s="267">
        <f t="shared" si="9"/>
        <v>46568</v>
      </c>
      <c r="BM9" s="267">
        <f t="shared" si="9"/>
        <v>46599</v>
      </c>
      <c r="BN9" s="267">
        <f t="shared" si="9"/>
        <v>46630</v>
      </c>
      <c r="BO9" s="267">
        <f t="shared" si="9"/>
        <v>46660</v>
      </c>
      <c r="BP9" s="267">
        <f t="shared" si="9"/>
        <v>46691</v>
      </c>
      <c r="BQ9" s="267">
        <f t="shared" ref="BQ9:EB9" si="10">EOMONTH(BP9,1)</f>
        <v>46721</v>
      </c>
      <c r="BR9" s="267">
        <f t="shared" si="10"/>
        <v>46752</v>
      </c>
      <c r="BS9" s="267">
        <f t="shared" si="10"/>
        <v>46783</v>
      </c>
      <c r="BT9" s="267">
        <f t="shared" si="10"/>
        <v>46812</v>
      </c>
      <c r="BU9" s="267">
        <f t="shared" si="10"/>
        <v>46843</v>
      </c>
      <c r="BV9" s="267">
        <f t="shared" si="10"/>
        <v>46873</v>
      </c>
      <c r="BW9" s="267">
        <f t="shared" si="10"/>
        <v>46904</v>
      </c>
      <c r="BX9" s="267">
        <f t="shared" si="10"/>
        <v>46934</v>
      </c>
      <c r="BY9" s="267">
        <f t="shared" si="10"/>
        <v>46965</v>
      </c>
      <c r="BZ9" s="267">
        <f t="shared" si="10"/>
        <v>46996</v>
      </c>
      <c r="CA9" s="267">
        <f t="shared" si="10"/>
        <v>47026</v>
      </c>
      <c r="CB9" s="267">
        <f t="shared" si="10"/>
        <v>47057</v>
      </c>
      <c r="CC9" s="267">
        <f t="shared" si="10"/>
        <v>47087</v>
      </c>
      <c r="CD9" s="267">
        <f t="shared" si="10"/>
        <v>47118</v>
      </c>
      <c r="CE9" s="267">
        <f t="shared" si="10"/>
        <v>47149</v>
      </c>
      <c r="CF9" s="267">
        <f t="shared" si="10"/>
        <v>47177</v>
      </c>
      <c r="CG9" s="267">
        <f t="shared" si="10"/>
        <v>47208</v>
      </c>
      <c r="CH9" s="267">
        <f t="shared" si="10"/>
        <v>47238</v>
      </c>
      <c r="CI9" s="267">
        <f t="shared" si="10"/>
        <v>47269</v>
      </c>
      <c r="CJ9" s="267">
        <f t="shared" si="10"/>
        <v>47299</v>
      </c>
      <c r="CK9" s="267">
        <f t="shared" si="10"/>
        <v>47330</v>
      </c>
      <c r="CL9" s="267">
        <f t="shared" si="10"/>
        <v>47361</v>
      </c>
      <c r="CM9" s="267">
        <f t="shared" si="10"/>
        <v>47391</v>
      </c>
      <c r="CN9" s="267">
        <f t="shared" si="10"/>
        <v>47422</v>
      </c>
      <c r="CO9" s="267">
        <f t="shared" si="10"/>
        <v>47452</v>
      </c>
      <c r="CP9" s="267">
        <f t="shared" si="10"/>
        <v>47483</v>
      </c>
      <c r="CQ9" s="267">
        <f t="shared" si="10"/>
        <v>47514</v>
      </c>
      <c r="CR9" s="267">
        <f t="shared" si="10"/>
        <v>47542</v>
      </c>
      <c r="CS9" s="267">
        <f t="shared" si="10"/>
        <v>47573</v>
      </c>
      <c r="CT9" s="267">
        <f t="shared" si="10"/>
        <v>47603</v>
      </c>
      <c r="CU9" s="267">
        <f t="shared" si="10"/>
        <v>47634</v>
      </c>
      <c r="CV9" s="267">
        <f t="shared" si="10"/>
        <v>47664</v>
      </c>
      <c r="CW9" s="267">
        <f t="shared" si="10"/>
        <v>47695</v>
      </c>
      <c r="CX9" s="267">
        <f t="shared" si="10"/>
        <v>47726</v>
      </c>
      <c r="CY9" s="267">
        <f t="shared" si="10"/>
        <v>47756</v>
      </c>
      <c r="CZ9" s="267">
        <f t="shared" si="10"/>
        <v>47787</v>
      </c>
      <c r="DA9" s="267">
        <f t="shared" si="10"/>
        <v>47817</v>
      </c>
      <c r="DB9" s="267">
        <f t="shared" si="10"/>
        <v>47848</v>
      </c>
      <c r="DC9" s="267">
        <f t="shared" si="10"/>
        <v>47879</v>
      </c>
      <c r="DD9" s="267">
        <f t="shared" si="10"/>
        <v>47907</v>
      </c>
      <c r="DE9" s="267">
        <f t="shared" si="10"/>
        <v>47938</v>
      </c>
      <c r="DF9" s="267">
        <f t="shared" si="10"/>
        <v>47968</v>
      </c>
      <c r="DG9" s="267">
        <f t="shared" si="10"/>
        <v>47999</v>
      </c>
      <c r="DH9" s="267">
        <f t="shared" si="10"/>
        <v>48029</v>
      </c>
      <c r="DI9" s="267">
        <f t="shared" si="10"/>
        <v>48060</v>
      </c>
      <c r="DJ9" s="267">
        <f t="shared" si="10"/>
        <v>48091</v>
      </c>
      <c r="DK9" s="267">
        <f t="shared" si="10"/>
        <v>48121</v>
      </c>
      <c r="DL9" s="267">
        <f t="shared" si="10"/>
        <v>48152</v>
      </c>
      <c r="DM9" s="267">
        <f t="shared" si="10"/>
        <v>48182</v>
      </c>
      <c r="DN9" s="267">
        <f t="shared" si="10"/>
        <v>48213</v>
      </c>
      <c r="DO9" s="267">
        <f t="shared" si="10"/>
        <v>48244</v>
      </c>
      <c r="DP9" s="267">
        <f t="shared" si="10"/>
        <v>48273</v>
      </c>
      <c r="DQ9" s="267">
        <f t="shared" si="10"/>
        <v>48304</v>
      </c>
      <c r="DR9" s="267">
        <f t="shared" si="10"/>
        <v>48334</v>
      </c>
      <c r="DS9" s="267">
        <f t="shared" si="10"/>
        <v>48365</v>
      </c>
      <c r="DT9" s="267">
        <f t="shared" si="10"/>
        <v>48395</v>
      </c>
      <c r="DU9" s="267">
        <f t="shared" si="10"/>
        <v>48426</v>
      </c>
      <c r="DV9" s="267">
        <f t="shared" si="10"/>
        <v>48457</v>
      </c>
      <c r="DW9" s="267">
        <f t="shared" si="10"/>
        <v>48487</v>
      </c>
      <c r="DX9" s="267">
        <f t="shared" si="10"/>
        <v>48518</v>
      </c>
      <c r="DY9" s="267">
        <f t="shared" si="10"/>
        <v>48548</v>
      </c>
      <c r="DZ9" s="267">
        <f t="shared" si="10"/>
        <v>48579</v>
      </c>
      <c r="EA9" s="267">
        <f t="shared" si="10"/>
        <v>48610</v>
      </c>
      <c r="EB9" s="267">
        <f t="shared" si="10"/>
        <v>48638</v>
      </c>
      <c r="EC9" s="267">
        <f>EOMONTH(EB9,1)</f>
        <v>48669</v>
      </c>
      <c r="ED9" s="267">
        <f>EOMONTH(EC9,1)</f>
        <v>48699</v>
      </c>
      <c r="EE9" s="267">
        <f>EOMONTH(ED9,1)</f>
        <v>48730</v>
      </c>
    </row>
    <row r="10" spans="2:149" x14ac:dyDescent="0.2">
      <c r="B10" s="294" t="s">
        <v>456</v>
      </c>
      <c r="C10" s="298"/>
      <c r="D10" s="298">
        <f>IF(D8&lt;'Amenity Dashboard'!$B$3,0,(D9-'Amenity Dashboard'!B2)*'Amenity Dashboard'!$B$4*'Amenity Dashboard'!$B$6)</f>
        <v>0</v>
      </c>
      <c r="E10" s="298">
        <f>IF(E8&lt;'Amenity Dashboard'!$B$3,0,((E9-D9)*'Amenity Dashboard'!$B$4*((HLOOKUP(E7,$D$1:$AH$5,3,0)))))</f>
        <v>0</v>
      </c>
      <c r="F10" s="298">
        <f>IF(F8&lt;'Amenity Dashboard'!$B$3,0,((F9-E9)*'Amenity Dashboard'!$B$4*((HLOOKUP(F7,$D$1:$AH$5,3,0)))))</f>
        <v>0</v>
      </c>
      <c r="G10" s="298">
        <f>IF(G8&lt;'Amenity Dashboard'!$B$3,0,((G9-F9)*'Amenity Dashboard'!$B$4*((HLOOKUP(G7,$D$1:$AH$5,3,0)))))</f>
        <v>0</v>
      </c>
      <c r="H10" s="298">
        <f>IF(H8&lt;'Amenity Dashboard'!$B$3,0,((H9-G9)*'Amenity Dashboard'!$B$4*((HLOOKUP(H7,$D$1:$AH$5,3,0)))))</f>
        <v>0</v>
      </c>
      <c r="I10" s="298">
        <f>IF(I8&lt;'Amenity Dashboard'!$B$3,0,((I9-H9)*'Amenity Dashboard'!$B$4*((HLOOKUP(I7,$D$1:$AH$5,3,0)))))</f>
        <v>0</v>
      </c>
      <c r="J10" s="298">
        <f>IF(J8&lt;'Amenity Dashboard'!$B$3,0,((J9-I9)*'Amenity Dashboard'!$B$4*((HLOOKUP(J7,$D$1:$AH$5,3,0)))))</f>
        <v>0</v>
      </c>
      <c r="K10" s="298">
        <f>IF(K8&lt;'Amenity Dashboard'!$B$3,0,((K9-J9)*'Amenity Dashboard'!$B$4*((HLOOKUP(K7,$D$1:$AH$5,3,0)))))</f>
        <v>0</v>
      </c>
      <c r="L10" s="298">
        <f>IF(L8&lt;'Amenity Dashboard'!$B$3,0,((L9-K9)*'Amenity Dashboard'!$B$4*((HLOOKUP(L7,$D$1:$AH$5,3,0)))))</f>
        <v>0</v>
      </c>
      <c r="M10" s="298">
        <f>IF(M8&lt;'Amenity Dashboard'!$B$3,0,((M9-L9)*'Amenity Dashboard'!$B$4*((HLOOKUP(M7,$D$1:$AH$5,3,0)))))</f>
        <v>0</v>
      </c>
      <c r="N10" s="298">
        <f>IF(N8&lt;'Amenity Dashboard'!$B$3,0,((N9-M9)*'Amenity Dashboard'!$B$4*((HLOOKUP(N7,$D$1:$AH$5,3,0)))))</f>
        <v>0</v>
      </c>
      <c r="O10" s="298">
        <f>IF(O8&lt;'Amenity Dashboard'!$B$3,0,((O9-N9)*'Amenity Dashboard'!$B$4*((HLOOKUP(O7,$D$1:$AH$5,3,0)))))</f>
        <v>0</v>
      </c>
      <c r="P10" s="298">
        <f>IF(P8&lt;'Amenity Dashboard'!$B$3,0,((P9-O9)*'Amenity Dashboard'!$B$4*((HLOOKUP(P7,$D$1:$AH$5,3,0)))))</f>
        <v>252000</v>
      </c>
      <c r="Q10" s="298">
        <f>IF(Q8&lt;'Amenity Dashboard'!$B$3,0,((Q9-P9)*'Amenity Dashboard'!$B$4*((HLOOKUP(Q7,$D$1:$AH$5,3,0)))))</f>
        <v>260400</v>
      </c>
      <c r="R10" s="298">
        <f>IF(R8&lt;'Amenity Dashboard'!$B$3,0,((R9-Q9)*'Amenity Dashboard'!$B$4*((HLOOKUP(R7,$D$1:$AH$5,3,0)))))</f>
        <v>260400</v>
      </c>
      <c r="S10" s="298">
        <f>IF(S8&lt;'Amenity Dashboard'!$B$3,0,((S9-R9)*'Amenity Dashboard'!$B$4*((HLOOKUP(S7,$D$1:$AH$5,3,0)))))</f>
        <v>252000</v>
      </c>
      <c r="T10" s="298">
        <f>IF(T8&lt;'Amenity Dashboard'!$B$3,0,((T9-S9)*'Amenity Dashboard'!$B$4*((HLOOKUP(T7,$D$1:$AH$5,3,0)))))</f>
        <v>260400</v>
      </c>
      <c r="U10" s="298">
        <f>IF(U8&lt;'Amenity Dashboard'!$B$3,0,((U9-T9)*'Amenity Dashboard'!$B$4*((HLOOKUP(U7,$D$1:$AH$5,3,0)))))</f>
        <v>252000</v>
      </c>
      <c r="V10" s="298">
        <f>IF(V8&lt;'Amenity Dashboard'!$B$3,0,((V9-U9)*'Amenity Dashboard'!$B$4*((HLOOKUP(V7,$D$1:$AH$5,3,0)))))</f>
        <v>260400</v>
      </c>
      <c r="W10" s="298">
        <f>IF(W8&lt;'Amenity Dashboard'!$B$3,0,((W9-V9)*'Amenity Dashboard'!$B$4*((HLOOKUP(W7,$D$1:$AH$5,3,0)))))</f>
        <v>260400</v>
      </c>
      <c r="X10" s="298">
        <f>IF(X8&lt;'Amenity Dashboard'!$B$3,0,((X9-W9)*'Amenity Dashboard'!$B$4*((HLOOKUP(X7,$D$1:$AH$5,3,0)))))</f>
        <v>243600</v>
      </c>
      <c r="Y10" s="298">
        <f>IF(Y8&lt;'Amenity Dashboard'!$B$3,0,((Y9-X9)*'Amenity Dashboard'!$B$4*((HLOOKUP(Y7,$D$1:$AH$5,3,0)))))</f>
        <v>260400</v>
      </c>
      <c r="Z10" s="298">
        <f>IF(Z8&lt;'Amenity Dashboard'!$B$3,0,((Z9-Y9)*'Amenity Dashboard'!$B$4*((HLOOKUP(Z7,$D$1:$AH$5,3,0)))))</f>
        <v>252000</v>
      </c>
      <c r="AA10" s="298">
        <f>IF(AA8&lt;'Amenity Dashboard'!$B$3,0,((AA9-Z9)*'Amenity Dashboard'!$B$4*((HLOOKUP(AA7,$D$1:$AH$5,3,0)))))</f>
        <v>260400</v>
      </c>
      <c r="AB10" s="298">
        <f>IF(AB8&lt;'Amenity Dashboard'!$B$3,0,((AB9-AA9)*'Amenity Dashboard'!$B$4*((HLOOKUP(AB7,$D$1:$AH$5,3,0)))))</f>
        <v>259560</v>
      </c>
      <c r="AC10" s="298">
        <f>IF(AC8&lt;'Amenity Dashboard'!$B$3,0,((AC9-AB9)*'Amenity Dashboard'!$B$4*((HLOOKUP(AC7,$D$1:$AH$5,3,0)))))</f>
        <v>268212</v>
      </c>
      <c r="AD10" s="298">
        <f>IF(AD8&lt;'Amenity Dashboard'!$B$3,0,((AD9-AC9)*'Amenity Dashboard'!$B$4*((HLOOKUP(AD7,$D$1:$AH$5,3,0)))))</f>
        <v>268212</v>
      </c>
      <c r="AE10" s="298">
        <f>IF(AE8&lt;'Amenity Dashboard'!$B$3,0,((AE9-AD9)*'Amenity Dashboard'!$B$4*((HLOOKUP(AE7,$D$1:$AH$5,3,0)))))</f>
        <v>259560</v>
      </c>
      <c r="AF10" s="298">
        <f>IF(AF8&lt;'Amenity Dashboard'!$B$3,0,((AF9-AE9)*'Amenity Dashboard'!$B$4*((HLOOKUP(AF7,$D$1:$AH$5,3,0)))))</f>
        <v>268212</v>
      </c>
      <c r="AG10" s="298">
        <f>IF(AG8&lt;'Amenity Dashboard'!$B$3,0,((AG9-AF9)*'Amenity Dashboard'!$B$4*((HLOOKUP(AG7,$D$1:$AH$5,3,0)))))</f>
        <v>259560</v>
      </c>
      <c r="AH10" s="298">
        <f>IF(AH8&lt;'Amenity Dashboard'!$B$3,0,((AH9-AG9)*'Amenity Dashboard'!$B$4*((HLOOKUP(AH7,$D$1:$AH$5,3,0)))))</f>
        <v>268212</v>
      </c>
      <c r="AI10" s="298">
        <f>IF(AI8&lt;'Amenity Dashboard'!$B$3,0,((AI9-AH9)*'Amenity Dashboard'!$B$4*((HLOOKUP(AI7,$D$1:$AH$5,3,0)))))</f>
        <v>268212</v>
      </c>
      <c r="AJ10" s="298">
        <f>IF(AJ8&lt;'Amenity Dashboard'!$B$3,0,((AJ9-AI9)*'Amenity Dashboard'!$B$4*((HLOOKUP(AJ7,$D$1:$AH$5,3,0)))))</f>
        <v>242256</v>
      </c>
      <c r="AK10" s="298">
        <f>IF(AK8&lt;'Amenity Dashboard'!$B$3,0,((AK9-AJ9)*'Amenity Dashboard'!$B$4*((HLOOKUP(AK7,$D$1:$AH$5,3,0)))))</f>
        <v>268212</v>
      </c>
      <c r="AL10" s="298">
        <f>IF(AL8&lt;'Amenity Dashboard'!$B$3,0,((AL9-AK9)*'Amenity Dashboard'!$B$4*((HLOOKUP(AL7,$D$1:$AH$5,3,0)))))</f>
        <v>259560</v>
      </c>
      <c r="AM10" s="298">
        <f>IF(AM8&lt;'Amenity Dashboard'!$B$3,0,((AM9-AL9)*'Amenity Dashboard'!$B$4*((HLOOKUP(AM7,$D$1:$AH$5,3,0)))))</f>
        <v>268212</v>
      </c>
      <c r="AN10" s="298">
        <f>IF(AN8&lt;'Amenity Dashboard'!$B$3,0,((AN9-AM9)*'Amenity Dashboard'!$B$4*((HLOOKUP(AN7,$D$1:$AH$5,3,0)))))</f>
        <v>267346.8</v>
      </c>
      <c r="AO10" s="298">
        <f>IF(AO8&lt;'Amenity Dashboard'!$B$3,0,((AO9-AN9)*'Amenity Dashboard'!$B$4*((HLOOKUP(AO7,$D$1:$AH$5,3,0)))))</f>
        <v>276258.36</v>
      </c>
      <c r="AP10" s="298">
        <f>IF(AP8&lt;'Amenity Dashboard'!$B$3,0,((AP9-AO9)*'Amenity Dashboard'!$B$4*((HLOOKUP(AP7,$D$1:$AH$5,3,0)))))</f>
        <v>276258.36</v>
      </c>
      <c r="AQ10" s="298">
        <f>IF(AQ8&lt;'Amenity Dashboard'!$B$3,0,((AQ9-AP9)*'Amenity Dashboard'!$B$4*((HLOOKUP(AQ7,$D$1:$AH$5,3,0)))))</f>
        <v>267346.8</v>
      </c>
      <c r="AR10" s="298">
        <f>IF(AR8&lt;'Amenity Dashboard'!$B$3,0,((AR9-AQ9)*'Amenity Dashboard'!$B$4*((HLOOKUP(AR7,$D$1:$AH$5,3,0)))))</f>
        <v>276258.36</v>
      </c>
      <c r="AS10" s="298">
        <f>IF(AS8&lt;'Amenity Dashboard'!$B$3,0,((AS9-AR9)*'Amenity Dashboard'!$B$4*((HLOOKUP(AS7,$D$1:$AH$5,3,0)))))</f>
        <v>267346.8</v>
      </c>
      <c r="AT10" s="298">
        <f>IF(AT8&lt;'Amenity Dashboard'!$B$3,0,((AT9-AS9)*'Amenity Dashboard'!$B$4*((HLOOKUP(AT7,$D$1:$AH$5,3,0)))))</f>
        <v>276258.36</v>
      </c>
      <c r="AU10" s="298">
        <f>IF(AU8&lt;'Amenity Dashboard'!$B$3,0,((AU9-AT9)*'Amenity Dashboard'!$B$4*((HLOOKUP(AU7,$D$1:$AH$5,3,0)))))</f>
        <v>276258.36</v>
      </c>
      <c r="AV10" s="298">
        <f>IF(AV8&lt;'Amenity Dashboard'!$B$3,0,((AV9-AU9)*'Amenity Dashboard'!$B$4*((HLOOKUP(AV7,$D$1:$AH$5,3,0)))))</f>
        <v>249523.68</v>
      </c>
      <c r="AW10" s="298">
        <f>IF(AW8&lt;'Amenity Dashboard'!$B$3,0,((AW9-AV9)*'Amenity Dashboard'!$B$4*((HLOOKUP(AW7,$D$1:$AH$5,3,0)))))</f>
        <v>276258.36</v>
      </c>
      <c r="AX10" s="298">
        <f>IF(AX8&lt;'Amenity Dashboard'!$B$3,0,((AX9-AW9)*'Amenity Dashboard'!$B$4*((HLOOKUP(AX7,$D$1:$AH$5,3,0)))))</f>
        <v>267346.8</v>
      </c>
      <c r="AY10" s="298">
        <f>IF(AY8&lt;'Amenity Dashboard'!$B$3,0,((AY9-AX9)*'Amenity Dashboard'!$B$4*((HLOOKUP(AY7,$D$1:$AH$5,3,0)))))</f>
        <v>276258.36</v>
      </c>
      <c r="AZ10" s="298">
        <f>IF(AZ8&lt;'Amenity Dashboard'!$B$3,0,((AZ9-AY9)*'Amenity Dashboard'!$B$4*((HLOOKUP(AZ7,$D$1:$AH$5,3,0)))))</f>
        <v>275367.20400000003</v>
      </c>
      <c r="BA10" s="298">
        <f>IF(BA8&lt;'Amenity Dashboard'!$B$3,0,((BA9-AZ9)*'Amenity Dashboard'!$B$4*((HLOOKUP(BA7,$D$1:$AH$5,3,0)))))</f>
        <v>284546.11080000002</v>
      </c>
      <c r="BB10" s="298">
        <f>IF(BB8&lt;'Amenity Dashboard'!$B$3,0,((BB9-BA9)*'Amenity Dashboard'!$B$4*((HLOOKUP(BB7,$D$1:$AH$5,3,0)))))</f>
        <v>284546.11080000002</v>
      </c>
      <c r="BC10" s="298">
        <f>IF(BC8&lt;'Amenity Dashboard'!$B$3,0,((BC9-BB9)*'Amenity Dashboard'!$B$4*((HLOOKUP(BC7,$D$1:$AH$5,3,0)))))</f>
        <v>275367.20400000003</v>
      </c>
      <c r="BD10" s="298">
        <f>IF(BD8&lt;'Amenity Dashboard'!$B$3,0,((BD9-BC9)*'Amenity Dashboard'!$B$4*((HLOOKUP(BD7,$D$1:$AH$5,3,0)))))</f>
        <v>284546.11080000002</v>
      </c>
      <c r="BE10" s="298">
        <f>IF(BE8&lt;'Amenity Dashboard'!$B$3,0,((BE9-BD9)*'Amenity Dashboard'!$B$4*((HLOOKUP(BE7,$D$1:$AH$5,3,0)))))</f>
        <v>275367.20400000003</v>
      </c>
      <c r="BF10" s="298">
        <f>IF(BF8&lt;'Amenity Dashboard'!$B$3,0,((BF9-BE9)*'Amenity Dashboard'!$B$4*((HLOOKUP(BF7,$D$1:$AH$5,3,0)))))</f>
        <v>284546.11080000002</v>
      </c>
      <c r="BG10" s="298">
        <f>IF(BG8&lt;'Amenity Dashboard'!$B$3,0,((BG9-BF9)*'Amenity Dashboard'!$B$4*((HLOOKUP(BG7,$D$1:$AH$5,3,0)))))</f>
        <v>284546.11080000002</v>
      </c>
      <c r="BH10" s="298">
        <f>IF(BH8&lt;'Amenity Dashboard'!$B$3,0,((BH9-BG9)*'Amenity Dashboard'!$B$4*((HLOOKUP(BH7,$D$1:$AH$5,3,0)))))</f>
        <v>257009.3904</v>
      </c>
      <c r="BI10" s="298">
        <f>IF(BI8&lt;'Amenity Dashboard'!$B$3,0,((BI9-BH9)*'Amenity Dashboard'!$B$4*((HLOOKUP(BI7,$D$1:$AH$5,3,0)))))</f>
        <v>284546.11080000002</v>
      </c>
      <c r="BJ10" s="298">
        <f>IF(BJ8&lt;'Amenity Dashboard'!$B$3,0,((BJ9-BI9)*'Amenity Dashboard'!$B$4*((HLOOKUP(BJ7,$D$1:$AH$5,3,0)))))</f>
        <v>275367.20400000003</v>
      </c>
      <c r="BK10" s="298">
        <f>IF(BK8&lt;'Amenity Dashboard'!$B$3,0,((BK9-BJ9)*'Amenity Dashboard'!$B$4*((HLOOKUP(BK7,$D$1:$AH$5,3,0)))))</f>
        <v>284546.11080000002</v>
      </c>
      <c r="BL10" s="298">
        <f>IF(BL8&lt;'Amenity Dashboard'!$B$3,0,((BL9-BK9)*'Amenity Dashboard'!$B$4*((HLOOKUP(BL7,$D$1:$AH$5,3,0)))))</f>
        <v>283628.22012000001</v>
      </c>
      <c r="BM10" s="298">
        <f>IF(BM8&lt;'Amenity Dashboard'!$B$3,0,((BM9-BL9)*'Amenity Dashboard'!$B$4*((HLOOKUP(BM7,$D$1:$AH$5,3,0)))))</f>
        <v>293082.49412400002</v>
      </c>
      <c r="BN10" s="298">
        <f>IF(BN8&lt;'Amenity Dashboard'!$B$3,0,((BN9-BM9)*'Amenity Dashboard'!$B$4*((HLOOKUP(BN7,$D$1:$AH$5,3,0)))))</f>
        <v>293082.49412400002</v>
      </c>
      <c r="BO10" s="298">
        <f>IF(BO8&lt;'Amenity Dashboard'!$B$3,0,((BO9-BN9)*'Amenity Dashboard'!$B$4*((HLOOKUP(BO7,$D$1:$AH$5,3,0)))))</f>
        <v>283628.22012000001</v>
      </c>
      <c r="BP10" s="298">
        <f>IF(BP8&lt;'Amenity Dashboard'!$B$3,0,((BP9-BO9)*'Amenity Dashboard'!$B$4*((HLOOKUP(BP7,$D$1:$AH$5,3,0)))))</f>
        <v>293082.49412400002</v>
      </c>
      <c r="BQ10" s="298">
        <f>IF(BQ8&lt;'Amenity Dashboard'!$B$3,0,((BQ9-BP9)*'Amenity Dashboard'!$B$4*((HLOOKUP(BQ7,$D$1:$AH$5,3,0)))))</f>
        <v>283628.22012000001</v>
      </c>
      <c r="BR10" s="298">
        <f>IF(BR8&lt;'Amenity Dashboard'!$B$3,0,((BR9-BQ9)*'Amenity Dashboard'!$B$4*((HLOOKUP(BR7,$D$1:$AH$5,3,0)))))</f>
        <v>293082.49412400002</v>
      </c>
      <c r="BS10" s="298">
        <f>IF(BS8&lt;'Amenity Dashboard'!$B$3,0,((BS9-BR9)*'Amenity Dashboard'!$B$4*((HLOOKUP(BS7,$D$1:$AH$5,3,0)))))</f>
        <v>293082.49412400002</v>
      </c>
      <c r="BT10" s="298">
        <f>IF(BT8&lt;'Amenity Dashboard'!$B$3,0,((BT9-BS9)*'Amenity Dashboard'!$B$4*((HLOOKUP(BT7,$D$1:$AH$5,3,0)))))</f>
        <v>274173.94611600001</v>
      </c>
      <c r="BU10" s="298">
        <f>IF(BU8&lt;'Amenity Dashboard'!$B$3,0,((BU9-BT9)*'Amenity Dashboard'!$B$4*((HLOOKUP(BU7,$D$1:$AH$5,3,0)))))</f>
        <v>293082.49412400002</v>
      </c>
      <c r="BV10" s="298">
        <f>IF(BV8&lt;'Amenity Dashboard'!$B$3,0,((BV9-BU9)*'Amenity Dashboard'!$B$4*((HLOOKUP(BV7,$D$1:$AH$5,3,0)))))</f>
        <v>283628.22012000001</v>
      </c>
      <c r="BW10" s="298">
        <f>IF(BW8&lt;'Amenity Dashboard'!$B$3,0,((BW9-BV9)*'Amenity Dashboard'!$B$4*((HLOOKUP(BW7,$D$1:$AH$5,3,0)))))</f>
        <v>293082.49412400002</v>
      </c>
      <c r="BX10" s="298">
        <f>IF(BX8&lt;'Amenity Dashboard'!$B$3,0,((BX9-BW9)*'Amenity Dashboard'!$B$4*((HLOOKUP(BX7,$D$1:$AH$5,3,0)))))</f>
        <v>292137.06672360003</v>
      </c>
      <c r="BY10" s="298">
        <f>IF(BY8&lt;'Amenity Dashboard'!$B$3,0,((BY9-BX9)*'Amenity Dashboard'!$B$4*((HLOOKUP(BY7,$D$1:$AH$5,3,0)))))</f>
        <v>301874.96894772002</v>
      </c>
      <c r="BZ10" s="298">
        <f>IF(BZ8&lt;'Amenity Dashboard'!$B$3,0,((BZ9-BY9)*'Amenity Dashboard'!$B$4*((HLOOKUP(BZ7,$D$1:$AH$5,3,0)))))</f>
        <v>301874.96894772002</v>
      </c>
      <c r="CA10" s="298">
        <f>IF(CA8&lt;'Amenity Dashboard'!$B$3,0,((CA9-BZ9)*'Amenity Dashboard'!$B$4*((HLOOKUP(CA7,$D$1:$AH$5,3,0)))))</f>
        <v>292137.06672360003</v>
      </c>
      <c r="CB10" s="298">
        <f>IF(CB8&lt;'Amenity Dashboard'!$B$3,0,((CB9-CA9)*'Amenity Dashboard'!$B$4*((HLOOKUP(CB7,$D$1:$AH$5,3,0)))))</f>
        <v>301874.96894772002</v>
      </c>
      <c r="CC10" s="298">
        <f>IF(CC8&lt;'Amenity Dashboard'!$B$3,0,((CC9-CB9)*'Amenity Dashboard'!$B$4*((HLOOKUP(CC7,$D$1:$AH$5,3,0)))))</f>
        <v>292137.06672360003</v>
      </c>
      <c r="CD10" s="298">
        <f>IF(CD8&lt;'Amenity Dashboard'!$B$3,0,((CD9-CC9)*'Amenity Dashboard'!$B$4*((HLOOKUP(CD7,$D$1:$AH$5,3,0)))))</f>
        <v>301874.96894772002</v>
      </c>
      <c r="CE10" s="298">
        <f>IF(CE8&lt;'Amenity Dashboard'!$B$3,0,((CE9-CD9)*'Amenity Dashboard'!$B$4*((HLOOKUP(CE7,$D$1:$AH$5,3,0)))))</f>
        <v>301874.96894772002</v>
      </c>
      <c r="CF10" s="298">
        <f>IF(CF8&lt;'Amenity Dashboard'!$B$3,0,((CF9-CE9)*'Amenity Dashboard'!$B$4*((HLOOKUP(CF7,$D$1:$AH$5,3,0)))))</f>
        <v>272661.26227536</v>
      </c>
      <c r="CG10" s="298">
        <f>IF(CG8&lt;'Amenity Dashboard'!$B$3,0,((CG9-CF9)*'Amenity Dashboard'!$B$4*((HLOOKUP(CG7,$D$1:$AH$5,3,0)))))</f>
        <v>301874.96894772002</v>
      </c>
      <c r="CH10" s="298">
        <f>IF(CH8&lt;'Amenity Dashboard'!$B$3,0,((CH9-CG9)*'Amenity Dashboard'!$B$4*((HLOOKUP(CH7,$D$1:$AH$5,3,0)))))</f>
        <v>292137.06672360003</v>
      </c>
      <c r="CI10" s="298">
        <f>IF(CI8&lt;'Amenity Dashboard'!$B$3,0,((CI9-CH9)*'Amenity Dashboard'!$B$4*((HLOOKUP(CI7,$D$1:$AH$5,3,0)))))</f>
        <v>301874.96894772002</v>
      </c>
      <c r="CJ10" s="298">
        <f>IF(CJ8&lt;'Amenity Dashboard'!$B$3,0,((CJ9-CI9)*'Amenity Dashboard'!$B$4*((HLOOKUP(CJ7,$D$1:$AH$5,3,0)))))</f>
        <v>300901.17872530798</v>
      </c>
      <c r="CK10" s="298">
        <f>IF(CK8&lt;'Amenity Dashboard'!$B$3,0,((CK9-CJ9)*'Amenity Dashboard'!$B$4*((HLOOKUP(CK7,$D$1:$AH$5,3,0)))))</f>
        <v>310931.21801615157</v>
      </c>
      <c r="CL10" s="298">
        <f>IF(CL8&lt;'Amenity Dashboard'!$B$3,0,((CL9-CK9)*'Amenity Dashboard'!$B$4*((HLOOKUP(CL7,$D$1:$AH$5,3,0)))))</f>
        <v>310931.21801615157</v>
      </c>
      <c r="CM10" s="298">
        <f>IF(CM8&lt;'Amenity Dashboard'!$B$3,0,((CM9-CL9)*'Amenity Dashboard'!$B$4*((HLOOKUP(CM7,$D$1:$AH$5,3,0)))))</f>
        <v>300901.17872530798</v>
      </c>
      <c r="CN10" s="298">
        <f>IF(CN8&lt;'Amenity Dashboard'!$B$3,0,((CN9-CM9)*'Amenity Dashboard'!$B$4*((HLOOKUP(CN7,$D$1:$AH$5,3,0)))))</f>
        <v>310931.21801615157</v>
      </c>
      <c r="CO10" s="298">
        <f>IF(CO8&lt;'Amenity Dashboard'!$B$3,0,((CO9-CN9)*'Amenity Dashboard'!$B$4*((HLOOKUP(CO7,$D$1:$AH$5,3,0)))))</f>
        <v>300901.17872530798</v>
      </c>
      <c r="CP10" s="298">
        <f>IF(CP8&lt;'Amenity Dashboard'!$B$3,0,((CP9-CO9)*'Amenity Dashboard'!$B$4*((HLOOKUP(CP7,$D$1:$AH$5,3,0)))))</f>
        <v>310931.21801615157</v>
      </c>
      <c r="CQ10" s="298">
        <f>IF(CQ8&lt;'Amenity Dashboard'!$B$3,0,((CQ9-CP9)*'Amenity Dashboard'!$B$4*((HLOOKUP(CQ7,$D$1:$AH$5,3,0)))))</f>
        <v>310931.21801615157</v>
      </c>
      <c r="CR10" s="298">
        <f>IF(CR8&lt;'Amenity Dashboard'!$B$3,0,((CR9-CQ9)*'Amenity Dashboard'!$B$4*((HLOOKUP(CR7,$D$1:$AH$5,3,0)))))</f>
        <v>280841.1001436208</v>
      </c>
      <c r="CS10" s="298">
        <f>IF(CS8&lt;'Amenity Dashboard'!$B$3,0,((CS9-CR9)*'Amenity Dashboard'!$B$4*((HLOOKUP(CS7,$D$1:$AH$5,3,0)))))</f>
        <v>310931.21801615157</v>
      </c>
      <c r="CT10" s="298">
        <f>IF(CT8&lt;'Amenity Dashboard'!$B$3,0,((CT9-CS9)*'Amenity Dashboard'!$B$4*((HLOOKUP(CT7,$D$1:$AH$5,3,0)))))</f>
        <v>300901.17872530798</v>
      </c>
      <c r="CU10" s="298">
        <f>IF(CU8&lt;'Amenity Dashboard'!$B$3,0,((CU9-CT9)*'Amenity Dashboard'!$B$4*((HLOOKUP(CU7,$D$1:$AH$5,3,0)))))</f>
        <v>310931.21801615157</v>
      </c>
      <c r="CV10" s="298">
        <f>IF(CV8&lt;'Amenity Dashboard'!$B$3,0,((CV9-CU9)*'Amenity Dashboard'!$B$4*((HLOOKUP(CV7,$D$1:$AH$5,3,0)))))</f>
        <v>309928.21408706723</v>
      </c>
      <c r="CW10" s="298">
        <f>IF(CW8&lt;'Amenity Dashboard'!$B$3,0,((CW9-CV9)*'Amenity Dashboard'!$B$4*((HLOOKUP(CW7,$D$1:$AH$5,3,0)))))</f>
        <v>320259.15455663617</v>
      </c>
      <c r="CX10" s="298">
        <f>IF(CX8&lt;'Amenity Dashboard'!$B$3,0,((CX9-CW9)*'Amenity Dashboard'!$B$4*((HLOOKUP(CX7,$D$1:$AH$5,3,0)))))</f>
        <v>320259.15455663617</v>
      </c>
      <c r="CY10" s="298">
        <f>IF(CY8&lt;'Amenity Dashboard'!$B$3,0,((CY9-CX9)*'Amenity Dashboard'!$B$4*((HLOOKUP(CY7,$D$1:$AH$5,3,0)))))</f>
        <v>309928.21408706723</v>
      </c>
      <c r="CZ10" s="298">
        <f>IF(CZ8&lt;'Amenity Dashboard'!$B$3,0,((CZ9-CY9)*'Amenity Dashboard'!$B$4*((HLOOKUP(CZ7,$D$1:$AH$5,3,0)))))</f>
        <v>320259.15455663617</v>
      </c>
      <c r="DA10" s="298">
        <f>IF(DA8&lt;'Amenity Dashboard'!$B$3,0,((DA9-CZ9)*'Amenity Dashboard'!$B$4*((HLOOKUP(DA7,$D$1:$AH$5,3,0)))))</f>
        <v>309928.21408706723</v>
      </c>
      <c r="DB10" s="298">
        <f>IF(DB8&lt;'Amenity Dashboard'!$B$3,0,((DB9-DA9)*'Amenity Dashboard'!$B$4*((HLOOKUP(DB7,$D$1:$AH$5,3,0)))))</f>
        <v>320259.15455663617</v>
      </c>
      <c r="DC10" s="298">
        <f>IF(DC8&lt;'Amenity Dashboard'!$B$3,0,((DC9-DB9)*'Amenity Dashboard'!$B$4*((HLOOKUP(DC7,$D$1:$AH$5,3,0)))))</f>
        <v>320259.15455663617</v>
      </c>
      <c r="DD10" s="298">
        <f>IF(DD8&lt;'Amenity Dashboard'!$B$3,0,((DD9-DC9)*'Amenity Dashboard'!$B$4*((HLOOKUP(DD7,$D$1:$AH$5,3,0)))))</f>
        <v>289266.3331479294</v>
      </c>
      <c r="DE10" s="298">
        <f>IF(DE8&lt;'Amenity Dashboard'!$B$3,0,((DE9-DD9)*'Amenity Dashboard'!$B$4*((HLOOKUP(DE7,$D$1:$AH$5,3,0)))))</f>
        <v>320259.15455663617</v>
      </c>
      <c r="DF10" s="298">
        <f>IF(DF8&lt;'Amenity Dashboard'!$B$3,0,((DF9-DE9)*'Amenity Dashboard'!$B$4*((HLOOKUP(DF7,$D$1:$AH$5,3,0)))))</f>
        <v>309928.21408706723</v>
      </c>
      <c r="DG10" s="298">
        <f>IF(DG8&lt;'Amenity Dashboard'!$B$3,0,((DG9-DF9)*'Amenity Dashboard'!$B$4*((HLOOKUP(DG7,$D$1:$AH$5,3,0)))))</f>
        <v>320259.15455663617</v>
      </c>
      <c r="DH10" s="298">
        <f>IF(DH8&lt;'Amenity Dashboard'!$B$3,0,((DH9-DG9)*'Amenity Dashboard'!$B$4*((HLOOKUP(DH7,$D$1:$AH$5,3,0)))))</f>
        <v>319226.06050967926</v>
      </c>
      <c r="DI10" s="298">
        <f>IF(DI8&lt;'Amenity Dashboard'!$B$3,0,((DI9-DH9)*'Amenity Dashboard'!$B$4*((HLOOKUP(DI7,$D$1:$AH$5,3,0)))))</f>
        <v>329866.92919333524</v>
      </c>
      <c r="DJ10" s="298">
        <f>IF(DJ8&lt;'Amenity Dashboard'!$B$3,0,((DJ9-DI9)*'Amenity Dashboard'!$B$4*((HLOOKUP(DJ7,$D$1:$AH$5,3,0)))))</f>
        <v>329866.92919333524</v>
      </c>
      <c r="DK10" s="298">
        <f>IF(DK8&lt;'Amenity Dashboard'!$B$3,0,((DK9-DJ9)*'Amenity Dashboard'!$B$4*((HLOOKUP(DK7,$D$1:$AH$5,3,0)))))</f>
        <v>319226.06050967926</v>
      </c>
      <c r="DL10" s="298">
        <f>IF(DL8&lt;'Amenity Dashboard'!$B$3,0,((DL9-DK9)*'Amenity Dashboard'!$B$4*((HLOOKUP(DL7,$D$1:$AH$5,3,0)))))</f>
        <v>329866.92919333524</v>
      </c>
      <c r="DM10" s="298">
        <f>IF(DM8&lt;'Amenity Dashboard'!$B$3,0,((DM9-DL9)*'Amenity Dashboard'!$B$4*((HLOOKUP(DM7,$D$1:$AH$5,3,0)))))</f>
        <v>319226.06050967926</v>
      </c>
      <c r="DN10" s="298">
        <f>IF(DN8&lt;'Amenity Dashboard'!$B$3,0,((DN9-DM9)*'Amenity Dashboard'!$B$4*((HLOOKUP(DN7,$D$1:$AH$5,3,0)))))</f>
        <v>329866.92919333524</v>
      </c>
      <c r="DO10" s="298">
        <f>IF(DO8&lt;'Amenity Dashboard'!$B$3,0,((DO9-DN9)*'Amenity Dashboard'!$B$4*((HLOOKUP(DO7,$D$1:$AH$5,3,0)))))</f>
        <v>329866.92919333524</v>
      </c>
      <c r="DP10" s="298">
        <f>IF(DP8&lt;'Amenity Dashboard'!$B$3,0,((DP9-DO9)*'Amenity Dashboard'!$B$4*((HLOOKUP(DP7,$D$1:$AH$5,3,0)))))</f>
        <v>308585.19182602328</v>
      </c>
      <c r="DQ10" s="298">
        <f>IF(DQ8&lt;'Amenity Dashboard'!$B$3,0,((DQ9-DP9)*'Amenity Dashboard'!$B$4*((HLOOKUP(DQ7,$D$1:$AH$5,3,0)))))</f>
        <v>329866.92919333524</v>
      </c>
      <c r="DR10" s="298">
        <f>IF(DR8&lt;'Amenity Dashboard'!$B$3,0,((DR9-DQ9)*'Amenity Dashboard'!$B$4*((HLOOKUP(DR7,$D$1:$AH$5,3,0)))))</f>
        <v>319226.06050967926</v>
      </c>
      <c r="DS10" s="298">
        <f>IF(DS8&lt;'Amenity Dashboard'!$B$3,0,((DS9-DR9)*'Amenity Dashboard'!$B$4*((HLOOKUP(DS7,$D$1:$AH$5,3,0)))))</f>
        <v>329866.92919333524</v>
      </c>
      <c r="DT10" s="298">
        <f>IF(DT8&lt;'Amenity Dashboard'!$B$3,0,((DT9-DS9)*'Amenity Dashboard'!$B$4*((HLOOKUP(DT7,$D$1:$AH$5,3,0)))))</f>
        <v>328802.84232496965</v>
      </c>
      <c r="DU10" s="298">
        <f>IF(DU8&lt;'Amenity Dashboard'!$B$3,0,((DU9-DT9)*'Amenity Dashboard'!$B$4*((HLOOKUP(DU7,$D$1:$AH$5,3,0)))))</f>
        <v>339762.93706913531</v>
      </c>
      <c r="DV10" s="298">
        <f>IF(DV8&lt;'Amenity Dashboard'!$B$3,0,((DV9-DU9)*'Amenity Dashboard'!$B$4*((HLOOKUP(DV7,$D$1:$AH$5,3,0)))))</f>
        <v>339762.93706913531</v>
      </c>
      <c r="DW10" s="298">
        <f>IF(DW8&lt;'Amenity Dashboard'!$B$3,0,((DW9-DV9)*'Amenity Dashboard'!$B$4*((HLOOKUP(DW7,$D$1:$AH$5,3,0)))))</f>
        <v>328802.84232496965</v>
      </c>
      <c r="DX10" s="298">
        <f>IF(DX8&lt;'Amenity Dashboard'!$B$3,0,((DX9-DW9)*'Amenity Dashboard'!$B$4*((HLOOKUP(DX7,$D$1:$AH$5,3,0)))))</f>
        <v>339762.93706913531</v>
      </c>
      <c r="DY10" s="298">
        <f>IF(DY8&lt;'Amenity Dashboard'!$B$3,0,((DY9-DX9)*'Amenity Dashboard'!$B$4*((HLOOKUP(DY7,$D$1:$AH$5,3,0)))))</f>
        <v>328802.84232496965</v>
      </c>
      <c r="DZ10" s="298">
        <f>IF(DZ8&lt;'Amenity Dashboard'!$B$3,0,((DZ9-DY9)*'Amenity Dashboard'!$B$4*((HLOOKUP(DZ7,$D$1:$AH$5,3,0)))))</f>
        <v>339762.93706913531</v>
      </c>
      <c r="EA10" s="298">
        <f>IF(EA8&lt;'Amenity Dashboard'!$B$3,0,((EA9-DZ9)*'Amenity Dashboard'!$B$4*((HLOOKUP(EA7,$D$1:$AH$5,3,0)))))</f>
        <v>339762.93706913531</v>
      </c>
      <c r="EB10" s="298">
        <f>IF(EB8&lt;'Amenity Dashboard'!$B$3,0,((EB9-EA9)*'Amenity Dashboard'!$B$4*((HLOOKUP(EB7,$D$1:$AH$5,3,0)))))</f>
        <v>306882.65283663833</v>
      </c>
      <c r="EC10" s="298">
        <f>IF(EC8&lt;'Amenity Dashboard'!$B$3,0,((EC9-EB9)*'Amenity Dashboard'!$B$4*((HLOOKUP(EC7,$D$1:$AH$5,3,0)))))</f>
        <v>339762.93706913531</v>
      </c>
      <c r="ED10" s="298">
        <f>IF(ED8&lt;'Amenity Dashboard'!$B$3,0,((ED9-EC9)*'Amenity Dashboard'!$B$4*((HLOOKUP(ED7,$D$1:$AH$5,3,0)))))</f>
        <v>328802.84232496965</v>
      </c>
      <c r="EE10" s="298">
        <f>IF(EE8&lt;'Amenity Dashboard'!$B$3,0,((EE9-ED9)*'Amenity Dashboard'!$B$4*((HLOOKUP(EE7,$D$1:$AH$5,3,0)))))</f>
        <v>339762.93706913531</v>
      </c>
    </row>
    <row r="11" spans="2:149" x14ac:dyDescent="0.2">
      <c r="B11" s="259" t="s">
        <v>416</v>
      </c>
      <c r="C11" s="299"/>
      <c r="D11" s="299" t="str">
        <f>IF(D10=0,"-",HLOOKUP(MONTH(D9),'Amenity Dashboard'!$E$1:$P$3,3,0))</f>
        <v>-</v>
      </c>
      <c r="E11" s="299" t="str">
        <f>IF(E10=0,"-",HLOOKUP(MONTH(E9),'Amenity Dashboard'!$E$1:$P$3,3,0))</f>
        <v>-</v>
      </c>
      <c r="F11" s="299" t="str">
        <f>IF(F10=0,"-",HLOOKUP(MONTH(F9),'Amenity Dashboard'!$E$1:$P$3,3,0))</f>
        <v>-</v>
      </c>
      <c r="G11" s="299" t="str">
        <f>IF(G10=0,"-",HLOOKUP(MONTH(G9),'Amenity Dashboard'!$E$1:$P$3,3,0))</f>
        <v>-</v>
      </c>
      <c r="H11" s="299" t="str">
        <f>IF(H10=0,"-",HLOOKUP(MONTH(H$9),'Amenity Dashboard'!$E$1:$P$3,3,0))</f>
        <v>-</v>
      </c>
      <c r="I11" s="299" t="str">
        <f>IF(I10=0,"-",HLOOKUP(MONTH(I9),'Amenity Dashboard'!$E$1:$P$3,3,0))</f>
        <v>-</v>
      </c>
      <c r="J11" s="299" t="str">
        <f>IF(J10=0,"-",HLOOKUP(MONTH(J9),'Amenity Dashboard'!$E$1:$P$3,3,0))</f>
        <v>-</v>
      </c>
      <c r="K11" s="299" t="str">
        <f>IF(K10=0,"-",HLOOKUP(MONTH(K9),'Amenity Dashboard'!$E$1:$P$3,3,0))</f>
        <v>-</v>
      </c>
      <c r="L11" s="299" t="str">
        <f>IF(L10=0,"-",HLOOKUP(MONTH(L9),'Amenity Dashboard'!$E$1:$P$3,3,0))</f>
        <v>-</v>
      </c>
      <c r="M11" s="299" t="str">
        <f>IF(M10=0,"-",HLOOKUP(MONTH(M9),'Amenity Dashboard'!$E$1:$P$3,3,0))</f>
        <v>-</v>
      </c>
      <c r="N11" s="299" t="str">
        <f>IF(N10=0,"-",HLOOKUP(MONTH(N9),'Amenity Dashboard'!$E$1:$P$3,3,0))</f>
        <v>-</v>
      </c>
      <c r="O11" s="299" t="str">
        <f>IF(O10=0,"-",HLOOKUP(MONTH(O9),'Amenity Dashboard'!$E$1:$P$3,3,0))</f>
        <v>-</v>
      </c>
      <c r="P11" s="299">
        <f>IF(P10=0,"-",HLOOKUP(MONTH(P9),'Amenity Dashboard'!$E$1:$P$3,3,0))</f>
        <v>0.75</v>
      </c>
      <c r="Q11" s="299">
        <f>IF(Q10=0,"-",HLOOKUP(MONTH(Q9),'Amenity Dashboard'!$E$1:$P$3,3,0))</f>
        <v>0.8</v>
      </c>
      <c r="R11" s="299">
        <f>IF(R10=0,"-",HLOOKUP(MONTH(R9),'Amenity Dashboard'!$E$1:$P$3,3,0))</f>
        <v>0.75</v>
      </c>
      <c r="S11" s="299">
        <f>IF(S10=0,"-",HLOOKUP(MONTH(S9),'Amenity Dashboard'!$E$1:$P$3,3,0))</f>
        <v>0.65</v>
      </c>
      <c r="T11" s="299">
        <f>IF(T10=0,"-",HLOOKUP(MONTH(T9),'Amenity Dashboard'!$E$1:$P$3,3,0))</f>
        <v>0.2</v>
      </c>
      <c r="U11" s="299">
        <f>IF(U10=0,"-",HLOOKUP(MONTH(U9),'Amenity Dashboard'!$E$1:$P$3,3,0))</f>
        <v>0.2</v>
      </c>
      <c r="V11" s="299">
        <f>IF(V10=0,"-",HLOOKUP(MONTH(V9),'Amenity Dashboard'!$E$1:$P$3,3,0))</f>
        <v>0.45</v>
      </c>
      <c r="W11" s="299">
        <f>IF(W10=0,"-",HLOOKUP(MONTH(W9),'Amenity Dashboard'!$E$1:$P$3,3,0))</f>
        <v>0.45</v>
      </c>
      <c r="X11" s="299">
        <f>IF(X10=0,"-",HLOOKUP(MONTH(X9),'Amenity Dashboard'!$E$1:$P$3,3,0))</f>
        <v>0.45</v>
      </c>
      <c r="Y11" s="299">
        <f>IF(Y10=0,"-",HLOOKUP(MONTH(Y9),'Amenity Dashboard'!$E$1:$P$3,3,0))</f>
        <v>0.4</v>
      </c>
      <c r="Z11" s="299">
        <f>IF(Z10=0,"-",HLOOKUP(MONTH(Z9),'Amenity Dashboard'!$E$1:$P$3,3,0))</f>
        <v>0.1</v>
      </c>
      <c r="AA11" s="299">
        <f>IF(AA10=0,"-",HLOOKUP(MONTH(AA9),'Amenity Dashboard'!$E$1:$P$3,3,0))</f>
        <v>0.2</v>
      </c>
      <c r="AB11" s="299">
        <f>IF(AB10=0,"-",HLOOKUP(MONTH(AB9),'Amenity Dashboard'!$E$1:$P$3,3,0))</f>
        <v>0.75</v>
      </c>
      <c r="AC11" s="299">
        <f>IF(AC10=0,"-",HLOOKUP(MONTH(AC9),'Amenity Dashboard'!$E$1:$P$3,3,0))</f>
        <v>0.8</v>
      </c>
      <c r="AD11" s="299">
        <f>IF(AD10=0,"-",HLOOKUP(MONTH(AD9),'Amenity Dashboard'!$E$1:$P$3,3,0))</f>
        <v>0.75</v>
      </c>
      <c r="AE11" s="299">
        <f>IF(AE10=0,"-",HLOOKUP(MONTH(AE9),'Amenity Dashboard'!$E$1:$P$3,3,0))</f>
        <v>0.65</v>
      </c>
      <c r="AF11" s="299">
        <f>IF(AF10=0,"-",HLOOKUP(MONTH(AF9),'Amenity Dashboard'!$E$1:$P$3,3,0))</f>
        <v>0.2</v>
      </c>
      <c r="AG11" s="299">
        <f>IF(AG10=0,"-",HLOOKUP(MONTH(AG9),'Amenity Dashboard'!$E$1:$P$3,3,0))</f>
        <v>0.2</v>
      </c>
      <c r="AH11" s="299">
        <f>IF(AH10=0,"-",HLOOKUP(MONTH(AH9),'Amenity Dashboard'!$E$1:$P$3,3,0))</f>
        <v>0.45</v>
      </c>
      <c r="AI11" s="299">
        <f>IF(AI10=0,"-",HLOOKUP(MONTH(AI9),'Amenity Dashboard'!$E$1:$P$3,3,0))</f>
        <v>0.45</v>
      </c>
      <c r="AJ11" s="299">
        <f>IF(AJ10=0,"-",HLOOKUP(MONTH(AJ9),'Amenity Dashboard'!$E$1:$P$3,3,0))</f>
        <v>0.45</v>
      </c>
      <c r="AK11" s="299">
        <f>IF(AK10=0,"-",HLOOKUP(MONTH(AK9),'Amenity Dashboard'!$E$1:$P$3,3,0))</f>
        <v>0.4</v>
      </c>
      <c r="AL11" s="299">
        <f>IF(AL10=0,"-",HLOOKUP(MONTH(AL9),'Amenity Dashboard'!$E$1:$P$3,3,0))</f>
        <v>0.1</v>
      </c>
      <c r="AM11" s="299">
        <f>IF(AM10=0,"-",HLOOKUP(MONTH(AM9),'Amenity Dashboard'!$E$1:$P$3,3,0))</f>
        <v>0.2</v>
      </c>
      <c r="AN11" s="299">
        <f>IF(AN10=0,"-",HLOOKUP(MONTH(AN9),'Amenity Dashboard'!$E$1:$P$3,3,0))</f>
        <v>0.75</v>
      </c>
      <c r="AO11" s="299">
        <f>IF(AO10=0,"-",HLOOKUP(MONTH(AO9),'Amenity Dashboard'!$E$1:$P$3,3,0))</f>
        <v>0.8</v>
      </c>
      <c r="AP11" s="299">
        <f>IF(AP10=0,"-",HLOOKUP(MONTH(AP9),'Amenity Dashboard'!$E$1:$P$3,3,0))</f>
        <v>0.75</v>
      </c>
      <c r="AQ11" s="299">
        <f>IF(AQ10=0,"-",HLOOKUP(MONTH(AQ9),'Amenity Dashboard'!$E$1:$P$3,3,0))</f>
        <v>0.65</v>
      </c>
      <c r="AR11" s="299">
        <f>IF(AR10=0,"-",HLOOKUP(MONTH(AR9),'Amenity Dashboard'!$E$1:$P$3,3,0))</f>
        <v>0.2</v>
      </c>
      <c r="AS11" s="299">
        <f>IF(AS10=0,"-",HLOOKUP(MONTH(AS9),'Amenity Dashboard'!$E$1:$P$3,3,0))</f>
        <v>0.2</v>
      </c>
      <c r="AT11" s="299">
        <f>IF(AT10=0,"-",HLOOKUP(MONTH(AT9),'Amenity Dashboard'!$E$1:$P$3,3,0))</f>
        <v>0.45</v>
      </c>
      <c r="AU11" s="299">
        <f>IF(AU10=0,"-",HLOOKUP(MONTH(AU9),'Amenity Dashboard'!$E$1:$P$3,3,0))</f>
        <v>0.45</v>
      </c>
      <c r="AV11" s="299">
        <f>IF(AV10=0,"-",HLOOKUP(MONTH(AV9),'Amenity Dashboard'!$E$1:$P$3,3,0))</f>
        <v>0.45</v>
      </c>
      <c r="AW11" s="299">
        <f>IF(AW10=0,"-",HLOOKUP(MONTH(AW9),'Amenity Dashboard'!$E$1:$P$3,3,0))</f>
        <v>0.4</v>
      </c>
      <c r="AX11" s="299">
        <f>IF(AX10=0,"-",HLOOKUP(MONTH(AX9),'Amenity Dashboard'!$E$1:$P$3,3,0))</f>
        <v>0.1</v>
      </c>
      <c r="AY11" s="299">
        <f>IF(AY10=0,"-",HLOOKUP(MONTH(AY9),'Amenity Dashboard'!$E$1:$P$3,3,0))</f>
        <v>0.2</v>
      </c>
      <c r="AZ11" s="299">
        <f>IF(AZ10=0,"-",HLOOKUP(MONTH(AZ9),'Amenity Dashboard'!$E$1:$P$3,3,0))</f>
        <v>0.75</v>
      </c>
      <c r="BA11" s="299">
        <f>IF(BA10=0,"-",HLOOKUP(MONTH(BA9),'Amenity Dashboard'!$E$1:$P$3,3,0))</f>
        <v>0.8</v>
      </c>
      <c r="BB11" s="299">
        <f>IF(BB10=0,"-",HLOOKUP(MONTH(BB9),'Amenity Dashboard'!$E$1:$P$3,3,0))</f>
        <v>0.75</v>
      </c>
      <c r="BC11" s="299">
        <f>IF(BC10=0,"-",HLOOKUP(MONTH(BC9),'Amenity Dashboard'!$E$1:$P$3,3,0))</f>
        <v>0.65</v>
      </c>
      <c r="BD11" s="299">
        <f>IF(BD10=0,"-",HLOOKUP(MONTH(BD9),'Amenity Dashboard'!$E$1:$P$3,3,0))</f>
        <v>0.2</v>
      </c>
      <c r="BE11" s="299">
        <f>IF(BE10=0,"-",HLOOKUP(MONTH(BE9),'Amenity Dashboard'!$E$1:$P$3,3,0))</f>
        <v>0.2</v>
      </c>
      <c r="BF11" s="299">
        <f>IF(BF10=0,"-",HLOOKUP(MONTH(BF9),'Amenity Dashboard'!$E$1:$P$3,3,0))</f>
        <v>0.45</v>
      </c>
      <c r="BG11" s="299">
        <f>IF(BG10=0,"-",HLOOKUP(MONTH(BG9),'Amenity Dashboard'!$E$1:$P$3,3,0))</f>
        <v>0.45</v>
      </c>
      <c r="BH11" s="299">
        <f>IF(BH10=0,"-",HLOOKUP(MONTH(BH9),'Amenity Dashboard'!$E$1:$P$3,3,0))</f>
        <v>0.45</v>
      </c>
      <c r="BI11" s="299">
        <f>IF(BI10=0,"-",HLOOKUP(MONTH(BI9),'Amenity Dashboard'!$E$1:$P$3,3,0))</f>
        <v>0.4</v>
      </c>
      <c r="BJ11" s="299">
        <f>IF(BJ10=0,"-",HLOOKUP(MONTH(BJ9),'Amenity Dashboard'!$E$1:$P$3,3,0))</f>
        <v>0.1</v>
      </c>
      <c r="BK11" s="299">
        <f>IF(BK10=0,"-",HLOOKUP(MONTH(BK9),'Amenity Dashboard'!$E$1:$P$3,3,0))</f>
        <v>0.2</v>
      </c>
      <c r="BL11" s="299">
        <f>IF(BL10=0,"-",HLOOKUP(MONTH(BL9),'Amenity Dashboard'!$E$1:$P$3,3,0))</f>
        <v>0.75</v>
      </c>
      <c r="BM11" s="299">
        <f>IF(BM10=0,"-",HLOOKUP(MONTH(BM9),'Amenity Dashboard'!$E$1:$P$3,3,0))</f>
        <v>0.8</v>
      </c>
      <c r="BN11" s="299">
        <f>IF(BN10=0,"-",HLOOKUP(MONTH(BN9),'Amenity Dashboard'!$E$1:$P$3,3,0))</f>
        <v>0.75</v>
      </c>
      <c r="BO11" s="299">
        <f>IF(BO10=0,"-",HLOOKUP(MONTH(BO9),'Amenity Dashboard'!$E$1:$P$3,3,0))</f>
        <v>0.65</v>
      </c>
      <c r="BP11" s="299">
        <f>IF(BP10=0,"-",HLOOKUP(MONTH(BP9),'Amenity Dashboard'!$E$1:$P$3,3,0))</f>
        <v>0.2</v>
      </c>
      <c r="BQ11" s="299">
        <f>IF(BQ10=0,"-",HLOOKUP(MONTH(BQ9),'Amenity Dashboard'!$E$1:$P$3,3,0))</f>
        <v>0.2</v>
      </c>
      <c r="BR11" s="299">
        <f>IF(BR10=0,"-",HLOOKUP(MONTH(BR9),'Amenity Dashboard'!$E$1:$P$3,3,0))</f>
        <v>0.45</v>
      </c>
      <c r="BS11" s="299">
        <f>IF(BS10=0,"-",HLOOKUP(MONTH(BS9),'Amenity Dashboard'!$E$1:$P$3,3,0))</f>
        <v>0.45</v>
      </c>
      <c r="BT11" s="299">
        <f>IF(BT10=0,"-",HLOOKUP(MONTH(BT9),'Amenity Dashboard'!$E$1:$P$3,3,0))</f>
        <v>0.45</v>
      </c>
      <c r="BU11" s="299">
        <f>IF(BU10=0,"-",HLOOKUP(MONTH(BU9),'Amenity Dashboard'!$E$1:$P$3,3,0))</f>
        <v>0.4</v>
      </c>
      <c r="BV11" s="299">
        <f>IF(BV10=0,"-",HLOOKUP(MONTH(BV9),'Amenity Dashboard'!$E$1:$P$3,3,0))</f>
        <v>0.1</v>
      </c>
      <c r="BW11" s="299">
        <f>IF(BW10=0,"-",HLOOKUP(MONTH(BW9),'Amenity Dashboard'!$E$1:$P$3,3,0))</f>
        <v>0.2</v>
      </c>
      <c r="BX11" s="299">
        <f>IF(BX10=0,"-",HLOOKUP(MONTH(BX9),'Amenity Dashboard'!$E$1:$P$3,3,0))</f>
        <v>0.75</v>
      </c>
      <c r="BY11" s="299">
        <f>IF(BY10=0,"-",HLOOKUP(MONTH(BY9),'Amenity Dashboard'!$E$1:$P$3,3,0))</f>
        <v>0.8</v>
      </c>
      <c r="BZ11" s="299">
        <f>IF(BZ10=0,"-",HLOOKUP(MONTH(BZ9),'Amenity Dashboard'!$E$1:$P$3,3,0))</f>
        <v>0.75</v>
      </c>
      <c r="CA11" s="299">
        <f>IF(CA10=0,"-",HLOOKUP(MONTH(CA9),'Amenity Dashboard'!$E$1:$P$3,3,0))</f>
        <v>0.65</v>
      </c>
      <c r="CB11" s="299">
        <f>IF(CB10=0,"-",HLOOKUP(MONTH(CB9),'Amenity Dashboard'!$E$1:$P$3,3,0))</f>
        <v>0.2</v>
      </c>
      <c r="CC11" s="299">
        <f>IF(CC10=0,"-",HLOOKUP(MONTH(CC9),'Amenity Dashboard'!$E$1:$P$3,3,0))</f>
        <v>0.2</v>
      </c>
      <c r="CD11" s="299">
        <f>IF(CD10=0,"-",HLOOKUP(MONTH(CD9),'Amenity Dashboard'!$E$1:$P$3,3,0))</f>
        <v>0.45</v>
      </c>
      <c r="CE11" s="299">
        <f>IF(CE10=0,"-",HLOOKUP(MONTH(CE9),'Amenity Dashboard'!$E$1:$P$3,3,0))</f>
        <v>0.45</v>
      </c>
      <c r="CF11" s="299">
        <f>IF(CF10=0,"-",HLOOKUP(MONTH(CF9),'Amenity Dashboard'!$E$1:$P$3,3,0))</f>
        <v>0.45</v>
      </c>
      <c r="CG11" s="299">
        <f>IF(CG10=0,"-",HLOOKUP(MONTH(CG9),'Amenity Dashboard'!$E$1:$P$3,3,0))</f>
        <v>0.4</v>
      </c>
      <c r="CH11" s="299">
        <f>IF(CH10=0,"-",HLOOKUP(MONTH(CH9),'Amenity Dashboard'!$E$1:$P$3,3,0))</f>
        <v>0.1</v>
      </c>
      <c r="CI11" s="299">
        <f>IF(CI10=0,"-",HLOOKUP(MONTH(CI9),'Amenity Dashboard'!$E$1:$P$3,3,0))</f>
        <v>0.2</v>
      </c>
      <c r="CJ11" s="299">
        <f>IF(CJ10=0,"-",HLOOKUP(MONTH(CJ9),'Amenity Dashboard'!$E$1:$P$3,3,0))</f>
        <v>0.75</v>
      </c>
      <c r="CK11" s="299">
        <f>IF(CK10=0,"-",HLOOKUP(MONTH(CK9),'Amenity Dashboard'!$E$1:$P$3,3,0))</f>
        <v>0.8</v>
      </c>
      <c r="CL11" s="299">
        <f>IF(CL10=0,"-",HLOOKUP(MONTH(CL9),'Amenity Dashboard'!$E$1:$P$3,3,0))</f>
        <v>0.75</v>
      </c>
      <c r="CM11" s="299">
        <f>IF(CM10=0,"-",HLOOKUP(MONTH(CM9),'Amenity Dashboard'!$E$1:$P$3,3,0))</f>
        <v>0.65</v>
      </c>
      <c r="CN11" s="299">
        <f>IF(CN10=0,"-",HLOOKUP(MONTH(CN9),'Amenity Dashboard'!$E$1:$P$3,3,0))</f>
        <v>0.2</v>
      </c>
      <c r="CO11" s="299">
        <f>IF(CO10=0,"-",HLOOKUP(MONTH(CO9),'Amenity Dashboard'!$E$1:$P$3,3,0))</f>
        <v>0.2</v>
      </c>
      <c r="CP11" s="299">
        <f>IF(CP10=0,"-",HLOOKUP(MONTH(CP9),'Amenity Dashboard'!$E$1:$P$3,3,0))</f>
        <v>0.45</v>
      </c>
      <c r="CQ11" s="299">
        <f>IF(CQ10=0,"-",HLOOKUP(MONTH(CQ9),'Amenity Dashboard'!$E$1:$P$3,3,0))</f>
        <v>0.45</v>
      </c>
      <c r="CR11" s="299">
        <f>IF(CR10=0,"-",HLOOKUP(MONTH(CR9),'Amenity Dashboard'!$E$1:$P$3,3,0))</f>
        <v>0.45</v>
      </c>
      <c r="CS11" s="299">
        <f>IF(CS10=0,"-",HLOOKUP(MONTH(CS9),'Amenity Dashboard'!$E$1:$P$3,3,0))</f>
        <v>0.4</v>
      </c>
      <c r="CT11" s="299">
        <f>IF(CT10=0,"-",HLOOKUP(MONTH(CT9),'Amenity Dashboard'!$E$1:$P$3,3,0))</f>
        <v>0.1</v>
      </c>
      <c r="CU11" s="299">
        <f>IF(CU10=0,"-",HLOOKUP(MONTH(CU9),'Amenity Dashboard'!$E$1:$P$3,3,0))</f>
        <v>0.2</v>
      </c>
      <c r="CV11" s="299">
        <f>IF(CV10=0,"-",HLOOKUP(MONTH(CV9),'Amenity Dashboard'!$E$1:$P$3,3,0))</f>
        <v>0.75</v>
      </c>
      <c r="CW11" s="299">
        <f>IF(CW10=0,"-",HLOOKUP(MONTH(CW9),'Amenity Dashboard'!$E$1:$P$3,3,0))</f>
        <v>0.8</v>
      </c>
      <c r="CX11" s="299">
        <f>IF(CX10=0,"-",HLOOKUP(MONTH(CX9),'Amenity Dashboard'!$E$1:$P$3,3,0))</f>
        <v>0.75</v>
      </c>
      <c r="CY11" s="299">
        <f>IF(CY10=0,"-",HLOOKUP(MONTH(CY9),'Amenity Dashboard'!$E$1:$P$3,3,0))</f>
        <v>0.65</v>
      </c>
      <c r="CZ11" s="299">
        <f>IF(CZ10=0,"-",HLOOKUP(MONTH(CZ9),'Amenity Dashboard'!$E$1:$P$3,3,0))</f>
        <v>0.2</v>
      </c>
      <c r="DA11" s="299">
        <f>IF(DA10=0,"-",HLOOKUP(MONTH(DA9),'Amenity Dashboard'!$E$1:$P$3,3,0))</f>
        <v>0.2</v>
      </c>
      <c r="DB11" s="299">
        <f>IF(DB10=0,"-",HLOOKUP(MONTH(DB9),'Amenity Dashboard'!$E$1:$P$3,3,0))</f>
        <v>0.45</v>
      </c>
      <c r="DC11" s="299">
        <f>IF(DC10=0,"-",HLOOKUP(MONTH(DC9),'Amenity Dashboard'!$E$1:$P$3,3,0))</f>
        <v>0.45</v>
      </c>
      <c r="DD11" s="299">
        <f>IF(DD10=0,"-",HLOOKUP(MONTH(DD9),'Amenity Dashboard'!$E$1:$P$3,3,0))</f>
        <v>0.45</v>
      </c>
      <c r="DE11" s="299">
        <f>IF(DE10=0,"-",HLOOKUP(MONTH(DE9),'Amenity Dashboard'!$E$1:$P$3,3,0))</f>
        <v>0.4</v>
      </c>
      <c r="DF11" s="299">
        <f>IF(DF10=0,"-",HLOOKUP(MONTH(DF9),'Amenity Dashboard'!$E$1:$P$3,3,0))</f>
        <v>0.1</v>
      </c>
      <c r="DG11" s="299">
        <f>IF(DG10=0,"-",HLOOKUP(MONTH(DG9),'Amenity Dashboard'!$E$1:$P$3,3,0))</f>
        <v>0.2</v>
      </c>
      <c r="DH11" s="299">
        <f>IF(DH10=0,"-",HLOOKUP(MONTH(DH9),'Amenity Dashboard'!$E$1:$P$3,3,0))</f>
        <v>0.75</v>
      </c>
      <c r="DI11" s="299">
        <f>IF(DI10=0,"-",HLOOKUP(MONTH(DI9),'Amenity Dashboard'!$E$1:$P$3,3,0))</f>
        <v>0.8</v>
      </c>
      <c r="DJ11" s="299">
        <f>IF(DJ10=0,"-",HLOOKUP(MONTH(DJ9),'Amenity Dashboard'!$E$1:$P$3,3,0))</f>
        <v>0.75</v>
      </c>
      <c r="DK11" s="299">
        <f>IF(DK10=0,"-",HLOOKUP(MONTH(DK9),'Amenity Dashboard'!$E$1:$P$3,3,0))</f>
        <v>0.65</v>
      </c>
      <c r="DL11" s="299">
        <f>IF(DL10=0,"-",HLOOKUP(MONTH(DL9),'Amenity Dashboard'!$E$1:$P$3,3,0))</f>
        <v>0.2</v>
      </c>
      <c r="DM11" s="299">
        <f>IF(DM10=0,"-",HLOOKUP(MONTH(DM9),'Amenity Dashboard'!$E$1:$P$3,3,0))</f>
        <v>0.2</v>
      </c>
      <c r="DN11" s="299">
        <f>IF(DN10=0,"-",HLOOKUP(MONTH(DN9),'Amenity Dashboard'!$E$1:$P$3,3,0))</f>
        <v>0.45</v>
      </c>
      <c r="DO11" s="299">
        <f>IF(DO10=0,"-",HLOOKUP(MONTH(DO9),'Amenity Dashboard'!$E$1:$P$3,3,0))</f>
        <v>0.45</v>
      </c>
      <c r="DP11" s="299">
        <f>IF(DP10=0,"-",HLOOKUP(MONTH(DP9),'Amenity Dashboard'!$E$1:$P$3,3,0))</f>
        <v>0.45</v>
      </c>
      <c r="DQ11" s="299">
        <f>IF(DQ10=0,"-",HLOOKUP(MONTH(DQ9),'Amenity Dashboard'!$E$1:$P$3,3,0))</f>
        <v>0.4</v>
      </c>
      <c r="DR11" s="299">
        <f>IF(DR10=0,"-",HLOOKUP(MONTH(DR9),'Amenity Dashboard'!$E$1:$P$3,3,0))</f>
        <v>0.1</v>
      </c>
      <c r="DS11" s="299">
        <f>IF(DS10=0,"-",HLOOKUP(MONTH(DS9),'Amenity Dashboard'!$E$1:$P$3,3,0))</f>
        <v>0.2</v>
      </c>
      <c r="DT11" s="299">
        <f>IF(DT10=0,"-",HLOOKUP(MONTH(DT9),'Amenity Dashboard'!$E$1:$P$3,3,0))</f>
        <v>0.75</v>
      </c>
      <c r="DU11" s="299">
        <f>IF(DU10=0,"-",HLOOKUP(MONTH(DU9),'Amenity Dashboard'!$E$1:$P$3,3,0))</f>
        <v>0.8</v>
      </c>
      <c r="DV11" s="299">
        <f>IF(DV10=0,"-",HLOOKUP(MONTH(DV9),'Amenity Dashboard'!$E$1:$P$3,3,0))</f>
        <v>0.75</v>
      </c>
      <c r="DW11" s="299">
        <f>IF(DW10=0,"-",HLOOKUP(MONTH(DW9),'Amenity Dashboard'!$E$1:$P$3,3,0))</f>
        <v>0.65</v>
      </c>
      <c r="DX11" s="299">
        <f>IF(DX10=0,"-",HLOOKUP(MONTH(DX9),'Amenity Dashboard'!$E$1:$P$3,3,0))</f>
        <v>0.2</v>
      </c>
      <c r="DY11" s="299">
        <f>IF(DY10=0,"-",HLOOKUP(MONTH(DY9),'Amenity Dashboard'!$E$1:$P$3,3,0))</f>
        <v>0.2</v>
      </c>
      <c r="DZ11" s="299">
        <f>IF(DZ10=0,"-",HLOOKUP(MONTH(DZ9),'Amenity Dashboard'!$E$1:$P$3,3,0))</f>
        <v>0.45</v>
      </c>
      <c r="EA11" s="299">
        <f>IF(EA10=0,"-",HLOOKUP(MONTH(EA9),'Amenity Dashboard'!$E$1:$P$3,3,0))</f>
        <v>0.45</v>
      </c>
      <c r="EB11" s="299">
        <f>IF(EB10=0,"-",HLOOKUP(MONTH(EB9),'Amenity Dashboard'!$E$1:$P$3,3,0))</f>
        <v>0.45</v>
      </c>
      <c r="EC11" s="299">
        <f>IF(EC10=0,"-",HLOOKUP(MONTH(EC9),'Amenity Dashboard'!$E$1:$P$3,3,0))</f>
        <v>0.4</v>
      </c>
      <c r="ED11" s="299">
        <f>IF(ED10=0,"-",HLOOKUP(MONTH(ED9),'Amenity Dashboard'!$E$1:$P$3,3,0))</f>
        <v>0.1</v>
      </c>
      <c r="EE11" s="299">
        <f>IF(EE10=0,"-",HLOOKUP(MONTH(EE9),'Amenity Dashboard'!$E$1:$P$3,3,0))</f>
        <v>0.2</v>
      </c>
    </row>
    <row r="12" spans="2:149" x14ac:dyDescent="0.2">
      <c r="B12" s="300" t="s">
        <v>457</v>
      </c>
      <c r="C12" s="301"/>
      <c r="D12" s="301">
        <f t="shared" ref="D12:BO12" si="11">IF(D10=0,0,D10*D11)</f>
        <v>0</v>
      </c>
      <c r="E12" s="301">
        <f t="shared" si="11"/>
        <v>0</v>
      </c>
      <c r="F12" s="301">
        <f t="shared" si="11"/>
        <v>0</v>
      </c>
      <c r="G12" s="301">
        <f t="shared" si="11"/>
        <v>0</v>
      </c>
      <c r="H12" s="301">
        <f t="shared" si="11"/>
        <v>0</v>
      </c>
      <c r="I12" s="301">
        <f t="shared" si="11"/>
        <v>0</v>
      </c>
      <c r="J12" s="301">
        <f t="shared" si="11"/>
        <v>0</v>
      </c>
      <c r="K12" s="301">
        <f t="shared" si="11"/>
        <v>0</v>
      </c>
      <c r="L12" s="301">
        <f t="shared" si="11"/>
        <v>0</v>
      </c>
      <c r="M12" s="301">
        <f t="shared" si="11"/>
        <v>0</v>
      </c>
      <c r="N12" s="301">
        <f t="shared" si="11"/>
        <v>0</v>
      </c>
      <c r="O12" s="301">
        <f t="shared" si="11"/>
        <v>0</v>
      </c>
      <c r="P12" s="301">
        <f t="shared" si="11"/>
        <v>189000</v>
      </c>
      <c r="Q12" s="301">
        <f t="shared" si="11"/>
        <v>208320</v>
      </c>
      <c r="R12" s="301">
        <f t="shared" si="11"/>
        <v>195300</v>
      </c>
      <c r="S12" s="301">
        <f t="shared" si="11"/>
        <v>163800</v>
      </c>
      <c r="T12" s="301">
        <f t="shared" si="11"/>
        <v>52080</v>
      </c>
      <c r="U12" s="301">
        <f t="shared" si="11"/>
        <v>50400</v>
      </c>
      <c r="V12" s="301">
        <f t="shared" si="11"/>
        <v>117180</v>
      </c>
      <c r="W12" s="301">
        <f t="shared" si="11"/>
        <v>117180</v>
      </c>
      <c r="X12" s="301">
        <f t="shared" si="11"/>
        <v>109620</v>
      </c>
      <c r="Y12" s="301">
        <f t="shared" si="11"/>
        <v>104160</v>
      </c>
      <c r="Z12" s="301">
        <f t="shared" si="11"/>
        <v>25200</v>
      </c>
      <c r="AA12" s="301">
        <f t="shared" si="11"/>
        <v>52080</v>
      </c>
      <c r="AB12" s="301">
        <f t="shared" si="11"/>
        <v>194670</v>
      </c>
      <c r="AC12" s="301">
        <f t="shared" si="11"/>
        <v>214569.60000000001</v>
      </c>
      <c r="AD12" s="301">
        <f t="shared" si="11"/>
        <v>201159</v>
      </c>
      <c r="AE12" s="301">
        <f t="shared" si="11"/>
        <v>168714</v>
      </c>
      <c r="AF12" s="301">
        <f t="shared" si="11"/>
        <v>53642.400000000001</v>
      </c>
      <c r="AG12" s="301">
        <f t="shared" si="11"/>
        <v>51912</v>
      </c>
      <c r="AH12" s="301">
        <f t="shared" si="11"/>
        <v>120695.40000000001</v>
      </c>
      <c r="AI12" s="301">
        <f t="shared" si="11"/>
        <v>120695.40000000001</v>
      </c>
      <c r="AJ12" s="301">
        <f t="shared" si="11"/>
        <v>109015.2</v>
      </c>
      <c r="AK12" s="301">
        <f t="shared" si="11"/>
        <v>107284.8</v>
      </c>
      <c r="AL12" s="301">
        <f t="shared" si="11"/>
        <v>25956</v>
      </c>
      <c r="AM12" s="301">
        <f t="shared" si="11"/>
        <v>53642.400000000001</v>
      </c>
      <c r="AN12" s="301">
        <f t="shared" si="11"/>
        <v>200510.09999999998</v>
      </c>
      <c r="AO12" s="301">
        <f t="shared" si="11"/>
        <v>221006.68799999999</v>
      </c>
      <c r="AP12" s="301">
        <f t="shared" si="11"/>
        <v>207193.77</v>
      </c>
      <c r="AQ12" s="301">
        <f t="shared" si="11"/>
        <v>173775.42</v>
      </c>
      <c r="AR12" s="301">
        <f t="shared" si="11"/>
        <v>55251.671999999999</v>
      </c>
      <c r="AS12" s="301">
        <f t="shared" si="11"/>
        <v>53469.36</v>
      </c>
      <c r="AT12" s="301">
        <f t="shared" si="11"/>
        <v>124316.262</v>
      </c>
      <c r="AU12" s="301">
        <f t="shared" si="11"/>
        <v>124316.262</v>
      </c>
      <c r="AV12" s="301">
        <f t="shared" si="11"/>
        <v>112285.656</v>
      </c>
      <c r="AW12" s="301">
        <f t="shared" si="11"/>
        <v>110503.344</v>
      </c>
      <c r="AX12" s="301">
        <f t="shared" si="11"/>
        <v>26734.68</v>
      </c>
      <c r="AY12" s="301">
        <f t="shared" si="11"/>
        <v>55251.671999999999</v>
      </c>
      <c r="AZ12" s="301">
        <f t="shared" si="11"/>
        <v>206525.40300000002</v>
      </c>
      <c r="BA12" s="301">
        <f t="shared" si="11"/>
        <v>227636.88864000002</v>
      </c>
      <c r="BB12" s="301">
        <f t="shared" si="11"/>
        <v>213409.58310000002</v>
      </c>
      <c r="BC12" s="301">
        <f t="shared" si="11"/>
        <v>178988.68260000003</v>
      </c>
      <c r="BD12" s="301">
        <f t="shared" si="11"/>
        <v>56909.222160000005</v>
      </c>
      <c r="BE12" s="301">
        <f t="shared" si="11"/>
        <v>55073.440800000011</v>
      </c>
      <c r="BF12" s="301">
        <f t="shared" si="11"/>
        <v>128045.74986000001</v>
      </c>
      <c r="BG12" s="301">
        <f t="shared" si="11"/>
        <v>128045.74986000001</v>
      </c>
      <c r="BH12" s="301">
        <f t="shared" si="11"/>
        <v>115654.22568</v>
      </c>
      <c r="BI12" s="301">
        <f t="shared" si="11"/>
        <v>113818.44432000001</v>
      </c>
      <c r="BJ12" s="301">
        <f t="shared" si="11"/>
        <v>27536.720400000006</v>
      </c>
      <c r="BK12" s="301">
        <f t="shared" si="11"/>
        <v>56909.222160000005</v>
      </c>
      <c r="BL12" s="301">
        <f t="shared" si="11"/>
        <v>212721.16509000002</v>
      </c>
      <c r="BM12" s="301">
        <f t="shared" si="11"/>
        <v>234465.99529920003</v>
      </c>
      <c r="BN12" s="301">
        <f t="shared" si="11"/>
        <v>219811.87059300003</v>
      </c>
      <c r="BO12" s="301">
        <f t="shared" si="11"/>
        <v>184358.34307800001</v>
      </c>
      <c r="BP12" s="301">
        <f t="shared" ref="BP12:EA12" si="12">IF(BP10=0,0,BP10*BP11)</f>
        <v>58616.498824800008</v>
      </c>
      <c r="BQ12" s="301">
        <f t="shared" si="12"/>
        <v>56725.644024000008</v>
      </c>
      <c r="BR12" s="301">
        <f t="shared" si="12"/>
        <v>131887.12235580001</v>
      </c>
      <c r="BS12" s="301">
        <f t="shared" si="12"/>
        <v>131887.12235580001</v>
      </c>
      <c r="BT12" s="301">
        <f t="shared" si="12"/>
        <v>123378.2757522</v>
      </c>
      <c r="BU12" s="301">
        <f t="shared" si="12"/>
        <v>117232.99764960002</v>
      </c>
      <c r="BV12" s="301">
        <f t="shared" si="12"/>
        <v>28362.822012000004</v>
      </c>
      <c r="BW12" s="301">
        <f t="shared" si="12"/>
        <v>58616.498824800008</v>
      </c>
      <c r="BX12" s="301">
        <f t="shared" si="12"/>
        <v>219102.80004270002</v>
      </c>
      <c r="BY12" s="301">
        <f t="shared" si="12"/>
        <v>241499.97515817604</v>
      </c>
      <c r="BZ12" s="301">
        <f t="shared" si="12"/>
        <v>226406.22671079001</v>
      </c>
      <c r="CA12" s="301">
        <f t="shared" si="12"/>
        <v>189889.09337034004</v>
      </c>
      <c r="CB12" s="301">
        <f t="shared" si="12"/>
        <v>60374.993789544009</v>
      </c>
      <c r="CC12" s="301">
        <f t="shared" si="12"/>
        <v>58427.413344720007</v>
      </c>
      <c r="CD12" s="301">
        <f t="shared" si="12"/>
        <v>135843.73602647401</v>
      </c>
      <c r="CE12" s="301">
        <f t="shared" si="12"/>
        <v>135843.73602647401</v>
      </c>
      <c r="CF12" s="301">
        <f t="shared" si="12"/>
        <v>122697.568023912</v>
      </c>
      <c r="CG12" s="301">
        <f t="shared" si="12"/>
        <v>120749.98757908802</v>
      </c>
      <c r="CH12" s="301">
        <f t="shared" si="12"/>
        <v>29213.706672360004</v>
      </c>
      <c r="CI12" s="301">
        <f t="shared" si="12"/>
        <v>60374.993789544009</v>
      </c>
      <c r="CJ12" s="301">
        <f t="shared" si="12"/>
        <v>225675.88404398097</v>
      </c>
      <c r="CK12" s="301">
        <f t="shared" si="12"/>
        <v>248744.97441292126</v>
      </c>
      <c r="CL12" s="301">
        <f t="shared" si="12"/>
        <v>233198.41351211368</v>
      </c>
      <c r="CM12" s="301">
        <f t="shared" si="12"/>
        <v>195585.7661714502</v>
      </c>
      <c r="CN12" s="301">
        <f t="shared" si="12"/>
        <v>62186.243603230316</v>
      </c>
      <c r="CO12" s="301">
        <f t="shared" si="12"/>
        <v>60180.235745061596</v>
      </c>
      <c r="CP12" s="301">
        <f t="shared" si="12"/>
        <v>139919.0481072682</v>
      </c>
      <c r="CQ12" s="301">
        <f t="shared" si="12"/>
        <v>139919.0481072682</v>
      </c>
      <c r="CR12" s="301">
        <f t="shared" si="12"/>
        <v>126378.49506462936</v>
      </c>
      <c r="CS12" s="301">
        <f t="shared" si="12"/>
        <v>124372.48720646063</v>
      </c>
      <c r="CT12" s="301">
        <f t="shared" si="12"/>
        <v>30090.117872530798</v>
      </c>
      <c r="CU12" s="301">
        <f t="shared" si="12"/>
        <v>62186.243603230316</v>
      </c>
      <c r="CV12" s="301">
        <f t="shared" si="12"/>
        <v>232446.16056530044</v>
      </c>
      <c r="CW12" s="301">
        <f t="shared" si="12"/>
        <v>256207.32364530896</v>
      </c>
      <c r="CX12" s="301">
        <f t="shared" si="12"/>
        <v>240194.36591747712</v>
      </c>
      <c r="CY12" s="301">
        <f t="shared" si="12"/>
        <v>201453.33915659372</v>
      </c>
      <c r="CZ12" s="301">
        <f t="shared" si="12"/>
        <v>64051.830911327241</v>
      </c>
      <c r="DA12" s="301">
        <f t="shared" si="12"/>
        <v>61985.642817413449</v>
      </c>
      <c r="DB12" s="301">
        <f t="shared" si="12"/>
        <v>144116.61955048627</v>
      </c>
      <c r="DC12" s="301">
        <f t="shared" si="12"/>
        <v>144116.61955048627</v>
      </c>
      <c r="DD12" s="301">
        <f t="shared" si="12"/>
        <v>130169.84991656823</v>
      </c>
      <c r="DE12" s="301">
        <f t="shared" si="12"/>
        <v>128103.66182265448</v>
      </c>
      <c r="DF12" s="301">
        <f t="shared" si="12"/>
        <v>30992.821408706724</v>
      </c>
      <c r="DG12" s="301">
        <f t="shared" si="12"/>
        <v>64051.830911327241</v>
      </c>
      <c r="DH12" s="301">
        <f t="shared" si="12"/>
        <v>239419.54538225944</v>
      </c>
      <c r="DI12" s="301">
        <f t="shared" si="12"/>
        <v>263893.54335466819</v>
      </c>
      <c r="DJ12" s="301">
        <f t="shared" si="12"/>
        <v>247400.19689500143</v>
      </c>
      <c r="DK12" s="301">
        <f t="shared" si="12"/>
        <v>207496.93933129153</v>
      </c>
      <c r="DL12" s="301">
        <f t="shared" si="12"/>
        <v>65973.385838667047</v>
      </c>
      <c r="DM12" s="301">
        <f t="shared" si="12"/>
        <v>63845.212101935853</v>
      </c>
      <c r="DN12" s="301">
        <f t="shared" si="12"/>
        <v>148440.11813700086</v>
      </c>
      <c r="DO12" s="301">
        <f t="shared" si="12"/>
        <v>148440.11813700086</v>
      </c>
      <c r="DP12" s="301">
        <f t="shared" si="12"/>
        <v>138863.33632171049</v>
      </c>
      <c r="DQ12" s="301">
        <f t="shared" si="12"/>
        <v>131946.77167733409</v>
      </c>
      <c r="DR12" s="301">
        <f t="shared" si="12"/>
        <v>31922.606050967926</v>
      </c>
      <c r="DS12" s="301">
        <f t="shared" si="12"/>
        <v>65973.385838667047</v>
      </c>
      <c r="DT12" s="301">
        <f t="shared" si="12"/>
        <v>246602.13174372725</v>
      </c>
      <c r="DU12" s="301">
        <f t="shared" si="12"/>
        <v>271810.34965530824</v>
      </c>
      <c r="DV12" s="301">
        <f t="shared" si="12"/>
        <v>254822.2028018515</v>
      </c>
      <c r="DW12" s="301">
        <f t="shared" si="12"/>
        <v>213721.84751123027</v>
      </c>
      <c r="DX12" s="301">
        <f t="shared" si="12"/>
        <v>67952.587413827059</v>
      </c>
      <c r="DY12" s="301">
        <f t="shared" si="12"/>
        <v>65760.568464993936</v>
      </c>
      <c r="DZ12" s="301">
        <f t="shared" si="12"/>
        <v>152893.32168111089</v>
      </c>
      <c r="EA12" s="301">
        <f t="shared" si="12"/>
        <v>152893.32168111089</v>
      </c>
      <c r="EB12" s="301">
        <f>IF(EB10=0,0,EB10*EB11)</f>
        <v>138097.19377648726</v>
      </c>
      <c r="EC12" s="301">
        <f>IF(EC10=0,0,EC10*EC11)</f>
        <v>135905.17482765412</v>
      </c>
      <c r="ED12" s="301">
        <f>IF(ED10=0,0,ED10*ED11)</f>
        <v>32880.284232496968</v>
      </c>
      <c r="EE12" s="301">
        <f>IF(EE10=0,0,EE10*EE11)</f>
        <v>67952.587413827059</v>
      </c>
    </row>
    <row r="13" spans="2:149" ht="16" thickBot="1" x14ac:dyDescent="0.25">
      <c r="B13" s="302" t="s">
        <v>458</v>
      </c>
      <c r="C13" s="303"/>
      <c r="D13" s="303">
        <f>D12*-'Amenity Dashboard'!$B$7</f>
        <v>0</v>
      </c>
      <c r="E13" s="303">
        <f>E12*-'Amenity Dashboard'!$B$7</f>
        <v>0</v>
      </c>
      <c r="F13" s="303">
        <f>F12*-'Amenity Dashboard'!$B$7</f>
        <v>0</v>
      </c>
      <c r="G13" s="303">
        <f>G12*-'Amenity Dashboard'!$B$7</f>
        <v>0</v>
      </c>
      <c r="H13" s="303">
        <f>H12*-'Amenity Dashboard'!$B$7</f>
        <v>0</v>
      </c>
      <c r="I13" s="303">
        <f>I12*-'Amenity Dashboard'!$B$7</f>
        <v>0</v>
      </c>
      <c r="J13" s="303">
        <f>J12*-'Amenity Dashboard'!$B$7</f>
        <v>0</v>
      </c>
      <c r="K13" s="303">
        <f>K12*-'Amenity Dashboard'!$B$7</f>
        <v>0</v>
      </c>
      <c r="L13" s="303">
        <f>L12*-'Amenity Dashboard'!$B$7</f>
        <v>0</v>
      </c>
      <c r="M13" s="303">
        <f>M12*-'Amenity Dashboard'!$B$7</f>
        <v>0</v>
      </c>
      <c r="N13" s="303">
        <f>N12*-'Amenity Dashboard'!$B$7</f>
        <v>0</v>
      </c>
      <c r="O13" s="303">
        <f>O12*-'Amenity Dashboard'!$B$7</f>
        <v>0</v>
      </c>
      <c r="P13" s="303">
        <f>P12*-'Amenity Dashboard'!$B$7</f>
        <v>-75600</v>
      </c>
      <c r="Q13" s="303">
        <f>Q12*-'Amenity Dashboard'!$B$7</f>
        <v>-83328</v>
      </c>
      <c r="R13" s="303">
        <f>R12*-'Amenity Dashboard'!$B$7</f>
        <v>-78120</v>
      </c>
      <c r="S13" s="303">
        <f>S12*-'Amenity Dashboard'!$B$7</f>
        <v>-65520</v>
      </c>
      <c r="T13" s="303">
        <f>T12*-'Amenity Dashboard'!$B$7</f>
        <v>-20832</v>
      </c>
      <c r="U13" s="303">
        <f>U12*-'Amenity Dashboard'!$B$7</f>
        <v>-20160</v>
      </c>
      <c r="V13" s="303">
        <f>V12*-'Amenity Dashboard'!$B$7</f>
        <v>-46872</v>
      </c>
      <c r="W13" s="303">
        <f>W12*-'Amenity Dashboard'!$B$7</f>
        <v>-46872</v>
      </c>
      <c r="X13" s="303">
        <f>X12*-'Amenity Dashboard'!$B$7</f>
        <v>-43848</v>
      </c>
      <c r="Y13" s="303">
        <f>Y12*-'Amenity Dashboard'!$B$7</f>
        <v>-41664</v>
      </c>
      <c r="Z13" s="303">
        <f>Z12*-'Amenity Dashboard'!$B$7</f>
        <v>-10080</v>
      </c>
      <c r="AA13" s="303">
        <f>AA12*-'Amenity Dashboard'!$B$7</f>
        <v>-20832</v>
      </c>
      <c r="AB13" s="303">
        <f>AB12*-'Amenity Dashboard'!$B$7</f>
        <v>-77868</v>
      </c>
      <c r="AC13" s="303">
        <f>AC12*-'Amenity Dashboard'!$B$7</f>
        <v>-85827.840000000011</v>
      </c>
      <c r="AD13" s="303">
        <f>AD12*-'Amenity Dashboard'!$B$7</f>
        <v>-80463.600000000006</v>
      </c>
      <c r="AE13" s="303">
        <f>AE12*-'Amenity Dashboard'!$B$7</f>
        <v>-67485.600000000006</v>
      </c>
      <c r="AF13" s="303">
        <f>AF12*-'Amenity Dashboard'!$B$7</f>
        <v>-21456.960000000003</v>
      </c>
      <c r="AG13" s="303">
        <f>AG12*-'Amenity Dashboard'!$B$7</f>
        <v>-20764.800000000003</v>
      </c>
      <c r="AH13" s="303">
        <f>AH12*-'Amenity Dashboard'!$B$7</f>
        <v>-48278.16</v>
      </c>
      <c r="AI13" s="303">
        <f>AI12*-'Amenity Dashboard'!$B$7</f>
        <v>-48278.16</v>
      </c>
      <c r="AJ13" s="303">
        <f>AJ12*-'Amenity Dashboard'!$B$7</f>
        <v>-43606.080000000002</v>
      </c>
      <c r="AK13" s="303">
        <f>AK12*-'Amenity Dashboard'!$B$7</f>
        <v>-42913.920000000006</v>
      </c>
      <c r="AL13" s="303">
        <f>AL12*-'Amenity Dashboard'!$B$7</f>
        <v>-10382.400000000001</v>
      </c>
      <c r="AM13" s="303">
        <f>AM12*-'Amenity Dashboard'!$B$7</f>
        <v>-21456.960000000003</v>
      </c>
      <c r="AN13" s="303">
        <f>AN12*-'Amenity Dashboard'!$B$7</f>
        <v>-80204.039999999994</v>
      </c>
      <c r="AO13" s="303">
        <f>AO12*-'Amenity Dashboard'!$B$7</f>
        <v>-88402.675199999998</v>
      </c>
      <c r="AP13" s="303">
        <f>AP12*-'Amenity Dashboard'!$B$7</f>
        <v>-82877.508000000002</v>
      </c>
      <c r="AQ13" s="303">
        <f>AQ12*-'Amenity Dashboard'!$B$7</f>
        <v>-69510.168000000005</v>
      </c>
      <c r="AR13" s="303">
        <f>AR12*-'Amenity Dashboard'!$B$7</f>
        <v>-22100.668799999999</v>
      </c>
      <c r="AS13" s="303">
        <f>AS12*-'Amenity Dashboard'!$B$7</f>
        <v>-21387.744000000002</v>
      </c>
      <c r="AT13" s="303">
        <f>AT12*-'Amenity Dashboard'!$B$7</f>
        <v>-49726.504800000002</v>
      </c>
      <c r="AU13" s="303">
        <f>AU12*-'Amenity Dashboard'!$B$7</f>
        <v>-49726.504800000002</v>
      </c>
      <c r="AV13" s="303">
        <f>AV12*-'Amenity Dashboard'!$B$7</f>
        <v>-44914.262400000007</v>
      </c>
      <c r="AW13" s="303">
        <f>AW12*-'Amenity Dashboard'!$B$7</f>
        <v>-44201.337599999999</v>
      </c>
      <c r="AX13" s="303">
        <f>AX12*-'Amenity Dashboard'!$B$7</f>
        <v>-10693.872000000001</v>
      </c>
      <c r="AY13" s="303">
        <f>AY12*-'Amenity Dashboard'!$B$7</f>
        <v>-22100.668799999999</v>
      </c>
      <c r="AZ13" s="303">
        <f>AZ12*-'Amenity Dashboard'!$B$7</f>
        <v>-82610.161200000017</v>
      </c>
      <c r="BA13" s="303">
        <f>BA12*-'Amenity Dashboard'!$B$7</f>
        <v>-91054.755456000014</v>
      </c>
      <c r="BB13" s="303">
        <f>BB12*-'Amenity Dashboard'!$B$7</f>
        <v>-85363.833240000007</v>
      </c>
      <c r="BC13" s="303">
        <f>BC12*-'Amenity Dashboard'!$B$7</f>
        <v>-71595.473040000012</v>
      </c>
      <c r="BD13" s="303">
        <f>BD12*-'Amenity Dashboard'!$B$7</f>
        <v>-22763.688864000003</v>
      </c>
      <c r="BE13" s="303">
        <f>BE12*-'Amenity Dashboard'!$B$7</f>
        <v>-22029.376320000007</v>
      </c>
      <c r="BF13" s="303">
        <f>BF12*-'Amenity Dashboard'!$B$7</f>
        <v>-51218.299944000006</v>
      </c>
      <c r="BG13" s="303">
        <f>BG12*-'Amenity Dashboard'!$B$7</f>
        <v>-51218.299944000006</v>
      </c>
      <c r="BH13" s="303">
        <f>BH12*-'Amenity Dashboard'!$B$7</f>
        <v>-46261.690272000007</v>
      </c>
      <c r="BI13" s="303">
        <f>BI12*-'Amenity Dashboard'!$B$7</f>
        <v>-45527.377728000007</v>
      </c>
      <c r="BJ13" s="303">
        <f>BJ12*-'Amenity Dashboard'!$B$7</f>
        <v>-11014.688160000003</v>
      </c>
      <c r="BK13" s="303">
        <f>BK12*-'Amenity Dashboard'!$B$7</f>
        <v>-22763.688864000003</v>
      </c>
      <c r="BL13" s="303">
        <f>BL12*-'Amenity Dashboard'!$B$7</f>
        <v>-85088.466036000013</v>
      </c>
      <c r="BM13" s="303">
        <f>BM12*-'Amenity Dashboard'!$B$7</f>
        <v>-93786.398119680016</v>
      </c>
      <c r="BN13" s="303">
        <f>BN12*-'Amenity Dashboard'!$B$7</f>
        <v>-87924.748237200023</v>
      </c>
      <c r="BO13" s="303">
        <f>BO12*-'Amenity Dashboard'!$B$7</f>
        <v>-73743.337231199999</v>
      </c>
      <c r="BP13" s="303">
        <f>BP12*-'Amenity Dashboard'!$B$7</f>
        <v>-23446.599529920004</v>
      </c>
      <c r="BQ13" s="303">
        <f>BQ12*-'Amenity Dashboard'!$B$7</f>
        <v>-22690.257609600005</v>
      </c>
      <c r="BR13" s="303">
        <f>BR12*-'Amenity Dashboard'!$B$7</f>
        <v>-52754.848942320008</v>
      </c>
      <c r="BS13" s="303">
        <f>BS12*-'Amenity Dashboard'!$B$7</f>
        <v>-52754.848942320008</v>
      </c>
      <c r="BT13" s="303">
        <f>BT12*-'Amenity Dashboard'!$B$7</f>
        <v>-49351.310300880003</v>
      </c>
      <c r="BU13" s="303">
        <f>BU12*-'Amenity Dashboard'!$B$7</f>
        <v>-46893.199059840008</v>
      </c>
      <c r="BV13" s="303">
        <f>BV12*-'Amenity Dashboard'!$B$7</f>
        <v>-11345.128804800002</v>
      </c>
      <c r="BW13" s="303">
        <f>BW12*-'Amenity Dashboard'!$B$7</f>
        <v>-23446.599529920004</v>
      </c>
      <c r="BX13" s="303">
        <f>BX12*-'Amenity Dashboard'!$B$7</f>
        <v>-87641.120017080015</v>
      </c>
      <c r="BY13" s="303">
        <f>BY12*-'Amenity Dashboard'!$B$7</f>
        <v>-96599.990063270423</v>
      </c>
      <c r="BZ13" s="303">
        <f>BZ12*-'Amenity Dashboard'!$B$7</f>
        <v>-90562.490684316013</v>
      </c>
      <c r="CA13" s="303">
        <f>CA12*-'Amenity Dashboard'!$B$7</f>
        <v>-75955.637348136021</v>
      </c>
      <c r="CB13" s="303">
        <f>CB12*-'Amenity Dashboard'!$B$7</f>
        <v>-24149.997515817606</v>
      </c>
      <c r="CC13" s="303">
        <f>CC12*-'Amenity Dashboard'!$B$7</f>
        <v>-23370.965337888003</v>
      </c>
      <c r="CD13" s="303">
        <f>CD12*-'Amenity Dashboard'!$B$7</f>
        <v>-54337.494410589607</v>
      </c>
      <c r="CE13" s="303">
        <f>CE12*-'Amenity Dashboard'!$B$7</f>
        <v>-54337.494410589607</v>
      </c>
      <c r="CF13" s="303">
        <f>CF12*-'Amenity Dashboard'!$B$7</f>
        <v>-49079.027209564803</v>
      </c>
      <c r="CG13" s="303">
        <f>CG12*-'Amenity Dashboard'!$B$7</f>
        <v>-48299.995031635211</v>
      </c>
      <c r="CH13" s="303">
        <f>CH12*-'Amenity Dashboard'!$B$7</f>
        <v>-11685.482668944001</v>
      </c>
      <c r="CI13" s="303">
        <f>CI12*-'Amenity Dashboard'!$B$7</f>
        <v>-24149.997515817606</v>
      </c>
      <c r="CJ13" s="303">
        <f>CJ12*-'Amenity Dashboard'!$B$7</f>
        <v>-90270.353617592395</v>
      </c>
      <c r="CK13" s="303">
        <f>CK12*-'Amenity Dashboard'!$B$7</f>
        <v>-99497.989765168517</v>
      </c>
      <c r="CL13" s="303">
        <f>CL12*-'Amenity Dashboard'!$B$7</f>
        <v>-93279.365404845477</v>
      </c>
      <c r="CM13" s="303">
        <f>CM12*-'Amenity Dashboard'!$B$7</f>
        <v>-78234.306468580078</v>
      </c>
      <c r="CN13" s="303">
        <f>CN12*-'Amenity Dashboard'!$B$7</f>
        <v>-24874.497441292129</v>
      </c>
      <c r="CO13" s="303">
        <f>CO12*-'Amenity Dashboard'!$B$7</f>
        <v>-24072.09429802464</v>
      </c>
      <c r="CP13" s="303">
        <f>CP12*-'Amenity Dashboard'!$B$7</f>
        <v>-55967.619242907283</v>
      </c>
      <c r="CQ13" s="303">
        <f>CQ12*-'Amenity Dashboard'!$B$7</f>
        <v>-55967.619242907283</v>
      </c>
      <c r="CR13" s="303">
        <f>CR12*-'Amenity Dashboard'!$B$7</f>
        <v>-50551.398025851748</v>
      </c>
      <c r="CS13" s="303">
        <f>CS12*-'Amenity Dashboard'!$B$7</f>
        <v>-49748.994882584258</v>
      </c>
      <c r="CT13" s="303">
        <f>CT12*-'Amenity Dashboard'!$B$7</f>
        <v>-12036.04714901232</v>
      </c>
      <c r="CU13" s="303">
        <f>CU12*-'Amenity Dashboard'!$B$7</f>
        <v>-24874.497441292129</v>
      </c>
      <c r="CV13" s="303">
        <f>CV12*-'Amenity Dashboard'!$B$7</f>
        <v>-92978.464226120181</v>
      </c>
      <c r="CW13" s="303">
        <f>CW12*-'Amenity Dashboard'!$B$7</f>
        <v>-102482.92945812359</v>
      </c>
      <c r="CX13" s="303">
        <f>CX12*-'Amenity Dashboard'!$B$7</f>
        <v>-96077.746366990847</v>
      </c>
      <c r="CY13" s="303">
        <f>CY12*-'Amenity Dashboard'!$B$7</f>
        <v>-80581.335662637488</v>
      </c>
      <c r="CZ13" s="303">
        <f>CZ12*-'Amenity Dashboard'!$B$7</f>
        <v>-25620.732364530897</v>
      </c>
      <c r="DA13" s="303">
        <f>DA12*-'Amenity Dashboard'!$B$7</f>
        <v>-24794.257126965382</v>
      </c>
      <c r="DB13" s="303">
        <f>DB12*-'Amenity Dashboard'!$B$7</f>
        <v>-57646.647820194514</v>
      </c>
      <c r="DC13" s="303">
        <f>DC12*-'Amenity Dashboard'!$B$7</f>
        <v>-57646.647820194514</v>
      </c>
      <c r="DD13" s="303">
        <f>DD12*-'Amenity Dashboard'!$B$7</f>
        <v>-52067.939966627295</v>
      </c>
      <c r="DE13" s="303">
        <f>DE12*-'Amenity Dashboard'!$B$7</f>
        <v>-51241.464729061794</v>
      </c>
      <c r="DF13" s="303">
        <f>DF12*-'Amenity Dashboard'!$B$7</f>
        <v>-12397.128563482691</v>
      </c>
      <c r="DG13" s="303">
        <f>DG12*-'Amenity Dashboard'!$B$7</f>
        <v>-25620.732364530897</v>
      </c>
      <c r="DH13" s="303">
        <f>DH12*-'Amenity Dashboard'!$B$7</f>
        <v>-95767.818152903783</v>
      </c>
      <c r="DI13" s="303">
        <f>DI12*-'Amenity Dashboard'!$B$7</f>
        <v>-105557.41734186729</v>
      </c>
      <c r="DJ13" s="303">
        <f>DJ12*-'Amenity Dashboard'!$B$7</f>
        <v>-98960.078758000571</v>
      </c>
      <c r="DK13" s="303">
        <f>DK12*-'Amenity Dashboard'!$B$7</f>
        <v>-82998.775732516617</v>
      </c>
      <c r="DL13" s="303">
        <f>DL12*-'Amenity Dashboard'!$B$7</f>
        <v>-26389.354335466822</v>
      </c>
      <c r="DM13" s="303">
        <f>DM12*-'Amenity Dashboard'!$B$7</f>
        <v>-25538.084840774343</v>
      </c>
      <c r="DN13" s="303">
        <f>DN12*-'Amenity Dashboard'!$B$7</f>
        <v>-59376.047254800345</v>
      </c>
      <c r="DO13" s="303">
        <f>DO12*-'Amenity Dashboard'!$B$7</f>
        <v>-59376.047254800345</v>
      </c>
      <c r="DP13" s="303">
        <f>DP12*-'Amenity Dashboard'!$B$7</f>
        <v>-55545.334528684201</v>
      </c>
      <c r="DQ13" s="303">
        <f>DQ12*-'Amenity Dashboard'!$B$7</f>
        <v>-52778.708670933644</v>
      </c>
      <c r="DR13" s="303">
        <f>DR12*-'Amenity Dashboard'!$B$7</f>
        <v>-12769.042420387172</v>
      </c>
      <c r="DS13" s="303">
        <f>DS12*-'Amenity Dashboard'!$B$7</f>
        <v>-26389.354335466822</v>
      </c>
      <c r="DT13" s="303">
        <f>DT12*-'Amenity Dashboard'!$B$7</f>
        <v>-98640.852697490904</v>
      </c>
      <c r="DU13" s="303">
        <f>DU12*-'Amenity Dashboard'!$B$7</f>
        <v>-108724.13986212329</v>
      </c>
      <c r="DV13" s="303">
        <f>DV12*-'Amenity Dashboard'!$B$7</f>
        <v>-101928.88112074061</v>
      </c>
      <c r="DW13" s="303">
        <f>DW12*-'Amenity Dashboard'!$B$7</f>
        <v>-85488.739004492119</v>
      </c>
      <c r="DX13" s="303">
        <f>DX12*-'Amenity Dashboard'!$B$7</f>
        <v>-27181.034965530824</v>
      </c>
      <c r="DY13" s="303">
        <f>DY12*-'Amenity Dashboard'!$B$7</f>
        <v>-26304.227385997576</v>
      </c>
      <c r="DZ13" s="303">
        <f>DZ12*-'Amenity Dashboard'!$B$7</f>
        <v>-61157.328672444361</v>
      </c>
      <c r="EA13" s="303">
        <f>EA12*-'Amenity Dashboard'!$B$7</f>
        <v>-61157.328672444361</v>
      </c>
      <c r="EB13" s="303">
        <f>EB12*-'Amenity Dashboard'!$B$7</f>
        <v>-55238.877510594903</v>
      </c>
      <c r="EC13" s="303">
        <f>EC12*-'Amenity Dashboard'!$B$7</f>
        <v>-54362.069931061647</v>
      </c>
      <c r="ED13" s="303">
        <f>ED12*-'Amenity Dashboard'!$B$7</f>
        <v>-13152.113692998788</v>
      </c>
      <c r="EE13" s="303">
        <f>EE12*-'Amenity Dashboard'!$B$7</f>
        <v>-27181.034965530824</v>
      </c>
    </row>
    <row r="14" spans="2:149" ht="16" thickBot="1" x14ac:dyDescent="0.25">
      <c r="B14" s="304" t="s">
        <v>459</v>
      </c>
      <c r="C14" s="305"/>
      <c r="D14" s="305">
        <f t="shared" ref="D14:BO14" si="13">D12+D13</f>
        <v>0</v>
      </c>
      <c r="E14" s="305">
        <f t="shared" si="13"/>
        <v>0</v>
      </c>
      <c r="F14" s="305">
        <f t="shared" si="13"/>
        <v>0</v>
      </c>
      <c r="G14" s="305">
        <f t="shared" si="13"/>
        <v>0</v>
      </c>
      <c r="H14" s="305">
        <f t="shared" si="13"/>
        <v>0</v>
      </c>
      <c r="I14" s="305">
        <f t="shared" si="13"/>
        <v>0</v>
      </c>
      <c r="J14" s="305">
        <f t="shared" si="13"/>
        <v>0</v>
      </c>
      <c r="K14" s="305">
        <f t="shared" si="13"/>
        <v>0</v>
      </c>
      <c r="L14" s="305">
        <f t="shared" si="13"/>
        <v>0</v>
      </c>
      <c r="M14" s="305">
        <f t="shared" si="13"/>
        <v>0</v>
      </c>
      <c r="N14" s="305">
        <f t="shared" si="13"/>
        <v>0</v>
      </c>
      <c r="O14" s="305">
        <f t="shared" si="13"/>
        <v>0</v>
      </c>
      <c r="P14" s="305">
        <f t="shared" si="13"/>
        <v>113400</v>
      </c>
      <c r="Q14" s="305">
        <f t="shared" si="13"/>
        <v>124992</v>
      </c>
      <c r="R14" s="305">
        <f t="shared" si="13"/>
        <v>117180</v>
      </c>
      <c r="S14" s="305">
        <f t="shared" si="13"/>
        <v>98280</v>
      </c>
      <c r="T14" s="305">
        <f t="shared" si="13"/>
        <v>31248</v>
      </c>
      <c r="U14" s="305">
        <f t="shared" si="13"/>
        <v>30240</v>
      </c>
      <c r="V14" s="305">
        <f t="shared" si="13"/>
        <v>70308</v>
      </c>
      <c r="W14" s="305">
        <f t="shared" si="13"/>
        <v>70308</v>
      </c>
      <c r="X14" s="305">
        <f t="shared" si="13"/>
        <v>65772</v>
      </c>
      <c r="Y14" s="305">
        <f t="shared" si="13"/>
        <v>62496</v>
      </c>
      <c r="Z14" s="305">
        <f t="shared" si="13"/>
        <v>15120</v>
      </c>
      <c r="AA14" s="305">
        <f t="shared" si="13"/>
        <v>31248</v>
      </c>
      <c r="AB14" s="305">
        <f t="shared" si="13"/>
        <v>116802</v>
      </c>
      <c r="AC14" s="305">
        <f t="shared" si="13"/>
        <v>128741.75999999999</v>
      </c>
      <c r="AD14" s="305">
        <f t="shared" si="13"/>
        <v>120695.4</v>
      </c>
      <c r="AE14" s="305">
        <f t="shared" si="13"/>
        <v>101228.4</v>
      </c>
      <c r="AF14" s="305">
        <f t="shared" si="13"/>
        <v>32185.439999999999</v>
      </c>
      <c r="AG14" s="305">
        <f t="shared" si="13"/>
        <v>31147.199999999997</v>
      </c>
      <c r="AH14" s="305">
        <f t="shared" si="13"/>
        <v>72417.240000000005</v>
      </c>
      <c r="AI14" s="305">
        <f t="shared" si="13"/>
        <v>72417.240000000005</v>
      </c>
      <c r="AJ14" s="305">
        <f t="shared" si="13"/>
        <v>65409.119999999995</v>
      </c>
      <c r="AK14" s="305">
        <f t="shared" si="13"/>
        <v>64370.879999999997</v>
      </c>
      <c r="AL14" s="305">
        <f t="shared" si="13"/>
        <v>15573.599999999999</v>
      </c>
      <c r="AM14" s="305">
        <f t="shared" si="13"/>
        <v>32185.439999999999</v>
      </c>
      <c r="AN14" s="305">
        <f t="shared" si="13"/>
        <v>120306.05999999998</v>
      </c>
      <c r="AO14" s="305">
        <f t="shared" si="13"/>
        <v>132604.0128</v>
      </c>
      <c r="AP14" s="305">
        <f t="shared" si="13"/>
        <v>124316.26199999999</v>
      </c>
      <c r="AQ14" s="305">
        <f t="shared" si="13"/>
        <v>104265.25200000001</v>
      </c>
      <c r="AR14" s="305">
        <f t="shared" si="13"/>
        <v>33151.003199999999</v>
      </c>
      <c r="AS14" s="305">
        <f t="shared" si="13"/>
        <v>32081.615999999998</v>
      </c>
      <c r="AT14" s="305">
        <f t="shared" si="13"/>
        <v>74589.757199999993</v>
      </c>
      <c r="AU14" s="305">
        <f t="shared" si="13"/>
        <v>74589.757199999993</v>
      </c>
      <c r="AV14" s="305">
        <f t="shared" si="13"/>
        <v>67371.393599999996</v>
      </c>
      <c r="AW14" s="305">
        <f t="shared" si="13"/>
        <v>66302.006399999998</v>
      </c>
      <c r="AX14" s="305">
        <f t="shared" si="13"/>
        <v>16040.807999999999</v>
      </c>
      <c r="AY14" s="305">
        <f t="shared" si="13"/>
        <v>33151.003199999999</v>
      </c>
      <c r="AZ14" s="305">
        <f t="shared" si="13"/>
        <v>123915.2418</v>
      </c>
      <c r="BA14" s="305">
        <f t="shared" si="13"/>
        <v>136582.13318400001</v>
      </c>
      <c r="BB14" s="305">
        <f t="shared" si="13"/>
        <v>128045.74986000001</v>
      </c>
      <c r="BC14" s="305">
        <f t="shared" si="13"/>
        <v>107393.20956000002</v>
      </c>
      <c r="BD14" s="305">
        <f t="shared" si="13"/>
        <v>34145.533296000001</v>
      </c>
      <c r="BE14" s="305">
        <f t="shared" si="13"/>
        <v>33044.064480000001</v>
      </c>
      <c r="BF14" s="305">
        <f t="shared" si="13"/>
        <v>76827.449916000012</v>
      </c>
      <c r="BG14" s="305">
        <f t="shared" si="13"/>
        <v>76827.449916000012</v>
      </c>
      <c r="BH14" s="305">
        <f t="shared" si="13"/>
        <v>69392.535407999996</v>
      </c>
      <c r="BI14" s="305">
        <f t="shared" si="13"/>
        <v>68291.066592000003</v>
      </c>
      <c r="BJ14" s="305">
        <f t="shared" si="13"/>
        <v>16522.03224</v>
      </c>
      <c r="BK14" s="305">
        <f t="shared" si="13"/>
        <v>34145.533296000001</v>
      </c>
      <c r="BL14" s="305">
        <f t="shared" si="13"/>
        <v>127632.69905400001</v>
      </c>
      <c r="BM14" s="305">
        <f t="shared" si="13"/>
        <v>140679.59717952</v>
      </c>
      <c r="BN14" s="305">
        <f t="shared" si="13"/>
        <v>131887.12235580001</v>
      </c>
      <c r="BO14" s="305">
        <f t="shared" si="13"/>
        <v>110615.00584680001</v>
      </c>
      <c r="BP14" s="305">
        <f t="shared" ref="BP14:EA14" si="14">BP12+BP13</f>
        <v>35169.899294880001</v>
      </c>
      <c r="BQ14" s="305">
        <f t="shared" si="14"/>
        <v>34035.386414400004</v>
      </c>
      <c r="BR14" s="305">
        <f t="shared" si="14"/>
        <v>79132.273413479998</v>
      </c>
      <c r="BS14" s="305">
        <f t="shared" si="14"/>
        <v>79132.273413479998</v>
      </c>
      <c r="BT14" s="305">
        <f t="shared" si="14"/>
        <v>74026.965451319993</v>
      </c>
      <c r="BU14" s="305">
        <f t="shared" si="14"/>
        <v>70339.798589760001</v>
      </c>
      <c r="BV14" s="305">
        <f t="shared" si="14"/>
        <v>17017.693207200002</v>
      </c>
      <c r="BW14" s="305">
        <f t="shared" si="14"/>
        <v>35169.899294880001</v>
      </c>
      <c r="BX14" s="305">
        <f t="shared" si="14"/>
        <v>131461.68002562001</v>
      </c>
      <c r="BY14" s="305">
        <f t="shared" si="14"/>
        <v>144899.9850949056</v>
      </c>
      <c r="BZ14" s="305">
        <f t="shared" si="14"/>
        <v>135843.73602647398</v>
      </c>
      <c r="CA14" s="305">
        <f t="shared" si="14"/>
        <v>113933.45602220402</v>
      </c>
      <c r="CB14" s="305">
        <f t="shared" si="14"/>
        <v>36224.9962737264</v>
      </c>
      <c r="CC14" s="305">
        <f t="shared" si="14"/>
        <v>35056.448006832004</v>
      </c>
      <c r="CD14" s="305">
        <f t="shared" si="14"/>
        <v>81506.241615884413</v>
      </c>
      <c r="CE14" s="305">
        <f t="shared" si="14"/>
        <v>81506.241615884413</v>
      </c>
      <c r="CF14" s="305">
        <f t="shared" si="14"/>
        <v>73618.540814347187</v>
      </c>
      <c r="CG14" s="305">
        <f t="shared" si="14"/>
        <v>72449.992547452799</v>
      </c>
      <c r="CH14" s="305">
        <f t="shared" si="14"/>
        <v>17528.224003416002</v>
      </c>
      <c r="CI14" s="305">
        <f t="shared" si="14"/>
        <v>36224.9962737264</v>
      </c>
      <c r="CJ14" s="305">
        <f t="shared" si="14"/>
        <v>135405.53042638858</v>
      </c>
      <c r="CK14" s="305">
        <f t="shared" si="14"/>
        <v>149246.98464775275</v>
      </c>
      <c r="CL14" s="305">
        <f t="shared" si="14"/>
        <v>139919.0481072682</v>
      </c>
      <c r="CM14" s="305">
        <f t="shared" si="14"/>
        <v>117351.45970287012</v>
      </c>
      <c r="CN14" s="305">
        <f t="shared" si="14"/>
        <v>37311.746161938187</v>
      </c>
      <c r="CO14" s="305">
        <f t="shared" si="14"/>
        <v>36108.141447036956</v>
      </c>
      <c r="CP14" s="305">
        <f t="shared" si="14"/>
        <v>83951.428864360918</v>
      </c>
      <c r="CQ14" s="305">
        <f t="shared" si="14"/>
        <v>83951.428864360918</v>
      </c>
      <c r="CR14" s="305">
        <f t="shared" si="14"/>
        <v>75827.097038777603</v>
      </c>
      <c r="CS14" s="305">
        <f t="shared" si="14"/>
        <v>74623.492323876373</v>
      </c>
      <c r="CT14" s="305">
        <f t="shared" si="14"/>
        <v>18054.070723518478</v>
      </c>
      <c r="CU14" s="305">
        <f t="shared" si="14"/>
        <v>37311.746161938187</v>
      </c>
      <c r="CV14" s="305">
        <f t="shared" si="14"/>
        <v>139467.69633918026</v>
      </c>
      <c r="CW14" s="305">
        <f t="shared" si="14"/>
        <v>153724.39418718539</v>
      </c>
      <c r="CX14" s="305">
        <f t="shared" si="14"/>
        <v>144116.61955048627</v>
      </c>
      <c r="CY14" s="305">
        <f t="shared" si="14"/>
        <v>120872.00349395623</v>
      </c>
      <c r="CZ14" s="305">
        <f t="shared" si="14"/>
        <v>38431.098546796347</v>
      </c>
      <c r="DA14" s="305">
        <f t="shared" si="14"/>
        <v>37191.385690448064</v>
      </c>
      <c r="DB14" s="305">
        <f t="shared" si="14"/>
        <v>86469.971730291756</v>
      </c>
      <c r="DC14" s="305">
        <f t="shared" si="14"/>
        <v>86469.971730291756</v>
      </c>
      <c r="DD14" s="305">
        <f t="shared" si="14"/>
        <v>78101.909949940935</v>
      </c>
      <c r="DE14" s="305">
        <f t="shared" si="14"/>
        <v>76862.197093592695</v>
      </c>
      <c r="DF14" s="305">
        <f t="shared" si="14"/>
        <v>18595.692845224032</v>
      </c>
      <c r="DG14" s="305">
        <f t="shared" si="14"/>
        <v>38431.098546796347</v>
      </c>
      <c r="DH14" s="305">
        <f t="shared" si="14"/>
        <v>143651.72722935566</v>
      </c>
      <c r="DI14" s="305">
        <f t="shared" si="14"/>
        <v>158336.1260128009</v>
      </c>
      <c r="DJ14" s="305">
        <f t="shared" si="14"/>
        <v>148440.11813700086</v>
      </c>
      <c r="DK14" s="305">
        <f t="shared" si="14"/>
        <v>124498.16359877492</v>
      </c>
      <c r="DL14" s="305">
        <f t="shared" si="14"/>
        <v>39584.031503200225</v>
      </c>
      <c r="DM14" s="305">
        <f t="shared" si="14"/>
        <v>38307.127261161513</v>
      </c>
      <c r="DN14" s="305">
        <f t="shared" si="14"/>
        <v>89064.070882200511</v>
      </c>
      <c r="DO14" s="305">
        <f t="shared" si="14"/>
        <v>89064.070882200511</v>
      </c>
      <c r="DP14" s="305">
        <f t="shared" si="14"/>
        <v>83318.001793026284</v>
      </c>
      <c r="DQ14" s="305">
        <f t="shared" si="14"/>
        <v>79168.063006400451</v>
      </c>
      <c r="DR14" s="305">
        <f t="shared" si="14"/>
        <v>19153.563630580757</v>
      </c>
      <c r="DS14" s="305">
        <f t="shared" si="14"/>
        <v>39584.031503200225</v>
      </c>
      <c r="DT14" s="305">
        <f t="shared" si="14"/>
        <v>147961.27904623636</v>
      </c>
      <c r="DU14" s="305">
        <f t="shared" si="14"/>
        <v>163086.20979318494</v>
      </c>
      <c r="DV14" s="305">
        <f t="shared" si="14"/>
        <v>152893.32168111089</v>
      </c>
      <c r="DW14" s="305">
        <f t="shared" si="14"/>
        <v>128233.10850673815</v>
      </c>
      <c r="DX14" s="305">
        <f t="shared" si="14"/>
        <v>40771.552448296236</v>
      </c>
      <c r="DY14" s="305">
        <f t="shared" si="14"/>
        <v>39456.34107899636</v>
      </c>
      <c r="DZ14" s="305">
        <f t="shared" si="14"/>
        <v>91735.993008666526</v>
      </c>
      <c r="EA14" s="305">
        <f t="shared" si="14"/>
        <v>91735.993008666526</v>
      </c>
      <c r="EB14" s="305">
        <f>EB12+EB13</f>
        <v>82858.316265892354</v>
      </c>
      <c r="EC14" s="305">
        <f>EC12+EC13</f>
        <v>81543.104896592471</v>
      </c>
      <c r="ED14" s="305">
        <f>ED12+ED13</f>
        <v>19728.17053949818</v>
      </c>
      <c r="EE14" s="305">
        <f>EE12+EE13</f>
        <v>40771.552448296236</v>
      </c>
    </row>
    <row r="16" spans="2:149" x14ac:dyDescent="0.2">
      <c r="B16" s="294" t="s">
        <v>460</v>
      </c>
      <c r="C16" s="298"/>
      <c r="D16" s="298">
        <f>IF(D8&lt;'Amenity Dashboard'!$B$14,0,(D9-'Amenity Dashboard'!B2)*'Amenity Dashboard'!$B$15*'Amenity Dashboard'!$B$17)</f>
        <v>0</v>
      </c>
      <c r="E16" s="298">
        <f>IF(E8&lt;'Amenity Dashboard'!$B$14,0,((E9-D9)*'Amenity Dashboard'!$B$15*((HLOOKUP(E7,$D$1:$AH$5,5,0)))))</f>
        <v>0</v>
      </c>
      <c r="F16" s="298">
        <f>IF(F8&lt;'Amenity Dashboard'!$B$14,0,((F9-E9)*'Amenity Dashboard'!$B$15*((HLOOKUP(F7,$D$1:$AH$5,5,0)))))</f>
        <v>0</v>
      </c>
      <c r="G16" s="298">
        <f>IF(G8&lt;'Amenity Dashboard'!$B$14,0,((G9-F9)*'Amenity Dashboard'!$B$15*((HLOOKUP(G7,$D$1:$AH$5,5,0)))))</f>
        <v>0</v>
      </c>
      <c r="H16" s="298">
        <f>IF(H8&lt;'Amenity Dashboard'!$B$14,0,((H9-G9)*'Amenity Dashboard'!$B$15*((HLOOKUP(H7,$D$1:$AH$5,5,0)))))</f>
        <v>0</v>
      </c>
      <c r="I16" s="298">
        <f>IF(I8&lt;'Amenity Dashboard'!$B$14,0,((I9-H9)*'Amenity Dashboard'!$B$15*((HLOOKUP(I7,$D$1:$AH$5,5,0)))))</f>
        <v>0</v>
      </c>
      <c r="J16" s="298">
        <f>IF(J8&lt;'Amenity Dashboard'!$B$14,0,((J9-I9)*'Amenity Dashboard'!$B$15*((HLOOKUP(J7,$D$1:$AH$5,5,0)))))</f>
        <v>0</v>
      </c>
      <c r="K16" s="298">
        <f>IF(K8&lt;'Amenity Dashboard'!$B$14,0,((K9-J9)*'Amenity Dashboard'!$B$15*((HLOOKUP(K7,$D$1:$AH$5,5,0)))))</f>
        <v>0</v>
      </c>
      <c r="L16" s="298">
        <f>IF(L8&lt;'Amenity Dashboard'!$B$14,0,((L9-K9)*'Amenity Dashboard'!$B$15*((HLOOKUP(L7,$D$1:$AH$5,5,0)))))</f>
        <v>0</v>
      </c>
      <c r="M16" s="298">
        <f>IF(M8&lt;'Amenity Dashboard'!$B$14,0,((M9-L9)*'Amenity Dashboard'!$B$15*((HLOOKUP(M7,$D$1:$AH$5,5,0)))))</f>
        <v>0</v>
      </c>
      <c r="N16" s="298">
        <f>IF(N8&lt;'Amenity Dashboard'!$B$14,0,((N9-M9)*'Amenity Dashboard'!$B$15*((HLOOKUP(N7,$D$1:$AH$5,5,0)))))</f>
        <v>0</v>
      </c>
      <c r="O16" s="298">
        <f>IF(O8&lt;'Amenity Dashboard'!$B$14,0,((O9-N9)*'Amenity Dashboard'!$B$15*((HLOOKUP(O7,$D$1:$AH$5,5,0)))))</f>
        <v>0</v>
      </c>
      <c r="P16" s="298">
        <f>IF(P8&lt;'Amenity Dashboard'!$B$14,0,((P9-O9)*'Amenity Dashboard'!$B$15*((HLOOKUP(P7,$D$1:$AH$5,5,0)))))</f>
        <v>0</v>
      </c>
      <c r="Q16" s="298">
        <f>IF(Q8&lt;'Amenity Dashboard'!$B$14,0,((Q9-P9)*'Amenity Dashboard'!$B$15*((HLOOKUP(Q7,$D$1:$AH$5,5,0)))))</f>
        <v>0</v>
      </c>
      <c r="R16" s="298">
        <f>IF(R8&lt;'Amenity Dashboard'!$B$14,0,((R9-Q9)*'Amenity Dashboard'!$B$15*((HLOOKUP(R7,$D$1:$AH$5,5,0)))))</f>
        <v>0</v>
      </c>
      <c r="S16" s="298">
        <f>IF(S8&lt;'Amenity Dashboard'!$B$14,0,((S9-R9)*'Amenity Dashboard'!$B$15*((HLOOKUP(S7,$D$1:$AH$5,5,0)))))</f>
        <v>0</v>
      </c>
      <c r="T16" s="298">
        <f>IF(T8&lt;'Amenity Dashboard'!$B$14,0,((T9-S9)*'Amenity Dashboard'!$B$15*((HLOOKUP(T7,$D$1:$AH$5,5,0)))))</f>
        <v>0</v>
      </c>
      <c r="U16" s="298">
        <f>IF(U8&lt;'Amenity Dashboard'!$B$14,0,((U9-T9)*'Amenity Dashboard'!$B$15*((HLOOKUP(U7,$D$1:$AH$5,5,0)))))</f>
        <v>0</v>
      </c>
      <c r="V16" s="298">
        <f>IF(V8&lt;'Amenity Dashboard'!$B$14,0,((V9-U9)*'Amenity Dashboard'!$B$15*((HLOOKUP(V7,$D$1:$AH$5,5,0)))))</f>
        <v>0</v>
      </c>
      <c r="W16" s="298">
        <f>IF(W8&lt;'Amenity Dashboard'!$B$14,0,((W9-V9)*'Amenity Dashboard'!$B$15*((HLOOKUP(W7,$D$1:$AH$5,5,0)))))</f>
        <v>0</v>
      </c>
      <c r="X16" s="298">
        <f>IF(X8&lt;'Amenity Dashboard'!$B$14,0,((X9-W9)*'Amenity Dashboard'!$B$15*((HLOOKUP(X7,$D$1:$AH$5,5,0)))))</f>
        <v>0</v>
      </c>
      <c r="Y16" s="298">
        <f>IF(Y8&lt;'Amenity Dashboard'!$B$14,0,((Y9-X9)*'Amenity Dashboard'!$B$15*((HLOOKUP(Y7,$D$1:$AH$5,5,0)))))</f>
        <v>0</v>
      </c>
      <c r="Z16" s="298">
        <f>IF(Z8&lt;'Amenity Dashboard'!$B$14,0,((Z9-Y9)*'Amenity Dashboard'!$B$15*((HLOOKUP(Z7,$D$1:$AH$5,5,0)))))</f>
        <v>0</v>
      </c>
      <c r="AA16" s="298">
        <f>IF(AA8&lt;'Amenity Dashboard'!$B$14,0,((AA9-Z9)*'Amenity Dashboard'!$B$15*((HLOOKUP(AA7,$D$1:$AH$5,5,0)))))</f>
        <v>0</v>
      </c>
      <c r="AB16" s="298">
        <f>IF(AB8&lt;'Amenity Dashboard'!$B$14,0,((AB9-AA9)*'Amenity Dashboard'!$B$15*((HLOOKUP(AB7,$D$1:$AH$5,5,0)))))</f>
        <v>0</v>
      </c>
      <c r="AC16" s="298">
        <f>IF(AC8&lt;'Amenity Dashboard'!$B$14,0,((AC9-AB9)*'Amenity Dashboard'!$B$15*((HLOOKUP(AC7,$D$1:$AH$5,5,0)))))</f>
        <v>0</v>
      </c>
      <c r="AD16" s="298">
        <f>IF(AD8&lt;'Amenity Dashboard'!$B$14,0,((AD9-AC9)*'Amenity Dashboard'!$B$15*((HLOOKUP(AD7,$D$1:$AH$5,5,0)))))</f>
        <v>0</v>
      </c>
      <c r="AE16" s="298">
        <f>IF(AE8&lt;'Amenity Dashboard'!$B$14,0,((AE9-AD9)*'Amenity Dashboard'!$B$15*((HLOOKUP(AE7,$D$1:$AH$5,5,0)))))</f>
        <v>0</v>
      </c>
      <c r="AF16" s="298">
        <f>IF(AF8&lt;'Amenity Dashboard'!$B$14,0,((AF9-AE9)*'Amenity Dashboard'!$B$15*((HLOOKUP(AF7,$D$1:$AH$5,5,0)))))</f>
        <v>0</v>
      </c>
      <c r="AG16" s="298">
        <f>IF(AG8&lt;'Amenity Dashboard'!$B$14,0,((AG9-AF9)*'Amenity Dashboard'!$B$15*((HLOOKUP(AG7,$D$1:$AH$5,5,0)))))</f>
        <v>259560</v>
      </c>
      <c r="AH16" s="298">
        <f>IF(AH8&lt;'Amenity Dashboard'!$B$14,0,((AH9-AG9)*'Amenity Dashboard'!$B$15*((HLOOKUP(AH7,$D$1:$AH$5,5,0)))))</f>
        <v>268212</v>
      </c>
      <c r="AI16" s="298">
        <f>IF(AI8&lt;'Amenity Dashboard'!$B$14,0,((AI9-AH9)*'Amenity Dashboard'!$B$15*((HLOOKUP(AI7,$D$1:$AH$5,5,0)))))</f>
        <v>268212</v>
      </c>
      <c r="AJ16" s="298">
        <f>IF(AJ8&lt;'Amenity Dashboard'!$B$14,0,((AJ9-AI9)*'Amenity Dashboard'!$B$15*((HLOOKUP(AJ7,$D$1:$AH$5,5,0)))))</f>
        <v>242256</v>
      </c>
      <c r="AK16" s="298">
        <f>IF(AK8&lt;'Amenity Dashboard'!$B$14,0,((AK9-AJ9)*'Amenity Dashboard'!$B$15*((HLOOKUP(AK7,$D$1:$AH$5,5,0)))))</f>
        <v>268212</v>
      </c>
      <c r="AL16" s="298">
        <f>IF(AL8&lt;'Amenity Dashboard'!$B$14,0,((AL9-AK9)*'Amenity Dashboard'!$B$15*((HLOOKUP(AL7,$D$1:$AH$5,5,0)))))</f>
        <v>259560</v>
      </c>
      <c r="AM16" s="298">
        <f>IF(AM8&lt;'Amenity Dashboard'!$B$14,0,((AM9-AL9)*'Amenity Dashboard'!$B$15*((HLOOKUP(AM7,$D$1:$AH$5,5,0)))))</f>
        <v>268212</v>
      </c>
      <c r="AN16" s="298">
        <f>IF(AN8&lt;'Amenity Dashboard'!$B$14,0,((AN9-AM9)*'Amenity Dashboard'!$B$15*((HLOOKUP(AN7,$D$1:$AH$5,5,0)))))</f>
        <v>267346.8</v>
      </c>
      <c r="AO16" s="298">
        <f>IF(AO8&lt;'Amenity Dashboard'!$B$14,0,((AO9-AN9)*'Amenity Dashboard'!$B$15*((HLOOKUP(AO7,$D$1:$AH$5,5,0)))))</f>
        <v>276258.36</v>
      </c>
      <c r="AP16" s="298">
        <f>IF(AP8&lt;'Amenity Dashboard'!$B$14,0,((AP9-AO9)*'Amenity Dashboard'!$B$15*((HLOOKUP(AP7,$D$1:$AH$5,5,0)))))</f>
        <v>276258.36</v>
      </c>
      <c r="AQ16" s="298">
        <f>IF(AQ8&lt;'Amenity Dashboard'!$B$14,0,((AQ9-AP9)*'Amenity Dashboard'!$B$15*((HLOOKUP(AQ7,$D$1:$AH$5,5,0)))))</f>
        <v>267346.8</v>
      </c>
      <c r="AR16" s="298">
        <f>IF(AR8&lt;'Amenity Dashboard'!$B$14,0,((AR9-AQ9)*'Amenity Dashboard'!$B$15*((HLOOKUP(AR7,$D$1:$AH$5,5,0)))))</f>
        <v>276258.36</v>
      </c>
      <c r="AS16" s="298">
        <f>IF(AS8&lt;'Amenity Dashboard'!$B$14,0,((AS9-AR9)*'Amenity Dashboard'!$B$15*((HLOOKUP(AS7,$D$1:$AH$5,5,0)))))</f>
        <v>267346.8</v>
      </c>
      <c r="AT16" s="298">
        <f>IF(AT8&lt;'Amenity Dashboard'!$B$14,0,((AT9-AS9)*'Amenity Dashboard'!$B$15*((HLOOKUP(AT7,$D$1:$AH$5,5,0)))))</f>
        <v>276258.36</v>
      </c>
      <c r="AU16" s="298">
        <f>IF(AU8&lt;'Amenity Dashboard'!$B$14,0,((AU9-AT9)*'Amenity Dashboard'!$B$15*((HLOOKUP(AU7,$D$1:$AH$5,5,0)))))</f>
        <v>276258.36</v>
      </c>
      <c r="AV16" s="298">
        <f>IF(AV8&lt;'Amenity Dashboard'!$B$14,0,((AV9-AU9)*'Amenity Dashboard'!$B$15*((HLOOKUP(AV7,$D$1:$AH$5,5,0)))))</f>
        <v>249523.68</v>
      </c>
      <c r="AW16" s="298">
        <f>IF(AW8&lt;'Amenity Dashboard'!$B$14,0,((AW9-AV9)*'Amenity Dashboard'!$B$15*((HLOOKUP(AW7,$D$1:$AH$5,5,0)))))</f>
        <v>276258.36</v>
      </c>
      <c r="AX16" s="298">
        <f>IF(AX8&lt;'Amenity Dashboard'!$B$14,0,((AX9-AW9)*'Amenity Dashboard'!$B$15*((HLOOKUP(AX7,$D$1:$AH$5,5,0)))))</f>
        <v>267346.8</v>
      </c>
      <c r="AY16" s="298">
        <f>IF(AY8&lt;'Amenity Dashboard'!$B$14,0,((AY9-AX9)*'Amenity Dashboard'!$B$15*((HLOOKUP(AY7,$D$1:$AH$5,5,0)))))</f>
        <v>276258.36</v>
      </c>
      <c r="AZ16" s="298">
        <f>IF(AZ8&lt;'Amenity Dashboard'!$B$14,0,((AZ9-AY9)*'Amenity Dashboard'!$B$15*((HLOOKUP(AZ7,$D$1:$AH$5,5,0)))))</f>
        <v>275367.20400000003</v>
      </c>
      <c r="BA16" s="298">
        <f>IF(BA8&lt;'Amenity Dashboard'!$B$14,0,((BA9-AZ9)*'Amenity Dashboard'!$B$15*((HLOOKUP(BA7,$D$1:$AH$5,5,0)))))</f>
        <v>284546.11080000002</v>
      </c>
      <c r="BB16" s="298">
        <f>IF(BB8&lt;'Amenity Dashboard'!$B$14,0,((BB9-BA9)*'Amenity Dashboard'!$B$15*((HLOOKUP(BB7,$D$1:$AH$5,5,0)))))</f>
        <v>284546.11080000002</v>
      </c>
      <c r="BC16" s="298">
        <f>IF(BC8&lt;'Amenity Dashboard'!$B$14,0,((BC9-BB9)*'Amenity Dashboard'!$B$15*((HLOOKUP(BC7,$D$1:$AH$5,5,0)))))</f>
        <v>275367.20400000003</v>
      </c>
      <c r="BD16" s="298">
        <f>IF(BD8&lt;'Amenity Dashboard'!$B$14,0,((BD9-BC9)*'Amenity Dashboard'!$B$15*((HLOOKUP(BD7,$D$1:$AH$5,5,0)))))</f>
        <v>284546.11080000002</v>
      </c>
      <c r="BE16" s="298">
        <f>IF(BE8&lt;'Amenity Dashboard'!$B$14,0,((BE9-BD9)*'Amenity Dashboard'!$B$15*((HLOOKUP(BE7,$D$1:$AH$5,5,0)))))</f>
        <v>275367.20400000003</v>
      </c>
      <c r="BF16" s="298">
        <f>IF(BF8&lt;'Amenity Dashboard'!$B$14,0,((BF9-BE9)*'Amenity Dashboard'!$B$15*((HLOOKUP(BF7,$D$1:$AH$5,5,0)))))</f>
        <v>284546.11080000002</v>
      </c>
      <c r="BG16" s="298">
        <f>IF(BG8&lt;'Amenity Dashboard'!$B$14,0,((BG9-BF9)*'Amenity Dashboard'!$B$15*((HLOOKUP(BG7,$D$1:$AH$5,5,0)))))</f>
        <v>284546.11080000002</v>
      </c>
      <c r="BH16" s="298">
        <f>IF(BH8&lt;'Amenity Dashboard'!$B$14,0,((BH9-BG9)*'Amenity Dashboard'!$B$15*((HLOOKUP(BH7,$D$1:$AH$5,5,0)))))</f>
        <v>257009.3904</v>
      </c>
      <c r="BI16" s="298">
        <f>IF(BI8&lt;'Amenity Dashboard'!$B$14,0,((BI9-BH9)*'Amenity Dashboard'!$B$15*((HLOOKUP(BI7,$D$1:$AH$5,5,0)))))</f>
        <v>284546.11080000002</v>
      </c>
      <c r="BJ16" s="298">
        <f>IF(BJ8&lt;'Amenity Dashboard'!$B$14,0,((BJ9-BI9)*'Amenity Dashboard'!$B$15*((HLOOKUP(BJ7,$D$1:$AH$5,5,0)))))</f>
        <v>275367.20400000003</v>
      </c>
      <c r="BK16" s="298">
        <f>IF(BK8&lt;'Amenity Dashboard'!$B$14,0,((BK9-BJ9)*'Amenity Dashboard'!$B$15*((HLOOKUP(BK7,$D$1:$AH$5,5,0)))))</f>
        <v>284546.11080000002</v>
      </c>
      <c r="BL16" s="298">
        <f>IF(BL8&lt;'Amenity Dashboard'!$B$14,0,((BL9-BK9)*'Amenity Dashboard'!$B$15*((HLOOKUP(BL7,$D$1:$AH$5,5,0)))))</f>
        <v>283628.22012000001</v>
      </c>
      <c r="BM16" s="298">
        <f>IF(BM8&lt;'Amenity Dashboard'!$B$14,0,((BM9-BL9)*'Amenity Dashboard'!$B$15*((HLOOKUP(BM7,$D$1:$AH$5,5,0)))))</f>
        <v>293082.49412400002</v>
      </c>
      <c r="BN16" s="298">
        <f>IF(BN8&lt;'Amenity Dashboard'!$B$14,0,((BN9-BM9)*'Amenity Dashboard'!$B$15*((HLOOKUP(BN7,$D$1:$AH$5,5,0)))))</f>
        <v>293082.49412400002</v>
      </c>
      <c r="BO16" s="298">
        <f>IF(BO8&lt;'Amenity Dashboard'!$B$14,0,((BO9-BN9)*'Amenity Dashboard'!$B$15*((HLOOKUP(BO7,$D$1:$AH$5,5,0)))))</f>
        <v>283628.22012000001</v>
      </c>
      <c r="BP16" s="298">
        <f>IF(BP8&lt;'Amenity Dashboard'!$B$14,0,((BP9-BO9)*'Amenity Dashboard'!$B$15*((HLOOKUP(BP7,$D$1:$AH$5,5,0)))))</f>
        <v>293082.49412400002</v>
      </c>
      <c r="BQ16" s="298">
        <f>IF(BQ8&lt;'Amenity Dashboard'!$B$14,0,((BQ9-BP9)*'Amenity Dashboard'!$B$15*((HLOOKUP(BQ7,$D$1:$AH$5,5,0)))))</f>
        <v>283628.22012000001</v>
      </c>
      <c r="BR16" s="298">
        <f>IF(BR8&lt;'Amenity Dashboard'!$B$14,0,((BR9-BQ9)*'Amenity Dashboard'!$B$15*((HLOOKUP(BR7,$D$1:$AH$5,5,0)))))</f>
        <v>293082.49412400002</v>
      </c>
      <c r="BS16" s="298">
        <f>IF(BS8&lt;'Amenity Dashboard'!$B$14,0,((BS9-BR9)*'Amenity Dashboard'!$B$15*((HLOOKUP(BS7,$D$1:$AH$5,5,0)))))</f>
        <v>293082.49412400002</v>
      </c>
      <c r="BT16" s="298">
        <f>IF(BT8&lt;'Amenity Dashboard'!$B$14,0,((BT9-BS9)*'Amenity Dashboard'!$B$15*((HLOOKUP(BT7,$D$1:$AH$5,5,0)))))</f>
        <v>274173.94611600001</v>
      </c>
      <c r="BU16" s="298">
        <f>IF(BU8&lt;'Amenity Dashboard'!$B$14,0,((BU9-BT9)*'Amenity Dashboard'!$B$15*((HLOOKUP(BU7,$D$1:$AH$5,5,0)))))</f>
        <v>293082.49412400002</v>
      </c>
      <c r="BV16" s="298">
        <f>IF(BV8&lt;'Amenity Dashboard'!$B$14,0,((BV9-BU9)*'Amenity Dashboard'!$B$15*((HLOOKUP(BV7,$D$1:$AH$5,5,0)))))</f>
        <v>283628.22012000001</v>
      </c>
      <c r="BW16" s="298">
        <f>IF(BW8&lt;'Amenity Dashboard'!$B$14,0,((BW9-BV9)*'Amenity Dashboard'!$B$15*((HLOOKUP(BW7,$D$1:$AH$5,5,0)))))</f>
        <v>293082.49412400002</v>
      </c>
      <c r="BX16" s="298">
        <f>IF(BX8&lt;'Amenity Dashboard'!$B$14,0,((BX9-BW9)*'Amenity Dashboard'!$B$15*((HLOOKUP(BX7,$D$1:$AH$5,5,0)))))</f>
        <v>292137.06672360003</v>
      </c>
      <c r="BY16" s="298">
        <f>IF(BY8&lt;'Amenity Dashboard'!$B$14,0,((BY9-BX9)*'Amenity Dashboard'!$B$15*((HLOOKUP(BY7,$D$1:$AH$5,5,0)))))</f>
        <v>301874.96894772002</v>
      </c>
      <c r="BZ16" s="298">
        <f>IF(BZ8&lt;'Amenity Dashboard'!$B$14,0,((BZ9-BY9)*'Amenity Dashboard'!$B$15*((HLOOKUP(BZ7,$D$1:$AH$5,5,0)))))</f>
        <v>301874.96894772002</v>
      </c>
      <c r="CA16" s="298">
        <f>IF(CA8&lt;'Amenity Dashboard'!$B$14,0,((CA9-BZ9)*'Amenity Dashboard'!$B$15*((HLOOKUP(CA7,$D$1:$AH$5,5,0)))))</f>
        <v>292137.06672360003</v>
      </c>
      <c r="CB16" s="298">
        <f>IF(CB8&lt;'Amenity Dashboard'!$B$14,0,((CB9-CA9)*'Amenity Dashboard'!$B$15*((HLOOKUP(CB7,$D$1:$AH$5,5,0)))))</f>
        <v>301874.96894772002</v>
      </c>
      <c r="CC16" s="298">
        <f>IF(CC8&lt;'Amenity Dashboard'!$B$14,0,((CC9-CB9)*'Amenity Dashboard'!$B$15*((HLOOKUP(CC7,$D$1:$AH$5,5,0)))))</f>
        <v>292137.06672360003</v>
      </c>
      <c r="CD16" s="298">
        <f>IF(CD8&lt;'Amenity Dashboard'!$B$14,0,((CD9-CC9)*'Amenity Dashboard'!$B$15*((HLOOKUP(CD7,$D$1:$AH$5,5,0)))))</f>
        <v>301874.96894772002</v>
      </c>
      <c r="CE16" s="298">
        <f>IF(CE8&lt;'Amenity Dashboard'!$B$14,0,((CE9-CD9)*'Amenity Dashboard'!$B$15*((HLOOKUP(CE7,$D$1:$AH$5,5,0)))))</f>
        <v>301874.96894772002</v>
      </c>
      <c r="CF16" s="298">
        <f>IF(CF8&lt;'Amenity Dashboard'!$B$14,0,((CF9-CE9)*'Amenity Dashboard'!$B$15*((HLOOKUP(CF7,$D$1:$AH$5,5,0)))))</f>
        <v>272661.26227536</v>
      </c>
      <c r="CG16" s="298">
        <f>IF(CG8&lt;'Amenity Dashboard'!$B$14,0,((CG9-CF9)*'Amenity Dashboard'!$B$15*((HLOOKUP(CG7,$D$1:$AH$5,5,0)))))</f>
        <v>301874.96894772002</v>
      </c>
      <c r="CH16" s="298">
        <f>IF(CH8&lt;'Amenity Dashboard'!$B$14,0,((CH9-CG9)*'Amenity Dashboard'!$B$15*((HLOOKUP(CH7,$D$1:$AH$5,5,0)))))</f>
        <v>292137.06672360003</v>
      </c>
      <c r="CI16" s="298">
        <f>IF(CI8&lt;'Amenity Dashboard'!$B$14,0,((CI9-CH9)*'Amenity Dashboard'!$B$15*((HLOOKUP(CI7,$D$1:$AH$5,5,0)))))</f>
        <v>301874.96894772002</v>
      </c>
      <c r="CJ16" s="298">
        <f>IF(CJ8&lt;'Amenity Dashboard'!$B$14,0,((CJ9-CI9)*'Amenity Dashboard'!$B$15*((HLOOKUP(CJ7,$D$1:$AH$5,5,0)))))</f>
        <v>300901.17872530798</v>
      </c>
      <c r="CK16" s="298">
        <f>IF(CK8&lt;'Amenity Dashboard'!$B$14,0,((CK9-CJ9)*'Amenity Dashboard'!$B$15*((HLOOKUP(CK7,$D$1:$AH$5,5,0)))))</f>
        <v>310931.21801615157</v>
      </c>
      <c r="CL16" s="298">
        <f>IF(CL8&lt;'Amenity Dashboard'!$B$14,0,((CL9-CK9)*'Amenity Dashboard'!$B$15*((HLOOKUP(CL7,$D$1:$AH$5,5,0)))))</f>
        <v>310931.21801615157</v>
      </c>
      <c r="CM16" s="298">
        <f>IF(CM8&lt;'Amenity Dashboard'!$B$14,0,((CM9-CL9)*'Amenity Dashboard'!$B$15*((HLOOKUP(CM7,$D$1:$AH$5,5,0)))))</f>
        <v>300901.17872530798</v>
      </c>
      <c r="CN16" s="298">
        <f>IF(CN8&lt;'Amenity Dashboard'!$B$14,0,((CN9-CM9)*'Amenity Dashboard'!$B$15*((HLOOKUP(CN7,$D$1:$AH$5,5,0)))))</f>
        <v>310931.21801615157</v>
      </c>
      <c r="CO16" s="298">
        <f>IF(CO8&lt;'Amenity Dashboard'!$B$14,0,((CO9-CN9)*'Amenity Dashboard'!$B$15*((HLOOKUP(CO7,$D$1:$AH$5,5,0)))))</f>
        <v>300901.17872530798</v>
      </c>
      <c r="CP16" s="298">
        <f>IF(CP8&lt;'Amenity Dashboard'!$B$14,0,((CP9-CO9)*'Amenity Dashboard'!$B$15*((HLOOKUP(CP7,$D$1:$AH$5,5,0)))))</f>
        <v>310931.21801615157</v>
      </c>
      <c r="CQ16" s="298">
        <f>IF(CQ8&lt;'Amenity Dashboard'!$B$14,0,((CQ9-CP9)*'Amenity Dashboard'!$B$15*((HLOOKUP(CQ7,$D$1:$AH$5,5,0)))))</f>
        <v>310931.21801615157</v>
      </c>
      <c r="CR16" s="298">
        <f>IF(CR8&lt;'Amenity Dashboard'!$B$14,0,((CR9-CQ9)*'Amenity Dashboard'!$B$15*((HLOOKUP(CR7,$D$1:$AH$5,5,0)))))</f>
        <v>280841.1001436208</v>
      </c>
      <c r="CS16" s="298">
        <f>IF(CS8&lt;'Amenity Dashboard'!$B$14,0,((CS9-CR9)*'Amenity Dashboard'!$B$15*((HLOOKUP(CS7,$D$1:$AH$5,5,0)))))</f>
        <v>310931.21801615157</v>
      </c>
      <c r="CT16" s="298">
        <f>IF(CT8&lt;'Amenity Dashboard'!$B$14,0,((CT9-CS9)*'Amenity Dashboard'!$B$15*((HLOOKUP(CT7,$D$1:$AH$5,5,0)))))</f>
        <v>300901.17872530798</v>
      </c>
      <c r="CU16" s="298">
        <f>IF(CU8&lt;'Amenity Dashboard'!$B$14,0,((CU9-CT9)*'Amenity Dashboard'!$B$15*((HLOOKUP(CU7,$D$1:$AH$5,5,0)))))</f>
        <v>310931.21801615157</v>
      </c>
      <c r="CV16" s="298">
        <f>IF(CV8&lt;'Amenity Dashboard'!$B$14,0,((CV9-CU9)*'Amenity Dashboard'!$B$15*((HLOOKUP(CV7,$D$1:$AH$5,5,0)))))</f>
        <v>309928.21408706723</v>
      </c>
      <c r="CW16" s="298">
        <f>IF(CW8&lt;'Amenity Dashboard'!$B$14,0,((CW9-CV9)*'Amenity Dashboard'!$B$15*((HLOOKUP(CW7,$D$1:$AH$5,5,0)))))</f>
        <v>320259.15455663617</v>
      </c>
      <c r="CX16" s="298">
        <f>IF(CX8&lt;'Amenity Dashboard'!$B$14,0,((CX9-CW9)*'Amenity Dashboard'!$B$15*((HLOOKUP(CX7,$D$1:$AH$5,5,0)))))</f>
        <v>320259.15455663617</v>
      </c>
      <c r="CY16" s="298">
        <f>IF(CY8&lt;'Amenity Dashboard'!$B$14,0,((CY9-CX9)*'Amenity Dashboard'!$B$15*((HLOOKUP(CY7,$D$1:$AH$5,5,0)))))</f>
        <v>309928.21408706723</v>
      </c>
      <c r="CZ16" s="298">
        <f>IF(CZ8&lt;'Amenity Dashboard'!$B$14,0,((CZ9-CY9)*'Amenity Dashboard'!$B$15*((HLOOKUP(CZ7,$D$1:$AH$5,5,0)))))</f>
        <v>320259.15455663617</v>
      </c>
      <c r="DA16" s="298">
        <f>IF(DA8&lt;'Amenity Dashboard'!$B$14,0,((DA9-CZ9)*'Amenity Dashboard'!$B$15*((HLOOKUP(DA7,$D$1:$AH$5,5,0)))))</f>
        <v>309928.21408706723</v>
      </c>
      <c r="DB16" s="298">
        <f>IF(DB8&lt;'Amenity Dashboard'!$B$14,0,((DB9-DA9)*'Amenity Dashboard'!$B$15*((HLOOKUP(DB7,$D$1:$AH$5,5,0)))))</f>
        <v>320259.15455663617</v>
      </c>
      <c r="DC16" s="298">
        <f>IF(DC8&lt;'Amenity Dashboard'!$B$14,0,((DC9-DB9)*'Amenity Dashboard'!$B$15*((HLOOKUP(DC7,$D$1:$AH$5,5,0)))))</f>
        <v>320259.15455663617</v>
      </c>
      <c r="DD16" s="298">
        <f>IF(DD8&lt;'Amenity Dashboard'!$B$14,0,((DD9-DC9)*'Amenity Dashboard'!$B$15*((HLOOKUP(DD7,$D$1:$AH$5,5,0)))))</f>
        <v>289266.3331479294</v>
      </c>
      <c r="DE16" s="298">
        <f>IF(DE8&lt;'Amenity Dashboard'!$B$14,0,((DE9-DD9)*'Amenity Dashboard'!$B$15*((HLOOKUP(DE7,$D$1:$AH$5,5,0)))))</f>
        <v>320259.15455663617</v>
      </c>
      <c r="DF16" s="298">
        <f>IF(DF8&lt;'Amenity Dashboard'!$B$14,0,((DF9-DE9)*'Amenity Dashboard'!$B$15*((HLOOKUP(DF7,$D$1:$AH$5,5,0)))))</f>
        <v>309928.21408706723</v>
      </c>
      <c r="DG16" s="298">
        <f>IF(DG8&lt;'Amenity Dashboard'!$B$14,0,((DG9-DF9)*'Amenity Dashboard'!$B$15*((HLOOKUP(DG7,$D$1:$AH$5,5,0)))))</f>
        <v>320259.15455663617</v>
      </c>
      <c r="DH16" s="298">
        <f>IF(DH8&lt;'Amenity Dashboard'!$B$14,0,((DH9-DG9)*'Amenity Dashboard'!$B$15*((HLOOKUP(DH7,$D$1:$AH$5,5,0)))))</f>
        <v>319226.06050967926</v>
      </c>
      <c r="DI16" s="298">
        <f>IF(DI8&lt;'Amenity Dashboard'!$B$14,0,((DI9-DH9)*'Amenity Dashboard'!$B$15*((HLOOKUP(DI7,$D$1:$AH$5,5,0)))))</f>
        <v>329866.92919333524</v>
      </c>
      <c r="DJ16" s="298">
        <f>IF(DJ8&lt;'Amenity Dashboard'!$B$14,0,((DJ9-DI9)*'Amenity Dashboard'!$B$15*((HLOOKUP(DJ7,$D$1:$AH$5,5,0)))))</f>
        <v>329866.92919333524</v>
      </c>
      <c r="DK16" s="298">
        <f>IF(DK8&lt;'Amenity Dashboard'!$B$14,0,((DK9-DJ9)*'Amenity Dashboard'!$B$15*((HLOOKUP(DK7,$D$1:$AH$5,5,0)))))</f>
        <v>319226.06050967926</v>
      </c>
      <c r="DL16" s="298">
        <f>IF(DL8&lt;'Amenity Dashboard'!$B$14,0,((DL9-DK9)*'Amenity Dashboard'!$B$15*((HLOOKUP(DL7,$D$1:$AH$5,5,0)))))</f>
        <v>329866.92919333524</v>
      </c>
      <c r="DM16" s="298">
        <f>IF(DM8&lt;'Amenity Dashboard'!$B$14,0,((DM9-DL9)*'Amenity Dashboard'!$B$15*((HLOOKUP(DM7,$D$1:$AH$5,5,0)))))</f>
        <v>319226.06050967926</v>
      </c>
      <c r="DN16" s="298">
        <f>IF(DN8&lt;'Amenity Dashboard'!$B$14,0,((DN9-DM9)*'Amenity Dashboard'!$B$15*((HLOOKUP(DN7,$D$1:$AH$5,5,0)))))</f>
        <v>329866.92919333524</v>
      </c>
      <c r="DO16" s="298">
        <f>IF(DO8&lt;'Amenity Dashboard'!$B$14,0,((DO9-DN9)*'Amenity Dashboard'!$B$15*((HLOOKUP(DO7,$D$1:$AH$5,5,0)))))</f>
        <v>329866.92919333524</v>
      </c>
      <c r="DP16" s="298">
        <f>IF(DP8&lt;'Amenity Dashboard'!$B$14,0,((DP9-DO9)*'Amenity Dashboard'!$B$15*((HLOOKUP(DP7,$D$1:$AH$5,5,0)))))</f>
        <v>308585.19182602328</v>
      </c>
      <c r="DQ16" s="298">
        <f>IF(DQ8&lt;'Amenity Dashboard'!$B$14,0,((DQ9-DP9)*'Amenity Dashboard'!$B$15*((HLOOKUP(DQ7,$D$1:$AH$5,5,0)))))</f>
        <v>329866.92919333524</v>
      </c>
      <c r="DR16" s="298">
        <f>IF(DR8&lt;'Amenity Dashboard'!$B$14,0,((DR9-DQ9)*'Amenity Dashboard'!$B$15*((HLOOKUP(DR7,$D$1:$AH$5,5,0)))))</f>
        <v>319226.06050967926</v>
      </c>
      <c r="DS16" s="298">
        <f>IF(DS8&lt;'Amenity Dashboard'!$B$14,0,((DS9-DR9)*'Amenity Dashboard'!$B$15*((HLOOKUP(DS7,$D$1:$AH$5,5,0)))))</f>
        <v>329866.92919333524</v>
      </c>
      <c r="DT16" s="298">
        <f>IF(DT8&lt;'Amenity Dashboard'!$B$14,0,((DT9-DS9)*'Amenity Dashboard'!$B$15*((HLOOKUP(DT7,$D$1:$AH$5,5,0)))))</f>
        <v>328802.84232496965</v>
      </c>
      <c r="DU16" s="298">
        <f>IF(DU8&lt;'Amenity Dashboard'!$B$14,0,((DU9-DT9)*'Amenity Dashboard'!$B$15*((HLOOKUP(DU7,$D$1:$AH$5,5,0)))))</f>
        <v>339762.93706913531</v>
      </c>
      <c r="DV16" s="298">
        <f>IF(DV8&lt;'Amenity Dashboard'!$B$14,0,((DV9-DU9)*'Amenity Dashboard'!$B$15*((HLOOKUP(DV7,$D$1:$AH$5,5,0)))))</f>
        <v>339762.93706913531</v>
      </c>
      <c r="DW16" s="298">
        <f>IF(DW8&lt;'Amenity Dashboard'!$B$14,0,((DW9-DV9)*'Amenity Dashboard'!$B$15*((HLOOKUP(DW7,$D$1:$AH$5,5,0)))))</f>
        <v>328802.84232496965</v>
      </c>
      <c r="DX16" s="298">
        <f>IF(DX8&lt;'Amenity Dashboard'!$B$14,0,((DX9-DW9)*'Amenity Dashboard'!$B$15*((HLOOKUP(DX7,$D$1:$AH$5,5,0)))))</f>
        <v>339762.93706913531</v>
      </c>
      <c r="DY16" s="298">
        <f>IF(DY8&lt;'Amenity Dashboard'!$B$14,0,((DY9-DX9)*'Amenity Dashboard'!$B$15*((HLOOKUP(DY7,$D$1:$AH$5,5,0)))))</f>
        <v>328802.84232496965</v>
      </c>
      <c r="DZ16" s="298">
        <f>IF(DZ8&lt;'Amenity Dashboard'!$B$14,0,((DZ9-DY9)*'Amenity Dashboard'!$B$15*((HLOOKUP(DZ7,$D$1:$AH$5,5,0)))))</f>
        <v>339762.93706913531</v>
      </c>
      <c r="EA16" s="298">
        <f>IF(EA8&lt;'Amenity Dashboard'!$B$14,0,((EA9-DZ9)*'Amenity Dashboard'!$B$15*((HLOOKUP(EA7,$D$1:$AH$5,5,0)))))</f>
        <v>339762.93706913531</v>
      </c>
      <c r="EB16" s="298">
        <f>IF(EB8&lt;'Amenity Dashboard'!$B$14,0,((EB9-EA9)*'Amenity Dashboard'!$B$15*((HLOOKUP(EB7,$D$1:$AH$5,5,0)))))</f>
        <v>306882.65283663833</v>
      </c>
      <c r="EC16" s="298">
        <f>IF(EC8&lt;'Amenity Dashboard'!$B$14,0,((EC9-EB9)*'Amenity Dashboard'!$B$15*((HLOOKUP(EC7,$D$1:$AH$5,5,0)))))</f>
        <v>339762.93706913531</v>
      </c>
      <c r="ED16" s="298">
        <f>IF(ED8&lt;'Amenity Dashboard'!$B$14,0,((ED9-EC9)*'Amenity Dashboard'!$B$15*((HLOOKUP(ED7,$D$1:$AH$5,5,0)))))</f>
        <v>328802.84232496965</v>
      </c>
      <c r="EE16" s="298">
        <f>IF(EE8&lt;'Amenity Dashboard'!$B$14,0,((EE9-ED9)*'Amenity Dashboard'!$B$15*((HLOOKUP(EE7,$D$1:$AH$5,5,0)))))</f>
        <v>339762.93706913531</v>
      </c>
    </row>
    <row r="17" spans="2:135" x14ac:dyDescent="0.2">
      <c r="B17" s="259" t="s">
        <v>416</v>
      </c>
      <c r="C17" s="299"/>
      <c r="D17" s="299" t="str">
        <f>IF(D16=0,"-",HLOOKUP(MONTH(D15),'Amenity Dashboard'!$E$1:$P$3,3,0))</f>
        <v>-</v>
      </c>
      <c r="E17" s="299" t="str">
        <f>IF(E16=0,"-",HLOOKUP(MONTH(E$9),'Amenity Dashboard'!$E$1:$P$3,3,0))</f>
        <v>-</v>
      </c>
      <c r="F17" s="299" t="str">
        <f>IF(F16=0,"-",HLOOKUP(MONTH(F$9),'Amenity Dashboard'!$E$1:$P$3,3,0))</f>
        <v>-</v>
      </c>
      <c r="G17" s="299" t="str">
        <f>IF(G16=0,"-",HLOOKUP(MONTH(G$9),'Amenity Dashboard'!$E$1:$P$3,3,0))</f>
        <v>-</v>
      </c>
      <c r="H17" s="299" t="str">
        <f>IF(H16=0,"-",HLOOKUP(MONTH(H$9),'Amenity Dashboard'!$E$1:$P$3,3,0))</f>
        <v>-</v>
      </c>
      <c r="I17" s="299" t="str">
        <f>IF(I16=0,"-",HLOOKUP(MONTH(I$9),'Amenity Dashboard'!$E$1:$P$3,3,0))</f>
        <v>-</v>
      </c>
      <c r="J17" s="299" t="str">
        <f>IF(J16=0,"-",HLOOKUP(MONTH(J$9),'Amenity Dashboard'!$E$1:$P$3,3,0))</f>
        <v>-</v>
      </c>
      <c r="K17" s="299" t="str">
        <f>IF(K16=0,"-",HLOOKUP(MONTH(K$9),'Amenity Dashboard'!$E$1:$P$3,3,0))</f>
        <v>-</v>
      </c>
      <c r="L17" s="299" t="str">
        <f>IF(L16=0,"-",HLOOKUP(MONTH(L$9),'Amenity Dashboard'!$E$1:$P$3,3,0))</f>
        <v>-</v>
      </c>
      <c r="M17" s="299" t="str">
        <f>IF(M16=0,"-",HLOOKUP(MONTH(M$9),'Amenity Dashboard'!$E$1:$P$3,3,0))</f>
        <v>-</v>
      </c>
      <c r="N17" s="299" t="str">
        <f>IF(N16=0,"-",HLOOKUP(MONTH(N$9),'Amenity Dashboard'!$E$1:$P$3,3,0))</f>
        <v>-</v>
      </c>
      <c r="O17" s="299" t="str">
        <f>IF(O16=0,"-",HLOOKUP(MONTH(O$9),'Amenity Dashboard'!$E$1:$P$3,3,0))</f>
        <v>-</v>
      </c>
      <c r="P17" s="299" t="str">
        <f>IF(P16=0,"-",HLOOKUP(MONTH(P$9),'Amenity Dashboard'!$E$1:$P$3,3,0))</f>
        <v>-</v>
      </c>
      <c r="Q17" s="299" t="str">
        <f>IF(Q16=0,"-",HLOOKUP(MONTH(Q$9),'Amenity Dashboard'!$E$1:$P$3,3,0))</f>
        <v>-</v>
      </c>
      <c r="R17" s="299" t="str">
        <f>IF(R16=0,"-",HLOOKUP(MONTH(R$9),'Amenity Dashboard'!$E$1:$P$3,3,0))</f>
        <v>-</v>
      </c>
      <c r="S17" s="299" t="str">
        <f>IF(S16=0,"-",HLOOKUP(MONTH(S$9),'Amenity Dashboard'!$E$1:$P$3,3,0))</f>
        <v>-</v>
      </c>
      <c r="T17" s="299" t="str">
        <f>IF(T16=0,"-",HLOOKUP(MONTH(T$9),'Amenity Dashboard'!$E$1:$P$3,3,0))</f>
        <v>-</v>
      </c>
      <c r="U17" s="299" t="str">
        <f>IF(U16=0,"-",HLOOKUP(MONTH(U$9),'Amenity Dashboard'!$E$1:$P$3,3,0))</f>
        <v>-</v>
      </c>
      <c r="V17" s="299" t="str">
        <f>IF(V16=0,"-",HLOOKUP(MONTH(V$9),'Amenity Dashboard'!$E$1:$P$3,3,0))</f>
        <v>-</v>
      </c>
      <c r="W17" s="299" t="str">
        <f>IF(W16=0,"-",HLOOKUP(MONTH(W$9),'Amenity Dashboard'!$E$1:$P$3,3,0))</f>
        <v>-</v>
      </c>
      <c r="X17" s="299" t="str">
        <f>IF(X16=0,"-",HLOOKUP(MONTH(X$9),'Amenity Dashboard'!$E$1:$P$3,3,0))</f>
        <v>-</v>
      </c>
      <c r="Y17" s="299" t="str">
        <f>IF(Y16=0,"-",HLOOKUP(MONTH(Y$9),'Amenity Dashboard'!$E$1:$P$3,3,0))</f>
        <v>-</v>
      </c>
      <c r="Z17" s="299" t="str">
        <f>IF(Z16=0,"-",HLOOKUP(MONTH(Z$9),'Amenity Dashboard'!$E$1:$P$3,3,0))</f>
        <v>-</v>
      </c>
      <c r="AA17" s="299" t="str">
        <f>IF(AA16=0,"-",HLOOKUP(MONTH(AA$9),'Amenity Dashboard'!$E$1:$P$3,3,0))</f>
        <v>-</v>
      </c>
      <c r="AB17" s="299" t="str">
        <f>IF(AB16=0,"-",HLOOKUP(MONTH(AB$9),'Amenity Dashboard'!$E$1:$P$3,3,0))</f>
        <v>-</v>
      </c>
      <c r="AC17" s="299" t="str">
        <f>IF(AC16=0,"-",HLOOKUP(MONTH(AC$9),'Amenity Dashboard'!$E$1:$P$3,3,0))</f>
        <v>-</v>
      </c>
      <c r="AD17" s="299" t="str">
        <f>IF(AD16=0,"-",HLOOKUP(MONTH(AD$9),'Amenity Dashboard'!$E$1:$P$3,3,0))</f>
        <v>-</v>
      </c>
      <c r="AE17" s="299" t="str">
        <f>IF(AE16=0,"-",HLOOKUP(MONTH(AE$9),'Amenity Dashboard'!$E$1:$P$3,3,0))</f>
        <v>-</v>
      </c>
      <c r="AF17" s="299" t="str">
        <f>IF(AF16=0,"-",HLOOKUP(MONTH(AF$9),'Amenity Dashboard'!$E$1:$P$3,3,0))</f>
        <v>-</v>
      </c>
      <c r="AG17" s="299">
        <f>IF(AG16=0,"-",HLOOKUP(MONTH(AG$9),'Amenity Dashboard'!$E$1:$P$3,3,0))</f>
        <v>0.2</v>
      </c>
      <c r="AH17" s="299">
        <f>IF(AH16=0,"-",HLOOKUP(MONTH(AH$9),'Amenity Dashboard'!$E$1:$P$3,3,0))</f>
        <v>0.45</v>
      </c>
      <c r="AI17" s="299">
        <f>IF(AI16=0,"-",HLOOKUP(MONTH(AI$9),'Amenity Dashboard'!$E$1:$P$3,3,0))</f>
        <v>0.45</v>
      </c>
      <c r="AJ17" s="299">
        <f>IF(AJ16=0,"-",HLOOKUP(MONTH(AJ$9),'Amenity Dashboard'!$E$1:$P$3,3,0))</f>
        <v>0.45</v>
      </c>
      <c r="AK17" s="299">
        <f>IF(AK16=0,"-",HLOOKUP(MONTH(AK$9),'Amenity Dashboard'!$E$1:$P$3,3,0))</f>
        <v>0.4</v>
      </c>
      <c r="AL17" s="299">
        <f>IF(AL16=0,"-",HLOOKUP(MONTH(AL$9),'Amenity Dashboard'!$E$1:$P$3,3,0))</f>
        <v>0.1</v>
      </c>
      <c r="AM17" s="299">
        <f>IF(AM16=0,"-",HLOOKUP(MONTH(AM$9),'Amenity Dashboard'!$E$1:$P$3,3,0))</f>
        <v>0.2</v>
      </c>
      <c r="AN17" s="299">
        <f>IF(AN16=0,"-",HLOOKUP(MONTH(AN$9),'Amenity Dashboard'!$E$1:$P$3,3,0))</f>
        <v>0.75</v>
      </c>
      <c r="AO17" s="299">
        <f>IF(AO16=0,"-",HLOOKUP(MONTH(AO$9),'Amenity Dashboard'!$E$1:$P$3,3,0))</f>
        <v>0.8</v>
      </c>
      <c r="AP17" s="299">
        <f>IF(AP16=0,"-",HLOOKUP(MONTH(AP$9),'Amenity Dashboard'!$E$1:$P$3,3,0))</f>
        <v>0.75</v>
      </c>
      <c r="AQ17" s="299">
        <f>IF(AQ16=0,"-",HLOOKUP(MONTH(AQ$9),'Amenity Dashboard'!$E$1:$P$3,3,0))</f>
        <v>0.65</v>
      </c>
      <c r="AR17" s="299">
        <f>IF(AR16=0,"-",HLOOKUP(MONTH(AR$9),'Amenity Dashboard'!$E$1:$P$3,3,0))</f>
        <v>0.2</v>
      </c>
      <c r="AS17" s="299">
        <f>IF(AS16=0,"-",HLOOKUP(MONTH(AS$9),'Amenity Dashboard'!$E$1:$P$3,3,0))</f>
        <v>0.2</v>
      </c>
      <c r="AT17" s="299">
        <f>IF(AT16=0,"-",HLOOKUP(MONTH(AT$9),'Amenity Dashboard'!$E$1:$P$3,3,0))</f>
        <v>0.45</v>
      </c>
      <c r="AU17" s="299">
        <f>IF(AU16=0,"-",HLOOKUP(MONTH(AU$9),'Amenity Dashboard'!$E$1:$P$3,3,0))</f>
        <v>0.45</v>
      </c>
      <c r="AV17" s="299">
        <f>IF(AV16=0,"-",HLOOKUP(MONTH(AV$9),'Amenity Dashboard'!$E$1:$P$3,3,0))</f>
        <v>0.45</v>
      </c>
      <c r="AW17" s="299">
        <f>IF(AW16=0,"-",HLOOKUP(MONTH(AW$9),'Amenity Dashboard'!$E$1:$P$3,3,0))</f>
        <v>0.4</v>
      </c>
      <c r="AX17" s="299">
        <f>IF(AX16=0,"-",HLOOKUP(MONTH(AX$9),'Amenity Dashboard'!$E$1:$P$3,3,0))</f>
        <v>0.1</v>
      </c>
      <c r="AY17" s="299">
        <f>IF(AY16=0,"-",HLOOKUP(MONTH(AY$9),'Amenity Dashboard'!$E$1:$P$3,3,0))</f>
        <v>0.2</v>
      </c>
      <c r="AZ17" s="299">
        <f>IF(AZ16=0,"-",HLOOKUP(MONTH(AZ$9),'Amenity Dashboard'!$E$1:$P$3,3,0))</f>
        <v>0.75</v>
      </c>
      <c r="BA17" s="299">
        <f>IF(BA16=0,"-",HLOOKUP(MONTH(BA$9),'Amenity Dashboard'!$E$1:$P$3,3,0))</f>
        <v>0.8</v>
      </c>
      <c r="BB17" s="299">
        <f>IF(BB16=0,"-",HLOOKUP(MONTH(BB$9),'Amenity Dashboard'!$E$1:$P$3,3,0))</f>
        <v>0.75</v>
      </c>
      <c r="BC17" s="299">
        <f>IF(BC16=0,"-",HLOOKUP(MONTH(BC$9),'Amenity Dashboard'!$E$1:$P$3,3,0))</f>
        <v>0.65</v>
      </c>
      <c r="BD17" s="299">
        <f>IF(BD16=0,"-",HLOOKUP(MONTH(BD$9),'Amenity Dashboard'!$E$1:$P$3,3,0))</f>
        <v>0.2</v>
      </c>
      <c r="BE17" s="299">
        <f>IF(BE16=0,"-",HLOOKUP(MONTH(BE$9),'Amenity Dashboard'!$E$1:$P$3,3,0))</f>
        <v>0.2</v>
      </c>
      <c r="BF17" s="299">
        <f>IF(BF16=0,"-",HLOOKUP(MONTH(BF$9),'Amenity Dashboard'!$E$1:$P$3,3,0))</f>
        <v>0.45</v>
      </c>
      <c r="BG17" s="299">
        <f>IF(BG16=0,"-",HLOOKUP(MONTH(BG$9),'Amenity Dashboard'!$E$1:$P$3,3,0))</f>
        <v>0.45</v>
      </c>
      <c r="BH17" s="299">
        <f>IF(BH16=0,"-",HLOOKUP(MONTH(BH$9),'Amenity Dashboard'!$E$1:$P$3,3,0))</f>
        <v>0.45</v>
      </c>
      <c r="BI17" s="299">
        <f>IF(BI16=0,"-",HLOOKUP(MONTH(BI$9),'Amenity Dashboard'!$E$1:$P$3,3,0))</f>
        <v>0.4</v>
      </c>
      <c r="BJ17" s="299">
        <f>IF(BJ16=0,"-",HLOOKUP(MONTH(BJ$9),'Amenity Dashboard'!$E$1:$P$3,3,0))</f>
        <v>0.1</v>
      </c>
      <c r="BK17" s="299">
        <f>IF(BK16=0,"-",HLOOKUP(MONTH(BK$9),'Amenity Dashboard'!$E$1:$P$3,3,0))</f>
        <v>0.2</v>
      </c>
      <c r="BL17" s="299">
        <f>IF(BL16=0,"-",HLOOKUP(MONTH(BL$9),'Amenity Dashboard'!$E$1:$P$3,3,0))</f>
        <v>0.75</v>
      </c>
      <c r="BM17" s="299">
        <f>IF(BM16=0,"-",HLOOKUP(MONTH(BM$9),'Amenity Dashboard'!$E$1:$P$3,3,0))</f>
        <v>0.8</v>
      </c>
      <c r="BN17" s="299">
        <f>IF(BN16=0,"-",HLOOKUP(MONTH(BN$9),'Amenity Dashboard'!$E$1:$P$3,3,0))</f>
        <v>0.75</v>
      </c>
      <c r="BO17" s="299">
        <f>IF(BO16=0,"-",HLOOKUP(MONTH(BO$9),'Amenity Dashboard'!$E$1:$P$3,3,0))</f>
        <v>0.65</v>
      </c>
      <c r="BP17" s="299">
        <f>IF(BP16=0,"-",HLOOKUP(MONTH(BP$9),'Amenity Dashboard'!$E$1:$P$3,3,0))</f>
        <v>0.2</v>
      </c>
      <c r="BQ17" s="299">
        <f>IF(BQ16=0,"-",HLOOKUP(MONTH(BQ$9),'Amenity Dashboard'!$E$1:$P$3,3,0))</f>
        <v>0.2</v>
      </c>
      <c r="BR17" s="299">
        <f>IF(BR16=0,"-",HLOOKUP(MONTH(BR$9),'Amenity Dashboard'!$E$1:$P$3,3,0))</f>
        <v>0.45</v>
      </c>
      <c r="BS17" s="299">
        <f>IF(BS16=0,"-",HLOOKUP(MONTH(BS$9),'Amenity Dashboard'!$E$1:$P$3,3,0))</f>
        <v>0.45</v>
      </c>
      <c r="BT17" s="299">
        <f>IF(BT16=0,"-",HLOOKUP(MONTH(BT$9),'Amenity Dashboard'!$E$1:$P$3,3,0))</f>
        <v>0.45</v>
      </c>
      <c r="BU17" s="299">
        <f>IF(BU16=0,"-",HLOOKUP(MONTH(BU$9),'Amenity Dashboard'!$E$1:$P$3,3,0))</f>
        <v>0.4</v>
      </c>
      <c r="BV17" s="299">
        <f>IF(BV16=0,"-",HLOOKUP(MONTH(BV$9),'Amenity Dashboard'!$E$1:$P$3,3,0))</f>
        <v>0.1</v>
      </c>
      <c r="BW17" s="299">
        <f>IF(BW16=0,"-",HLOOKUP(MONTH(BW$9),'Amenity Dashboard'!$E$1:$P$3,3,0))</f>
        <v>0.2</v>
      </c>
      <c r="BX17" s="299">
        <f>IF(BX16=0,"-",HLOOKUP(MONTH(BX$9),'Amenity Dashboard'!$E$1:$P$3,3,0))</f>
        <v>0.75</v>
      </c>
      <c r="BY17" s="299">
        <f>IF(BY16=0,"-",HLOOKUP(MONTH(BY$9),'Amenity Dashboard'!$E$1:$P$3,3,0))</f>
        <v>0.8</v>
      </c>
      <c r="BZ17" s="299">
        <f>IF(BZ16=0,"-",HLOOKUP(MONTH(BZ$9),'Amenity Dashboard'!$E$1:$P$3,3,0))</f>
        <v>0.75</v>
      </c>
      <c r="CA17" s="299">
        <f>IF(CA16=0,"-",HLOOKUP(MONTH(CA$9),'Amenity Dashboard'!$E$1:$P$3,3,0))</f>
        <v>0.65</v>
      </c>
      <c r="CB17" s="299">
        <f>IF(CB16=0,"-",HLOOKUP(MONTH(CB$9),'Amenity Dashboard'!$E$1:$P$3,3,0))</f>
        <v>0.2</v>
      </c>
      <c r="CC17" s="299">
        <f>IF(CC16=0,"-",HLOOKUP(MONTH(CC$9),'Amenity Dashboard'!$E$1:$P$3,3,0))</f>
        <v>0.2</v>
      </c>
      <c r="CD17" s="299">
        <f>IF(CD16=0,"-",HLOOKUP(MONTH(CD$9),'Amenity Dashboard'!$E$1:$P$3,3,0))</f>
        <v>0.45</v>
      </c>
      <c r="CE17" s="299">
        <f>IF(CE16=0,"-",HLOOKUP(MONTH(CE$9),'Amenity Dashboard'!$E$1:$P$3,3,0))</f>
        <v>0.45</v>
      </c>
      <c r="CF17" s="299">
        <f>IF(CF16=0,"-",HLOOKUP(MONTH(CF$9),'Amenity Dashboard'!$E$1:$P$3,3,0))</f>
        <v>0.45</v>
      </c>
      <c r="CG17" s="299">
        <f>IF(CG16=0,"-",HLOOKUP(MONTH(CG$9),'Amenity Dashboard'!$E$1:$P$3,3,0))</f>
        <v>0.4</v>
      </c>
      <c r="CH17" s="299">
        <f>IF(CH16=0,"-",HLOOKUP(MONTH(CH$9),'Amenity Dashboard'!$E$1:$P$3,3,0))</f>
        <v>0.1</v>
      </c>
      <c r="CI17" s="299">
        <f>IF(CI16=0,"-",HLOOKUP(MONTH(CI$9),'Amenity Dashboard'!$E$1:$P$3,3,0))</f>
        <v>0.2</v>
      </c>
      <c r="CJ17" s="299">
        <f>IF(CJ16=0,"-",HLOOKUP(MONTH(CJ$9),'Amenity Dashboard'!$E$1:$P$3,3,0))</f>
        <v>0.75</v>
      </c>
      <c r="CK17" s="299">
        <f>IF(CK16=0,"-",HLOOKUP(MONTH(CK$9),'Amenity Dashboard'!$E$1:$P$3,3,0))</f>
        <v>0.8</v>
      </c>
      <c r="CL17" s="299">
        <f>IF(CL16=0,"-",HLOOKUP(MONTH(CL$9),'Amenity Dashboard'!$E$1:$P$3,3,0))</f>
        <v>0.75</v>
      </c>
      <c r="CM17" s="299">
        <f>IF(CM16=0,"-",HLOOKUP(MONTH(CM$9),'Amenity Dashboard'!$E$1:$P$3,3,0))</f>
        <v>0.65</v>
      </c>
      <c r="CN17" s="299">
        <f>IF(CN16=0,"-",HLOOKUP(MONTH(CN$9),'Amenity Dashboard'!$E$1:$P$3,3,0))</f>
        <v>0.2</v>
      </c>
      <c r="CO17" s="299">
        <f>IF(CO16=0,"-",HLOOKUP(MONTH(CO$9),'Amenity Dashboard'!$E$1:$P$3,3,0))</f>
        <v>0.2</v>
      </c>
      <c r="CP17" s="299">
        <f>IF(CP16=0,"-",HLOOKUP(MONTH(CP$9),'Amenity Dashboard'!$E$1:$P$3,3,0))</f>
        <v>0.45</v>
      </c>
      <c r="CQ17" s="299">
        <f>IF(CQ16=0,"-",HLOOKUP(MONTH(CQ$9),'Amenity Dashboard'!$E$1:$P$3,3,0))</f>
        <v>0.45</v>
      </c>
      <c r="CR17" s="299">
        <f>IF(CR16=0,"-",HLOOKUP(MONTH(CR$9),'Amenity Dashboard'!$E$1:$P$3,3,0))</f>
        <v>0.45</v>
      </c>
      <c r="CS17" s="299">
        <f>IF(CS16=0,"-",HLOOKUP(MONTH(CS$9),'Amenity Dashboard'!$E$1:$P$3,3,0))</f>
        <v>0.4</v>
      </c>
      <c r="CT17" s="299">
        <f>IF(CT16=0,"-",HLOOKUP(MONTH(CT$9),'Amenity Dashboard'!$E$1:$P$3,3,0))</f>
        <v>0.1</v>
      </c>
      <c r="CU17" s="299">
        <f>IF(CU16=0,"-",HLOOKUP(MONTH(CU$9),'Amenity Dashboard'!$E$1:$P$3,3,0))</f>
        <v>0.2</v>
      </c>
      <c r="CV17" s="299">
        <f>IF(CV16=0,"-",HLOOKUP(MONTH(CV$9),'Amenity Dashboard'!$E$1:$P$3,3,0))</f>
        <v>0.75</v>
      </c>
      <c r="CW17" s="299">
        <f>IF(CW16=0,"-",HLOOKUP(MONTH(CW$9),'Amenity Dashboard'!$E$1:$P$3,3,0))</f>
        <v>0.8</v>
      </c>
      <c r="CX17" s="299">
        <f>IF(CX16=0,"-",HLOOKUP(MONTH(CX$9),'Amenity Dashboard'!$E$1:$P$3,3,0))</f>
        <v>0.75</v>
      </c>
      <c r="CY17" s="299">
        <f>IF(CY16=0,"-",HLOOKUP(MONTH(CY$9),'Amenity Dashboard'!$E$1:$P$3,3,0))</f>
        <v>0.65</v>
      </c>
      <c r="CZ17" s="299">
        <f>IF(CZ16=0,"-",HLOOKUP(MONTH(CZ$9),'Amenity Dashboard'!$E$1:$P$3,3,0))</f>
        <v>0.2</v>
      </c>
      <c r="DA17" s="299">
        <f>IF(DA16=0,"-",HLOOKUP(MONTH(DA$9),'Amenity Dashboard'!$E$1:$P$3,3,0))</f>
        <v>0.2</v>
      </c>
      <c r="DB17" s="299">
        <f>IF(DB16=0,"-",HLOOKUP(MONTH(DB$9),'Amenity Dashboard'!$E$1:$P$3,3,0))</f>
        <v>0.45</v>
      </c>
      <c r="DC17" s="299">
        <f>IF(DC16=0,"-",HLOOKUP(MONTH(DC$9),'Amenity Dashboard'!$E$1:$P$3,3,0))</f>
        <v>0.45</v>
      </c>
      <c r="DD17" s="299">
        <f>IF(DD16=0,"-",HLOOKUP(MONTH(DD$9),'Amenity Dashboard'!$E$1:$P$3,3,0))</f>
        <v>0.45</v>
      </c>
      <c r="DE17" s="299">
        <f>IF(DE16=0,"-",HLOOKUP(MONTH(DE$9),'Amenity Dashboard'!$E$1:$P$3,3,0))</f>
        <v>0.4</v>
      </c>
      <c r="DF17" s="299">
        <f>IF(DF16=0,"-",HLOOKUP(MONTH(DF$9),'Amenity Dashboard'!$E$1:$P$3,3,0))</f>
        <v>0.1</v>
      </c>
      <c r="DG17" s="299">
        <f>IF(DG16=0,"-",HLOOKUP(MONTH(DG$9),'Amenity Dashboard'!$E$1:$P$3,3,0))</f>
        <v>0.2</v>
      </c>
      <c r="DH17" s="299">
        <f>IF(DH16=0,"-",HLOOKUP(MONTH(DH$9),'Amenity Dashboard'!$E$1:$P$3,3,0))</f>
        <v>0.75</v>
      </c>
      <c r="DI17" s="299">
        <f>IF(DI16=0,"-",HLOOKUP(MONTH(DI$9),'Amenity Dashboard'!$E$1:$P$3,3,0))</f>
        <v>0.8</v>
      </c>
      <c r="DJ17" s="299">
        <f>IF(DJ16=0,"-",HLOOKUP(MONTH(DJ$9),'Amenity Dashboard'!$E$1:$P$3,3,0))</f>
        <v>0.75</v>
      </c>
      <c r="DK17" s="299">
        <f>IF(DK16=0,"-",HLOOKUP(MONTH(DK$9),'Amenity Dashboard'!$E$1:$P$3,3,0))</f>
        <v>0.65</v>
      </c>
      <c r="DL17" s="299">
        <f>IF(DL16=0,"-",HLOOKUP(MONTH(DL$9),'Amenity Dashboard'!$E$1:$P$3,3,0))</f>
        <v>0.2</v>
      </c>
      <c r="DM17" s="299">
        <f>IF(DM16=0,"-",HLOOKUP(MONTH(DM$9),'Amenity Dashboard'!$E$1:$P$3,3,0))</f>
        <v>0.2</v>
      </c>
      <c r="DN17" s="299">
        <f>IF(DN16=0,"-",HLOOKUP(MONTH(DN$9),'Amenity Dashboard'!$E$1:$P$3,3,0))</f>
        <v>0.45</v>
      </c>
      <c r="DO17" s="299">
        <f>IF(DO16=0,"-",HLOOKUP(MONTH(DO$9),'Amenity Dashboard'!$E$1:$P$3,3,0))</f>
        <v>0.45</v>
      </c>
      <c r="DP17" s="299">
        <f>IF(DP16=0,"-",HLOOKUP(MONTH(DP$9),'Amenity Dashboard'!$E$1:$P$3,3,0))</f>
        <v>0.45</v>
      </c>
      <c r="DQ17" s="299">
        <f>IF(DQ16=0,"-",HLOOKUP(MONTH(DQ$9),'Amenity Dashboard'!$E$1:$P$3,3,0))</f>
        <v>0.4</v>
      </c>
      <c r="DR17" s="299">
        <f>IF(DR16=0,"-",HLOOKUP(MONTH(DR$9),'Amenity Dashboard'!$E$1:$P$3,3,0))</f>
        <v>0.1</v>
      </c>
      <c r="DS17" s="299">
        <f>IF(DS16=0,"-",HLOOKUP(MONTH(DS$9),'Amenity Dashboard'!$E$1:$P$3,3,0))</f>
        <v>0.2</v>
      </c>
      <c r="DT17" s="299">
        <f>IF(DT16=0,"-",HLOOKUP(MONTH(DT$9),'Amenity Dashboard'!$E$1:$P$3,3,0))</f>
        <v>0.75</v>
      </c>
      <c r="DU17" s="299">
        <f>IF(DU16=0,"-",HLOOKUP(MONTH(DU$9),'Amenity Dashboard'!$E$1:$P$3,3,0))</f>
        <v>0.8</v>
      </c>
      <c r="DV17" s="299">
        <f>IF(DV16=0,"-",HLOOKUP(MONTH(DV$9),'Amenity Dashboard'!$E$1:$P$3,3,0))</f>
        <v>0.75</v>
      </c>
      <c r="DW17" s="299">
        <f>IF(DW16=0,"-",HLOOKUP(MONTH(DW$9),'Amenity Dashboard'!$E$1:$P$3,3,0))</f>
        <v>0.65</v>
      </c>
      <c r="DX17" s="299">
        <f>IF(DX16=0,"-",HLOOKUP(MONTH(DX$9),'Amenity Dashboard'!$E$1:$P$3,3,0))</f>
        <v>0.2</v>
      </c>
      <c r="DY17" s="299">
        <f>IF(DY16=0,"-",HLOOKUP(MONTH(DY$9),'Amenity Dashboard'!$E$1:$P$3,3,0))</f>
        <v>0.2</v>
      </c>
      <c r="DZ17" s="299">
        <f>IF(DZ16=0,"-",HLOOKUP(MONTH(DZ$9),'Amenity Dashboard'!$E$1:$P$3,3,0))</f>
        <v>0.45</v>
      </c>
      <c r="EA17" s="299">
        <f>IF(EA16=0,"-",HLOOKUP(MONTH(EA$9),'Amenity Dashboard'!$E$1:$P$3,3,0))</f>
        <v>0.45</v>
      </c>
      <c r="EB17" s="299">
        <f>IF(EB16=0,"-",HLOOKUP(MONTH(EB$9),'Amenity Dashboard'!$E$1:$P$3,3,0))</f>
        <v>0.45</v>
      </c>
      <c r="EC17" s="299">
        <f>IF(EC16=0,"-",HLOOKUP(MONTH(EC$9),'Amenity Dashboard'!$E$1:$P$3,3,0))</f>
        <v>0.4</v>
      </c>
      <c r="ED17" s="299">
        <f>IF(ED16=0,"-",HLOOKUP(MONTH(ED$9),'Amenity Dashboard'!$E$1:$P$3,3,0))</f>
        <v>0.1</v>
      </c>
      <c r="EE17" s="299">
        <f>IF(EE16=0,"-",HLOOKUP(MONTH(EE$9),'Amenity Dashboard'!$E$1:$P$3,3,0))</f>
        <v>0.2</v>
      </c>
    </row>
    <row r="18" spans="2:135" x14ac:dyDescent="0.2">
      <c r="B18" s="300" t="s">
        <v>457</v>
      </c>
      <c r="C18" s="301"/>
      <c r="D18" s="301">
        <f t="shared" ref="D18:BO18" si="15">IF(D16=0,0,D16*D17)</f>
        <v>0</v>
      </c>
      <c r="E18" s="301">
        <f t="shared" si="15"/>
        <v>0</v>
      </c>
      <c r="F18" s="301">
        <f t="shared" si="15"/>
        <v>0</v>
      </c>
      <c r="G18" s="301">
        <f t="shared" si="15"/>
        <v>0</v>
      </c>
      <c r="H18" s="301">
        <f t="shared" si="15"/>
        <v>0</v>
      </c>
      <c r="I18" s="301">
        <f t="shared" si="15"/>
        <v>0</v>
      </c>
      <c r="J18" s="301">
        <f t="shared" si="15"/>
        <v>0</v>
      </c>
      <c r="K18" s="301">
        <f t="shared" si="15"/>
        <v>0</v>
      </c>
      <c r="L18" s="301">
        <f t="shared" si="15"/>
        <v>0</v>
      </c>
      <c r="M18" s="301">
        <f t="shared" si="15"/>
        <v>0</v>
      </c>
      <c r="N18" s="301">
        <f t="shared" si="15"/>
        <v>0</v>
      </c>
      <c r="O18" s="301">
        <f t="shared" si="15"/>
        <v>0</v>
      </c>
      <c r="P18" s="301">
        <f t="shared" si="15"/>
        <v>0</v>
      </c>
      <c r="Q18" s="301">
        <f t="shared" si="15"/>
        <v>0</v>
      </c>
      <c r="R18" s="301">
        <f t="shared" si="15"/>
        <v>0</v>
      </c>
      <c r="S18" s="301">
        <f t="shared" si="15"/>
        <v>0</v>
      </c>
      <c r="T18" s="301">
        <f t="shared" si="15"/>
        <v>0</v>
      </c>
      <c r="U18" s="301">
        <f t="shared" si="15"/>
        <v>0</v>
      </c>
      <c r="V18" s="301">
        <f t="shared" si="15"/>
        <v>0</v>
      </c>
      <c r="W18" s="301">
        <f t="shared" si="15"/>
        <v>0</v>
      </c>
      <c r="X18" s="301">
        <f t="shared" si="15"/>
        <v>0</v>
      </c>
      <c r="Y18" s="301">
        <f t="shared" si="15"/>
        <v>0</v>
      </c>
      <c r="Z18" s="301">
        <f t="shared" si="15"/>
        <v>0</v>
      </c>
      <c r="AA18" s="301">
        <f t="shared" si="15"/>
        <v>0</v>
      </c>
      <c r="AB18" s="301">
        <f t="shared" si="15"/>
        <v>0</v>
      </c>
      <c r="AC18" s="301">
        <f t="shared" si="15"/>
        <v>0</v>
      </c>
      <c r="AD18" s="301">
        <f t="shared" si="15"/>
        <v>0</v>
      </c>
      <c r="AE18" s="301">
        <f t="shared" si="15"/>
        <v>0</v>
      </c>
      <c r="AF18" s="301">
        <f t="shared" si="15"/>
        <v>0</v>
      </c>
      <c r="AG18" s="301">
        <f t="shared" si="15"/>
        <v>51912</v>
      </c>
      <c r="AH18" s="301">
        <f t="shared" si="15"/>
        <v>120695.40000000001</v>
      </c>
      <c r="AI18" s="301">
        <f t="shared" si="15"/>
        <v>120695.40000000001</v>
      </c>
      <c r="AJ18" s="301">
        <f t="shared" si="15"/>
        <v>109015.2</v>
      </c>
      <c r="AK18" s="301">
        <f t="shared" si="15"/>
        <v>107284.8</v>
      </c>
      <c r="AL18" s="301">
        <f t="shared" si="15"/>
        <v>25956</v>
      </c>
      <c r="AM18" s="301">
        <f t="shared" si="15"/>
        <v>53642.400000000001</v>
      </c>
      <c r="AN18" s="301">
        <f t="shared" si="15"/>
        <v>200510.09999999998</v>
      </c>
      <c r="AO18" s="301">
        <f t="shared" si="15"/>
        <v>221006.68799999999</v>
      </c>
      <c r="AP18" s="301">
        <f t="shared" si="15"/>
        <v>207193.77</v>
      </c>
      <c r="AQ18" s="301">
        <f t="shared" si="15"/>
        <v>173775.42</v>
      </c>
      <c r="AR18" s="301">
        <f t="shared" si="15"/>
        <v>55251.671999999999</v>
      </c>
      <c r="AS18" s="301">
        <f t="shared" si="15"/>
        <v>53469.36</v>
      </c>
      <c r="AT18" s="301">
        <f t="shared" si="15"/>
        <v>124316.262</v>
      </c>
      <c r="AU18" s="301">
        <f t="shared" si="15"/>
        <v>124316.262</v>
      </c>
      <c r="AV18" s="301">
        <f t="shared" si="15"/>
        <v>112285.656</v>
      </c>
      <c r="AW18" s="301">
        <f t="shared" si="15"/>
        <v>110503.344</v>
      </c>
      <c r="AX18" s="301">
        <f t="shared" si="15"/>
        <v>26734.68</v>
      </c>
      <c r="AY18" s="301">
        <f t="shared" si="15"/>
        <v>55251.671999999999</v>
      </c>
      <c r="AZ18" s="301">
        <f t="shared" si="15"/>
        <v>206525.40300000002</v>
      </c>
      <c r="BA18" s="301">
        <f t="shared" si="15"/>
        <v>227636.88864000002</v>
      </c>
      <c r="BB18" s="301">
        <f t="shared" si="15"/>
        <v>213409.58310000002</v>
      </c>
      <c r="BC18" s="301">
        <f t="shared" si="15"/>
        <v>178988.68260000003</v>
      </c>
      <c r="BD18" s="301">
        <f t="shared" si="15"/>
        <v>56909.222160000005</v>
      </c>
      <c r="BE18" s="301">
        <f t="shared" si="15"/>
        <v>55073.440800000011</v>
      </c>
      <c r="BF18" s="301">
        <f t="shared" si="15"/>
        <v>128045.74986000001</v>
      </c>
      <c r="BG18" s="301">
        <f t="shared" si="15"/>
        <v>128045.74986000001</v>
      </c>
      <c r="BH18" s="301">
        <f t="shared" si="15"/>
        <v>115654.22568</v>
      </c>
      <c r="BI18" s="301">
        <f t="shared" si="15"/>
        <v>113818.44432000001</v>
      </c>
      <c r="BJ18" s="301">
        <f t="shared" si="15"/>
        <v>27536.720400000006</v>
      </c>
      <c r="BK18" s="301">
        <f t="shared" si="15"/>
        <v>56909.222160000005</v>
      </c>
      <c r="BL18" s="301">
        <f t="shared" si="15"/>
        <v>212721.16509000002</v>
      </c>
      <c r="BM18" s="301">
        <f t="shared" si="15"/>
        <v>234465.99529920003</v>
      </c>
      <c r="BN18" s="301">
        <f t="shared" si="15"/>
        <v>219811.87059300003</v>
      </c>
      <c r="BO18" s="301">
        <f t="shared" si="15"/>
        <v>184358.34307800001</v>
      </c>
      <c r="BP18" s="301">
        <f t="shared" ref="BP18:EA18" si="16">IF(BP16=0,0,BP16*BP17)</f>
        <v>58616.498824800008</v>
      </c>
      <c r="BQ18" s="301">
        <f t="shared" si="16"/>
        <v>56725.644024000008</v>
      </c>
      <c r="BR18" s="301">
        <f t="shared" si="16"/>
        <v>131887.12235580001</v>
      </c>
      <c r="BS18" s="301">
        <f t="shared" si="16"/>
        <v>131887.12235580001</v>
      </c>
      <c r="BT18" s="301">
        <f t="shared" si="16"/>
        <v>123378.2757522</v>
      </c>
      <c r="BU18" s="301">
        <f t="shared" si="16"/>
        <v>117232.99764960002</v>
      </c>
      <c r="BV18" s="301">
        <f t="shared" si="16"/>
        <v>28362.822012000004</v>
      </c>
      <c r="BW18" s="301">
        <f t="shared" si="16"/>
        <v>58616.498824800008</v>
      </c>
      <c r="BX18" s="301">
        <f t="shared" si="16"/>
        <v>219102.80004270002</v>
      </c>
      <c r="BY18" s="301">
        <f t="shared" si="16"/>
        <v>241499.97515817604</v>
      </c>
      <c r="BZ18" s="301">
        <f t="shared" si="16"/>
        <v>226406.22671079001</v>
      </c>
      <c r="CA18" s="301">
        <f t="shared" si="16"/>
        <v>189889.09337034004</v>
      </c>
      <c r="CB18" s="301">
        <f t="shared" si="16"/>
        <v>60374.993789544009</v>
      </c>
      <c r="CC18" s="301">
        <f t="shared" si="16"/>
        <v>58427.413344720007</v>
      </c>
      <c r="CD18" s="301">
        <f t="shared" si="16"/>
        <v>135843.73602647401</v>
      </c>
      <c r="CE18" s="301">
        <f t="shared" si="16"/>
        <v>135843.73602647401</v>
      </c>
      <c r="CF18" s="301">
        <f t="shared" si="16"/>
        <v>122697.568023912</v>
      </c>
      <c r="CG18" s="301">
        <f t="shared" si="16"/>
        <v>120749.98757908802</v>
      </c>
      <c r="CH18" s="301">
        <f t="shared" si="16"/>
        <v>29213.706672360004</v>
      </c>
      <c r="CI18" s="301">
        <f t="shared" si="16"/>
        <v>60374.993789544009</v>
      </c>
      <c r="CJ18" s="301">
        <f t="shared" si="16"/>
        <v>225675.88404398097</v>
      </c>
      <c r="CK18" s="301">
        <f t="shared" si="16"/>
        <v>248744.97441292126</v>
      </c>
      <c r="CL18" s="301">
        <f t="shared" si="16"/>
        <v>233198.41351211368</v>
      </c>
      <c r="CM18" s="301">
        <f t="shared" si="16"/>
        <v>195585.7661714502</v>
      </c>
      <c r="CN18" s="301">
        <f t="shared" si="16"/>
        <v>62186.243603230316</v>
      </c>
      <c r="CO18" s="301">
        <f t="shared" si="16"/>
        <v>60180.235745061596</v>
      </c>
      <c r="CP18" s="301">
        <f t="shared" si="16"/>
        <v>139919.0481072682</v>
      </c>
      <c r="CQ18" s="301">
        <f t="shared" si="16"/>
        <v>139919.0481072682</v>
      </c>
      <c r="CR18" s="301">
        <f t="shared" si="16"/>
        <v>126378.49506462936</v>
      </c>
      <c r="CS18" s="301">
        <f t="shared" si="16"/>
        <v>124372.48720646063</v>
      </c>
      <c r="CT18" s="301">
        <f t="shared" si="16"/>
        <v>30090.117872530798</v>
      </c>
      <c r="CU18" s="301">
        <f t="shared" si="16"/>
        <v>62186.243603230316</v>
      </c>
      <c r="CV18" s="301">
        <f t="shared" si="16"/>
        <v>232446.16056530044</v>
      </c>
      <c r="CW18" s="301">
        <f t="shared" si="16"/>
        <v>256207.32364530896</v>
      </c>
      <c r="CX18" s="301">
        <f t="shared" si="16"/>
        <v>240194.36591747712</v>
      </c>
      <c r="CY18" s="301">
        <f t="shared" si="16"/>
        <v>201453.33915659372</v>
      </c>
      <c r="CZ18" s="301">
        <f t="shared" si="16"/>
        <v>64051.830911327241</v>
      </c>
      <c r="DA18" s="301">
        <f t="shared" si="16"/>
        <v>61985.642817413449</v>
      </c>
      <c r="DB18" s="301">
        <f t="shared" si="16"/>
        <v>144116.61955048627</v>
      </c>
      <c r="DC18" s="301">
        <f t="shared" si="16"/>
        <v>144116.61955048627</v>
      </c>
      <c r="DD18" s="301">
        <f t="shared" si="16"/>
        <v>130169.84991656823</v>
      </c>
      <c r="DE18" s="301">
        <f t="shared" si="16"/>
        <v>128103.66182265448</v>
      </c>
      <c r="DF18" s="301">
        <f t="shared" si="16"/>
        <v>30992.821408706724</v>
      </c>
      <c r="DG18" s="301">
        <f t="shared" si="16"/>
        <v>64051.830911327241</v>
      </c>
      <c r="DH18" s="301">
        <f t="shared" si="16"/>
        <v>239419.54538225944</v>
      </c>
      <c r="DI18" s="301">
        <f t="shared" si="16"/>
        <v>263893.54335466819</v>
      </c>
      <c r="DJ18" s="301">
        <f t="shared" si="16"/>
        <v>247400.19689500143</v>
      </c>
      <c r="DK18" s="301">
        <f t="shared" si="16"/>
        <v>207496.93933129153</v>
      </c>
      <c r="DL18" s="301">
        <f t="shared" si="16"/>
        <v>65973.385838667047</v>
      </c>
      <c r="DM18" s="301">
        <f t="shared" si="16"/>
        <v>63845.212101935853</v>
      </c>
      <c r="DN18" s="301">
        <f t="shared" si="16"/>
        <v>148440.11813700086</v>
      </c>
      <c r="DO18" s="301">
        <f t="shared" si="16"/>
        <v>148440.11813700086</v>
      </c>
      <c r="DP18" s="301">
        <f t="shared" si="16"/>
        <v>138863.33632171049</v>
      </c>
      <c r="DQ18" s="301">
        <f t="shared" si="16"/>
        <v>131946.77167733409</v>
      </c>
      <c r="DR18" s="301">
        <f t="shared" si="16"/>
        <v>31922.606050967926</v>
      </c>
      <c r="DS18" s="301">
        <f t="shared" si="16"/>
        <v>65973.385838667047</v>
      </c>
      <c r="DT18" s="301">
        <f t="shared" si="16"/>
        <v>246602.13174372725</v>
      </c>
      <c r="DU18" s="301">
        <f t="shared" si="16"/>
        <v>271810.34965530824</v>
      </c>
      <c r="DV18" s="301">
        <f t="shared" si="16"/>
        <v>254822.2028018515</v>
      </c>
      <c r="DW18" s="301">
        <f t="shared" si="16"/>
        <v>213721.84751123027</v>
      </c>
      <c r="DX18" s="301">
        <f t="shared" si="16"/>
        <v>67952.587413827059</v>
      </c>
      <c r="DY18" s="301">
        <f t="shared" si="16"/>
        <v>65760.568464993936</v>
      </c>
      <c r="DZ18" s="301">
        <f t="shared" si="16"/>
        <v>152893.32168111089</v>
      </c>
      <c r="EA18" s="301">
        <f t="shared" si="16"/>
        <v>152893.32168111089</v>
      </c>
      <c r="EB18" s="301">
        <f>IF(EB16=0,0,EB16*EB17)</f>
        <v>138097.19377648726</v>
      </c>
      <c r="EC18" s="301">
        <f>IF(EC16=0,0,EC16*EC17)</f>
        <v>135905.17482765412</v>
      </c>
      <c r="ED18" s="301">
        <f>IF(ED16=0,0,ED16*ED17)</f>
        <v>32880.284232496968</v>
      </c>
      <c r="EE18" s="301">
        <f>IF(EE16=0,0,EE16*EE17)</f>
        <v>67952.587413827059</v>
      </c>
    </row>
    <row r="19" spans="2:135" ht="16" thickBot="1" x14ac:dyDescent="0.25">
      <c r="B19" s="302" t="s">
        <v>458</v>
      </c>
      <c r="C19" s="303"/>
      <c r="D19" s="303">
        <f>D18*-'Amenity Dashboard'!$B$7</f>
        <v>0</v>
      </c>
      <c r="E19" s="303">
        <f>E18*-'Amenity Dashboard'!$B$18</f>
        <v>0</v>
      </c>
      <c r="F19" s="303">
        <f>F18*-'Amenity Dashboard'!$B$18</f>
        <v>0</v>
      </c>
      <c r="G19" s="303">
        <f>G18*-'Amenity Dashboard'!$B$18</f>
        <v>0</v>
      </c>
      <c r="H19" s="303">
        <f>H18*-'Amenity Dashboard'!$B$18</f>
        <v>0</v>
      </c>
      <c r="I19" s="303">
        <f>I18*-'Amenity Dashboard'!$B$18</f>
        <v>0</v>
      </c>
      <c r="J19" s="303">
        <f>J18*-'Amenity Dashboard'!$B$18</f>
        <v>0</v>
      </c>
      <c r="K19" s="303">
        <f>K18*-'Amenity Dashboard'!$B$18</f>
        <v>0</v>
      </c>
      <c r="L19" s="303">
        <f>L18*-'Amenity Dashboard'!$B$18</f>
        <v>0</v>
      </c>
      <c r="M19" s="303">
        <f>M18*-'Amenity Dashboard'!$B$18</f>
        <v>0</v>
      </c>
      <c r="N19" s="303">
        <f>N18*-'Amenity Dashboard'!$B$18</f>
        <v>0</v>
      </c>
      <c r="O19" s="303">
        <f>O18*-'Amenity Dashboard'!$B$18</f>
        <v>0</v>
      </c>
      <c r="P19" s="303">
        <f>P18*-'Amenity Dashboard'!$B$18</f>
        <v>0</v>
      </c>
      <c r="Q19" s="303">
        <f>Q18*-'Amenity Dashboard'!$B$18</f>
        <v>0</v>
      </c>
      <c r="R19" s="303">
        <f>R18*-'Amenity Dashboard'!$B$18</f>
        <v>0</v>
      </c>
      <c r="S19" s="303">
        <f>S18*-'Amenity Dashboard'!$B$18</f>
        <v>0</v>
      </c>
      <c r="T19" s="303">
        <f>T18*-'Amenity Dashboard'!$B$18</f>
        <v>0</v>
      </c>
      <c r="U19" s="303">
        <f>U18*-'Amenity Dashboard'!$B$18</f>
        <v>0</v>
      </c>
      <c r="V19" s="303">
        <f>V18*-'Amenity Dashboard'!$B$18</f>
        <v>0</v>
      </c>
      <c r="W19" s="303">
        <f>W18*-'Amenity Dashboard'!$B$18</f>
        <v>0</v>
      </c>
      <c r="X19" s="303">
        <f>X18*-'Amenity Dashboard'!$B$18</f>
        <v>0</v>
      </c>
      <c r="Y19" s="303">
        <f>Y18*-'Amenity Dashboard'!$B$18</f>
        <v>0</v>
      </c>
      <c r="Z19" s="303">
        <f>Z18*-'Amenity Dashboard'!$B$18</f>
        <v>0</v>
      </c>
      <c r="AA19" s="303">
        <f>AA18*-'Amenity Dashboard'!$B$18</f>
        <v>0</v>
      </c>
      <c r="AB19" s="303">
        <f>AB18*-'Amenity Dashboard'!$B$18</f>
        <v>0</v>
      </c>
      <c r="AC19" s="303">
        <f>AC18*-'Amenity Dashboard'!$B$18</f>
        <v>0</v>
      </c>
      <c r="AD19" s="303">
        <f>AD18*-'Amenity Dashboard'!$B$18</f>
        <v>0</v>
      </c>
      <c r="AE19" s="303">
        <f>AE18*-'Amenity Dashboard'!$B$18</f>
        <v>0</v>
      </c>
      <c r="AF19" s="303">
        <f>AF18*-'Amenity Dashboard'!$B$18</f>
        <v>0</v>
      </c>
      <c r="AG19" s="303">
        <f>AG18*-'Amenity Dashboard'!$B$18</f>
        <v>-20764.800000000003</v>
      </c>
      <c r="AH19" s="303">
        <f>AH18*-'Amenity Dashboard'!$B$18</f>
        <v>-48278.16</v>
      </c>
      <c r="AI19" s="303">
        <f>AI18*-'Amenity Dashboard'!$B$18</f>
        <v>-48278.16</v>
      </c>
      <c r="AJ19" s="303">
        <f>AJ18*-'Amenity Dashboard'!$B$18</f>
        <v>-43606.080000000002</v>
      </c>
      <c r="AK19" s="303">
        <f>AK18*-'Amenity Dashboard'!$B$18</f>
        <v>-42913.920000000006</v>
      </c>
      <c r="AL19" s="303">
        <f>AL18*-'Amenity Dashboard'!$B$18</f>
        <v>-10382.400000000001</v>
      </c>
      <c r="AM19" s="303">
        <f>AM18*-'Amenity Dashboard'!$B$18</f>
        <v>-21456.960000000003</v>
      </c>
      <c r="AN19" s="303">
        <f>AN18*-'Amenity Dashboard'!$B$18</f>
        <v>-80204.039999999994</v>
      </c>
      <c r="AO19" s="303">
        <f>AO18*-'Amenity Dashboard'!$B$18</f>
        <v>-88402.675199999998</v>
      </c>
      <c r="AP19" s="303">
        <f>AP18*-'Amenity Dashboard'!$B$18</f>
        <v>-82877.508000000002</v>
      </c>
      <c r="AQ19" s="303">
        <f>AQ18*-'Amenity Dashboard'!$B$18</f>
        <v>-69510.168000000005</v>
      </c>
      <c r="AR19" s="303">
        <f>AR18*-'Amenity Dashboard'!$B$18</f>
        <v>-22100.668799999999</v>
      </c>
      <c r="AS19" s="303">
        <f>AS18*-'Amenity Dashboard'!$B$18</f>
        <v>-21387.744000000002</v>
      </c>
      <c r="AT19" s="303">
        <f>AT18*-'Amenity Dashboard'!$B$18</f>
        <v>-49726.504800000002</v>
      </c>
      <c r="AU19" s="303">
        <f>AU18*-'Amenity Dashboard'!$B$18</f>
        <v>-49726.504800000002</v>
      </c>
      <c r="AV19" s="303">
        <f>AV18*-'Amenity Dashboard'!$B$18</f>
        <v>-44914.262400000007</v>
      </c>
      <c r="AW19" s="303">
        <f>AW18*-'Amenity Dashboard'!$B$18</f>
        <v>-44201.337599999999</v>
      </c>
      <c r="AX19" s="303">
        <f>AX18*-'Amenity Dashboard'!$B$18</f>
        <v>-10693.872000000001</v>
      </c>
      <c r="AY19" s="303">
        <f>AY18*-'Amenity Dashboard'!$B$18</f>
        <v>-22100.668799999999</v>
      </c>
      <c r="AZ19" s="303">
        <f>AZ18*-'Amenity Dashboard'!$B$18</f>
        <v>-82610.161200000017</v>
      </c>
      <c r="BA19" s="303">
        <f>BA18*-'Amenity Dashboard'!$B$18</f>
        <v>-91054.755456000014</v>
      </c>
      <c r="BB19" s="303">
        <f>BB18*-'Amenity Dashboard'!$B$18</f>
        <v>-85363.833240000007</v>
      </c>
      <c r="BC19" s="303">
        <f>BC18*-'Amenity Dashboard'!$B$18</f>
        <v>-71595.473040000012</v>
      </c>
      <c r="BD19" s="303">
        <f>BD18*-'Amenity Dashboard'!$B$18</f>
        <v>-22763.688864000003</v>
      </c>
      <c r="BE19" s="303">
        <f>BE18*-'Amenity Dashboard'!$B$18</f>
        <v>-22029.376320000007</v>
      </c>
      <c r="BF19" s="303">
        <f>BF18*-'Amenity Dashboard'!$B$18</f>
        <v>-51218.299944000006</v>
      </c>
      <c r="BG19" s="303">
        <f>BG18*-'Amenity Dashboard'!$B$18</f>
        <v>-51218.299944000006</v>
      </c>
      <c r="BH19" s="303">
        <f>BH18*-'Amenity Dashboard'!$B$18</f>
        <v>-46261.690272000007</v>
      </c>
      <c r="BI19" s="303">
        <f>BI18*-'Amenity Dashboard'!$B$18</f>
        <v>-45527.377728000007</v>
      </c>
      <c r="BJ19" s="303">
        <f>BJ18*-'Amenity Dashboard'!$B$18</f>
        <v>-11014.688160000003</v>
      </c>
      <c r="BK19" s="303">
        <f>BK18*-'Amenity Dashboard'!$B$18</f>
        <v>-22763.688864000003</v>
      </c>
      <c r="BL19" s="303">
        <f>BL18*-'Amenity Dashboard'!$B$18</f>
        <v>-85088.466036000013</v>
      </c>
      <c r="BM19" s="303">
        <f>BM18*-'Amenity Dashboard'!$B$18</f>
        <v>-93786.398119680016</v>
      </c>
      <c r="BN19" s="303">
        <f>BN18*-'Amenity Dashboard'!$B$18</f>
        <v>-87924.748237200023</v>
      </c>
      <c r="BO19" s="303">
        <f>BO18*-'Amenity Dashboard'!$B$18</f>
        <v>-73743.337231199999</v>
      </c>
      <c r="BP19" s="303">
        <f>BP18*-'Amenity Dashboard'!$B$18</f>
        <v>-23446.599529920004</v>
      </c>
      <c r="BQ19" s="303">
        <f>BQ18*-'Amenity Dashboard'!$B$18</f>
        <v>-22690.257609600005</v>
      </c>
      <c r="BR19" s="303">
        <f>BR18*-'Amenity Dashboard'!$B$18</f>
        <v>-52754.848942320008</v>
      </c>
      <c r="BS19" s="303">
        <f>BS18*-'Amenity Dashboard'!$B$18</f>
        <v>-52754.848942320008</v>
      </c>
      <c r="BT19" s="303">
        <f>BT18*-'Amenity Dashboard'!$B$18</f>
        <v>-49351.310300880003</v>
      </c>
      <c r="BU19" s="303">
        <f>BU18*-'Amenity Dashboard'!$B$18</f>
        <v>-46893.199059840008</v>
      </c>
      <c r="BV19" s="303">
        <f>BV18*-'Amenity Dashboard'!$B$18</f>
        <v>-11345.128804800002</v>
      </c>
      <c r="BW19" s="303">
        <f>BW18*-'Amenity Dashboard'!$B$18</f>
        <v>-23446.599529920004</v>
      </c>
      <c r="BX19" s="303">
        <f>BX18*-'Amenity Dashboard'!$B$18</f>
        <v>-87641.120017080015</v>
      </c>
      <c r="BY19" s="303">
        <f>BY18*-'Amenity Dashboard'!$B$18</f>
        <v>-96599.990063270423</v>
      </c>
      <c r="BZ19" s="303">
        <f>BZ18*-'Amenity Dashboard'!$B$18</f>
        <v>-90562.490684316013</v>
      </c>
      <c r="CA19" s="303">
        <f>CA18*-'Amenity Dashboard'!$B$18</f>
        <v>-75955.637348136021</v>
      </c>
      <c r="CB19" s="303">
        <f>CB18*-'Amenity Dashboard'!$B$18</f>
        <v>-24149.997515817606</v>
      </c>
      <c r="CC19" s="303">
        <f>CC18*-'Amenity Dashboard'!$B$18</f>
        <v>-23370.965337888003</v>
      </c>
      <c r="CD19" s="303">
        <f>CD18*-'Amenity Dashboard'!$B$18</f>
        <v>-54337.494410589607</v>
      </c>
      <c r="CE19" s="303">
        <f>CE18*-'Amenity Dashboard'!$B$18</f>
        <v>-54337.494410589607</v>
      </c>
      <c r="CF19" s="303">
        <f>CF18*-'Amenity Dashboard'!$B$18</f>
        <v>-49079.027209564803</v>
      </c>
      <c r="CG19" s="303">
        <f>CG18*-'Amenity Dashboard'!$B$18</f>
        <v>-48299.995031635211</v>
      </c>
      <c r="CH19" s="303">
        <f>CH18*-'Amenity Dashboard'!$B$18</f>
        <v>-11685.482668944001</v>
      </c>
      <c r="CI19" s="303">
        <f>CI18*-'Amenity Dashboard'!$B$18</f>
        <v>-24149.997515817606</v>
      </c>
      <c r="CJ19" s="303">
        <f>CJ18*-'Amenity Dashboard'!$B$18</f>
        <v>-90270.353617592395</v>
      </c>
      <c r="CK19" s="303">
        <f>CK18*-'Amenity Dashboard'!$B$18</f>
        <v>-99497.989765168517</v>
      </c>
      <c r="CL19" s="303">
        <f>CL18*-'Amenity Dashboard'!$B$18</f>
        <v>-93279.365404845477</v>
      </c>
      <c r="CM19" s="303">
        <f>CM18*-'Amenity Dashboard'!$B$18</f>
        <v>-78234.306468580078</v>
      </c>
      <c r="CN19" s="303">
        <f>CN18*-'Amenity Dashboard'!$B$18</f>
        <v>-24874.497441292129</v>
      </c>
      <c r="CO19" s="303">
        <f>CO18*-'Amenity Dashboard'!$B$18</f>
        <v>-24072.09429802464</v>
      </c>
      <c r="CP19" s="303">
        <f>CP18*-'Amenity Dashboard'!$B$18</f>
        <v>-55967.619242907283</v>
      </c>
      <c r="CQ19" s="303">
        <f>CQ18*-'Amenity Dashboard'!$B$18</f>
        <v>-55967.619242907283</v>
      </c>
      <c r="CR19" s="303">
        <f>CR18*-'Amenity Dashboard'!$B$18</f>
        <v>-50551.398025851748</v>
      </c>
      <c r="CS19" s="303">
        <f>CS18*-'Amenity Dashboard'!$B$18</f>
        <v>-49748.994882584258</v>
      </c>
      <c r="CT19" s="303">
        <f>CT18*-'Amenity Dashboard'!$B$18</f>
        <v>-12036.04714901232</v>
      </c>
      <c r="CU19" s="303">
        <f>CU18*-'Amenity Dashboard'!$B$18</f>
        <v>-24874.497441292129</v>
      </c>
      <c r="CV19" s="303">
        <f>CV18*-'Amenity Dashboard'!$B$18</f>
        <v>-92978.464226120181</v>
      </c>
      <c r="CW19" s="303">
        <f>CW18*-'Amenity Dashboard'!$B$18</f>
        <v>-102482.92945812359</v>
      </c>
      <c r="CX19" s="303">
        <f>CX18*-'Amenity Dashboard'!$B$18</f>
        <v>-96077.746366990847</v>
      </c>
      <c r="CY19" s="303">
        <f>CY18*-'Amenity Dashboard'!$B$18</f>
        <v>-80581.335662637488</v>
      </c>
      <c r="CZ19" s="303">
        <f>CZ18*-'Amenity Dashboard'!$B$18</f>
        <v>-25620.732364530897</v>
      </c>
      <c r="DA19" s="303">
        <f>DA18*-'Amenity Dashboard'!$B$18</f>
        <v>-24794.257126965382</v>
      </c>
      <c r="DB19" s="303">
        <f>DB18*-'Amenity Dashboard'!$B$18</f>
        <v>-57646.647820194514</v>
      </c>
      <c r="DC19" s="303">
        <f>DC18*-'Amenity Dashboard'!$B$18</f>
        <v>-57646.647820194514</v>
      </c>
      <c r="DD19" s="303">
        <f>DD18*-'Amenity Dashboard'!$B$18</f>
        <v>-52067.939966627295</v>
      </c>
      <c r="DE19" s="303">
        <f>DE18*-'Amenity Dashboard'!$B$18</f>
        <v>-51241.464729061794</v>
      </c>
      <c r="DF19" s="303">
        <f>DF18*-'Amenity Dashboard'!$B$18</f>
        <v>-12397.128563482691</v>
      </c>
      <c r="DG19" s="303">
        <f>DG18*-'Amenity Dashboard'!$B$18</f>
        <v>-25620.732364530897</v>
      </c>
      <c r="DH19" s="303">
        <f>DH18*-'Amenity Dashboard'!$B$18</f>
        <v>-95767.818152903783</v>
      </c>
      <c r="DI19" s="303">
        <f>DI18*-'Amenity Dashboard'!$B$18</f>
        <v>-105557.41734186729</v>
      </c>
      <c r="DJ19" s="303">
        <f>DJ18*-'Amenity Dashboard'!$B$18</f>
        <v>-98960.078758000571</v>
      </c>
      <c r="DK19" s="303">
        <f>DK18*-'Amenity Dashboard'!$B$18</f>
        <v>-82998.775732516617</v>
      </c>
      <c r="DL19" s="303">
        <f>DL18*-'Amenity Dashboard'!$B$18</f>
        <v>-26389.354335466822</v>
      </c>
      <c r="DM19" s="303">
        <f>DM18*-'Amenity Dashboard'!$B$18</f>
        <v>-25538.084840774343</v>
      </c>
      <c r="DN19" s="303">
        <f>DN18*-'Amenity Dashboard'!$B$18</f>
        <v>-59376.047254800345</v>
      </c>
      <c r="DO19" s="303">
        <f>DO18*-'Amenity Dashboard'!$B$18</f>
        <v>-59376.047254800345</v>
      </c>
      <c r="DP19" s="303">
        <f>DP18*-'Amenity Dashboard'!$B$18</f>
        <v>-55545.334528684201</v>
      </c>
      <c r="DQ19" s="303">
        <f>DQ18*-'Amenity Dashboard'!$B$18</f>
        <v>-52778.708670933644</v>
      </c>
      <c r="DR19" s="303">
        <f>DR18*-'Amenity Dashboard'!$B$18</f>
        <v>-12769.042420387172</v>
      </c>
      <c r="DS19" s="303">
        <f>DS18*-'Amenity Dashboard'!$B$18</f>
        <v>-26389.354335466822</v>
      </c>
      <c r="DT19" s="303">
        <f>DT18*-'Amenity Dashboard'!$B$18</f>
        <v>-98640.852697490904</v>
      </c>
      <c r="DU19" s="303">
        <f>DU18*-'Amenity Dashboard'!$B$18</f>
        <v>-108724.13986212329</v>
      </c>
      <c r="DV19" s="303">
        <f>DV18*-'Amenity Dashboard'!$B$18</f>
        <v>-101928.88112074061</v>
      </c>
      <c r="DW19" s="303">
        <f>DW18*-'Amenity Dashboard'!$B$18</f>
        <v>-85488.739004492119</v>
      </c>
      <c r="DX19" s="303">
        <f>DX18*-'Amenity Dashboard'!$B$18</f>
        <v>-27181.034965530824</v>
      </c>
      <c r="DY19" s="303">
        <f>DY18*-'Amenity Dashboard'!$B$18</f>
        <v>-26304.227385997576</v>
      </c>
      <c r="DZ19" s="303">
        <f>DZ18*-'Amenity Dashboard'!$B$18</f>
        <v>-61157.328672444361</v>
      </c>
      <c r="EA19" s="303">
        <f>EA18*-'Amenity Dashboard'!$B$18</f>
        <v>-61157.328672444361</v>
      </c>
      <c r="EB19" s="303">
        <f>EB18*-'Amenity Dashboard'!$B$18</f>
        <v>-55238.877510594903</v>
      </c>
      <c r="EC19" s="303">
        <f>EC18*-'Amenity Dashboard'!$B$18</f>
        <v>-54362.069931061647</v>
      </c>
      <c r="ED19" s="303">
        <f>ED18*-'Amenity Dashboard'!$B$18</f>
        <v>-13152.113692998788</v>
      </c>
      <c r="EE19" s="303">
        <f>EE18*-'Amenity Dashboard'!$B$18</f>
        <v>-27181.034965530824</v>
      </c>
    </row>
    <row r="20" spans="2:135" ht="16" thickBot="1" x14ac:dyDescent="0.25">
      <c r="B20" s="304" t="s">
        <v>459</v>
      </c>
      <c r="C20" s="305"/>
      <c r="D20" s="305">
        <f t="shared" ref="D20:BO20" si="17">D18+D19</f>
        <v>0</v>
      </c>
      <c r="E20" s="305">
        <f t="shared" si="17"/>
        <v>0</v>
      </c>
      <c r="F20" s="305">
        <f t="shared" si="17"/>
        <v>0</v>
      </c>
      <c r="G20" s="305">
        <f t="shared" si="17"/>
        <v>0</v>
      </c>
      <c r="H20" s="305">
        <f t="shared" si="17"/>
        <v>0</v>
      </c>
      <c r="I20" s="305">
        <f t="shared" si="17"/>
        <v>0</v>
      </c>
      <c r="J20" s="305">
        <f t="shared" si="17"/>
        <v>0</v>
      </c>
      <c r="K20" s="305">
        <f t="shared" si="17"/>
        <v>0</v>
      </c>
      <c r="L20" s="305">
        <f t="shared" si="17"/>
        <v>0</v>
      </c>
      <c r="M20" s="305">
        <f t="shared" si="17"/>
        <v>0</v>
      </c>
      <c r="N20" s="305">
        <f t="shared" si="17"/>
        <v>0</v>
      </c>
      <c r="O20" s="305">
        <f t="shared" si="17"/>
        <v>0</v>
      </c>
      <c r="P20" s="305">
        <f t="shared" si="17"/>
        <v>0</v>
      </c>
      <c r="Q20" s="305">
        <f t="shared" si="17"/>
        <v>0</v>
      </c>
      <c r="R20" s="305">
        <f t="shared" si="17"/>
        <v>0</v>
      </c>
      <c r="S20" s="305">
        <f t="shared" si="17"/>
        <v>0</v>
      </c>
      <c r="T20" s="305">
        <f t="shared" si="17"/>
        <v>0</v>
      </c>
      <c r="U20" s="305">
        <f t="shared" si="17"/>
        <v>0</v>
      </c>
      <c r="V20" s="305">
        <f t="shared" si="17"/>
        <v>0</v>
      </c>
      <c r="W20" s="305">
        <f t="shared" si="17"/>
        <v>0</v>
      </c>
      <c r="X20" s="305">
        <f t="shared" si="17"/>
        <v>0</v>
      </c>
      <c r="Y20" s="305">
        <f t="shared" si="17"/>
        <v>0</v>
      </c>
      <c r="Z20" s="305">
        <f t="shared" si="17"/>
        <v>0</v>
      </c>
      <c r="AA20" s="305">
        <f t="shared" si="17"/>
        <v>0</v>
      </c>
      <c r="AB20" s="305">
        <f t="shared" si="17"/>
        <v>0</v>
      </c>
      <c r="AC20" s="305">
        <f t="shared" si="17"/>
        <v>0</v>
      </c>
      <c r="AD20" s="305">
        <f t="shared" si="17"/>
        <v>0</v>
      </c>
      <c r="AE20" s="305">
        <f t="shared" si="17"/>
        <v>0</v>
      </c>
      <c r="AF20" s="305">
        <f t="shared" si="17"/>
        <v>0</v>
      </c>
      <c r="AG20" s="305">
        <f t="shared" si="17"/>
        <v>31147.199999999997</v>
      </c>
      <c r="AH20" s="305">
        <f t="shared" si="17"/>
        <v>72417.240000000005</v>
      </c>
      <c r="AI20" s="305">
        <f t="shared" si="17"/>
        <v>72417.240000000005</v>
      </c>
      <c r="AJ20" s="305">
        <f t="shared" si="17"/>
        <v>65409.119999999995</v>
      </c>
      <c r="AK20" s="305">
        <f t="shared" si="17"/>
        <v>64370.879999999997</v>
      </c>
      <c r="AL20" s="305">
        <f t="shared" si="17"/>
        <v>15573.599999999999</v>
      </c>
      <c r="AM20" s="305">
        <f t="shared" si="17"/>
        <v>32185.439999999999</v>
      </c>
      <c r="AN20" s="305">
        <f t="shared" si="17"/>
        <v>120306.05999999998</v>
      </c>
      <c r="AO20" s="305">
        <f t="shared" si="17"/>
        <v>132604.0128</v>
      </c>
      <c r="AP20" s="305">
        <f t="shared" si="17"/>
        <v>124316.26199999999</v>
      </c>
      <c r="AQ20" s="305">
        <f t="shared" si="17"/>
        <v>104265.25200000001</v>
      </c>
      <c r="AR20" s="305">
        <f t="shared" si="17"/>
        <v>33151.003199999999</v>
      </c>
      <c r="AS20" s="305">
        <f t="shared" si="17"/>
        <v>32081.615999999998</v>
      </c>
      <c r="AT20" s="305">
        <f t="shared" si="17"/>
        <v>74589.757199999993</v>
      </c>
      <c r="AU20" s="305">
        <f t="shared" si="17"/>
        <v>74589.757199999993</v>
      </c>
      <c r="AV20" s="305">
        <f t="shared" si="17"/>
        <v>67371.393599999996</v>
      </c>
      <c r="AW20" s="305">
        <f t="shared" si="17"/>
        <v>66302.006399999998</v>
      </c>
      <c r="AX20" s="305">
        <f t="shared" si="17"/>
        <v>16040.807999999999</v>
      </c>
      <c r="AY20" s="305">
        <f t="shared" si="17"/>
        <v>33151.003199999999</v>
      </c>
      <c r="AZ20" s="305">
        <f t="shared" si="17"/>
        <v>123915.2418</v>
      </c>
      <c r="BA20" s="305">
        <f t="shared" si="17"/>
        <v>136582.13318400001</v>
      </c>
      <c r="BB20" s="305">
        <f t="shared" si="17"/>
        <v>128045.74986000001</v>
      </c>
      <c r="BC20" s="305">
        <f t="shared" si="17"/>
        <v>107393.20956000002</v>
      </c>
      <c r="BD20" s="305">
        <f t="shared" si="17"/>
        <v>34145.533296000001</v>
      </c>
      <c r="BE20" s="305">
        <f t="shared" si="17"/>
        <v>33044.064480000001</v>
      </c>
      <c r="BF20" s="305">
        <f t="shared" si="17"/>
        <v>76827.449916000012</v>
      </c>
      <c r="BG20" s="305">
        <f t="shared" si="17"/>
        <v>76827.449916000012</v>
      </c>
      <c r="BH20" s="305">
        <f t="shared" si="17"/>
        <v>69392.535407999996</v>
      </c>
      <c r="BI20" s="305">
        <f t="shared" si="17"/>
        <v>68291.066592000003</v>
      </c>
      <c r="BJ20" s="305">
        <f t="shared" si="17"/>
        <v>16522.03224</v>
      </c>
      <c r="BK20" s="305">
        <f t="shared" si="17"/>
        <v>34145.533296000001</v>
      </c>
      <c r="BL20" s="305">
        <f t="shared" si="17"/>
        <v>127632.69905400001</v>
      </c>
      <c r="BM20" s="305">
        <f t="shared" si="17"/>
        <v>140679.59717952</v>
      </c>
      <c r="BN20" s="305">
        <f t="shared" si="17"/>
        <v>131887.12235580001</v>
      </c>
      <c r="BO20" s="305">
        <f t="shared" si="17"/>
        <v>110615.00584680001</v>
      </c>
      <c r="BP20" s="305">
        <f t="shared" ref="BP20:EA20" si="18">BP18+BP19</f>
        <v>35169.899294880001</v>
      </c>
      <c r="BQ20" s="305">
        <f t="shared" si="18"/>
        <v>34035.386414400004</v>
      </c>
      <c r="BR20" s="305">
        <f t="shared" si="18"/>
        <v>79132.273413479998</v>
      </c>
      <c r="BS20" s="305">
        <f t="shared" si="18"/>
        <v>79132.273413479998</v>
      </c>
      <c r="BT20" s="305">
        <f t="shared" si="18"/>
        <v>74026.965451319993</v>
      </c>
      <c r="BU20" s="305">
        <f t="shared" si="18"/>
        <v>70339.798589760001</v>
      </c>
      <c r="BV20" s="305">
        <f t="shared" si="18"/>
        <v>17017.693207200002</v>
      </c>
      <c r="BW20" s="305">
        <f t="shared" si="18"/>
        <v>35169.899294880001</v>
      </c>
      <c r="BX20" s="305">
        <f t="shared" si="18"/>
        <v>131461.68002562001</v>
      </c>
      <c r="BY20" s="305">
        <f t="shared" si="18"/>
        <v>144899.9850949056</v>
      </c>
      <c r="BZ20" s="305">
        <f t="shared" si="18"/>
        <v>135843.73602647398</v>
      </c>
      <c r="CA20" s="305">
        <f t="shared" si="18"/>
        <v>113933.45602220402</v>
      </c>
      <c r="CB20" s="305">
        <f t="shared" si="18"/>
        <v>36224.9962737264</v>
      </c>
      <c r="CC20" s="305">
        <f t="shared" si="18"/>
        <v>35056.448006832004</v>
      </c>
      <c r="CD20" s="305">
        <f t="shared" si="18"/>
        <v>81506.241615884413</v>
      </c>
      <c r="CE20" s="305">
        <f t="shared" si="18"/>
        <v>81506.241615884413</v>
      </c>
      <c r="CF20" s="305">
        <f t="shared" si="18"/>
        <v>73618.540814347187</v>
      </c>
      <c r="CG20" s="305">
        <f t="shared" si="18"/>
        <v>72449.992547452799</v>
      </c>
      <c r="CH20" s="305">
        <f t="shared" si="18"/>
        <v>17528.224003416002</v>
      </c>
      <c r="CI20" s="305">
        <f t="shared" si="18"/>
        <v>36224.9962737264</v>
      </c>
      <c r="CJ20" s="305">
        <f t="shared" si="18"/>
        <v>135405.53042638858</v>
      </c>
      <c r="CK20" s="305">
        <f t="shared" si="18"/>
        <v>149246.98464775275</v>
      </c>
      <c r="CL20" s="305">
        <f t="shared" si="18"/>
        <v>139919.0481072682</v>
      </c>
      <c r="CM20" s="305">
        <f t="shared" si="18"/>
        <v>117351.45970287012</v>
      </c>
      <c r="CN20" s="305">
        <f t="shared" si="18"/>
        <v>37311.746161938187</v>
      </c>
      <c r="CO20" s="305">
        <f t="shared" si="18"/>
        <v>36108.141447036956</v>
      </c>
      <c r="CP20" s="305">
        <f t="shared" si="18"/>
        <v>83951.428864360918</v>
      </c>
      <c r="CQ20" s="305">
        <f t="shared" si="18"/>
        <v>83951.428864360918</v>
      </c>
      <c r="CR20" s="305">
        <f t="shared" si="18"/>
        <v>75827.097038777603</v>
      </c>
      <c r="CS20" s="305">
        <f t="shared" si="18"/>
        <v>74623.492323876373</v>
      </c>
      <c r="CT20" s="305">
        <f t="shared" si="18"/>
        <v>18054.070723518478</v>
      </c>
      <c r="CU20" s="305">
        <f t="shared" si="18"/>
        <v>37311.746161938187</v>
      </c>
      <c r="CV20" s="305">
        <f t="shared" si="18"/>
        <v>139467.69633918026</v>
      </c>
      <c r="CW20" s="305">
        <f t="shared" si="18"/>
        <v>153724.39418718539</v>
      </c>
      <c r="CX20" s="305">
        <f t="shared" si="18"/>
        <v>144116.61955048627</v>
      </c>
      <c r="CY20" s="305">
        <f t="shared" si="18"/>
        <v>120872.00349395623</v>
      </c>
      <c r="CZ20" s="305">
        <f t="shared" si="18"/>
        <v>38431.098546796347</v>
      </c>
      <c r="DA20" s="305">
        <f t="shared" si="18"/>
        <v>37191.385690448064</v>
      </c>
      <c r="DB20" s="305">
        <f t="shared" si="18"/>
        <v>86469.971730291756</v>
      </c>
      <c r="DC20" s="305">
        <f t="shared" si="18"/>
        <v>86469.971730291756</v>
      </c>
      <c r="DD20" s="305">
        <f t="shared" si="18"/>
        <v>78101.909949940935</v>
      </c>
      <c r="DE20" s="305">
        <f t="shared" si="18"/>
        <v>76862.197093592695</v>
      </c>
      <c r="DF20" s="305">
        <f t="shared" si="18"/>
        <v>18595.692845224032</v>
      </c>
      <c r="DG20" s="305">
        <f t="shared" si="18"/>
        <v>38431.098546796347</v>
      </c>
      <c r="DH20" s="305">
        <f t="shared" si="18"/>
        <v>143651.72722935566</v>
      </c>
      <c r="DI20" s="305">
        <f t="shared" si="18"/>
        <v>158336.1260128009</v>
      </c>
      <c r="DJ20" s="305">
        <f t="shared" si="18"/>
        <v>148440.11813700086</v>
      </c>
      <c r="DK20" s="305">
        <f t="shared" si="18"/>
        <v>124498.16359877492</v>
      </c>
      <c r="DL20" s="305">
        <f t="shared" si="18"/>
        <v>39584.031503200225</v>
      </c>
      <c r="DM20" s="305">
        <f t="shared" si="18"/>
        <v>38307.127261161513</v>
      </c>
      <c r="DN20" s="305">
        <f t="shared" si="18"/>
        <v>89064.070882200511</v>
      </c>
      <c r="DO20" s="305">
        <f t="shared" si="18"/>
        <v>89064.070882200511</v>
      </c>
      <c r="DP20" s="305">
        <f t="shared" si="18"/>
        <v>83318.001793026284</v>
      </c>
      <c r="DQ20" s="305">
        <f t="shared" si="18"/>
        <v>79168.063006400451</v>
      </c>
      <c r="DR20" s="305">
        <f t="shared" si="18"/>
        <v>19153.563630580757</v>
      </c>
      <c r="DS20" s="305">
        <f t="shared" si="18"/>
        <v>39584.031503200225</v>
      </c>
      <c r="DT20" s="305">
        <f t="shared" si="18"/>
        <v>147961.27904623636</v>
      </c>
      <c r="DU20" s="305">
        <f t="shared" si="18"/>
        <v>163086.20979318494</v>
      </c>
      <c r="DV20" s="305">
        <f t="shared" si="18"/>
        <v>152893.32168111089</v>
      </c>
      <c r="DW20" s="305">
        <f t="shared" si="18"/>
        <v>128233.10850673815</v>
      </c>
      <c r="DX20" s="305">
        <f t="shared" si="18"/>
        <v>40771.552448296236</v>
      </c>
      <c r="DY20" s="305">
        <f t="shared" si="18"/>
        <v>39456.34107899636</v>
      </c>
      <c r="DZ20" s="305">
        <f t="shared" si="18"/>
        <v>91735.993008666526</v>
      </c>
      <c r="EA20" s="305">
        <f t="shared" si="18"/>
        <v>91735.993008666526</v>
      </c>
      <c r="EB20" s="305">
        <f>EB18+EB19</f>
        <v>82858.316265892354</v>
      </c>
      <c r="EC20" s="305">
        <f>EC18+EC19</f>
        <v>81543.104896592471</v>
      </c>
      <c r="ED20" s="305">
        <f>ED18+ED19</f>
        <v>19728.17053949818</v>
      </c>
      <c r="EE20" s="305">
        <f>EE18+EE19</f>
        <v>40771.552448296236</v>
      </c>
    </row>
    <row r="22" spans="2:135" x14ac:dyDescent="0.2">
      <c r="B22" s="294" t="s">
        <v>461</v>
      </c>
      <c r="C22" s="306"/>
      <c r="D22" s="306">
        <f>D12*'Amenity Dashboard'!$B$24</f>
        <v>0</v>
      </c>
      <c r="E22" s="306">
        <f>E12*'Amenity Dashboard'!$B$24</f>
        <v>0</v>
      </c>
      <c r="F22" s="306">
        <f>F12*'Amenity Dashboard'!$B$24</f>
        <v>0</v>
      </c>
      <c r="G22" s="306">
        <f>G12*'Amenity Dashboard'!$B$24</f>
        <v>0</v>
      </c>
      <c r="H22" s="306">
        <v>0</v>
      </c>
      <c r="I22" s="306">
        <v>0</v>
      </c>
      <c r="J22" s="306">
        <v>0</v>
      </c>
      <c r="K22" s="306">
        <v>0</v>
      </c>
      <c r="L22" s="306">
        <v>0</v>
      </c>
      <c r="M22" s="306">
        <v>0</v>
      </c>
      <c r="N22" s="306">
        <v>0</v>
      </c>
      <c r="O22" s="306">
        <v>0</v>
      </c>
      <c r="P22" s="306">
        <v>0</v>
      </c>
      <c r="Q22" s="306">
        <v>0</v>
      </c>
      <c r="R22" s="306">
        <v>0</v>
      </c>
      <c r="S22" s="306">
        <v>0</v>
      </c>
      <c r="T22" s="306">
        <v>0</v>
      </c>
      <c r="U22" s="306">
        <v>0</v>
      </c>
      <c r="V22" s="306">
        <v>0</v>
      </c>
      <c r="W22" s="306">
        <v>0</v>
      </c>
      <c r="X22" s="306">
        <v>0</v>
      </c>
      <c r="Y22" s="306">
        <v>0</v>
      </c>
      <c r="Z22" s="306">
        <v>0</v>
      </c>
      <c r="AA22" s="306">
        <v>0</v>
      </c>
      <c r="AB22" s="306">
        <v>0</v>
      </c>
      <c r="AC22" s="306">
        <v>0</v>
      </c>
      <c r="AD22" s="306">
        <v>0</v>
      </c>
      <c r="AE22" s="306">
        <v>0</v>
      </c>
      <c r="AF22" s="306">
        <v>0</v>
      </c>
      <c r="AG22" s="306">
        <f>(AG12+AG18)*'Amenity Dashboard'!$B$24</f>
        <v>28032.480000000003</v>
      </c>
      <c r="AH22" s="306">
        <f>(AH12+AH18)*'Amenity Dashboard'!$B$24</f>
        <v>65175.516000000011</v>
      </c>
      <c r="AI22" s="306">
        <f>(AI12+AI18)*'Amenity Dashboard'!$B$24</f>
        <v>65175.516000000011</v>
      </c>
      <c r="AJ22" s="306">
        <f>(AJ12+AJ18)*'Amenity Dashboard'!$B$24</f>
        <v>58868.207999999999</v>
      </c>
      <c r="AK22" s="306">
        <f>(AK12+AK18)*'Amenity Dashboard'!$B$24</f>
        <v>57933.792000000009</v>
      </c>
      <c r="AL22" s="306">
        <f>(AL12+AL18)*'Amenity Dashboard'!$B$24</f>
        <v>14016.240000000002</v>
      </c>
      <c r="AM22" s="306">
        <f>(AM12+AM18)*'Amenity Dashboard'!$B$24</f>
        <v>28966.896000000004</v>
      </c>
      <c r="AN22" s="306">
        <f>(AN12+AN18)*'Amenity Dashboard'!$B$24</f>
        <v>108275.454</v>
      </c>
      <c r="AO22" s="306">
        <f>(AO12+AO18)*'Amenity Dashboard'!$B$24</f>
        <v>119343.61152000001</v>
      </c>
      <c r="AP22" s="306">
        <f>(AP12+AP18)*'Amenity Dashboard'!$B$24</f>
        <v>111884.6358</v>
      </c>
      <c r="AQ22" s="306">
        <f>(AQ12+AQ18)*'Amenity Dashboard'!$B$24</f>
        <v>93838.726800000019</v>
      </c>
      <c r="AR22" s="306">
        <f>(AR12+AR18)*'Amenity Dashboard'!$B$24</f>
        <v>29835.902880000001</v>
      </c>
      <c r="AS22" s="306">
        <f>(AS12+AS18)*'Amenity Dashboard'!$B$24</f>
        <v>28873.454400000002</v>
      </c>
      <c r="AT22" s="306">
        <f>(AT12+AT18)*'Amenity Dashboard'!$B$24</f>
        <v>67130.781480000005</v>
      </c>
      <c r="AU22" s="306">
        <f>(AU12+AU18)*'Amenity Dashboard'!$B$24</f>
        <v>67130.781480000005</v>
      </c>
      <c r="AV22" s="306">
        <f>(AV12+AV18)*'Amenity Dashboard'!$B$24</f>
        <v>60634.254240000002</v>
      </c>
      <c r="AW22" s="306">
        <f>(AW12+AW18)*'Amenity Dashboard'!$B$24</f>
        <v>59671.805760000003</v>
      </c>
      <c r="AX22" s="306">
        <f>(AX12+AX18)*'Amenity Dashboard'!$B$24</f>
        <v>14436.727200000001</v>
      </c>
      <c r="AY22" s="306">
        <f>(AY12+AY18)*'Amenity Dashboard'!$B$24</f>
        <v>29835.902880000001</v>
      </c>
      <c r="AZ22" s="306">
        <f>(AZ12+AZ18)*'Amenity Dashboard'!$B$24</f>
        <v>111523.71762000002</v>
      </c>
      <c r="BA22" s="306">
        <f>(BA12+BA18)*'Amenity Dashboard'!$B$24</f>
        <v>122923.91986560002</v>
      </c>
      <c r="BB22" s="306">
        <f>(BB12+BB18)*'Amenity Dashboard'!$B$24</f>
        <v>115241.17487400002</v>
      </c>
      <c r="BC22" s="306">
        <f>(BC12+BC18)*'Amenity Dashboard'!$B$24</f>
        <v>96653.888604000022</v>
      </c>
      <c r="BD22" s="306">
        <f>(BD12+BD18)*'Amenity Dashboard'!$B$24</f>
        <v>30730.979966400006</v>
      </c>
      <c r="BE22" s="306">
        <f>(BE12+BE18)*'Amenity Dashboard'!$B$24</f>
        <v>29739.658032000007</v>
      </c>
      <c r="BF22" s="306">
        <f>(BF12+BF18)*'Amenity Dashboard'!$B$24</f>
        <v>69144.704924400008</v>
      </c>
      <c r="BG22" s="306">
        <f>(BG12+BG18)*'Amenity Dashboard'!$B$24</f>
        <v>69144.704924400008</v>
      </c>
      <c r="BH22" s="306">
        <f>(BH12+BH18)*'Amenity Dashboard'!$B$24</f>
        <v>62453.281867200007</v>
      </c>
      <c r="BI22" s="306">
        <f>(BI12+BI18)*'Amenity Dashboard'!$B$24</f>
        <v>61461.959932800011</v>
      </c>
      <c r="BJ22" s="306">
        <f>(BJ12+BJ18)*'Amenity Dashboard'!$B$24</f>
        <v>14869.829016000003</v>
      </c>
      <c r="BK22" s="306">
        <f>(BK12+BK18)*'Amenity Dashboard'!$B$24</f>
        <v>30730.979966400006</v>
      </c>
      <c r="BL22" s="306">
        <f>(BL12+BL18)*'Amenity Dashboard'!$B$24</f>
        <v>114869.42914860001</v>
      </c>
      <c r="BM22" s="306">
        <f>(BM12+BM18)*'Amenity Dashboard'!$B$24</f>
        <v>126611.63746156803</v>
      </c>
      <c r="BN22" s="306">
        <f>(BN12+BN18)*'Amenity Dashboard'!$B$24</f>
        <v>118698.41012022003</v>
      </c>
      <c r="BO22" s="306">
        <f>(BO12+BO18)*'Amenity Dashboard'!$B$24</f>
        <v>99553.505262120016</v>
      </c>
      <c r="BP22" s="306">
        <f>(BP12+BP18)*'Amenity Dashboard'!$B$24</f>
        <v>31652.909365392006</v>
      </c>
      <c r="BQ22" s="306">
        <f>(BQ12+BQ18)*'Amenity Dashboard'!$B$24</f>
        <v>30631.847772960005</v>
      </c>
      <c r="BR22" s="306">
        <f>(BR12+BR18)*'Amenity Dashboard'!$B$24</f>
        <v>71219.046072132012</v>
      </c>
      <c r="BS22" s="306">
        <f>(BS12+BS18)*'Amenity Dashboard'!$B$24</f>
        <v>71219.046072132012</v>
      </c>
      <c r="BT22" s="306">
        <f>(BT12+BT18)*'Amenity Dashboard'!$B$24</f>
        <v>66624.268906188008</v>
      </c>
      <c r="BU22" s="306">
        <f>(BU12+BU18)*'Amenity Dashboard'!$B$24</f>
        <v>63305.818730784013</v>
      </c>
      <c r="BV22" s="306">
        <f>(BV12+BV18)*'Amenity Dashboard'!$B$24</f>
        <v>15315.923886480003</v>
      </c>
      <c r="BW22" s="306">
        <f>(BW12+BW18)*'Amenity Dashboard'!$B$24</f>
        <v>31652.909365392006</v>
      </c>
      <c r="BX22" s="306">
        <f>(BX12+BX18)*'Amenity Dashboard'!$B$24</f>
        <v>118315.51202305802</v>
      </c>
      <c r="BY22" s="306">
        <f>(BY12+BY18)*'Amenity Dashboard'!$B$24</f>
        <v>130409.98658541507</v>
      </c>
      <c r="BZ22" s="306">
        <f>(BZ12+BZ18)*'Amenity Dashboard'!$B$24</f>
        <v>122259.36242382662</v>
      </c>
      <c r="CA22" s="306">
        <f>(CA12+CA18)*'Amenity Dashboard'!$B$24</f>
        <v>102540.11041998363</v>
      </c>
      <c r="CB22" s="306">
        <f>(CB12+CB18)*'Amenity Dashboard'!$B$24</f>
        <v>32602.496646353768</v>
      </c>
      <c r="CC22" s="306">
        <f>(CC12+CC18)*'Amenity Dashboard'!$B$24</f>
        <v>31550.803206148805</v>
      </c>
      <c r="CD22" s="306">
        <f>(CD12+CD18)*'Amenity Dashboard'!$B$24</f>
        <v>73355.617454295978</v>
      </c>
      <c r="CE22" s="306">
        <f>(CE12+CE18)*'Amenity Dashboard'!$B$24</f>
        <v>73355.617454295978</v>
      </c>
      <c r="CF22" s="306">
        <f>(CF12+CF18)*'Amenity Dashboard'!$B$24</f>
        <v>66256.68673291248</v>
      </c>
      <c r="CG22" s="306">
        <f>(CG12+CG18)*'Amenity Dashboard'!$B$24</f>
        <v>65204.993292707535</v>
      </c>
      <c r="CH22" s="306">
        <f>(CH12+CH18)*'Amenity Dashboard'!$B$24</f>
        <v>15775.401603074402</v>
      </c>
      <c r="CI22" s="306">
        <f>(CI12+CI18)*'Amenity Dashboard'!$B$24</f>
        <v>32602.496646353768</v>
      </c>
      <c r="CJ22" s="306">
        <f>(CJ12+CJ18)*'Amenity Dashboard'!$B$24</f>
        <v>121864.97738374973</v>
      </c>
      <c r="CK22" s="306">
        <f>(CK12+CK18)*'Amenity Dashboard'!$B$24</f>
        <v>134322.28618297749</v>
      </c>
      <c r="CL22" s="306">
        <f>(CL12+CL18)*'Amenity Dashboard'!$B$24</f>
        <v>125927.1432965414</v>
      </c>
      <c r="CM22" s="306">
        <f>(CM12+CM18)*'Amenity Dashboard'!$B$24</f>
        <v>105616.31373258312</v>
      </c>
      <c r="CN22" s="306">
        <f>(CN12+CN18)*'Amenity Dashboard'!$B$24</f>
        <v>33580.571545744373</v>
      </c>
      <c r="CO22" s="306">
        <f>(CO12+CO18)*'Amenity Dashboard'!$B$24</f>
        <v>32497.327302333266</v>
      </c>
      <c r="CP22" s="306">
        <f>(CP12+CP18)*'Amenity Dashboard'!$B$24</f>
        <v>75556.285977924839</v>
      </c>
      <c r="CQ22" s="306">
        <f>(CQ12+CQ18)*'Amenity Dashboard'!$B$24</f>
        <v>75556.285977924839</v>
      </c>
      <c r="CR22" s="306">
        <f>(CR12+CR18)*'Amenity Dashboard'!$B$24</f>
        <v>68244.38733489986</v>
      </c>
      <c r="CS22" s="306">
        <f>(CS12+CS18)*'Amenity Dashboard'!$B$24</f>
        <v>67161.143091488746</v>
      </c>
      <c r="CT22" s="306">
        <f>(CT12+CT18)*'Amenity Dashboard'!$B$24</f>
        <v>16248.663651166633</v>
      </c>
      <c r="CU22" s="306">
        <f>(CU12+CU18)*'Amenity Dashboard'!$B$24</f>
        <v>33580.571545744373</v>
      </c>
      <c r="CV22" s="306">
        <f>(CV12+CV18)*'Amenity Dashboard'!$B$24</f>
        <v>125520.92670526225</v>
      </c>
      <c r="CW22" s="306">
        <f>(CW12+CW18)*'Amenity Dashboard'!$B$24</f>
        <v>138351.95476846685</v>
      </c>
      <c r="CX22" s="306">
        <f>(CX12+CX18)*'Amenity Dashboard'!$B$24</f>
        <v>129704.95759543765</v>
      </c>
      <c r="CY22" s="306">
        <f>(CY12+CY18)*'Amenity Dashboard'!$B$24</f>
        <v>108784.80314456062</v>
      </c>
      <c r="CZ22" s="306">
        <f>(CZ12+CZ18)*'Amenity Dashboard'!$B$24</f>
        <v>34587.988692116713</v>
      </c>
      <c r="DA22" s="306">
        <f>(DA12+DA18)*'Amenity Dashboard'!$B$24</f>
        <v>33472.247121403263</v>
      </c>
      <c r="DB22" s="306">
        <f>(DB12+DB18)*'Amenity Dashboard'!$B$24</f>
        <v>77822.974557262598</v>
      </c>
      <c r="DC22" s="306">
        <f>(DC12+DC18)*'Amenity Dashboard'!$B$24</f>
        <v>77822.974557262598</v>
      </c>
      <c r="DD22" s="306">
        <f>(DD12+DD18)*'Amenity Dashboard'!$B$24</f>
        <v>70291.718954946846</v>
      </c>
      <c r="DE22" s="306">
        <f>(DE12+DE18)*'Amenity Dashboard'!$B$24</f>
        <v>69175.977384233425</v>
      </c>
      <c r="DF22" s="306">
        <f>(DF12+DF18)*'Amenity Dashboard'!$B$24</f>
        <v>16736.123560701632</v>
      </c>
      <c r="DG22" s="306">
        <f>(DG12+DG18)*'Amenity Dashboard'!$B$24</f>
        <v>34587.988692116713</v>
      </c>
      <c r="DH22" s="306">
        <f>(DH12+DH18)*'Amenity Dashboard'!$B$24</f>
        <v>129286.55450642011</v>
      </c>
      <c r="DI22" s="306">
        <f>(DI12+DI18)*'Amenity Dashboard'!$B$24</f>
        <v>142502.51341152083</v>
      </c>
      <c r="DJ22" s="306">
        <f>(DJ12+DJ18)*'Amenity Dashboard'!$B$24</f>
        <v>133596.10632330077</v>
      </c>
      <c r="DK22" s="306">
        <f>(DK12+DK18)*'Amenity Dashboard'!$B$24</f>
        <v>112048.34723889743</v>
      </c>
      <c r="DL22" s="306">
        <f>(DL12+DL18)*'Amenity Dashboard'!$B$24</f>
        <v>35625.628352880209</v>
      </c>
      <c r="DM22" s="306">
        <f>(DM12+DM18)*'Amenity Dashboard'!$B$24</f>
        <v>34476.414535045362</v>
      </c>
      <c r="DN22" s="306">
        <f>(DN12+DN18)*'Amenity Dashboard'!$B$24</f>
        <v>80157.663793980464</v>
      </c>
      <c r="DO22" s="306">
        <f>(DO12+DO18)*'Amenity Dashboard'!$B$24</f>
        <v>80157.663793980464</v>
      </c>
      <c r="DP22" s="306">
        <f>(DP12+DP18)*'Amenity Dashboard'!$B$24</f>
        <v>74986.201613723664</v>
      </c>
      <c r="DQ22" s="306">
        <f>(DQ12+DQ18)*'Amenity Dashboard'!$B$24</f>
        <v>71251.256705760417</v>
      </c>
      <c r="DR22" s="306">
        <f>(DR12+DR18)*'Amenity Dashboard'!$B$24</f>
        <v>17238.207267522681</v>
      </c>
      <c r="DS22" s="306">
        <f>(DS12+DS18)*'Amenity Dashboard'!$B$24</f>
        <v>35625.628352880209</v>
      </c>
      <c r="DT22" s="306">
        <f>(DT12+DT18)*'Amenity Dashboard'!$B$24</f>
        <v>133165.15114161273</v>
      </c>
      <c r="DU22" s="306">
        <f>(DU12+DU18)*'Amenity Dashboard'!$B$24</f>
        <v>146777.58881386646</v>
      </c>
      <c r="DV22" s="306">
        <f>(DV12+DV18)*'Amenity Dashboard'!$B$24</f>
        <v>137603.9895129998</v>
      </c>
      <c r="DW22" s="306">
        <f>(DW12+DW18)*'Amenity Dashboard'!$B$24</f>
        <v>115409.79765606436</v>
      </c>
      <c r="DX22" s="306">
        <f>(DX12+DX18)*'Amenity Dashboard'!$B$24</f>
        <v>36694.397203466615</v>
      </c>
      <c r="DY22" s="306">
        <f>(DY12+DY18)*'Amenity Dashboard'!$B$24</f>
        <v>35510.706971096726</v>
      </c>
      <c r="DZ22" s="306">
        <f>(DZ12+DZ18)*'Amenity Dashboard'!$B$24</f>
        <v>82562.393707799885</v>
      </c>
      <c r="EA22" s="306">
        <f>(EA12+EA18)*'Amenity Dashboard'!$B$24</f>
        <v>82562.393707799885</v>
      </c>
      <c r="EB22" s="306">
        <f>(EB12+EB18)*'Amenity Dashboard'!$B$24</f>
        <v>74572.484639303118</v>
      </c>
      <c r="EC22" s="306">
        <f>(EC12+EC18)*'Amenity Dashboard'!$B$24</f>
        <v>73388.79440693323</v>
      </c>
      <c r="ED22" s="306">
        <f>(ED12+ED18)*'Amenity Dashboard'!$B$24</f>
        <v>17755.353485548363</v>
      </c>
      <c r="EE22" s="306">
        <f>(EE12+EE18)*'Amenity Dashboard'!$B$24</f>
        <v>36694.397203466615</v>
      </c>
    </row>
    <row r="23" spans="2:135" ht="16" thickBot="1" x14ac:dyDescent="0.25">
      <c r="B23" s="259" t="s">
        <v>462</v>
      </c>
      <c r="C23" s="307"/>
      <c r="D23" s="307">
        <f t="shared" ref="D23:BO23" si="19">D22*-0.9</f>
        <v>0</v>
      </c>
      <c r="E23" s="307">
        <f t="shared" si="19"/>
        <v>0</v>
      </c>
      <c r="F23" s="307">
        <f t="shared" si="19"/>
        <v>0</v>
      </c>
      <c r="G23" s="307">
        <f t="shared" si="19"/>
        <v>0</v>
      </c>
      <c r="H23" s="307">
        <f t="shared" si="19"/>
        <v>0</v>
      </c>
      <c r="I23" s="307">
        <f t="shared" si="19"/>
        <v>0</v>
      </c>
      <c r="J23" s="307">
        <f t="shared" si="19"/>
        <v>0</v>
      </c>
      <c r="K23" s="307">
        <f t="shared" si="19"/>
        <v>0</v>
      </c>
      <c r="L23" s="307">
        <f t="shared" si="19"/>
        <v>0</v>
      </c>
      <c r="M23" s="307">
        <f t="shared" si="19"/>
        <v>0</v>
      </c>
      <c r="N23" s="307">
        <f t="shared" si="19"/>
        <v>0</v>
      </c>
      <c r="O23" s="307">
        <f t="shared" si="19"/>
        <v>0</v>
      </c>
      <c r="P23" s="307">
        <f t="shared" si="19"/>
        <v>0</v>
      </c>
      <c r="Q23" s="307">
        <f t="shared" si="19"/>
        <v>0</v>
      </c>
      <c r="R23" s="307">
        <f t="shared" si="19"/>
        <v>0</v>
      </c>
      <c r="S23" s="307">
        <f t="shared" si="19"/>
        <v>0</v>
      </c>
      <c r="T23" s="307">
        <f t="shared" si="19"/>
        <v>0</v>
      </c>
      <c r="U23" s="307">
        <f t="shared" si="19"/>
        <v>0</v>
      </c>
      <c r="V23" s="307">
        <f t="shared" si="19"/>
        <v>0</v>
      </c>
      <c r="W23" s="307">
        <f t="shared" si="19"/>
        <v>0</v>
      </c>
      <c r="X23" s="307">
        <f t="shared" si="19"/>
        <v>0</v>
      </c>
      <c r="Y23" s="307">
        <f t="shared" si="19"/>
        <v>0</v>
      </c>
      <c r="Z23" s="307">
        <f t="shared" si="19"/>
        <v>0</v>
      </c>
      <c r="AA23" s="307">
        <f t="shared" si="19"/>
        <v>0</v>
      </c>
      <c r="AB23" s="307">
        <f t="shared" si="19"/>
        <v>0</v>
      </c>
      <c r="AC23" s="307">
        <f t="shared" si="19"/>
        <v>0</v>
      </c>
      <c r="AD23" s="307">
        <f t="shared" si="19"/>
        <v>0</v>
      </c>
      <c r="AE23" s="307">
        <f t="shared" si="19"/>
        <v>0</v>
      </c>
      <c r="AF23" s="307">
        <f t="shared" si="19"/>
        <v>0</v>
      </c>
      <c r="AG23" s="307">
        <f t="shared" si="19"/>
        <v>-25229.232000000004</v>
      </c>
      <c r="AH23" s="307">
        <f t="shared" si="19"/>
        <v>-58657.964400000012</v>
      </c>
      <c r="AI23" s="307">
        <f t="shared" si="19"/>
        <v>-58657.964400000012</v>
      </c>
      <c r="AJ23" s="307">
        <f t="shared" si="19"/>
        <v>-52981.387199999997</v>
      </c>
      <c r="AK23" s="307">
        <f t="shared" si="19"/>
        <v>-52140.412800000006</v>
      </c>
      <c r="AL23" s="307">
        <f t="shared" si="19"/>
        <v>-12614.616000000002</v>
      </c>
      <c r="AM23" s="307">
        <f t="shared" si="19"/>
        <v>-26070.206400000003</v>
      </c>
      <c r="AN23" s="307">
        <f t="shared" si="19"/>
        <v>-97447.908599999995</v>
      </c>
      <c r="AO23" s="307">
        <f t="shared" si="19"/>
        <v>-107409.25036800001</v>
      </c>
      <c r="AP23" s="307">
        <f t="shared" si="19"/>
        <v>-100696.17222000001</v>
      </c>
      <c r="AQ23" s="307">
        <f t="shared" si="19"/>
        <v>-84454.854120000018</v>
      </c>
      <c r="AR23" s="307">
        <f t="shared" si="19"/>
        <v>-26852.312592000002</v>
      </c>
      <c r="AS23" s="307">
        <f t="shared" si="19"/>
        <v>-25986.108960000001</v>
      </c>
      <c r="AT23" s="307">
        <f t="shared" si="19"/>
        <v>-60417.703332000005</v>
      </c>
      <c r="AU23" s="307">
        <f t="shared" si="19"/>
        <v>-60417.703332000005</v>
      </c>
      <c r="AV23" s="307">
        <f t="shared" si="19"/>
        <v>-54570.828816000001</v>
      </c>
      <c r="AW23" s="307">
        <f t="shared" si="19"/>
        <v>-53704.625184000004</v>
      </c>
      <c r="AX23" s="307">
        <f t="shared" si="19"/>
        <v>-12993.054480000001</v>
      </c>
      <c r="AY23" s="307">
        <f t="shared" si="19"/>
        <v>-26852.312592000002</v>
      </c>
      <c r="AZ23" s="307">
        <f t="shared" si="19"/>
        <v>-100371.34585800003</v>
      </c>
      <c r="BA23" s="307">
        <f t="shared" si="19"/>
        <v>-110631.52787904002</v>
      </c>
      <c r="BB23" s="307">
        <f t="shared" si="19"/>
        <v>-103717.05738660002</v>
      </c>
      <c r="BC23" s="307">
        <f t="shared" si="19"/>
        <v>-86988.499743600027</v>
      </c>
      <c r="BD23" s="307">
        <f t="shared" si="19"/>
        <v>-27657.881969760005</v>
      </c>
      <c r="BE23" s="307">
        <f t="shared" si="19"/>
        <v>-26765.692228800006</v>
      </c>
      <c r="BF23" s="307">
        <f t="shared" si="19"/>
        <v>-62230.234431960009</v>
      </c>
      <c r="BG23" s="307">
        <f t="shared" si="19"/>
        <v>-62230.234431960009</v>
      </c>
      <c r="BH23" s="307">
        <f t="shared" si="19"/>
        <v>-56207.953680480008</v>
      </c>
      <c r="BI23" s="307">
        <f t="shared" si="19"/>
        <v>-55315.763939520009</v>
      </c>
      <c r="BJ23" s="307">
        <f t="shared" si="19"/>
        <v>-13382.846114400003</v>
      </c>
      <c r="BK23" s="307">
        <f t="shared" si="19"/>
        <v>-27657.881969760005</v>
      </c>
      <c r="BL23" s="307">
        <f t="shared" si="19"/>
        <v>-103382.48623374001</v>
      </c>
      <c r="BM23" s="307">
        <f t="shared" si="19"/>
        <v>-113950.47371541122</v>
      </c>
      <c r="BN23" s="307">
        <f t="shared" si="19"/>
        <v>-106828.56910819802</v>
      </c>
      <c r="BO23" s="307">
        <f t="shared" si="19"/>
        <v>-89598.154735908014</v>
      </c>
      <c r="BP23" s="307">
        <f t="shared" ref="BP23:EA23" si="20">BP22*-0.9</f>
        <v>-28487.618428852806</v>
      </c>
      <c r="BQ23" s="307">
        <f t="shared" si="20"/>
        <v>-27568.662995664006</v>
      </c>
      <c r="BR23" s="307">
        <f t="shared" si="20"/>
        <v>-64097.141464918815</v>
      </c>
      <c r="BS23" s="307">
        <f t="shared" si="20"/>
        <v>-64097.141464918815</v>
      </c>
      <c r="BT23" s="307">
        <f t="shared" si="20"/>
        <v>-59961.842015569207</v>
      </c>
      <c r="BU23" s="307">
        <f t="shared" si="20"/>
        <v>-56975.236857705611</v>
      </c>
      <c r="BV23" s="307">
        <f t="shared" si="20"/>
        <v>-13784.331497832003</v>
      </c>
      <c r="BW23" s="307">
        <f t="shared" si="20"/>
        <v>-28487.618428852806</v>
      </c>
      <c r="BX23" s="307">
        <f t="shared" si="20"/>
        <v>-106483.96082075223</v>
      </c>
      <c r="BY23" s="307">
        <f t="shared" si="20"/>
        <v>-117368.98792687357</v>
      </c>
      <c r="BZ23" s="307">
        <f t="shared" si="20"/>
        <v>-110033.42618144397</v>
      </c>
      <c r="CA23" s="307">
        <f t="shared" si="20"/>
        <v>-92286.099377985272</v>
      </c>
      <c r="CB23" s="307">
        <f t="shared" si="20"/>
        <v>-29342.246981718392</v>
      </c>
      <c r="CC23" s="307">
        <f t="shared" si="20"/>
        <v>-28395.722885533924</v>
      </c>
      <c r="CD23" s="307">
        <f t="shared" si="20"/>
        <v>-66020.055708866377</v>
      </c>
      <c r="CE23" s="307">
        <f t="shared" si="20"/>
        <v>-66020.055708866377</v>
      </c>
      <c r="CF23" s="307">
        <f t="shared" si="20"/>
        <v>-59631.01805962123</v>
      </c>
      <c r="CG23" s="307">
        <f t="shared" si="20"/>
        <v>-58684.493963436784</v>
      </c>
      <c r="CH23" s="307">
        <f t="shared" si="20"/>
        <v>-14197.861442766962</v>
      </c>
      <c r="CI23" s="307">
        <f t="shared" si="20"/>
        <v>-29342.246981718392</v>
      </c>
      <c r="CJ23" s="307">
        <f t="shared" si="20"/>
        <v>-109678.47964537477</v>
      </c>
      <c r="CK23" s="307">
        <f t="shared" si="20"/>
        <v>-120890.05756467975</v>
      </c>
      <c r="CL23" s="307">
        <f t="shared" si="20"/>
        <v>-113334.42896688727</v>
      </c>
      <c r="CM23" s="307">
        <f t="shared" si="20"/>
        <v>-95054.682359324812</v>
      </c>
      <c r="CN23" s="307">
        <f t="shared" si="20"/>
        <v>-30222.514391169938</v>
      </c>
      <c r="CO23" s="307">
        <f t="shared" si="20"/>
        <v>-29247.594572099941</v>
      </c>
      <c r="CP23" s="307">
        <f t="shared" si="20"/>
        <v>-68000.657380132354</v>
      </c>
      <c r="CQ23" s="307">
        <f t="shared" si="20"/>
        <v>-68000.657380132354</v>
      </c>
      <c r="CR23" s="307">
        <f t="shared" si="20"/>
        <v>-61419.948601409873</v>
      </c>
      <c r="CS23" s="307">
        <f t="shared" si="20"/>
        <v>-60445.028782339876</v>
      </c>
      <c r="CT23" s="307">
        <f t="shared" si="20"/>
        <v>-14623.79728604997</v>
      </c>
      <c r="CU23" s="307">
        <f t="shared" si="20"/>
        <v>-30222.514391169938</v>
      </c>
      <c r="CV23" s="307">
        <f t="shared" si="20"/>
        <v>-112968.83403473602</v>
      </c>
      <c r="CW23" s="307">
        <f t="shared" si="20"/>
        <v>-124516.75929162017</v>
      </c>
      <c r="CX23" s="307">
        <f t="shared" si="20"/>
        <v>-116734.46183589389</v>
      </c>
      <c r="CY23" s="307">
        <f t="shared" si="20"/>
        <v>-97906.32283010456</v>
      </c>
      <c r="CZ23" s="307">
        <f t="shared" si="20"/>
        <v>-31129.189822905042</v>
      </c>
      <c r="DA23" s="307">
        <f t="shared" si="20"/>
        <v>-30125.022409262936</v>
      </c>
      <c r="DB23" s="307">
        <f t="shared" si="20"/>
        <v>-70040.677101536334</v>
      </c>
      <c r="DC23" s="307">
        <f t="shared" si="20"/>
        <v>-70040.677101536334</v>
      </c>
      <c r="DD23" s="307">
        <f t="shared" si="20"/>
        <v>-63262.547059452161</v>
      </c>
      <c r="DE23" s="307">
        <f t="shared" si="20"/>
        <v>-62258.379645810084</v>
      </c>
      <c r="DF23" s="307">
        <f t="shared" si="20"/>
        <v>-15062.511204631468</v>
      </c>
      <c r="DG23" s="307">
        <f t="shared" si="20"/>
        <v>-31129.189822905042</v>
      </c>
      <c r="DH23" s="307">
        <f t="shared" si="20"/>
        <v>-116357.89905577811</v>
      </c>
      <c r="DI23" s="307">
        <f t="shared" si="20"/>
        <v>-128252.26207036876</v>
      </c>
      <c r="DJ23" s="307">
        <f t="shared" si="20"/>
        <v>-120236.4956909707</v>
      </c>
      <c r="DK23" s="307">
        <f t="shared" si="20"/>
        <v>-100843.51251500769</v>
      </c>
      <c r="DL23" s="307">
        <f t="shared" si="20"/>
        <v>-32063.065517592189</v>
      </c>
      <c r="DM23" s="307">
        <f t="shared" si="20"/>
        <v>-31028.773081540825</v>
      </c>
      <c r="DN23" s="307">
        <f t="shared" si="20"/>
        <v>-72141.897414582418</v>
      </c>
      <c r="DO23" s="307">
        <f t="shared" si="20"/>
        <v>-72141.897414582418</v>
      </c>
      <c r="DP23" s="307">
        <f t="shared" si="20"/>
        <v>-67487.581452351296</v>
      </c>
      <c r="DQ23" s="307">
        <f t="shared" si="20"/>
        <v>-64126.131035184379</v>
      </c>
      <c r="DR23" s="307">
        <f t="shared" si="20"/>
        <v>-15514.386540770412</v>
      </c>
      <c r="DS23" s="307">
        <f t="shared" si="20"/>
        <v>-32063.065517592189</v>
      </c>
      <c r="DT23" s="307">
        <f t="shared" si="20"/>
        <v>-119848.63602745146</v>
      </c>
      <c r="DU23" s="307">
        <f t="shared" si="20"/>
        <v>-132099.82993247983</v>
      </c>
      <c r="DV23" s="307">
        <f t="shared" si="20"/>
        <v>-123843.59056169982</v>
      </c>
      <c r="DW23" s="307">
        <f t="shared" si="20"/>
        <v>-103868.81789045793</v>
      </c>
      <c r="DX23" s="307">
        <f t="shared" si="20"/>
        <v>-33024.957483119957</v>
      </c>
      <c r="DY23" s="307">
        <f t="shared" si="20"/>
        <v>-31959.636273987053</v>
      </c>
      <c r="DZ23" s="307">
        <f t="shared" si="20"/>
        <v>-74306.154337019892</v>
      </c>
      <c r="EA23" s="307">
        <f t="shared" si="20"/>
        <v>-74306.154337019892</v>
      </c>
      <c r="EB23" s="307">
        <f>EB22*-0.9</f>
        <v>-67115.236175372804</v>
      </c>
      <c r="EC23" s="307">
        <f>EC22*-0.9</f>
        <v>-66049.914966239914</v>
      </c>
      <c r="ED23" s="307">
        <f>ED22*-0.9</f>
        <v>-15979.818136993526</v>
      </c>
      <c r="EE23" s="307">
        <f>EE22*-0.9</f>
        <v>-33024.957483119957</v>
      </c>
    </row>
    <row r="24" spans="2:135" ht="17" thickTop="1" thickBot="1" x14ac:dyDescent="0.25">
      <c r="B24" s="270" t="s">
        <v>463</v>
      </c>
      <c r="C24" s="308"/>
      <c r="D24" s="308">
        <f t="shared" ref="D24:BO24" si="21">D23+D22</f>
        <v>0</v>
      </c>
      <c r="E24" s="308">
        <f t="shared" si="21"/>
        <v>0</v>
      </c>
      <c r="F24" s="308">
        <f t="shared" si="21"/>
        <v>0</v>
      </c>
      <c r="G24" s="308">
        <f t="shared" si="21"/>
        <v>0</v>
      </c>
      <c r="H24" s="308">
        <f t="shared" si="21"/>
        <v>0</v>
      </c>
      <c r="I24" s="308">
        <f t="shared" si="21"/>
        <v>0</v>
      </c>
      <c r="J24" s="308">
        <f t="shared" si="21"/>
        <v>0</v>
      </c>
      <c r="K24" s="308">
        <f t="shared" si="21"/>
        <v>0</v>
      </c>
      <c r="L24" s="308">
        <f t="shared" si="21"/>
        <v>0</v>
      </c>
      <c r="M24" s="308">
        <f t="shared" si="21"/>
        <v>0</v>
      </c>
      <c r="N24" s="308">
        <f t="shared" si="21"/>
        <v>0</v>
      </c>
      <c r="O24" s="308">
        <f t="shared" si="21"/>
        <v>0</v>
      </c>
      <c r="P24" s="308">
        <f t="shared" si="21"/>
        <v>0</v>
      </c>
      <c r="Q24" s="308">
        <f t="shared" si="21"/>
        <v>0</v>
      </c>
      <c r="R24" s="308">
        <f t="shared" si="21"/>
        <v>0</v>
      </c>
      <c r="S24" s="308">
        <f t="shared" si="21"/>
        <v>0</v>
      </c>
      <c r="T24" s="308">
        <f t="shared" si="21"/>
        <v>0</v>
      </c>
      <c r="U24" s="308">
        <f t="shared" si="21"/>
        <v>0</v>
      </c>
      <c r="V24" s="308">
        <f t="shared" si="21"/>
        <v>0</v>
      </c>
      <c r="W24" s="308">
        <f t="shared" si="21"/>
        <v>0</v>
      </c>
      <c r="X24" s="308">
        <f t="shared" si="21"/>
        <v>0</v>
      </c>
      <c r="Y24" s="308">
        <f t="shared" si="21"/>
        <v>0</v>
      </c>
      <c r="Z24" s="308">
        <f t="shared" si="21"/>
        <v>0</v>
      </c>
      <c r="AA24" s="308">
        <f t="shared" si="21"/>
        <v>0</v>
      </c>
      <c r="AB24" s="308">
        <f t="shared" si="21"/>
        <v>0</v>
      </c>
      <c r="AC24" s="308">
        <f t="shared" si="21"/>
        <v>0</v>
      </c>
      <c r="AD24" s="308">
        <f t="shared" si="21"/>
        <v>0</v>
      </c>
      <c r="AE24" s="308">
        <f t="shared" si="21"/>
        <v>0</v>
      </c>
      <c r="AF24" s="308">
        <f t="shared" si="21"/>
        <v>0</v>
      </c>
      <c r="AG24" s="308">
        <f t="shared" si="21"/>
        <v>2803.2479999999996</v>
      </c>
      <c r="AH24" s="308">
        <f t="shared" si="21"/>
        <v>6517.5515999999989</v>
      </c>
      <c r="AI24" s="308">
        <f t="shared" si="21"/>
        <v>6517.5515999999989</v>
      </c>
      <c r="AJ24" s="308">
        <f t="shared" si="21"/>
        <v>5886.8208000000013</v>
      </c>
      <c r="AK24" s="308">
        <f t="shared" si="21"/>
        <v>5793.379200000003</v>
      </c>
      <c r="AL24" s="308">
        <f t="shared" si="21"/>
        <v>1401.6239999999998</v>
      </c>
      <c r="AM24" s="308">
        <f t="shared" si="21"/>
        <v>2896.6896000000015</v>
      </c>
      <c r="AN24" s="308">
        <f t="shared" si="21"/>
        <v>10827.545400000003</v>
      </c>
      <c r="AO24" s="308">
        <f t="shared" si="21"/>
        <v>11934.361151999998</v>
      </c>
      <c r="AP24" s="308">
        <f t="shared" si="21"/>
        <v>11188.463579999996</v>
      </c>
      <c r="AQ24" s="308">
        <f t="shared" si="21"/>
        <v>9383.8726800000004</v>
      </c>
      <c r="AR24" s="308">
        <f t="shared" si="21"/>
        <v>2983.5902879999994</v>
      </c>
      <c r="AS24" s="308">
        <f t="shared" si="21"/>
        <v>2887.345440000001</v>
      </c>
      <c r="AT24" s="308">
        <f t="shared" si="21"/>
        <v>6713.0781480000005</v>
      </c>
      <c r="AU24" s="308">
        <f t="shared" si="21"/>
        <v>6713.0781480000005</v>
      </c>
      <c r="AV24" s="308">
        <f t="shared" si="21"/>
        <v>6063.4254240000009</v>
      </c>
      <c r="AW24" s="308">
        <f t="shared" si="21"/>
        <v>5967.1805759999988</v>
      </c>
      <c r="AX24" s="308">
        <f t="shared" si="21"/>
        <v>1443.6727200000005</v>
      </c>
      <c r="AY24" s="308">
        <f t="shared" si="21"/>
        <v>2983.5902879999994</v>
      </c>
      <c r="AZ24" s="308">
        <f t="shared" si="21"/>
        <v>11152.371761999995</v>
      </c>
      <c r="BA24" s="308">
        <f t="shared" si="21"/>
        <v>12292.391986560004</v>
      </c>
      <c r="BB24" s="308">
        <f t="shared" si="21"/>
        <v>11524.117487399999</v>
      </c>
      <c r="BC24" s="308">
        <f t="shared" si="21"/>
        <v>9665.3888603999949</v>
      </c>
      <c r="BD24" s="308">
        <f t="shared" si="21"/>
        <v>3073.0979966400009</v>
      </c>
      <c r="BE24" s="308">
        <f t="shared" si="21"/>
        <v>2973.9658032000007</v>
      </c>
      <c r="BF24" s="308">
        <f t="shared" si="21"/>
        <v>6914.4704924399994</v>
      </c>
      <c r="BG24" s="308">
        <f t="shared" si="21"/>
        <v>6914.4704924399994</v>
      </c>
      <c r="BH24" s="308">
        <f t="shared" si="21"/>
        <v>6245.3281867199985</v>
      </c>
      <c r="BI24" s="308">
        <f t="shared" si="21"/>
        <v>6146.1959932800019</v>
      </c>
      <c r="BJ24" s="308">
        <f t="shared" si="21"/>
        <v>1486.9829016000003</v>
      </c>
      <c r="BK24" s="308">
        <f t="shared" si="21"/>
        <v>3073.0979966400009</v>
      </c>
      <c r="BL24" s="308">
        <f t="shared" si="21"/>
        <v>11486.942914860003</v>
      </c>
      <c r="BM24" s="308">
        <f t="shared" si="21"/>
        <v>12661.163746156803</v>
      </c>
      <c r="BN24" s="308">
        <f t="shared" si="21"/>
        <v>11869.841012022007</v>
      </c>
      <c r="BO24" s="308">
        <f t="shared" si="21"/>
        <v>9955.3505262120016</v>
      </c>
      <c r="BP24" s="308">
        <f t="shared" ref="BP24:EA24" si="22">BP23+BP22</f>
        <v>3165.2909365392006</v>
      </c>
      <c r="BQ24" s="308">
        <f t="shared" si="22"/>
        <v>3063.1847772959991</v>
      </c>
      <c r="BR24" s="308">
        <f t="shared" si="22"/>
        <v>7121.9046072131969</v>
      </c>
      <c r="BS24" s="308">
        <f t="shared" si="22"/>
        <v>7121.9046072131969</v>
      </c>
      <c r="BT24" s="308">
        <f t="shared" si="22"/>
        <v>6662.4268906188008</v>
      </c>
      <c r="BU24" s="308">
        <f t="shared" si="22"/>
        <v>6330.5818730784013</v>
      </c>
      <c r="BV24" s="308">
        <f t="shared" si="22"/>
        <v>1531.5923886479995</v>
      </c>
      <c r="BW24" s="308">
        <f t="shared" si="22"/>
        <v>3165.2909365392006</v>
      </c>
      <c r="BX24" s="308">
        <f t="shared" si="22"/>
        <v>11831.551202305796</v>
      </c>
      <c r="BY24" s="308">
        <f t="shared" si="22"/>
        <v>13040.998658541503</v>
      </c>
      <c r="BZ24" s="308">
        <f t="shared" si="22"/>
        <v>12225.936242382653</v>
      </c>
      <c r="CA24" s="308">
        <f t="shared" si="22"/>
        <v>10254.011041998354</v>
      </c>
      <c r="CB24" s="308">
        <f t="shared" si="22"/>
        <v>3260.2496646353757</v>
      </c>
      <c r="CC24" s="308">
        <f t="shared" si="22"/>
        <v>3155.0803206148812</v>
      </c>
      <c r="CD24" s="308">
        <f t="shared" si="22"/>
        <v>7335.5617454296007</v>
      </c>
      <c r="CE24" s="308">
        <f t="shared" si="22"/>
        <v>7335.5617454296007</v>
      </c>
      <c r="CF24" s="308">
        <f t="shared" si="22"/>
        <v>6625.6686732912494</v>
      </c>
      <c r="CG24" s="308">
        <f t="shared" si="22"/>
        <v>6520.4993292707513</v>
      </c>
      <c r="CH24" s="308">
        <f t="shared" si="22"/>
        <v>1577.5401603074406</v>
      </c>
      <c r="CI24" s="308">
        <f t="shared" si="22"/>
        <v>3260.2496646353757</v>
      </c>
      <c r="CJ24" s="308">
        <f t="shared" si="22"/>
        <v>12186.497738374965</v>
      </c>
      <c r="CK24" s="308">
        <f t="shared" si="22"/>
        <v>13432.22861829774</v>
      </c>
      <c r="CL24" s="308">
        <f t="shared" si="22"/>
        <v>12592.714329654133</v>
      </c>
      <c r="CM24" s="308">
        <f t="shared" si="22"/>
        <v>10561.631373258308</v>
      </c>
      <c r="CN24" s="308">
        <f t="shared" si="22"/>
        <v>3358.0571545744351</v>
      </c>
      <c r="CO24" s="308">
        <f t="shared" si="22"/>
        <v>3249.7327302333251</v>
      </c>
      <c r="CP24" s="308">
        <f t="shared" si="22"/>
        <v>7555.6285977924854</v>
      </c>
      <c r="CQ24" s="308">
        <f t="shared" si="22"/>
        <v>7555.6285977924854</v>
      </c>
      <c r="CR24" s="308">
        <f t="shared" si="22"/>
        <v>6824.4387334899875</v>
      </c>
      <c r="CS24" s="308">
        <f t="shared" si="22"/>
        <v>6716.1143091488702</v>
      </c>
      <c r="CT24" s="308">
        <f t="shared" si="22"/>
        <v>1624.8663651166626</v>
      </c>
      <c r="CU24" s="308">
        <f t="shared" si="22"/>
        <v>3358.0571545744351</v>
      </c>
      <c r="CV24" s="308">
        <f t="shared" si="22"/>
        <v>12552.092670526225</v>
      </c>
      <c r="CW24" s="308">
        <f t="shared" si="22"/>
        <v>13835.195476846682</v>
      </c>
      <c r="CX24" s="308">
        <f t="shared" si="22"/>
        <v>12970.495759543759</v>
      </c>
      <c r="CY24" s="308">
        <f t="shared" si="22"/>
        <v>10878.480314456057</v>
      </c>
      <c r="CZ24" s="308">
        <f t="shared" si="22"/>
        <v>3458.7988692116705</v>
      </c>
      <c r="DA24" s="308">
        <f t="shared" si="22"/>
        <v>3347.224712140327</v>
      </c>
      <c r="DB24" s="308">
        <f t="shared" si="22"/>
        <v>7782.2974557262642</v>
      </c>
      <c r="DC24" s="308">
        <f t="shared" si="22"/>
        <v>7782.2974557262642</v>
      </c>
      <c r="DD24" s="308">
        <f t="shared" si="22"/>
        <v>7029.1718954946846</v>
      </c>
      <c r="DE24" s="308">
        <f t="shared" si="22"/>
        <v>6917.5977384233411</v>
      </c>
      <c r="DF24" s="308">
        <f t="shared" si="22"/>
        <v>1673.6123560701635</v>
      </c>
      <c r="DG24" s="308">
        <f t="shared" si="22"/>
        <v>3458.7988692116705</v>
      </c>
      <c r="DH24" s="308">
        <f t="shared" si="22"/>
        <v>12928.655450642007</v>
      </c>
      <c r="DI24" s="308">
        <f t="shared" si="22"/>
        <v>14250.251341152078</v>
      </c>
      <c r="DJ24" s="308">
        <f t="shared" si="22"/>
        <v>13359.610632330077</v>
      </c>
      <c r="DK24" s="308">
        <f t="shared" si="22"/>
        <v>11204.83472388974</v>
      </c>
      <c r="DL24" s="308">
        <f t="shared" si="22"/>
        <v>3562.5628352880194</v>
      </c>
      <c r="DM24" s="308">
        <f t="shared" si="22"/>
        <v>3447.6414535045369</v>
      </c>
      <c r="DN24" s="308">
        <f t="shared" si="22"/>
        <v>8015.7663793980464</v>
      </c>
      <c r="DO24" s="308">
        <f t="shared" si="22"/>
        <v>8015.7663793980464</v>
      </c>
      <c r="DP24" s="308">
        <f t="shared" si="22"/>
        <v>7498.6201613723679</v>
      </c>
      <c r="DQ24" s="308">
        <f t="shared" si="22"/>
        <v>7125.1256705760388</v>
      </c>
      <c r="DR24" s="308">
        <f t="shared" si="22"/>
        <v>1723.8207267522685</v>
      </c>
      <c r="DS24" s="308">
        <f t="shared" si="22"/>
        <v>3562.5628352880194</v>
      </c>
      <c r="DT24" s="308">
        <f t="shared" si="22"/>
        <v>13316.515114161273</v>
      </c>
      <c r="DU24" s="308">
        <f t="shared" si="22"/>
        <v>14677.758881386631</v>
      </c>
      <c r="DV24" s="308">
        <f t="shared" si="22"/>
        <v>13760.398951299983</v>
      </c>
      <c r="DW24" s="308">
        <f t="shared" si="22"/>
        <v>11540.979765606433</v>
      </c>
      <c r="DX24" s="308">
        <f t="shared" si="22"/>
        <v>3669.4397203466579</v>
      </c>
      <c r="DY24" s="308">
        <f t="shared" si="22"/>
        <v>3551.0706971096733</v>
      </c>
      <c r="DZ24" s="308">
        <f t="shared" si="22"/>
        <v>8256.2393707799929</v>
      </c>
      <c r="EA24" s="308">
        <f t="shared" si="22"/>
        <v>8256.2393707799929</v>
      </c>
      <c r="EB24" s="308">
        <f>EB23+EB22</f>
        <v>7457.2484639303148</v>
      </c>
      <c r="EC24" s="308">
        <f>EC23+EC22</f>
        <v>7338.8794406933157</v>
      </c>
      <c r="ED24" s="308">
        <f>ED23+ED22</f>
        <v>1775.5353485548367</v>
      </c>
      <c r="EE24" s="308">
        <f>EE23+EE22</f>
        <v>3669.4397203466579</v>
      </c>
    </row>
    <row r="25" spans="2:135" ht="16" thickTop="1" x14ac:dyDescent="0.2"/>
    <row r="26" spans="2:135" x14ac:dyDescent="0.2">
      <c r="B26" s="294" t="s">
        <v>434</v>
      </c>
      <c r="C26" s="306"/>
      <c r="D26" s="306">
        <f>(D12+D18)*'Amenity Dashboard'!$B$28</f>
        <v>0</v>
      </c>
      <c r="E26" s="306">
        <f>(E12+E18)*'Amenity Dashboard'!$B$28</f>
        <v>0</v>
      </c>
      <c r="F26" s="306">
        <f>(F12+F18)*'Amenity Dashboard'!$B$28</f>
        <v>0</v>
      </c>
      <c r="G26" s="306">
        <f>(G12+G18)*'Amenity Dashboard'!$B$28</f>
        <v>0</v>
      </c>
      <c r="H26" s="306">
        <f>(H12+H18)*'Amenity Dashboard'!$B$28</f>
        <v>0</v>
      </c>
      <c r="I26" s="306">
        <f>(I12+I18)*'Amenity Dashboard'!$B$28</f>
        <v>0</v>
      </c>
      <c r="J26" s="306">
        <f>(J12+J18)*'Amenity Dashboard'!$B$28</f>
        <v>0</v>
      </c>
      <c r="K26" s="306">
        <f>(K12+K18)*'Amenity Dashboard'!$B$28</f>
        <v>0</v>
      </c>
      <c r="L26" s="306">
        <f>(L12+L18)*'Amenity Dashboard'!$B$28</f>
        <v>0</v>
      </c>
      <c r="M26" s="306">
        <f>(M12+M18)*'Amenity Dashboard'!$B$28</f>
        <v>0</v>
      </c>
      <c r="N26" s="306">
        <f>(N12+N18)*'Amenity Dashboard'!$B$28</f>
        <v>0</v>
      </c>
      <c r="O26" s="306">
        <f>(O12+O18)*'Amenity Dashboard'!$B$28</f>
        <v>0</v>
      </c>
      <c r="P26" s="306">
        <f>(P12+P18)*'Amenity Dashboard'!$B$28</f>
        <v>37800</v>
      </c>
      <c r="Q26" s="306">
        <f>(Q12+Q18)*'Amenity Dashboard'!$B$28</f>
        <v>41664</v>
      </c>
      <c r="R26" s="306">
        <f>(R12+R18)*'Amenity Dashboard'!$B$28</f>
        <v>39060</v>
      </c>
      <c r="S26" s="306">
        <f>(S12+S18)*'Amenity Dashboard'!$B$28</f>
        <v>32760</v>
      </c>
      <c r="T26" s="306">
        <f>(T12+T18)*'Amenity Dashboard'!$B$28</f>
        <v>10416</v>
      </c>
      <c r="U26" s="306">
        <f>(U12+U18)*'Amenity Dashboard'!$B$28</f>
        <v>10080</v>
      </c>
      <c r="V26" s="306">
        <f>(V12+V18)*'Amenity Dashboard'!$B$28</f>
        <v>23436</v>
      </c>
      <c r="W26" s="306">
        <f>(W12+W18)*'Amenity Dashboard'!$B$28</f>
        <v>23436</v>
      </c>
      <c r="X26" s="306">
        <f>(X12+X18)*'Amenity Dashboard'!$B$28</f>
        <v>21924</v>
      </c>
      <c r="Y26" s="306">
        <f>(Y12+Y18)*'Amenity Dashboard'!$B$28</f>
        <v>20832</v>
      </c>
      <c r="Z26" s="306">
        <f>(Z12+Z18)*'Amenity Dashboard'!$B$28</f>
        <v>5040</v>
      </c>
      <c r="AA26" s="306">
        <f>(AA12+AA18)*'Amenity Dashboard'!$B$28</f>
        <v>10416</v>
      </c>
      <c r="AB26" s="306">
        <f>(AB12+AB18)*'Amenity Dashboard'!$B$28</f>
        <v>38934</v>
      </c>
      <c r="AC26" s="306">
        <f>(AC12+AC18)*'Amenity Dashboard'!$B$28</f>
        <v>42913.920000000006</v>
      </c>
      <c r="AD26" s="306">
        <f>(AD12+AD18)*'Amenity Dashboard'!$B$28</f>
        <v>40231.800000000003</v>
      </c>
      <c r="AE26" s="306">
        <f>(AE12+AE18)*'Amenity Dashboard'!$B$28</f>
        <v>33742.800000000003</v>
      </c>
      <c r="AF26" s="306">
        <f>(AF12+AF18)*'Amenity Dashboard'!$B$28</f>
        <v>10728.480000000001</v>
      </c>
      <c r="AG26" s="306">
        <f>(AG12+AG18)*'Amenity Dashboard'!$B$28</f>
        <v>20764.800000000003</v>
      </c>
      <c r="AH26" s="306">
        <f>(AH12+AH18)*'Amenity Dashboard'!$B$28</f>
        <v>48278.16</v>
      </c>
      <c r="AI26" s="306">
        <f>(AI12+AI18)*'Amenity Dashboard'!$B$28</f>
        <v>48278.16</v>
      </c>
      <c r="AJ26" s="306">
        <f>(AJ12+AJ18)*'Amenity Dashboard'!$B$28</f>
        <v>43606.080000000002</v>
      </c>
      <c r="AK26" s="306">
        <f>(AK12+AK18)*'Amenity Dashboard'!$B$28</f>
        <v>42913.920000000006</v>
      </c>
      <c r="AL26" s="306">
        <f>(AL12+AL18)*'Amenity Dashboard'!$B$28</f>
        <v>10382.400000000001</v>
      </c>
      <c r="AM26" s="306">
        <f>(AM12+AM18)*'Amenity Dashboard'!$B$28</f>
        <v>21456.960000000003</v>
      </c>
      <c r="AN26" s="306">
        <f>(AN12+AN18)*'Amenity Dashboard'!$B$28</f>
        <v>80204.039999999994</v>
      </c>
      <c r="AO26" s="306">
        <f>(AO12+AO18)*'Amenity Dashboard'!$B$28</f>
        <v>88402.675199999998</v>
      </c>
      <c r="AP26" s="306">
        <f>(AP12+AP18)*'Amenity Dashboard'!$B$28</f>
        <v>82877.508000000002</v>
      </c>
      <c r="AQ26" s="306">
        <f>(AQ12+AQ18)*'Amenity Dashboard'!$B$28</f>
        <v>69510.168000000005</v>
      </c>
      <c r="AR26" s="306">
        <f>(AR12+AR18)*'Amenity Dashboard'!$B$28</f>
        <v>22100.668799999999</v>
      </c>
      <c r="AS26" s="306">
        <f>(AS12+AS18)*'Amenity Dashboard'!$B$28</f>
        <v>21387.744000000002</v>
      </c>
      <c r="AT26" s="306">
        <f>(AT12+AT18)*'Amenity Dashboard'!$B$28</f>
        <v>49726.504800000002</v>
      </c>
      <c r="AU26" s="306">
        <f>(AU12+AU18)*'Amenity Dashboard'!$B$28</f>
        <v>49726.504800000002</v>
      </c>
      <c r="AV26" s="306">
        <f>(AV12+AV18)*'Amenity Dashboard'!$B$28</f>
        <v>44914.262400000007</v>
      </c>
      <c r="AW26" s="306">
        <f>(AW12+AW18)*'Amenity Dashboard'!$B$28</f>
        <v>44201.337599999999</v>
      </c>
      <c r="AX26" s="306">
        <f>(AX12+AX18)*'Amenity Dashboard'!$B$28</f>
        <v>10693.872000000001</v>
      </c>
      <c r="AY26" s="306">
        <f>(AY12+AY18)*'Amenity Dashboard'!$B$28</f>
        <v>22100.668799999999</v>
      </c>
      <c r="AZ26" s="306">
        <f>(AZ12+AZ18)*'Amenity Dashboard'!$B$28</f>
        <v>82610.161200000017</v>
      </c>
      <c r="BA26" s="306">
        <f>(BA12+BA18)*'Amenity Dashboard'!$B$28</f>
        <v>91054.755456000014</v>
      </c>
      <c r="BB26" s="306">
        <f>(BB12+BB18)*'Amenity Dashboard'!$B$28</f>
        <v>85363.833240000007</v>
      </c>
      <c r="BC26" s="306">
        <f>(BC12+BC18)*'Amenity Dashboard'!$B$28</f>
        <v>71595.473040000012</v>
      </c>
      <c r="BD26" s="306">
        <f>(BD12+BD18)*'Amenity Dashboard'!$B$28</f>
        <v>22763.688864000003</v>
      </c>
      <c r="BE26" s="306">
        <f>(BE12+BE18)*'Amenity Dashboard'!$B$28</f>
        <v>22029.376320000007</v>
      </c>
      <c r="BF26" s="306">
        <f>(BF12+BF18)*'Amenity Dashboard'!$B$28</f>
        <v>51218.299944000006</v>
      </c>
      <c r="BG26" s="306">
        <f>(BG12+BG18)*'Amenity Dashboard'!$B$28</f>
        <v>51218.299944000006</v>
      </c>
      <c r="BH26" s="306">
        <f>(BH12+BH18)*'Amenity Dashboard'!$B$28</f>
        <v>46261.690272000007</v>
      </c>
      <c r="BI26" s="306">
        <f>(BI12+BI18)*'Amenity Dashboard'!$B$28</f>
        <v>45527.377728000007</v>
      </c>
      <c r="BJ26" s="306">
        <f>(BJ12+BJ18)*'Amenity Dashboard'!$B$28</f>
        <v>11014.688160000003</v>
      </c>
      <c r="BK26" s="306">
        <f>(BK12+BK18)*'Amenity Dashboard'!$B$28</f>
        <v>22763.688864000003</v>
      </c>
      <c r="BL26" s="306">
        <f>(BL12+BL18)*'Amenity Dashboard'!$B$28</f>
        <v>85088.466036000013</v>
      </c>
      <c r="BM26" s="306">
        <f>(BM12+BM18)*'Amenity Dashboard'!$B$28</f>
        <v>93786.398119680016</v>
      </c>
      <c r="BN26" s="306">
        <f>(BN12+BN18)*'Amenity Dashboard'!$B$28</f>
        <v>87924.748237200023</v>
      </c>
      <c r="BO26" s="306">
        <f>(BO12+BO18)*'Amenity Dashboard'!$B$28</f>
        <v>73743.337231199999</v>
      </c>
      <c r="BP26" s="306">
        <f>(BP12+BP18)*'Amenity Dashboard'!$B$28</f>
        <v>23446.599529920004</v>
      </c>
      <c r="BQ26" s="306">
        <f>(BQ12+BQ18)*'Amenity Dashboard'!$B$28</f>
        <v>22690.257609600005</v>
      </c>
      <c r="BR26" s="306">
        <f>(BR12+BR18)*'Amenity Dashboard'!$B$28</f>
        <v>52754.848942320008</v>
      </c>
      <c r="BS26" s="306">
        <f>(BS12+BS18)*'Amenity Dashboard'!$B$28</f>
        <v>52754.848942320008</v>
      </c>
      <c r="BT26" s="306">
        <f>(BT12+BT18)*'Amenity Dashboard'!$B$28</f>
        <v>49351.310300880003</v>
      </c>
      <c r="BU26" s="306">
        <f>(BU12+BU18)*'Amenity Dashboard'!$B$28</f>
        <v>46893.199059840008</v>
      </c>
      <c r="BV26" s="306">
        <f>(BV12+BV18)*'Amenity Dashboard'!$B$28</f>
        <v>11345.128804800002</v>
      </c>
      <c r="BW26" s="306">
        <f>(BW12+BW18)*'Amenity Dashboard'!$B$28</f>
        <v>23446.599529920004</v>
      </c>
      <c r="BX26" s="306">
        <f>(BX12+BX18)*'Amenity Dashboard'!$B$28</f>
        <v>87641.120017080015</v>
      </c>
      <c r="BY26" s="306">
        <f>(BY12+BY18)*'Amenity Dashboard'!$B$28</f>
        <v>96599.990063270423</v>
      </c>
      <c r="BZ26" s="306">
        <f>(BZ12+BZ18)*'Amenity Dashboard'!$B$28</f>
        <v>90562.490684316013</v>
      </c>
      <c r="CA26" s="306">
        <f>(CA12+CA18)*'Amenity Dashboard'!$B$28</f>
        <v>75955.637348136021</v>
      </c>
      <c r="CB26" s="306">
        <f>(CB12+CB18)*'Amenity Dashboard'!$B$28</f>
        <v>24149.997515817606</v>
      </c>
      <c r="CC26" s="306">
        <f>(CC12+CC18)*'Amenity Dashboard'!$B$28</f>
        <v>23370.965337888003</v>
      </c>
      <c r="CD26" s="306">
        <f>(CD12+CD18)*'Amenity Dashboard'!$B$28</f>
        <v>54337.494410589607</v>
      </c>
      <c r="CE26" s="306">
        <f>(CE12+CE18)*'Amenity Dashboard'!$B$28</f>
        <v>54337.494410589607</v>
      </c>
      <c r="CF26" s="306">
        <f>(CF12+CF18)*'Amenity Dashboard'!$B$28</f>
        <v>49079.027209564803</v>
      </c>
      <c r="CG26" s="306">
        <f>(CG12+CG18)*'Amenity Dashboard'!$B$28</f>
        <v>48299.995031635211</v>
      </c>
      <c r="CH26" s="306">
        <f>(CH12+CH18)*'Amenity Dashboard'!$B$28</f>
        <v>11685.482668944001</v>
      </c>
      <c r="CI26" s="306">
        <f>(CI12+CI18)*'Amenity Dashboard'!$B$28</f>
        <v>24149.997515817606</v>
      </c>
      <c r="CJ26" s="306">
        <f>(CJ12+CJ18)*'Amenity Dashboard'!$B$28</f>
        <v>90270.353617592395</v>
      </c>
      <c r="CK26" s="306">
        <f>(CK12+CK18)*'Amenity Dashboard'!$B$28</f>
        <v>99497.989765168517</v>
      </c>
      <c r="CL26" s="306">
        <f>(CL12+CL18)*'Amenity Dashboard'!$B$28</f>
        <v>93279.365404845477</v>
      </c>
      <c r="CM26" s="306">
        <f>(CM12+CM18)*'Amenity Dashboard'!$B$28</f>
        <v>78234.306468580078</v>
      </c>
      <c r="CN26" s="306">
        <f>(CN12+CN18)*'Amenity Dashboard'!$B$28</f>
        <v>24874.497441292129</v>
      </c>
      <c r="CO26" s="306">
        <f>(CO12+CO18)*'Amenity Dashboard'!$B$28</f>
        <v>24072.09429802464</v>
      </c>
      <c r="CP26" s="306">
        <f>(CP12+CP18)*'Amenity Dashboard'!$B$28</f>
        <v>55967.619242907283</v>
      </c>
      <c r="CQ26" s="306">
        <f>(CQ12+CQ18)*'Amenity Dashboard'!$B$28</f>
        <v>55967.619242907283</v>
      </c>
      <c r="CR26" s="306">
        <f>(CR12+CR18)*'Amenity Dashboard'!$B$28</f>
        <v>50551.398025851748</v>
      </c>
      <c r="CS26" s="306">
        <f>(CS12+CS18)*'Amenity Dashboard'!$B$28</f>
        <v>49748.994882584258</v>
      </c>
      <c r="CT26" s="306">
        <f>(CT12+CT18)*'Amenity Dashboard'!$B$28</f>
        <v>12036.04714901232</v>
      </c>
      <c r="CU26" s="306">
        <f>(CU12+CU18)*'Amenity Dashboard'!$B$28</f>
        <v>24874.497441292129</v>
      </c>
      <c r="CV26" s="306">
        <f>(CV12+CV18)*'Amenity Dashboard'!$B$28</f>
        <v>92978.464226120181</v>
      </c>
      <c r="CW26" s="306">
        <f>(CW12+CW18)*'Amenity Dashboard'!$B$28</f>
        <v>102482.92945812359</v>
      </c>
      <c r="CX26" s="306">
        <f>(CX12+CX18)*'Amenity Dashboard'!$B$28</f>
        <v>96077.746366990847</v>
      </c>
      <c r="CY26" s="306">
        <f>(CY12+CY18)*'Amenity Dashboard'!$B$28</f>
        <v>80581.335662637488</v>
      </c>
      <c r="CZ26" s="306">
        <f>(CZ12+CZ18)*'Amenity Dashboard'!$B$28</f>
        <v>25620.732364530897</v>
      </c>
      <c r="DA26" s="306">
        <f>(DA12+DA18)*'Amenity Dashboard'!$B$28</f>
        <v>24794.257126965382</v>
      </c>
      <c r="DB26" s="306">
        <f>(DB12+DB18)*'Amenity Dashboard'!$B$28</f>
        <v>57646.647820194514</v>
      </c>
      <c r="DC26" s="306">
        <f>(DC12+DC18)*'Amenity Dashboard'!$B$28</f>
        <v>57646.647820194514</v>
      </c>
      <c r="DD26" s="306">
        <f>(DD12+DD18)*'Amenity Dashboard'!$B$28</f>
        <v>52067.939966627295</v>
      </c>
      <c r="DE26" s="306">
        <f>(DE12+DE18)*'Amenity Dashboard'!$B$28</f>
        <v>51241.464729061794</v>
      </c>
      <c r="DF26" s="306">
        <f>(DF12+DF18)*'Amenity Dashboard'!$B$28</f>
        <v>12397.128563482691</v>
      </c>
      <c r="DG26" s="306">
        <f>(DG12+DG18)*'Amenity Dashboard'!$B$28</f>
        <v>25620.732364530897</v>
      </c>
      <c r="DH26" s="306">
        <f>(DH12+DH18)*'Amenity Dashboard'!$B$28</f>
        <v>95767.818152903783</v>
      </c>
      <c r="DI26" s="306">
        <f>(DI12+DI18)*'Amenity Dashboard'!$B$28</f>
        <v>105557.41734186729</v>
      </c>
      <c r="DJ26" s="306">
        <f>(DJ12+DJ18)*'Amenity Dashboard'!$B$28</f>
        <v>98960.078758000571</v>
      </c>
      <c r="DK26" s="306">
        <f>(DK12+DK18)*'Amenity Dashboard'!$B$28</f>
        <v>82998.775732516617</v>
      </c>
      <c r="DL26" s="306">
        <f>(DL12+DL18)*'Amenity Dashboard'!$B$28</f>
        <v>26389.354335466822</v>
      </c>
      <c r="DM26" s="306">
        <f>(DM12+DM18)*'Amenity Dashboard'!$B$28</f>
        <v>25538.084840774343</v>
      </c>
      <c r="DN26" s="306">
        <f>(DN12+DN18)*'Amenity Dashboard'!$B$28</f>
        <v>59376.047254800345</v>
      </c>
      <c r="DO26" s="306">
        <f>(DO12+DO18)*'Amenity Dashboard'!$B$28</f>
        <v>59376.047254800345</v>
      </c>
      <c r="DP26" s="306">
        <f>(DP12+DP18)*'Amenity Dashboard'!$B$28</f>
        <v>55545.334528684201</v>
      </c>
      <c r="DQ26" s="306">
        <f>(DQ12+DQ18)*'Amenity Dashboard'!$B$28</f>
        <v>52778.708670933644</v>
      </c>
      <c r="DR26" s="306">
        <f>(DR12+DR18)*'Amenity Dashboard'!$B$28</f>
        <v>12769.042420387172</v>
      </c>
      <c r="DS26" s="306">
        <f>(DS12+DS18)*'Amenity Dashboard'!$B$28</f>
        <v>26389.354335466822</v>
      </c>
      <c r="DT26" s="306">
        <f>(DT12+DT18)*'Amenity Dashboard'!$B$28</f>
        <v>98640.852697490904</v>
      </c>
      <c r="DU26" s="306">
        <f>(DU12+DU18)*'Amenity Dashboard'!$B$28</f>
        <v>108724.13986212329</v>
      </c>
      <c r="DV26" s="306">
        <f>(DV12+DV18)*'Amenity Dashboard'!$B$28</f>
        <v>101928.88112074061</v>
      </c>
      <c r="DW26" s="306">
        <f>(DW12+DW18)*'Amenity Dashboard'!$B$28</f>
        <v>85488.739004492119</v>
      </c>
      <c r="DX26" s="306">
        <f>(DX12+DX18)*'Amenity Dashboard'!$B$28</f>
        <v>27181.034965530824</v>
      </c>
      <c r="DY26" s="306">
        <f>(DY12+DY18)*'Amenity Dashboard'!$B$28</f>
        <v>26304.227385997576</v>
      </c>
      <c r="DZ26" s="306">
        <f>(DZ12+DZ18)*'Amenity Dashboard'!$B$28</f>
        <v>61157.328672444361</v>
      </c>
      <c r="EA26" s="306">
        <f>(EA12+EA18)*'Amenity Dashboard'!$B$28</f>
        <v>61157.328672444361</v>
      </c>
      <c r="EB26" s="306">
        <f>(EB12+EB18)*'Amenity Dashboard'!$B$28</f>
        <v>55238.877510594903</v>
      </c>
      <c r="EC26" s="306">
        <f>(EC12+EC18)*'Amenity Dashboard'!$B$28</f>
        <v>54362.069931061647</v>
      </c>
      <c r="ED26" s="306">
        <f>(ED12+ED18)*'Amenity Dashboard'!$B$28</f>
        <v>13152.113692998788</v>
      </c>
      <c r="EE26" s="306">
        <f>(EE12+EE18)*'Amenity Dashboard'!$B$28</f>
        <v>27181.034965530824</v>
      </c>
    </row>
    <row r="27" spans="2:135" ht="16" thickBot="1" x14ac:dyDescent="0.25">
      <c r="B27" s="259" t="s">
        <v>464</v>
      </c>
      <c r="C27" s="307"/>
      <c r="D27" s="307">
        <f>D26*-'Amenity Dashboard'!$B$29</f>
        <v>0</v>
      </c>
      <c r="E27" s="307">
        <f>E26*-'Amenity Dashboard'!$B$29</f>
        <v>0</v>
      </c>
      <c r="F27" s="307">
        <f>F26*-'Amenity Dashboard'!$B$29</f>
        <v>0</v>
      </c>
      <c r="G27" s="307">
        <f>G26*-'Amenity Dashboard'!$B$29</f>
        <v>0</v>
      </c>
      <c r="H27" s="307">
        <f>H26*-'Amenity Dashboard'!$B$29</f>
        <v>0</v>
      </c>
      <c r="I27" s="307">
        <f>I26*-'Amenity Dashboard'!$B$29</f>
        <v>0</v>
      </c>
      <c r="J27" s="307">
        <f>J26*-'Amenity Dashboard'!$B$29</f>
        <v>0</v>
      </c>
      <c r="K27" s="307">
        <f>K26*-'Amenity Dashboard'!$B$29</f>
        <v>0</v>
      </c>
      <c r="L27" s="307">
        <f>L26*-'Amenity Dashboard'!$B$29</f>
        <v>0</v>
      </c>
      <c r="M27" s="307">
        <f>M26*-'Amenity Dashboard'!$B$29</f>
        <v>0</v>
      </c>
      <c r="N27" s="307">
        <f>N26*-'Amenity Dashboard'!$B$29</f>
        <v>0</v>
      </c>
      <c r="O27" s="307">
        <f>O26*-'Amenity Dashboard'!$B$29</f>
        <v>0</v>
      </c>
      <c r="P27" s="307">
        <f>P26*-'Amenity Dashboard'!$B$29</f>
        <v>-22680</v>
      </c>
      <c r="Q27" s="307">
        <f>Q26*-'Amenity Dashboard'!$B$29</f>
        <v>-24998.399999999998</v>
      </c>
      <c r="R27" s="307">
        <f>R26*-'Amenity Dashboard'!$B$29</f>
        <v>-23436</v>
      </c>
      <c r="S27" s="307">
        <f>S26*-'Amenity Dashboard'!$B$29</f>
        <v>-19656</v>
      </c>
      <c r="T27" s="307">
        <f>T26*-'Amenity Dashboard'!$B$29</f>
        <v>-6249.5999999999995</v>
      </c>
      <c r="U27" s="307">
        <f>U26*-'Amenity Dashboard'!$B$29</f>
        <v>-6048</v>
      </c>
      <c r="V27" s="307">
        <f>V26*-'Amenity Dashboard'!$B$29</f>
        <v>-14061.6</v>
      </c>
      <c r="W27" s="307">
        <f>W26*-'Amenity Dashboard'!$B$29</f>
        <v>-14061.6</v>
      </c>
      <c r="X27" s="307">
        <f>X26*-'Amenity Dashboard'!$B$29</f>
        <v>-13154.4</v>
      </c>
      <c r="Y27" s="307">
        <f>Y26*-'Amenity Dashboard'!$B$29</f>
        <v>-12499.199999999999</v>
      </c>
      <c r="Z27" s="307">
        <f>Z26*-'Amenity Dashboard'!$B$29</f>
        <v>-3024</v>
      </c>
      <c r="AA27" s="307">
        <f>AA26*-'Amenity Dashboard'!$B$29</f>
        <v>-6249.5999999999995</v>
      </c>
      <c r="AB27" s="307">
        <f>AB26*-'Amenity Dashboard'!$B$29</f>
        <v>-23360.399999999998</v>
      </c>
      <c r="AC27" s="307">
        <f>AC26*-'Amenity Dashboard'!$B$29</f>
        <v>-25748.352000000003</v>
      </c>
      <c r="AD27" s="307">
        <f>AD26*-'Amenity Dashboard'!$B$29</f>
        <v>-24139.08</v>
      </c>
      <c r="AE27" s="307">
        <f>AE26*-'Amenity Dashboard'!$B$29</f>
        <v>-20245.68</v>
      </c>
      <c r="AF27" s="307">
        <f>AF26*-'Amenity Dashboard'!$B$29</f>
        <v>-6437.0880000000006</v>
      </c>
      <c r="AG27" s="307">
        <f>AG26*-'Amenity Dashboard'!$B$29</f>
        <v>-12458.880000000001</v>
      </c>
      <c r="AH27" s="307">
        <f>AH26*-'Amenity Dashboard'!$B$29</f>
        <v>-28966.896000000001</v>
      </c>
      <c r="AI27" s="307">
        <f>AI26*-'Amenity Dashboard'!$B$29</f>
        <v>-28966.896000000001</v>
      </c>
      <c r="AJ27" s="307">
        <f>AJ26*-'Amenity Dashboard'!$B$29</f>
        <v>-26163.648000000001</v>
      </c>
      <c r="AK27" s="307">
        <f>AK26*-'Amenity Dashboard'!$B$29</f>
        <v>-25748.352000000003</v>
      </c>
      <c r="AL27" s="307">
        <f>AL26*-'Amenity Dashboard'!$B$29</f>
        <v>-6229.4400000000005</v>
      </c>
      <c r="AM27" s="307">
        <f>AM26*-'Amenity Dashboard'!$B$29</f>
        <v>-12874.176000000001</v>
      </c>
      <c r="AN27" s="307">
        <f>AN26*-'Amenity Dashboard'!$B$29</f>
        <v>-48122.423999999992</v>
      </c>
      <c r="AO27" s="307">
        <f>AO26*-'Amenity Dashboard'!$B$29</f>
        <v>-53041.60512</v>
      </c>
      <c r="AP27" s="307">
        <f>AP26*-'Amenity Dashboard'!$B$29</f>
        <v>-49726.504800000002</v>
      </c>
      <c r="AQ27" s="307">
        <f>AQ26*-'Amenity Dashboard'!$B$29</f>
        <v>-41706.1008</v>
      </c>
      <c r="AR27" s="307">
        <f>AR26*-'Amenity Dashboard'!$B$29</f>
        <v>-13260.40128</v>
      </c>
      <c r="AS27" s="307">
        <f>AS26*-'Amenity Dashboard'!$B$29</f>
        <v>-12832.646400000001</v>
      </c>
      <c r="AT27" s="307">
        <f>AT26*-'Amenity Dashboard'!$B$29</f>
        <v>-29835.902880000001</v>
      </c>
      <c r="AU27" s="307">
        <f>AU26*-'Amenity Dashboard'!$B$29</f>
        <v>-29835.902880000001</v>
      </c>
      <c r="AV27" s="307">
        <f>AV26*-'Amenity Dashboard'!$B$29</f>
        <v>-26948.557440000004</v>
      </c>
      <c r="AW27" s="307">
        <f>AW26*-'Amenity Dashboard'!$B$29</f>
        <v>-26520.80256</v>
      </c>
      <c r="AX27" s="307">
        <f>AX26*-'Amenity Dashboard'!$B$29</f>
        <v>-6416.3232000000007</v>
      </c>
      <c r="AY27" s="307">
        <f>AY26*-'Amenity Dashboard'!$B$29</f>
        <v>-13260.40128</v>
      </c>
      <c r="AZ27" s="307">
        <f>AZ26*-'Amenity Dashboard'!$B$29</f>
        <v>-49566.096720000009</v>
      </c>
      <c r="BA27" s="307">
        <f>BA26*-'Amenity Dashboard'!$B$29</f>
        <v>-54632.853273600005</v>
      </c>
      <c r="BB27" s="307">
        <f>BB26*-'Amenity Dashboard'!$B$29</f>
        <v>-51218.299944000006</v>
      </c>
      <c r="BC27" s="307">
        <f>BC26*-'Amenity Dashboard'!$B$29</f>
        <v>-42957.283824000006</v>
      </c>
      <c r="BD27" s="307">
        <f>BD26*-'Amenity Dashboard'!$B$29</f>
        <v>-13658.213318400001</v>
      </c>
      <c r="BE27" s="307">
        <f>BE26*-'Amenity Dashboard'!$B$29</f>
        <v>-13217.625792000004</v>
      </c>
      <c r="BF27" s="307">
        <f>BF26*-'Amenity Dashboard'!$B$29</f>
        <v>-30730.979966400002</v>
      </c>
      <c r="BG27" s="307">
        <f>BG26*-'Amenity Dashboard'!$B$29</f>
        <v>-30730.979966400002</v>
      </c>
      <c r="BH27" s="307">
        <f>BH26*-'Amenity Dashboard'!$B$29</f>
        <v>-27757.014163200005</v>
      </c>
      <c r="BI27" s="307">
        <f>BI26*-'Amenity Dashboard'!$B$29</f>
        <v>-27316.426636800003</v>
      </c>
      <c r="BJ27" s="307">
        <f>BJ26*-'Amenity Dashboard'!$B$29</f>
        <v>-6608.8128960000022</v>
      </c>
      <c r="BK27" s="307">
        <f>BK26*-'Amenity Dashboard'!$B$29</f>
        <v>-13658.213318400001</v>
      </c>
      <c r="BL27" s="307">
        <f>BL26*-'Amenity Dashboard'!$B$29</f>
        <v>-51053.079621600009</v>
      </c>
      <c r="BM27" s="307">
        <f>BM26*-'Amenity Dashboard'!$B$29</f>
        <v>-56271.83887180801</v>
      </c>
      <c r="BN27" s="307">
        <f>BN26*-'Amenity Dashboard'!$B$29</f>
        <v>-52754.848942320015</v>
      </c>
      <c r="BO27" s="307">
        <f>BO26*-'Amenity Dashboard'!$B$29</f>
        <v>-44246.002338719998</v>
      </c>
      <c r="BP27" s="307">
        <f>BP26*-'Amenity Dashboard'!$B$29</f>
        <v>-14067.959717952002</v>
      </c>
      <c r="BQ27" s="307">
        <f>BQ26*-'Amenity Dashboard'!$B$29</f>
        <v>-13614.154565760002</v>
      </c>
      <c r="BR27" s="307">
        <f>BR26*-'Amenity Dashboard'!$B$29</f>
        <v>-31652.909365392003</v>
      </c>
      <c r="BS27" s="307">
        <f>BS26*-'Amenity Dashboard'!$B$29</f>
        <v>-31652.909365392003</v>
      </c>
      <c r="BT27" s="307">
        <f>BT26*-'Amenity Dashboard'!$B$29</f>
        <v>-29610.786180528001</v>
      </c>
      <c r="BU27" s="307">
        <f>BU26*-'Amenity Dashboard'!$B$29</f>
        <v>-28135.919435904005</v>
      </c>
      <c r="BV27" s="307">
        <f>BV26*-'Amenity Dashboard'!$B$29</f>
        <v>-6807.0772828800009</v>
      </c>
      <c r="BW27" s="307">
        <f>BW26*-'Amenity Dashboard'!$B$29</f>
        <v>-14067.959717952002</v>
      </c>
      <c r="BX27" s="307">
        <f>BX26*-'Amenity Dashboard'!$B$29</f>
        <v>-52584.67201024801</v>
      </c>
      <c r="BY27" s="307">
        <f>BY26*-'Amenity Dashboard'!$B$29</f>
        <v>-57959.994037962249</v>
      </c>
      <c r="BZ27" s="307">
        <f>BZ26*-'Amenity Dashboard'!$B$29</f>
        <v>-54337.494410589607</v>
      </c>
      <c r="CA27" s="307">
        <f>CA26*-'Amenity Dashboard'!$B$29</f>
        <v>-45573.382408881611</v>
      </c>
      <c r="CB27" s="307">
        <f>CB26*-'Amenity Dashboard'!$B$29</f>
        <v>-14489.998509490562</v>
      </c>
      <c r="CC27" s="307">
        <f>CC26*-'Amenity Dashboard'!$B$29</f>
        <v>-14022.579202732801</v>
      </c>
      <c r="CD27" s="307">
        <f>CD26*-'Amenity Dashboard'!$B$29</f>
        <v>-32602.496646353764</v>
      </c>
      <c r="CE27" s="307">
        <f>CE26*-'Amenity Dashboard'!$B$29</f>
        <v>-32602.496646353764</v>
      </c>
      <c r="CF27" s="307">
        <f>CF26*-'Amenity Dashboard'!$B$29</f>
        <v>-29447.416325738883</v>
      </c>
      <c r="CG27" s="307">
        <f>CG26*-'Amenity Dashboard'!$B$29</f>
        <v>-28979.997018981125</v>
      </c>
      <c r="CH27" s="307">
        <f>CH26*-'Amenity Dashboard'!$B$29</f>
        <v>-7011.2896013664003</v>
      </c>
      <c r="CI27" s="307">
        <f>CI26*-'Amenity Dashboard'!$B$29</f>
        <v>-14489.998509490562</v>
      </c>
      <c r="CJ27" s="307">
        <f>CJ26*-'Amenity Dashboard'!$B$29</f>
        <v>-54162.212170555438</v>
      </c>
      <c r="CK27" s="307">
        <f>CK26*-'Amenity Dashboard'!$B$29</f>
        <v>-59698.793859101104</v>
      </c>
      <c r="CL27" s="307">
        <f>CL26*-'Amenity Dashboard'!$B$29</f>
        <v>-55967.619242907283</v>
      </c>
      <c r="CM27" s="307">
        <f>CM26*-'Amenity Dashboard'!$B$29</f>
        <v>-46940.583881148043</v>
      </c>
      <c r="CN27" s="307">
        <f>CN26*-'Amenity Dashboard'!$B$29</f>
        <v>-14924.698464775276</v>
      </c>
      <c r="CO27" s="307">
        <f>CO26*-'Amenity Dashboard'!$B$29</f>
        <v>-14443.256578814784</v>
      </c>
      <c r="CP27" s="307">
        <f>CP26*-'Amenity Dashboard'!$B$29</f>
        <v>-33580.571545744366</v>
      </c>
      <c r="CQ27" s="307">
        <f>CQ26*-'Amenity Dashboard'!$B$29</f>
        <v>-33580.571545744366</v>
      </c>
      <c r="CR27" s="307">
        <f>CR26*-'Amenity Dashboard'!$B$29</f>
        <v>-30330.838815511048</v>
      </c>
      <c r="CS27" s="307">
        <f>CS26*-'Amenity Dashboard'!$B$29</f>
        <v>-29849.396929550552</v>
      </c>
      <c r="CT27" s="307">
        <f>CT26*-'Amenity Dashboard'!$B$29</f>
        <v>-7221.628289407392</v>
      </c>
      <c r="CU27" s="307">
        <f>CU26*-'Amenity Dashboard'!$B$29</f>
        <v>-14924.698464775276</v>
      </c>
      <c r="CV27" s="307">
        <f>CV26*-'Amenity Dashboard'!$B$29</f>
        <v>-55787.07853567211</v>
      </c>
      <c r="CW27" s="307">
        <f>CW26*-'Amenity Dashboard'!$B$29</f>
        <v>-61489.757674874149</v>
      </c>
      <c r="CX27" s="307">
        <f>CX26*-'Amenity Dashboard'!$B$29</f>
        <v>-57646.647820194506</v>
      </c>
      <c r="CY27" s="307">
        <f>CY26*-'Amenity Dashboard'!$B$29</f>
        <v>-48348.801397582494</v>
      </c>
      <c r="CZ27" s="307">
        <f>CZ26*-'Amenity Dashboard'!$B$29</f>
        <v>-15372.439418718537</v>
      </c>
      <c r="DA27" s="307">
        <f>DA26*-'Amenity Dashboard'!$B$29</f>
        <v>-14876.554276179228</v>
      </c>
      <c r="DB27" s="307">
        <f>DB26*-'Amenity Dashboard'!$B$29</f>
        <v>-34587.988692116705</v>
      </c>
      <c r="DC27" s="307">
        <f>DC26*-'Amenity Dashboard'!$B$29</f>
        <v>-34587.988692116705</v>
      </c>
      <c r="DD27" s="307">
        <f>DD26*-'Amenity Dashboard'!$B$29</f>
        <v>-31240.763979976375</v>
      </c>
      <c r="DE27" s="307">
        <f>DE26*-'Amenity Dashboard'!$B$29</f>
        <v>-30744.878837437074</v>
      </c>
      <c r="DF27" s="307">
        <f>DF26*-'Amenity Dashboard'!$B$29</f>
        <v>-7438.2771380896138</v>
      </c>
      <c r="DG27" s="307">
        <f>DG26*-'Amenity Dashboard'!$B$29</f>
        <v>-15372.439418718537</v>
      </c>
      <c r="DH27" s="307">
        <f>DH26*-'Amenity Dashboard'!$B$29</f>
        <v>-57460.69089174227</v>
      </c>
      <c r="DI27" s="307">
        <f>DI26*-'Amenity Dashboard'!$B$29</f>
        <v>-63334.450405120369</v>
      </c>
      <c r="DJ27" s="307">
        <f>DJ26*-'Amenity Dashboard'!$B$29</f>
        <v>-59376.047254800338</v>
      </c>
      <c r="DK27" s="307">
        <f>DK26*-'Amenity Dashboard'!$B$29</f>
        <v>-49799.265439509967</v>
      </c>
      <c r="DL27" s="307">
        <f>DL26*-'Amenity Dashboard'!$B$29</f>
        <v>-15833.612601280092</v>
      </c>
      <c r="DM27" s="307">
        <f>DM26*-'Amenity Dashboard'!$B$29</f>
        <v>-15322.850904464605</v>
      </c>
      <c r="DN27" s="307">
        <f>DN26*-'Amenity Dashboard'!$B$29</f>
        <v>-35625.628352880209</v>
      </c>
      <c r="DO27" s="307">
        <f>DO26*-'Amenity Dashboard'!$B$29</f>
        <v>-35625.628352880209</v>
      </c>
      <c r="DP27" s="307">
        <f>DP26*-'Amenity Dashboard'!$B$29</f>
        <v>-33327.200717210522</v>
      </c>
      <c r="DQ27" s="307">
        <f>DQ26*-'Amenity Dashboard'!$B$29</f>
        <v>-31667.225202560185</v>
      </c>
      <c r="DR27" s="307">
        <f>DR26*-'Amenity Dashboard'!$B$29</f>
        <v>-7661.4254522323026</v>
      </c>
      <c r="DS27" s="307">
        <f>DS26*-'Amenity Dashboard'!$B$29</f>
        <v>-15833.612601280092</v>
      </c>
      <c r="DT27" s="307">
        <f>DT26*-'Amenity Dashboard'!$B$29</f>
        <v>-59184.511618494536</v>
      </c>
      <c r="DU27" s="307">
        <f>DU26*-'Amenity Dashboard'!$B$29</f>
        <v>-65234.483917273974</v>
      </c>
      <c r="DV27" s="307">
        <f>DV26*-'Amenity Dashboard'!$B$29</f>
        <v>-61157.328672444361</v>
      </c>
      <c r="DW27" s="307">
        <f>DW26*-'Amenity Dashboard'!$B$29</f>
        <v>-51293.243402695269</v>
      </c>
      <c r="DX27" s="307">
        <f>DX26*-'Amenity Dashboard'!$B$29</f>
        <v>-16308.620979318493</v>
      </c>
      <c r="DY27" s="307">
        <f>DY26*-'Amenity Dashboard'!$B$29</f>
        <v>-15782.536431598544</v>
      </c>
      <c r="DZ27" s="307">
        <f>DZ26*-'Amenity Dashboard'!$B$29</f>
        <v>-36694.397203466615</v>
      </c>
      <c r="EA27" s="307">
        <f>EA26*-'Amenity Dashboard'!$B$29</f>
        <v>-36694.397203466615</v>
      </c>
      <c r="EB27" s="307">
        <f>EB26*-'Amenity Dashboard'!$B$29</f>
        <v>-33143.326506356942</v>
      </c>
      <c r="EC27" s="307">
        <f>EC26*-'Amenity Dashboard'!$B$29</f>
        <v>-32617.241958636987</v>
      </c>
      <c r="ED27" s="307">
        <f>ED26*-'Amenity Dashboard'!$B$29</f>
        <v>-7891.2682157992722</v>
      </c>
      <c r="EE27" s="307">
        <f>EE26*-'Amenity Dashboard'!$B$29</f>
        <v>-16308.620979318493</v>
      </c>
    </row>
    <row r="28" spans="2:135" ht="17" thickTop="1" thickBot="1" x14ac:dyDescent="0.25">
      <c r="B28" s="270" t="s">
        <v>465</v>
      </c>
      <c r="C28" s="308"/>
      <c r="D28" s="308">
        <f t="shared" ref="D28:BO28" si="23">D27+D26</f>
        <v>0</v>
      </c>
      <c r="E28" s="308">
        <f t="shared" si="23"/>
        <v>0</v>
      </c>
      <c r="F28" s="308">
        <f t="shared" si="23"/>
        <v>0</v>
      </c>
      <c r="G28" s="308">
        <f t="shared" si="23"/>
        <v>0</v>
      </c>
      <c r="H28" s="308">
        <f t="shared" si="23"/>
        <v>0</v>
      </c>
      <c r="I28" s="308">
        <f t="shared" si="23"/>
        <v>0</v>
      </c>
      <c r="J28" s="308">
        <f t="shared" si="23"/>
        <v>0</v>
      </c>
      <c r="K28" s="308">
        <f t="shared" si="23"/>
        <v>0</v>
      </c>
      <c r="L28" s="308">
        <f t="shared" si="23"/>
        <v>0</v>
      </c>
      <c r="M28" s="308">
        <f t="shared" si="23"/>
        <v>0</v>
      </c>
      <c r="N28" s="308">
        <f t="shared" si="23"/>
        <v>0</v>
      </c>
      <c r="O28" s="308">
        <f t="shared" si="23"/>
        <v>0</v>
      </c>
      <c r="P28" s="308">
        <f t="shared" si="23"/>
        <v>15120</v>
      </c>
      <c r="Q28" s="308">
        <f t="shared" si="23"/>
        <v>16665.600000000002</v>
      </c>
      <c r="R28" s="308">
        <f t="shared" si="23"/>
        <v>15624</v>
      </c>
      <c r="S28" s="308">
        <f t="shared" si="23"/>
        <v>13104</v>
      </c>
      <c r="T28" s="308">
        <f t="shared" si="23"/>
        <v>4166.4000000000005</v>
      </c>
      <c r="U28" s="308">
        <f t="shared" si="23"/>
        <v>4032</v>
      </c>
      <c r="V28" s="308">
        <f t="shared" si="23"/>
        <v>9374.4</v>
      </c>
      <c r="W28" s="308">
        <f t="shared" si="23"/>
        <v>9374.4</v>
      </c>
      <c r="X28" s="308">
        <f t="shared" si="23"/>
        <v>8769.6</v>
      </c>
      <c r="Y28" s="308">
        <f t="shared" si="23"/>
        <v>8332.8000000000011</v>
      </c>
      <c r="Z28" s="308">
        <f t="shared" si="23"/>
        <v>2016</v>
      </c>
      <c r="AA28" s="308">
        <f t="shared" si="23"/>
        <v>4166.4000000000005</v>
      </c>
      <c r="AB28" s="308">
        <f t="shared" si="23"/>
        <v>15573.600000000002</v>
      </c>
      <c r="AC28" s="308">
        <f t="shared" si="23"/>
        <v>17165.568000000003</v>
      </c>
      <c r="AD28" s="308">
        <f t="shared" si="23"/>
        <v>16092.720000000001</v>
      </c>
      <c r="AE28" s="308">
        <f t="shared" si="23"/>
        <v>13497.120000000003</v>
      </c>
      <c r="AF28" s="308">
        <f t="shared" si="23"/>
        <v>4291.3920000000007</v>
      </c>
      <c r="AG28" s="308">
        <f t="shared" si="23"/>
        <v>8305.9200000000019</v>
      </c>
      <c r="AH28" s="308">
        <f t="shared" si="23"/>
        <v>19311.264000000003</v>
      </c>
      <c r="AI28" s="308">
        <f t="shared" si="23"/>
        <v>19311.264000000003</v>
      </c>
      <c r="AJ28" s="308">
        <f t="shared" si="23"/>
        <v>17442.432000000001</v>
      </c>
      <c r="AK28" s="308">
        <f t="shared" si="23"/>
        <v>17165.568000000003</v>
      </c>
      <c r="AL28" s="308">
        <f t="shared" si="23"/>
        <v>4152.9600000000009</v>
      </c>
      <c r="AM28" s="308">
        <f t="shared" si="23"/>
        <v>8582.7840000000015</v>
      </c>
      <c r="AN28" s="308">
        <f t="shared" si="23"/>
        <v>32081.616000000002</v>
      </c>
      <c r="AO28" s="308">
        <f t="shared" si="23"/>
        <v>35361.070079999998</v>
      </c>
      <c r="AP28" s="308">
        <f t="shared" si="23"/>
        <v>33151.003199999999</v>
      </c>
      <c r="AQ28" s="308">
        <f t="shared" si="23"/>
        <v>27804.067200000005</v>
      </c>
      <c r="AR28" s="308">
        <f t="shared" si="23"/>
        <v>8840.2675199999994</v>
      </c>
      <c r="AS28" s="308">
        <f t="shared" si="23"/>
        <v>8555.097600000001</v>
      </c>
      <c r="AT28" s="308">
        <f t="shared" si="23"/>
        <v>19890.601920000001</v>
      </c>
      <c r="AU28" s="308">
        <f t="shared" si="23"/>
        <v>19890.601920000001</v>
      </c>
      <c r="AV28" s="308">
        <f t="shared" si="23"/>
        <v>17965.704960000003</v>
      </c>
      <c r="AW28" s="308">
        <f t="shared" si="23"/>
        <v>17680.535039999999</v>
      </c>
      <c r="AX28" s="308">
        <f t="shared" si="23"/>
        <v>4277.5488000000005</v>
      </c>
      <c r="AY28" s="308">
        <f t="shared" si="23"/>
        <v>8840.2675199999994</v>
      </c>
      <c r="AZ28" s="308">
        <f t="shared" si="23"/>
        <v>33044.064480000008</v>
      </c>
      <c r="BA28" s="308">
        <f t="shared" si="23"/>
        <v>36421.902182400008</v>
      </c>
      <c r="BB28" s="308">
        <f t="shared" si="23"/>
        <v>34145.533296000001</v>
      </c>
      <c r="BC28" s="308">
        <f t="shared" si="23"/>
        <v>28638.189216000006</v>
      </c>
      <c r="BD28" s="308">
        <f t="shared" si="23"/>
        <v>9105.4755456000021</v>
      </c>
      <c r="BE28" s="308">
        <f t="shared" si="23"/>
        <v>8811.7505280000023</v>
      </c>
      <c r="BF28" s="308">
        <f t="shared" si="23"/>
        <v>20487.319977600004</v>
      </c>
      <c r="BG28" s="308">
        <f t="shared" si="23"/>
        <v>20487.319977600004</v>
      </c>
      <c r="BH28" s="308">
        <f t="shared" si="23"/>
        <v>18504.676108800002</v>
      </c>
      <c r="BI28" s="308">
        <f t="shared" si="23"/>
        <v>18210.951091200004</v>
      </c>
      <c r="BJ28" s="308">
        <f t="shared" si="23"/>
        <v>4405.8752640000012</v>
      </c>
      <c r="BK28" s="308">
        <f t="shared" si="23"/>
        <v>9105.4755456000021</v>
      </c>
      <c r="BL28" s="308">
        <f t="shared" si="23"/>
        <v>34035.386414400004</v>
      </c>
      <c r="BM28" s="308">
        <f t="shared" si="23"/>
        <v>37514.559247872006</v>
      </c>
      <c r="BN28" s="308">
        <f t="shared" si="23"/>
        <v>35169.899294880008</v>
      </c>
      <c r="BO28" s="308">
        <f t="shared" si="23"/>
        <v>29497.334892480001</v>
      </c>
      <c r="BP28" s="308">
        <f t="shared" ref="BP28:EA28" si="24">BP27+BP26</f>
        <v>9378.6398119680016</v>
      </c>
      <c r="BQ28" s="308">
        <f t="shared" si="24"/>
        <v>9076.103043840003</v>
      </c>
      <c r="BR28" s="308">
        <f t="shared" si="24"/>
        <v>21101.939576928005</v>
      </c>
      <c r="BS28" s="308">
        <f t="shared" si="24"/>
        <v>21101.939576928005</v>
      </c>
      <c r="BT28" s="308">
        <f t="shared" si="24"/>
        <v>19740.524120352002</v>
      </c>
      <c r="BU28" s="308">
        <f t="shared" si="24"/>
        <v>18757.279623936003</v>
      </c>
      <c r="BV28" s="308">
        <f t="shared" si="24"/>
        <v>4538.0515219200015</v>
      </c>
      <c r="BW28" s="308">
        <f t="shared" si="24"/>
        <v>9378.6398119680016</v>
      </c>
      <c r="BX28" s="308">
        <f t="shared" si="24"/>
        <v>35056.448006832004</v>
      </c>
      <c r="BY28" s="308">
        <f t="shared" si="24"/>
        <v>38639.996025308174</v>
      </c>
      <c r="BZ28" s="308">
        <f t="shared" si="24"/>
        <v>36224.996273726407</v>
      </c>
      <c r="CA28" s="308">
        <f t="shared" si="24"/>
        <v>30382.25493925441</v>
      </c>
      <c r="CB28" s="308">
        <f t="shared" si="24"/>
        <v>9659.9990063270434</v>
      </c>
      <c r="CC28" s="308">
        <f t="shared" si="24"/>
        <v>9348.3861351552023</v>
      </c>
      <c r="CD28" s="308">
        <f t="shared" si="24"/>
        <v>21734.997764235843</v>
      </c>
      <c r="CE28" s="308">
        <f t="shared" si="24"/>
        <v>21734.997764235843</v>
      </c>
      <c r="CF28" s="308">
        <f t="shared" si="24"/>
        <v>19631.610883825921</v>
      </c>
      <c r="CG28" s="308">
        <f t="shared" si="24"/>
        <v>19319.998012654087</v>
      </c>
      <c r="CH28" s="308">
        <f t="shared" si="24"/>
        <v>4674.1930675776011</v>
      </c>
      <c r="CI28" s="308">
        <f t="shared" si="24"/>
        <v>9659.9990063270434</v>
      </c>
      <c r="CJ28" s="308">
        <f t="shared" si="24"/>
        <v>36108.141447036956</v>
      </c>
      <c r="CK28" s="308">
        <f t="shared" si="24"/>
        <v>39799.195906067413</v>
      </c>
      <c r="CL28" s="308">
        <f t="shared" si="24"/>
        <v>37311.746161938194</v>
      </c>
      <c r="CM28" s="308">
        <f t="shared" si="24"/>
        <v>31293.722587432036</v>
      </c>
      <c r="CN28" s="308">
        <f t="shared" si="24"/>
        <v>9949.7989765168531</v>
      </c>
      <c r="CO28" s="308">
        <f t="shared" si="24"/>
        <v>9628.837719209856</v>
      </c>
      <c r="CP28" s="308">
        <f t="shared" si="24"/>
        <v>22387.047697162918</v>
      </c>
      <c r="CQ28" s="308">
        <f t="shared" si="24"/>
        <v>22387.047697162918</v>
      </c>
      <c r="CR28" s="308">
        <f t="shared" si="24"/>
        <v>20220.5592103407</v>
      </c>
      <c r="CS28" s="308">
        <f t="shared" si="24"/>
        <v>19899.597953033706</v>
      </c>
      <c r="CT28" s="308">
        <f t="shared" si="24"/>
        <v>4814.418859604928</v>
      </c>
      <c r="CU28" s="308">
        <f t="shared" si="24"/>
        <v>9949.7989765168531</v>
      </c>
      <c r="CV28" s="308">
        <f t="shared" si="24"/>
        <v>37191.385690448071</v>
      </c>
      <c r="CW28" s="308">
        <f t="shared" si="24"/>
        <v>40993.17178324944</v>
      </c>
      <c r="CX28" s="308">
        <f t="shared" si="24"/>
        <v>38431.09854679634</v>
      </c>
      <c r="CY28" s="308">
        <f t="shared" si="24"/>
        <v>32232.534265054994</v>
      </c>
      <c r="CZ28" s="308">
        <f t="shared" si="24"/>
        <v>10248.29294581236</v>
      </c>
      <c r="DA28" s="308">
        <f t="shared" si="24"/>
        <v>9917.7028507861542</v>
      </c>
      <c r="DB28" s="308">
        <f t="shared" si="24"/>
        <v>23058.659128077808</v>
      </c>
      <c r="DC28" s="308">
        <f t="shared" si="24"/>
        <v>23058.659128077808</v>
      </c>
      <c r="DD28" s="308">
        <f t="shared" si="24"/>
        <v>20827.17598665092</v>
      </c>
      <c r="DE28" s="308">
        <f t="shared" si="24"/>
        <v>20496.58589162472</v>
      </c>
      <c r="DF28" s="308">
        <f t="shared" si="24"/>
        <v>4958.8514253930771</v>
      </c>
      <c r="DG28" s="308">
        <f t="shared" si="24"/>
        <v>10248.29294581236</v>
      </c>
      <c r="DH28" s="308">
        <f t="shared" si="24"/>
        <v>38307.127261161513</v>
      </c>
      <c r="DI28" s="308">
        <f t="shared" si="24"/>
        <v>42222.966936746918</v>
      </c>
      <c r="DJ28" s="308">
        <f t="shared" si="24"/>
        <v>39584.031503200233</v>
      </c>
      <c r="DK28" s="308">
        <f t="shared" si="24"/>
        <v>33199.51029300665</v>
      </c>
      <c r="DL28" s="308">
        <f t="shared" si="24"/>
        <v>10555.741734186729</v>
      </c>
      <c r="DM28" s="308">
        <f t="shared" si="24"/>
        <v>10215.233936309738</v>
      </c>
      <c r="DN28" s="308">
        <f t="shared" si="24"/>
        <v>23750.418901920137</v>
      </c>
      <c r="DO28" s="308">
        <f t="shared" si="24"/>
        <v>23750.418901920137</v>
      </c>
      <c r="DP28" s="308">
        <f t="shared" si="24"/>
        <v>22218.133811473679</v>
      </c>
      <c r="DQ28" s="308">
        <f t="shared" si="24"/>
        <v>21111.483468373459</v>
      </c>
      <c r="DR28" s="308">
        <f t="shared" si="24"/>
        <v>5107.616968154869</v>
      </c>
      <c r="DS28" s="308">
        <f t="shared" si="24"/>
        <v>10555.741734186729</v>
      </c>
      <c r="DT28" s="308">
        <f t="shared" si="24"/>
        <v>39456.341078996367</v>
      </c>
      <c r="DU28" s="308">
        <f t="shared" si="24"/>
        <v>43489.655944849321</v>
      </c>
      <c r="DV28" s="308">
        <f t="shared" si="24"/>
        <v>40771.55244829625</v>
      </c>
      <c r="DW28" s="308">
        <f t="shared" si="24"/>
        <v>34195.495601796851</v>
      </c>
      <c r="DX28" s="308">
        <f t="shared" si="24"/>
        <v>10872.41398621233</v>
      </c>
      <c r="DY28" s="308">
        <f t="shared" si="24"/>
        <v>10521.690954399031</v>
      </c>
      <c r="DZ28" s="308">
        <f t="shared" si="24"/>
        <v>24462.931468977746</v>
      </c>
      <c r="EA28" s="308">
        <f t="shared" si="24"/>
        <v>24462.931468977746</v>
      </c>
      <c r="EB28" s="308">
        <f>EB27+EB26</f>
        <v>22095.551004237961</v>
      </c>
      <c r="EC28" s="308">
        <f>EC27+EC26</f>
        <v>21744.82797242466</v>
      </c>
      <c r="ED28" s="308">
        <f>ED27+ED26</f>
        <v>5260.8454771995157</v>
      </c>
      <c r="EE28" s="308">
        <f>EE27+EE26</f>
        <v>10872.41398621233</v>
      </c>
    </row>
    <row r="29" spans="2:135" ht="16" thickTop="1" x14ac:dyDescent="0.2"/>
    <row r="30" spans="2:135" x14ac:dyDescent="0.2">
      <c r="B30" s="294" t="s">
        <v>466</v>
      </c>
      <c r="C30" s="306"/>
      <c r="D30" s="306">
        <f>IF(AND(YEAR(D9)&gt;=YEAR('Amenity Dashboard'!$B$34),MONTH(D9)&gt;=MONTH('Amenity Dashboard'!$B$34),MONTH(D9)&lt;=MONTH('Amenity Dashboard'!$B$35)),'Amenity Dashboard'!$B$36/'Amenity Dashboard'!$B$37*'Amenity Dashboard'!$B$32,0)</f>
        <v>0</v>
      </c>
      <c r="E30" s="306">
        <f>IF(AND(YEAR(E9)&gt;=YEAR('Amenity Dashboard'!$B$34),MONTH(E9)&gt;=MONTH('Amenity Dashboard'!$B$34),MONTH(E9)&lt;=MONTH('Amenity Dashboard'!$B$35)),'Amenity Dashboard'!$B$36/'Amenity Dashboard'!$B$37*'Amenity Dashboard'!$B$32,0)</f>
        <v>0</v>
      </c>
      <c r="F30" s="306">
        <f>IF(AND(YEAR(F9)&gt;=YEAR('Amenity Dashboard'!$B$34),MONTH(F9)&gt;=MONTH('Amenity Dashboard'!$B$34),MONTH(F9)&lt;=MONTH('Amenity Dashboard'!$B$35)),'Amenity Dashboard'!$B$36/'Amenity Dashboard'!$B$37*'Amenity Dashboard'!$B$32,0)</f>
        <v>0</v>
      </c>
      <c r="G30" s="306">
        <f>IF(AND(YEAR(G9)&gt;=YEAR('Amenity Dashboard'!$B$34),MONTH(G9)&gt;=MONTH('Amenity Dashboard'!$B$34),MONTH(G9)&lt;=MONTH('Amenity Dashboard'!$B$35)),'Amenity Dashboard'!$B$36/'Amenity Dashboard'!$B$37*'Amenity Dashboard'!$B$32,0)</f>
        <v>0</v>
      </c>
      <c r="H30" s="306">
        <f>IF(AND(YEAR(H9)&gt;=YEAR('Amenity Dashboard'!$B$34),MONTH(H9)&gt;=MONTH('Amenity Dashboard'!$B$34),MONTH(H9)&lt;=MONTH('Amenity Dashboard'!$B$35)),'Amenity Dashboard'!$B$36/'Amenity Dashboard'!$B$37*'Amenity Dashboard'!$B$32,0)</f>
        <v>0</v>
      </c>
      <c r="I30" s="306">
        <f>IF(AND(YEAR(I9)&gt;=YEAR('Amenity Dashboard'!$B$34),MONTH(I9)&gt;=MONTH('Amenity Dashboard'!$B$34),MONTH(I9)&lt;=MONTH('Amenity Dashboard'!$B$35)),'Amenity Dashboard'!$B$36/'Amenity Dashboard'!$B$37*'Amenity Dashboard'!$B$32,0)</f>
        <v>0</v>
      </c>
      <c r="J30" s="306">
        <f>IF(AND(YEAR(J9)&gt;=YEAR('Amenity Dashboard'!$B$34),MONTH(J9)&gt;=MONTH('Amenity Dashboard'!$B$34),MONTH(J9)&lt;=MONTH('Amenity Dashboard'!$B$35)),'Amenity Dashboard'!$B$36/'Amenity Dashboard'!$B$37*'Amenity Dashboard'!$B$32,0)</f>
        <v>0</v>
      </c>
      <c r="K30" s="306">
        <f>IF(AND(YEAR(K9)&gt;=YEAR('Amenity Dashboard'!$B$34),MONTH(K9)&gt;=MONTH('Amenity Dashboard'!$B$34),MONTH(K9)&lt;=MONTH('Amenity Dashboard'!$B$35)),'Amenity Dashboard'!$B$36/'Amenity Dashboard'!$B$37*'Amenity Dashboard'!$B$32,0)</f>
        <v>0</v>
      </c>
      <c r="L30" s="306">
        <f>IF(AND(YEAR(L9)&gt;=YEAR('Amenity Dashboard'!$B$34),MONTH(L9)&gt;=MONTH('Amenity Dashboard'!$B$34),MONTH(L9)&lt;=MONTH('Amenity Dashboard'!$B$35)),'Amenity Dashboard'!$B$36/'Amenity Dashboard'!$B$37*'Amenity Dashboard'!$B$32,0)</f>
        <v>0</v>
      </c>
      <c r="M30" s="306">
        <f>IF(AND(YEAR(M9)&gt;=YEAR('Amenity Dashboard'!$B$34),MONTH(M9)&gt;=MONTH('Amenity Dashboard'!$B$34),MONTH(M9)&lt;=MONTH('Amenity Dashboard'!$B$35)),'Amenity Dashboard'!$B$36/'Amenity Dashboard'!$B$37*'Amenity Dashboard'!$B$32,0)</f>
        <v>0</v>
      </c>
      <c r="N30" s="306">
        <f>IF(AND(YEAR(N9)&gt;=YEAR('Amenity Dashboard'!$B$34),MONTH(N9)&gt;=MONTH('Amenity Dashboard'!$B$34),MONTH(N9)&lt;=MONTH('Amenity Dashboard'!$B$35)),'Amenity Dashboard'!$B$36/'Amenity Dashboard'!$B$37*'Amenity Dashboard'!$B$32,0)</f>
        <v>0</v>
      </c>
      <c r="O30" s="306">
        <f>IF(AND(YEAR(O9)&gt;=YEAR('Amenity Dashboard'!$B$34),MONTH(O9)&gt;=MONTH('Amenity Dashboard'!$B$34),MONTH(O9)&lt;=MONTH('Amenity Dashboard'!$B$35)),'Amenity Dashboard'!$B$36/'Amenity Dashboard'!$B$37*'Amenity Dashboard'!$B$32,0)</f>
        <v>0</v>
      </c>
      <c r="P30" s="306">
        <f ca="1">IF(AND(YEAR(P9)&gt;=YEAR('Amenity Dashboard'!$B$34),MONTH(P9)&gt;=MONTH('Amenity Dashboard'!$B$34),MONTH(P9)&lt;=MONTH('Amenity Dashboard'!$B$35)),'Amenity Dashboard'!$B$36/'Amenity Dashboard'!$B$37*(HLOOKUP(P7,$D$1:$AH$5,4,0)))</f>
        <v>81600</v>
      </c>
      <c r="Q30" s="306">
        <f ca="1">IF(AND(YEAR(Q9)&gt;=YEAR('Amenity Dashboard'!$B$34),MONTH(Q9)&gt;=MONTH('Amenity Dashboard'!$B$34),MONTH(Q9)&lt;=MONTH('Amenity Dashboard'!$B$35)),'Amenity Dashboard'!$B$36/'Amenity Dashboard'!$B$37*(HLOOKUP(Q7,$D$1:$AH$5,4,0)))</f>
        <v>81600</v>
      </c>
      <c r="R30" s="306">
        <f ca="1">IF(AND(YEAR(R9)&gt;=YEAR('Amenity Dashboard'!$B$34),MONTH(R9)&gt;=MONTH('Amenity Dashboard'!$B$34),MONTH(R9)&lt;=MONTH('Amenity Dashboard'!$B$35)),'Amenity Dashboard'!$B$36/'Amenity Dashboard'!$B$37*(HLOOKUP(R7,$D$1:$AH$5,4,0)))</f>
        <v>81600</v>
      </c>
      <c r="S30" s="306">
        <f ca="1">IF(AND(YEAR(S9)&gt;=YEAR('Amenity Dashboard'!$B$34),MONTH(S9)&gt;=MONTH('Amenity Dashboard'!$B$34),MONTH(S9)&lt;=MONTH('Amenity Dashboard'!$B$35)),'Amenity Dashboard'!$B$36/'Amenity Dashboard'!$B$37*(HLOOKUP(S7,$D$1:$AH$5,4,0)))</f>
        <v>81600</v>
      </c>
      <c r="T30" s="306">
        <f ca="1">IF(AND(YEAR(T9)&gt;=YEAR('Amenity Dashboard'!$B$34),MONTH(T9)&gt;=MONTH('Amenity Dashboard'!$B$34),MONTH(T9)&lt;=MONTH('Amenity Dashboard'!$B$35)),'Amenity Dashboard'!$B$36/'Amenity Dashboard'!$B$37*(HLOOKUP(T7,$D$1:$AH$5,4,0)))</f>
        <v>81600</v>
      </c>
      <c r="U30" s="306"/>
      <c r="V30" s="306"/>
      <c r="W30" s="306"/>
      <c r="X30" s="306"/>
      <c r="Y30" s="306"/>
      <c r="Z30" s="306"/>
      <c r="AA30" s="306"/>
      <c r="AB30" s="306">
        <f ca="1">IF(AND(YEAR(AB9)&gt;=YEAR('Amenity Dashboard'!$B$34),MONTH(AB9)&gt;=MONTH('Amenity Dashboard'!$B$34),MONTH(AB9)&lt;=MONTH('Amenity Dashboard'!$B$35)),'Amenity Dashboard'!$B$36/'Amenity Dashboard'!$B$37*(HLOOKUP(AB7,$D$1:$AH$5,4,0)))</f>
        <v>84048</v>
      </c>
      <c r="AC30" s="306">
        <f ca="1">IF(AND(YEAR(AC9)&gt;=YEAR('Amenity Dashboard'!$B$34),MONTH(AC9)&gt;=MONTH('Amenity Dashboard'!$B$34),MONTH(AC9)&lt;=MONTH('Amenity Dashboard'!$B$35)),'Amenity Dashboard'!$B$36/'Amenity Dashboard'!$B$37*(HLOOKUP(AC7,$D$1:$AH$5,4,0)))</f>
        <v>84048</v>
      </c>
      <c r="AD30" s="306">
        <f ca="1">IF(AND(YEAR(AD9)&gt;=YEAR('Amenity Dashboard'!$B$34),MONTH(AD9)&gt;=MONTH('Amenity Dashboard'!$B$34),MONTH(AD9)&lt;=MONTH('Amenity Dashboard'!$B$35)),'Amenity Dashboard'!$B$36/'Amenity Dashboard'!$B$37*(HLOOKUP(AD7,$D$1:$AH$5,4,0)))</f>
        <v>84048</v>
      </c>
      <c r="AE30" s="306">
        <f ca="1">IF(AND(YEAR(AE9)&gt;=YEAR('Amenity Dashboard'!$B$34),MONTH(AE9)&gt;=MONTH('Amenity Dashboard'!$B$34),MONTH(AE9)&lt;=MONTH('Amenity Dashboard'!$B$35)),'Amenity Dashboard'!$B$36/'Amenity Dashboard'!$B$37*(HLOOKUP(AE7,$D$1:$AH$5,4,0)))</f>
        <v>84048</v>
      </c>
      <c r="AF30" s="306">
        <f ca="1">IF(AND(YEAR(AF9)&gt;=YEAR('Amenity Dashboard'!$B$34),MONTH(AF9)&gt;=MONTH('Amenity Dashboard'!$B$34),MONTH(AF9)&lt;=MONTH('Amenity Dashboard'!$B$35)),'Amenity Dashboard'!$B$36/'Amenity Dashboard'!$B$37*(HLOOKUP(AF7,$D$1:$AH$5,4,0)))</f>
        <v>84048</v>
      </c>
      <c r="AG30" s="306"/>
      <c r="AH30" s="306"/>
      <c r="AI30" s="306"/>
      <c r="AJ30" s="306"/>
      <c r="AK30" s="306"/>
      <c r="AL30" s="306"/>
      <c r="AM30" s="306"/>
      <c r="AN30" s="306">
        <f ca="1">IF(AND(YEAR(AN9)&gt;=YEAR('Amenity Dashboard'!$B$34),MONTH(AN9)&gt;=MONTH('Amenity Dashboard'!$B$34),MONTH(AN9)&lt;=MONTH('Amenity Dashboard'!$B$35)),'Amenity Dashboard'!$B$36/'Amenity Dashboard'!$B$37*(HLOOKUP(AN7,$D$1:$AH$5,4,0)))</f>
        <v>86569.44</v>
      </c>
      <c r="AO30" s="306">
        <f ca="1">IF(AND(YEAR(AO9)&gt;=YEAR('Amenity Dashboard'!$B$34),MONTH(AO9)&gt;=MONTH('Amenity Dashboard'!$B$34),MONTH(AO9)&lt;=MONTH('Amenity Dashboard'!$B$35)),'Amenity Dashboard'!$B$36/'Amenity Dashboard'!$B$37*(HLOOKUP(AO7,$D$1:$AH$5,4,0)))</f>
        <v>86569.44</v>
      </c>
      <c r="AP30" s="306">
        <f ca="1">IF(AND(YEAR(AP9)&gt;=YEAR('Amenity Dashboard'!$B$34),MONTH(AP9)&gt;=MONTH('Amenity Dashboard'!$B$34),MONTH(AP9)&lt;=MONTH('Amenity Dashboard'!$B$35)),'Amenity Dashboard'!$B$36/'Amenity Dashboard'!$B$37*(HLOOKUP(AP7,$D$1:$AH$5,4,0)))</f>
        <v>86569.44</v>
      </c>
      <c r="AQ30" s="306">
        <f ca="1">IF(AND(YEAR(AQ9)&gt;=YEAR('Amenity Dashboard'!$B$34),MONTH(AQ9)&gt;=MONTH('Amenity Dashboard'!$B$34),MONTH(AQ9)&lt;=MONTH('Amenity Dashboard'!$B$35)),'Amenity Dashboard'!$B$36/'Amenity Dashboard'!$B$37*(HLOOKUP(AQ7,$D$1:$AH$5,4,0)))</f>
        <v>86569.44</v>
      </c>
      <c r="AR30" s="306">
        <f ca="1">IF(AND(YEAR(AR9)&gt;=YEAR('Amenity Dashboard'!$B$34),MONTH(AR9)&gt;=MONTH('Amenity Dashboard'!$B$34),MONTH(AR9)&lt;=MONTH('Amenity Dashboard'!$B$35)),'Amenity Dashboard'!$B$36/'Amenity Dashboard'!$B$37*(HLOOKUP(AR7,$D$1:$AH$5,4,0)))</f>
        <v>86569.44</v>
      </c>
      <c r="AS30" s="306"/>
      <c r="AT30" s="306"/>
      <c r="AU30" s="306"/>
      <c r="AV30" s="306"/>
      <c r="AW30" s="306"/>
      <c r="AX30" s="306"/>
      <c r="AY30" s="306"/>
      <c r="AZ30" s="306">
        <f ca="1">IF(AND(YEAR(AZ9)&gt;=YEAR('Amenity Dashboard'!$B$34),MONTH(AZ9)&gt;=MONTH('Amenity Dashboard'!$B$34),MONTH(AZ9)&lt;=MONTH('Amenity Dashboard'!$B$35)),'Amenity Dashboard'!$B$36/'Amenity Dashboard'!$B$37*(HLOOKUP(AZ7,$D$1:$AH$5,4,0)))</f>
        <v>89166.523200000011</v>
      </c>
      <c r="BA30" s="306">
        <f ca="1">IF(AND(YEAR(BA9)&gt;=YEAR('Amenity Dashboard'!$B$34),MONTH(BA9)&gt;=MONTH('Amenity Dashboard'!$B$34),MONTH(BA9)&lt;=MONTH('Amenity Dashboard'!$B$35)),'Amenity Dashboard'!$B$36/'Amenity Dashboard'!$B$37*(HLOOKUP(BA7,$D$1:$AH$5,4,0)))</f>
        <v>89166.523200000011</v>
      </c>
      <c r="BB30" s="306">
        <f ca="1">IF(AND(YEAR(BB9)&gt;=YEAR('Amenity Dashboard'!$B$34),MONTH(BB9)&gt;=MONTH('Amenity Dashboard'!$B$34),MONTH(BB9)&lt;=MONTH('Amenity Dashboard'!$B$35)),'Amenity Dashboard'!$B$36/'Amenity Dashboard'!$B$37*(HLOOKUP(BB7,$D$1:$AH$5,4,0)))</f>
        <v>89166.523200000011</v>
      </c>
      <c r="BC30" s="306">
        <f ca="1">IF(AND(YEAR(BC9)&gt;=YEAR('Amenity Dashboard'!$B$34),MONTH(BC9)&gt;=MONTH('Amenity Dashboard'!$B$34),MONTH(BC9)&lt;=MONTH('Amenity Dashboard'!$B$35)),'Amenity Dashboard'!$B$36/'Amenity Dashboard'!$B$37*(HLOOKUP(BC7,$D$1:$AH$5,4,0)))</f>
        <v>89166.523200000011</v>
      </c>
      <c r="BD30" s="306">
        <f ca="1">IF(AND(YEAR(BD9)&gt;=YEAR('Amenity Dashboard'!$B$34),MONTH(BD9)&gt;=MONTH('Amenity Dashboard'!$B$34),MONTH(BD9)&lt;=MONTH('Amenity Dashboard'!$B$35)),'Amenity Dashboard'!$B$36/'Amenity Dashboard'!$B$37*(HLOOKUP(BD7,$D$1:$AH$5,4,0)))</f>
        <v>89166.523200000011</v>
      </c>
      <c r="BE30" s="306"/>
      <c r="BF30" s="306"/>
      <c r="BG30" s="306"/>
      <c r="BH30" s="306"/>
      <c r="BI30" s="306"/>
      <c r="BJ30" s="306"/>
      <c r="BK30" s="306"/>
      <c r="BL30" s="306">
        <f ca="1">IF(AND(YEAR(BL9)&gt;=YEAR('Amenity Dashboard'!$B$34),MONTH(BL9)&gt;=MONTH('Amenity Dashboard'!$B$34),MONTH(BL9)&lt;=MONTH('Amenity Dashboard'!$B$35)),'Amenity Dashboard'!$B$36/'Amenity Dashboard'!$B$37*(HLOOKUP(BL7,$D$1:$AH$5,4,0)))</f>
        <v>91841.518896000023</v>
      </c>
      <c r="BM30" s="306">
        <f ca="1">IF(AND(YEAR(BM9)&gt;=YEAR('Amenity Dashboard'!$B$34),MONTH(BM9)&gt;=MONTH('Amenity Dashboard'!$B$34),MONTH(BM9)&lt;=MONTH('Amenity Dashboard'!$B$35)),'Amenity Dashboard'!$B$36/'Amenity Dashboard'!$B$37*(HLOOKUP(BM7,$D$1:$AH$5,4,0)))</f>
        <v>91841.518896000023</v>
      </c>
      <c r="BN30" s="306">
        <f ca="1">IF(AND(YEAR(BN9)&gt;=YEAR('Amenity Dashboard'!$B$34),MONTH(BN9)&gt;=MONTH('Amenity Dashboard'!$B$34),MONTH(BN9)&lt;=MONTH('Amenity Dashboard'!$B$35)),'Amenity Dashboard'!$B$36/'Amenity Dashboard'!$B$37*(HLOOKUP(BN7,$D$1:$AH$5,4,0)))</f>
        <v>91841.518896000023</v>
      </c>
      <c r="BO30" s="306">
        <f ca="1">IF(AND(YEAR(BO9)&gt;=YEAR('Amenity Dashboard'!$B$34),MONTH(BO9)&gt;=MONTH('Amenity Dashboard'!$B$34),MONTH(BO9)&lt;=MONTH('Amenity Dashboard'!$B$35)),'Amenity Dashboard'!$B$36/'Amenity Dashboard'!$B$37*(HLOOKUP(BO7,$D$1:$AH$5,4,0)))</f>
        <v>91841.518896000023</v>
      </c>
      <c r="BP30" s="306">
        <f ca="1">IF(AND(YEAR(BP9)&gt;=YEAR('Amenity Dashboard'!$B$34),MONTH(BP9)&gt;=MONTH('Amenity Dashboard'!$B$34),MONTH(BP9)&lt;=MONTH('Amenity Dashboard'!$B$35)),'Amenity Dashboard'!$B$36/'Amenity Dashboard'!$B$37*(HLOOKUP(BP7,$D$1:$AH$5,4,0)))</f>
        <v>91841.518896000023</v>
      </c>
      <c r="BQ30" s="306"/>
      <c r="BR30" s="306"/>
      <c r="BS30" s="306"/>
      <c r="BT30" s="306"/>
      <c r="BU30" s="306"/>
      <c r="BV30" s="306"/>
      <c r="BW30" s="306"/>
      <c r="BX30" s="306">
        <f ca="1">IF(AND(YEAR(BX9)&gt;=YEAR('Amenity Dashboard'!$B$34),MONTH(BX9)&gt;=MONTH('Amenity Dashboard'!$B$34),MONTH(BX9)&lt;=MONTH('Amenity Dashboard'!$B$35)),'Amenity Dashboard'!$B$36/'Amenity Dashboard'!$B$37*(HLOOKUP(BX7,$D$1:$AH$5,4,0)))</f>
        <v>94596.764462880019</v>
      </c>
      <c r="BY30" s="306">
        <f ca="1">IF(AND(YEAR(BY9)&gt;=YEAR('Amenity Dashboard'!$B$34),MONTH(BY9)&gt;=MONTH('Amenity Dashboard'!$B$34),MONTH(BY9)&lt;=MONTH('Amenity Dashboard'!$B$35)),'Amenity Dashboard'!$B$36/'Amenity Dashboard'!$B$37*(HLOOKUP(BY7,$D$1:$AH$5,4,0)))</f>
        <v>94596.764462880019</v>
      </c>
      <c r="BZ30" s="306">
        <f ca="1">IF(AND(YEAR(BZ9)&gt;=YEAR('Amenity Dashboard'!$B$34),MONTH(BZ9)&gt;=MONTH('Amenity Dashboard'!$B$34),MONTH(BZ9)&lt;=MONTH('Amenity Dashboard'!$B$35)),'Amenity Dashboard'!$B$36/'Amenity Dashboard'!$B$37*(HLOOKUP(BZ7,$D$1:$AH$5,4,0)))</f>
        <v>94596.764462880019</v>
      </c>
      <c r="CA30" s="306">
        <f ca="1">IF(AND(YEAR(CA9)&gt;=YEAR('Amenity Dashboard'!$B$34),MONTH(CA9)&gt;=MONTH('Amenity Dashboard'!$B$34),MONTH(CA9)&lt;=MONTH('Amenity Dashboard'!$B$35)),'Amenity Dashboard'!$B$36/'Amenity Dashboard'!$B$37*(HLOOKUP(CA7,$D$1:$AH$5,4,0)))</f>
        <v>94596.764462880019</v>
      </c>
      <c r="CB30" s="306">
        <f ca="1">IF(AND(YEAR(CB9)&gt;=YEAR('Amenity Dashboard'!$B$34),MONTH(CB9)&gt;=MONTH('Amenity Dashboard'!$B$34),MONTH(CB9)&lt;=MONTH('Amenity Dashboard'!$B$35)),'Amenity Dashboard'!$B$36/'Amenity Dashboard'!$B$37*(HLOOKUP(CB7,$D$1:$AH$5,4,0)))</f>
        <v>94596.764462880019</v>
      </c>
      <c r="CC30" s="306"/>
      <c r="CD30" s="306"/>
      <c r="CE30" s="306"/>
      <c r="CF30" s="306"/>
      <c r="CG30" s="306"/>
      <c r="CH30" s="306"/>
      <c r="CI30" s="306"/>
      <c r="CJ30" s="306">
        <f ca="1">IF(AND(YEAR(CJ9)&gt;=YEAR('Amenity Dashboard'!$B$34),MONTH(CJ9)&gt;=MONTH('Amenity Dashboard'!$B$34),MONTH(CJ9)&lt;=MONTH('Amenity Dashboard'!$B$35)),'Amenity Dashboard'!$B$36/'Amenity Dashboard'!$B$37*(HLOOKUP(CJ7,$D$1:$AH$5,4,0)))</f>
        <v>97434.667396766425</v>
      </c>
      <c r="CK30" s="306">
        <f ca="1">IF(AND(YEAR(CK9)&gt;=YEAR('Amenity Dashboard'!$B$34),MONTH(CK9)&gt;=MONTH('Amenity Dashboard'!$B$34),MONTH(CK9)&lt;=MONTH('Amenity Dashboard'!$B$35)),'Amenity Dashboard'!$B$36/'Amenity Dashboard'!$B$37*(HLOOKUP(CK7,$D$1:$AH$5,4,0)))</f>
        <v>97434.667396766425</v>
      </c>
      <c r="CL30" s="306">
        <f ca="1">IF(AND(YEAR(CL9)&gt;=YEAR('Amenity Dashboard'!$B$34),MONTH(CL9)&gt;=MONTH('Amenity Dashboard'!$B$34),MONTH(CL9)&lt;=MONTH('Amenity Dashboard'!$B$35)),'Amenity Dashboard'!$B$36/'Amenity Dashboard'!$B$37*(HLOOKUP(CL7,$D$1:$AH$5,4,0)))</f>
        <v>97434.667396766425</v>
      </c>
      <c r="CM30" s="306">
        <f ca="1">IF(AND(YEAR(CM9)&gt;=YEAR('Amenity Dashboard'!$B$34),MONTH(CM9)&gt;=MONTH('Amenity Dashboard'!$B$34),MONTH(CM9)&lt;=MONTH('Amenity Dashboard'!$B$35)),'Amenity Dashboard'!$B$36/'Amenity Dashboard'!$B$37*(HLOOKUP(CM7,$D$1:$AH$5,4,0)))</f>
        <v>97434.667396766425</v>
      </c>
      <c r="CN30" s="306">
        <f ca="1">IF(AND(YEAR(CN9)&gt;=YEAR('Amenity Dashboard'!$B$34),MONTH(CN9)&gt;=MONTH('Amenity Dashboard'!$B$34),MONTH(CN9)&lt;=MONTH('Amenity Dashboard'!$B$35)),'Amenity Dashboard'!$B$36/'Amenity Dashboard'!$B$37*(HLOOKUP(CN7,$D$1:$AH$5,4,0)))</f>
        <v>97434.667396766425</v>
      </c>
      <c r="CO30" s="306"/>
      <c r="CP30" s="306"/>
      <c r="CQ30" s="306"/>
      <c r="CR30" s="306"/>
      <c r="CS30" s="306"/>
      <c r="CT30" s="306"/>
      <c r="CU30" s="306"/>
      <c r="CV30" s="306">
        <f ca="1">IF(AND(YEAR(CV9)&gt;=YEAR('Amenity Dashboard'!$B$34),MONTH(CV9)&gt;=MONTH('Amenity Dashboard'!$B$34),MONTH(CV9)&lt;=MONTH('Amenity Dashboard'!$B$35)),'Amenity Dashboard'!$B$36/'Amenity Dashboard'!$B$37*(HLOOKUP(CV7,$D$1:$AH$5,4,0)))</f>
        <v>100357.70741866942</v>
      </c>
      <c r="CW30" s="306">
        <f ca="1">IF(AND(YEAR(CW9)&gt;=YEAR('Amenity Dashboard'!$B$34),MONTH(CW9)&gt;=MONTH('Amenity Dashboard'!$B$34),MONTH(CW9)&lt;=MONTH('Amenity Dashboard'!$B$35)),'Amenity Dashboard'!$B$36/'Amenity Dashboard'!$B$37*(HLOOKUP(CW7,$D$1:$AH$5,4,0)))</f>
        <v>100357.70741866942</v>
      </c>
      <c r="CX30" s="306">
        <f ca="1">IF(AND(YEAR(CX9)&gt;=YEAR('Amenity Dashboard'!$B$34),MONTH(CX9)&gt;=MONTH('Amenity Dashboard'!$B$34),MONTH(CX9)&lt;=MONTH('Amenity Dashboard'!$B$35)),'Amenity Dashboard'!$B$36/'Amenity Dashboard'!$B$37*(HLOOKUP(CX7,$D$1:$AH$5,4,0)))</f>
        <v>100357.70741866942</v>
      </c>
      <c r="CY30" s="306">
        <f ca="1">IF(AND(YEAR(CY9)&gt;=YEAR('Amenity Dashboard'!$B$34),MONTH(CY9)&gt;=MONTH('Amenity Dashboard'!$B$34),MONTH(CY9)&lt;=MONTH('Amenity Dashboard'!$B$35)),'Amenity Dashboard'!$B$36/'Amenity Dashboard'!$B$37*(HLOOKUP(CY7,$D$1:$AH$5,4,0)))</f>
        <v>100357.70741866942</v>
      </c>
      <c r="CZ30" s="306">
        <f ca="1">IF(AND(YEAR(CZ9)&gt;=YEAR('Amenity Dashboard'!$B$34),MONTH(CZ9)&gt;=MONTH('Amenity Dashboard'!$B$34),MONTH(CZ9)&lt;=MONTH('Amenity Dashboard'!$B$35)),'Amenity Dashboard'!$B$36/'Amenity Dashboard'!$B$37*(HLOOKUP(CZ7,$D$1:$AH$5,4,0)))</f>
        <v>100357.70741866942</v>
      </c>
      <c r="DA30" s="306"/>
      <c r="DB30" s="306"/>
      <c r="DC30" s="306"/>
      <c r="DD30" s="306"/>
      <c r="DE30" s="306"/>
      <c r="DF30" s="306"/>
      <c r="DG30" s="306"/>
      <c r="DH30" s="306">
        <f ca="1">IF(AND(YEAR(DH9)&gt;=YEAR('Amenity Dashboard'!$B$34),MONTH(DH9)&gt;=MONTH('Amenity Dashboard'!$B$34),MONTH(DH9)&lt;=MONTH('Amenity Dashboard'!$B$35)),'Amenity Dashboard'!$B$36/'Amenity Dashboard'!$B$37*(HLOOKUP(DH7,$D$1:$AH$5,4,0)))</f>
        <v>103368.4386412295</v>
      </c>
      <c r="DI30" s="306">
        <f ca="1">IF(AND(YEAR(DI9)&gt;=YEAR('Amenity Dashboard'!$B$34),MONTH(DI9)&gt;=MONTH('Amenity Dashboard'!$B$34),MONTH(DI9)&lt;=MONTH('Amenity Dashboard'!$B$35)),'Amenity Dashboard'!$B$36/'Amenity Dashboard'!$B$37*(HLOOKUP(DI7,$D$1:$AH$5,4,0)))</f>
        <v>103368.4386412295</v>
      </c>
      <c r="DJ30" s="306">
        <f ca="1">IF(AND(YEAR(DJ9)&gt;=YEAR('Amenity Dashboard'!$B$34),MONTH(DJ9)&gt;=MONTH('Amenity Dashboard'!$B$34),MONTH(DJ9)&lt;=MONTH('Amenity Dashboard'!$B$35)),'Amenity Dashboard'!$B$36/'Amenity Dashboard'!$B$37*(HLOOKUP(DJ7,$D$1:$AH$5,4,0)))</f>
        <v>103368.4386412295</v>
      </c>
      <c r="DK30" s="306">
        <f ca="1">IF(AND(YEAR(DK9)&gt;=YEAR('Amenity Dashboard'!$B$34),MONTH(DK9)&gt;=MONTH('Amenity Dashboard'!$B$34),MONTH(DK9)&lt;=MONTH('Amenity Dashboard'!$B$35)),'Amenity Dashboard'!$B$36/'Amenity Dashboard'!$B$37*(HLOOKUP(DK7,$D$1:$AH$5,4,0)))</f>
        <v>103368.4386412295</v>
      </c>
      <c r="DL30" s="306">
        <f ca="1">IF(AND(YEAR(DL9)&gt;=YEAR('Amenity Dashboard'!$B$34),MONTH(DL9)&gt;=MONTH('Amenity Dashboard'!$B$34),MONTH(DL9)&lt;=MONTH('Amenity Dashboard'!$B$35)),'Amenity Dashboard'!$B$36/'Amenity Dashboard'!$B$37*(HLOOKUP(DL7,$D$1:$AH$5,4,0)))</f>
        <v>103368.4386412295</v>
      </c>
      <c r="DM30" s="306"/>
      <c r="DN30" s="306"/>
      <c r="DO30" s="306"/>
      <c r="DP30" s="306"/>
      <c r="DQ30" s="306"/>
      <c r="DR30" s="306"/>
      <c r="DS30" s="306"/>
      <c r="DT30" s="306">
        <f ca="1">IF(AND(YEAR(DT9)&gt;=YEAR('Amenity Dashboard'!$B$34),MONTH(DT9)&gt;=MONTH('Amenity Dashboard'!$B$34),MONTH(DT9)&lt;=MONTH('Amenity Dashboard'!$B$35)),'Amenity Dashboard'!$B$36/'Amenity Dashboard'!$B$37*(HLOOKUP(DT7,$D$1:$AH$5,4,0)))</f>
        <v>106469.49180046638</v>
      </c>
      <c r="DU30" s="306">
        <f ca="1">IF(AND(YEAR(DU9)&gt;=YEAR('Amenity Dashboard'!$B$34),MONTH(DU9)&gt;=MONTH('Amenity Dashboard'!$B$34),MONTH(DU9)&lt;=MONTH('Amenity Dashboard'!$B$35)),'Amenity Dashboard'!$B$36/'Amenity Dashboard'!$B$37*(HLOOKUP(DU7,$D$1:$AH$5,4,0)))</f>
        <v>106469.49180046638</v>
      </c>
      <c r="DV30" s="306">
        <f ca="1">IF(AND(YEAR(DV9)&gt;=YEAR('Amenity Dashboard'!$B$34),MONTH(DV9)&gt;=MONTH('Amenity Dashboard'!$B$34),MONTH(DV9)&lt;=MONTH('Amenity Dashboard'!$B$35)),'Amenity Dashboard'!$B$36/'Amenity Dashboard'!$B$37*(HLOOKUP(DV7,$D$1:$AH$5,4,0)))</f>
        <v>106469.49180046638</v>
      </c>
      <c r="DW30" s="306">
        <f ca="1">IF(AND(YEAR(DW9)&gt;=YEAR('Amenity Dashboard'!$B$34),MONTH(DW9)&gt;=MONTH('Amenity Dashboard'!$B$34),MONTH(DW9)&lt;=MONTH('Amenity Dashboard'!$B$35)),'Amenity Dashboard'!$B$36/'Amenity Dashboard'!$B$37*(HLOOKUP(DW7,$D$1:$AH$5,4,0)))</f>
        <v>106469.49180046638</v>
      </c>
      <c r="DX30" s="306">
        <f ca="1">IF(AND(YEAR(DX9)&gt;=YEAR('Amenity Dashboard'!$B$34),MONTH(DX9)&gt;=MONTH('Amenity Dashboard'!$B$34),MONTH(DX9)&lt;=MONTH('Amenity Dashboard'!$B$35)),'Amenity Dashboard'!$B$36/'Amenity Dashboard'!$B$37*(HLOOKUP(DX7,$D$1:$AH$5,4,0)))</f>
        <v>106469.49180046638</v>
      </c>
      <c r="DY30" s="306"/>
      <c r="DZ30" s="306"/>
      <c r="EA30" s="306"/>
      <c r="EB30" s="306"/>
      <c r="EC30" s="306"/>
      <c r="ED30" s="306"/>
      <c r="EE30" s="306"/>
    </row>
    <row r="31" spans="2:135" x14ac:dyDescent="0.2">
      <c r="B31" s="259" t="s">
        <v>467</v>
      </c>
      <c r="C31" s="309"/>
      <c r="D31" s="309">
        <f>D30*'Amenity Dashboard'!$B$38</f>
        <v>0</v>
      </c>
      <c r="E31" s="309">
        <f>E30*'Amenity Dashboard'!$B$38</f>
        <v>0</v>
      </c>
      <c r="F31" s="309">
        <f>F30*'Amenity Dashboard'!$B$38</f>
        <v>0</v>
      </c>
      <c r="G31" s="309">
        <f>G30*'Amenity Dashboard'!$B$38</f>
        <v>0</v>
      </c>
      <c r="H31" s="309">
        <f>H30*'Amenity Dashboard'!$B$38</f>
        <v>0</v>
      </c>
      <c r="I31" s="309">
        <f>I30*'Amenity Dashboard'!$B$38</f>
        <v>0</v>
      </c>
      <c r="J31" s="309">
        <f>J30*'Amenity Dashboard'!$B$38</f>
        <v>0</v>
      </c>
      <c r="K31" s="309">
        <f>K30*'Amenity Dashboard'!$B$38</f>
        <v>0</v>
      </c>
      <c r="L31" s="309">
        <f>L30*'Amenity Dashboard'!$B$38</f>
        <v>0</v>
      </c>
      <c r="M31" s="309">
        <f>M30*'Amenity Dashboard'!$B$38</f>
        <v>0</v>
      </c>
      <c r="N31" s="309">
        <f>N30*'Amenity Dashboard'!$B$38</f>
        <v>0</v>
      </c>
      <c r="O31" s="309">
        <f>O30*'Amenity Dashboard'!$B$38</f>
        <v>0</v>
      </c>
      <c r="P31" s="309">
        <f ca="1">P30*'Amenity Dashboard'!$B$38</f>
        <v>8160</v>
      </c>
      <c r="Q31" s="309">
        <f ca="1">Q30*'Amenity Dashboard'!$B$38</f>
        <v>8160</v>
      </c>
      <c r="R31" s="309">
        <f ca="1">R30*'Amenity Dashboard'!$B$38</f>
        <v>8160</v>
      </c>
      <c r="S31" s="309">
        <f ca="1">S30*'Amenity Dashboard'!$B$38</f>
        <v>8160</v>
      </c>
      <c r="T31" s="309">
        <f ca="1">T30*'Amenity Dashboard'!$B$38</f>
        <v>8160</v>
      </c>
      <c r="U31" s="309"/>
      <c r="V31" s="309"/>
      <c r="W31" s="309"/>
      <c r="X31" s="309"/>
      <c r="Y31" s="309"/>
      <c r="Z31" s="309"/>
      <c r="AA31" s="309"/>
      <c r="AB31" s="309">
        <f ca="1">AB30*'Amenity Dashboard'!$B$38</f>
        <v>8404.8000000000011</v>
      </c>
      <c r="AC31" s="309">
        <f ca="1">AC30*'Amenity Dashboard'!$B$38</f>
        <v>8404.8000000000011</v>
      </c>
      <c r="AD31" s="309">
        <f ca="1">AD30*'Amenity Dashboard'!$B$38</f>
        <v>8404.8000000000011</v>
      </c>
      <c r="AE31" s="309">
        <f ca="1">AE30*'Amenity Dashboard'!$B$38</f>
        <v>8404.8000000000011</v>
      </c>
      <c r="AF31" s="309">
        <f ca="1">AF30*'Amenity Dashboard'!$B$38</f>
        <v>8404.8000000000011</v>
      </c>
      <c r="AG31" s="309"/>
      <c r="AH31" s="309"/>
      <c r="AI31" s="309"/>
      <c r="AJ31" s="309"/>
      <c r="AK31" s="309"/>
      <c r="AL31" s="309"/>
      <c r="AM31" s="309"/>
      <c r="AN31" s="309">
        <f ca="1">AN30*'Amenity Dashboard'!$B$38</f>
        <v>8656.9440000000013</v>
      </c>
      <c r="AO31" s="309">
        <f ca="1">AO30*'Amenity Dashboard'!$B$38</f>
        <v>8656.9440000000013</v>
      </c>
      <c r="AP31" s="309">
        <f ca="1">AP30*'Amenity Dashboard'!$B$38</f>
        <v>8656.9440000000013</v>
      </c>
      <c r="AQ31" s="309">
        <f ca="1">AQ30*'Amenity Dashboard'!$B$38</f>
        <v>8656.9440000000013</v>
      </c>
      <c r="AR31" s="309">
        <f ca="1">AR30*'Amenity Dashboard'!$B$38</f>
        <v>8656.9440000000013</v>
      </c>
      <c r="AS31" s="309"/>
      <c r="AT31" s="309"/>
      <c r="AU31" s="309"/>
      <c r="AV31" s="309"/>
      <c r="AW31" s="309"/>
      <c r="AX31" s="309"/>
      <c r="AY31" s="309"/>
      <c r="AZ31" s="309">
        <f ca="1">AZ30*'Amenity Dashboard'!$B$38</f>
        <v>8916.6523200000011</v>
      </c>
      <c r="BA31" s="309">
        <f ca="1">BA30*'Amenity Dashboard'!$B$38</f>
        <v>8916.6523200000011</v>
      </c>
      <c r="BB31" s="309">
        <f ca="1">BB30*'Amenity Dashboard'!$B$38</f>
        <v>8916.6523200000011</v>
      </c>
      <c r="BC31" s="309">
        <f ca="1">BC30*'Amenity Dashboard'!$B$38</f>
        <v>8916.6523200000011</v>
      </c>
      <c r="BD31" s="309">
        <f ca="1">BD30*'Amenity Dashboard'!$B$38</f>
        <v>8916.6523200000011</v>
      </c>
      <c r="BE31" s="309"/>
      <c r="BF31" s="309"/>
      <c r="BG31" s="309"/>
      <c r="BH31" s="309"/>
      <c r="BI31" s="309"/>
      <c r="BJ31" s="309"/>
      <c r="BK31" s="309"/>
      <c r="BL31" s="309">
        <f ca="1">BL30*'Amenity Dashboard'!$B$38</f>
        <v>9184.1518896000034</v>
      </c>
      <c r="BM31" s="309">
        <f ca="1">BM30*'Amenity Dashboard'!$B$38</f>
        <v>9184.1518896000034</v>
      </c>
      <c r="BN31" s="309">
        <f ca="1">BN30*'Amenity Dashboard'!$B$38</f>
        <v>9184.1518896000034</v>
      </c>
      <c r="BO31" s="309">
        <f ca="1">BO30*'Amenity Dashboard'!$B$38</f>
        <v>9184.1518896000034</v>
      </c>
      <c r="BP31" s="309">
        <f ca="1">BP30*'Amenity Dashboard'!$B$38</f>
        <v>9184.1518896000034</v>
      </c>
      <c r="BQ31" s="309"/>
      <c r="BR31" s="309"/>
      <c r="BS31" s="309"/>
      <c r="BT31" s="309"/>
      <c r="BU31" s="309"/>
      <c r="BV31" s="309"/>
      <c r="BW31" s="309"/>
      <c r="BX31" s="309">
        <f ca="1">BX30*'Amenity Dashboard'!$B$38</f>
        <v>9459.6764462880019</v>
      </c>
      <c r="BY31" s="309">
        <f ca="1">BY30*'Amenity Dashboard'!$B$38</f>
        <v>9459.6764462880019</v>
      </c>
      <c r="BZ31" s="309">
        <f ca="1">BZ30*'Amenity Dashboard'!$B$38</f>
        <v>9459.6764462880019</v>
      </c>
      <c r="CA31" s="309">
        <f ca="1">CA30*'Amenity Dashboard'!$B$38</f>
        <v>9459.6764462880019</v>
      </c>
      <c r="CB31" s="309">
        <f ca="1">CB30*'Amenity Dashboard'!$B$38</f>
        <v>9459.6764462880019</v>
      </c>
      <c r="CC31" s="309"/>
      <c r="CD31" s="309"/>
      <c r="CE31" s="309"/>
      <c r="CF31" s="309"/>
      <c r="CG31" s="309"/>
      <c r="CH31" s="309"/>
      <c r="CI31" s="309"/>
      <c r="CJ31" s="309">
        <f ca="1">CJ30*'Amenity Dashboard'!$B$38</f>
        <v>9743.4667396766436</v>
      </c>
      <c r="CK31" s="309">
        <f ca="1">CK30*'Amenity Dashboard'!$B$38</f>
        <v>9743.4667396766436</v>
      </c>
      <c r="CL31" s="309">
        <f ca="1">CL30*'Amenity Dashboard'!$B$38</f>
        <v>9743.4667396766436</v>
      </c>
      <c r="CM31" s="309">
        <f ca="1">CM30*'Amenity Dashboard'!$B$38</f>
        <v>9743.4667396766436</v>
      </c>
      <c r="CN31" s="309">
        <f ca="1">CN30*'Amenity Dashboard'!$B$38</f>
        <v>9743.4667396766436</v>
      </c>
      <c r="CO31" s="309"/>
      <c r="CP31" s="309"/>
      <c r="CQ31" s="309"/>
      <c r="CR31" s="309"/>
      <c r="CS31" s="309"/>
      <c r="CT31" s="309"/>
      <c r="CU31" s="309"/>
      <c r="CV31" s="309">
        <f ca="1">CV30*'Amenity Dashboard'!$B$38</f>
        <v>10035.770741866943</v>
      </c>
      <c r="CW31" s="309">
        <f ca="1">CW30*'Amenity Dashboard'!$B$38</f>
        <v>10035.770741866943</v>
      </c>
      <c r="CX31" s="309">
        <f ca="1">CX30*'Amenity Dashboard'!$B$38</f>
        <v>10035.770741866943</v>
      </c>
      <c r="CY31" s="309">
        <f ca="1">CY30*'Amenity Dashboard'!$B$38</f>
        <v>10035.770741866943</v>
      </c>
      <c r="CZ31" s="309">
        <f ca="1">CZ30*'Amenity Dashboard'!$B$38</f>
        <v>10035.770741866943</v>
      </c>
      <c r="DA31" s="309"/>
      <c r="DB31" s="309"/>
      <c r="DC31" s="309"/>
      <c r="DD31" s="309"/>
      <c r="DE31" s="309"/>
      <c r="DF31" s="309"/>
      <c r="DG31" s="309"/>
      <c r="DH31" s="309">
        <f ca="1">DH30*'Amenity Dashboard'!$B$38</f>
        <v>10336.843864122951</v>
      </c>
      <c r="DI31" s="309">
        <f ca="1">DI30*'Amenity Dashboard'!$B$38</f>
        <v>10336.843864122951</v>
      </c>
      <c r="DJ31" s="309">
        <f ca="1">DJ30*'Amenity Dashboard'!$B$38</f>
        <v>10336.843864122951</v>
      </c>
      <c r="DK31" s="309">
        <f ca="1">DK30*'Amenity Dashboard'!$B$38</f>
        <v>10336.843864122951</v>
      </c>
      <c r="DL31" s="309">
        <f ca="1">DL30*'Amenity Dashboard'!$B$38</f>
        <v>10336.843864122951</v>
      </c>
      <c r="DM31" s="309"/>
      <c r="DN31" s="309"/>
      <c r="DO31" s="309"/>
      <c r="DP31" s="309"/>
      <c r="DQ31" s="309"/>
      <c r="DR31" s="309"/>
      <c r="DS31" s="309"/>
      <c r="DT31" s="309">
        <f ca="1">DT30*'Amenity Dashboard'!$B$38</f>
        <v>10646.949180046639</v>
      </c>
      <c r="DU31" s="309">
        <f ca="1">DU30*'Amenity Dashboard'!$B$38</f>
        <v>10646.949180046639</v>
      </c>
      <c r="DV31" s="309">
        <f ca="1">DV30*'Amenity Dashboard'!$B$38</f>
        <v>10646.949180046639</v>
      </c>
      <c r="DW31" s="309">
        <f ca="1">DW30*'Amenity Dashboard'!$B$38</f>
        <v>10646.949180046639</v>
      </c>
      <c r="DX31" s="309">
        <f ca="1">DX30*'Amenity Dashboard'!$B$38</f>
        <v>10646.949180046639</v>
      </c>
      <c r="DY31" s="309"/>
      <c r="DZ31" s="309"/>
      <c r="EA31" s="309"/>
      <c r="EB31" s="309"/>
      <c r="EC31" s="309"/>
      <c r="ED31" s="309"/>
      <c r="EE31" s="309"/>
    </row>
    <row r="32" spans="2:135" ht="16" thickBot="1" x14ac:dyDescent="0.25">
      <c r="B32" s="302" t="s">
        <v>445</v>
      </c>
      <c r="C32" s="303"/>
      <c r="D32" s="303">
        <f>IF(D30=0,0,-'Amenity Dashboard'!$B$39/'Amenity Dashboard'!$B$37)</f>
        <v>0</v>
      </c>
      <c r="E32" s="303">
        <f>IF(E30=0,0,-'Amenity Dashboard'!$B$39/'Amenity Dashboard'!$B$37)</f>
        <v>0</v>
      </c>
      <c r="F32" s="303">
        <f>IF(F30=0,0,-'Amenity Dashboard'!$B$39/'Amenity Dashboard'!$B$37)</f>
        <v>0</v>
      </c>
      <c r="G32" s="303">
        <f>IF(G30=0,0,-'Amenity Dashboard'!$B$39/'Amenity Dashboard'!$B$37)</f>
        <v>0</v>
      </c>
      <c r="H32" s="303">
        <f>IF(H30=0,0,-'Amenity Dashboard'!$B$39/'Amenity Dashboard'!$B$37)</f>
        <v>0</v>
      </c>
      <c r="I32" s="303">
        <f>IF(I30=0,0,-'Amenity Dashboard'!$B$39/'Amenity Dashboard'!$B$37)</f>
        <v>0</v>
      </c>
      <c r="J32" s="303">
        <f>IF(J30=0,0,-'Amenity Dashboard'!$B$39/'Amenity Dashboard'!$B$37)</f>
        <v>0</v>
      </c>
      <c r="K32" s="303">
        <f>IF(K30=0,0,-'Amenity Dashboard'!$B$39/'Amenity Dashboard'!$B$37)</f>
        <v>0</v>
      </c>
      <c r="L32" s="303">
        <f>IF(L30=0,0,-'Amenity Dashboard'!$B$39/'Amenity Dashboard'!$B$37)</f>
        <v>0</v>
      </c>
      <c r="M32" s="303">
        <f>IF(M30=0,0,-'Amenity Dashboard'!$B$39/'Amenity Dashboard'!$B$37)</f>
        <v>0</v>
      </c>
      <c r="N32" s="303">
        <f>IF(N30=0,0,-'Amenity Dashboard'!$B$39/'Amenity Dashboard'!$B$37)</f>
        <v>0</v>
      </c>
      <c r="O32" s="303">
        <f>IF(O30=0,0,-'Amenity Dashboard'!$B$39/'Amenity Dashboard'!$B$37)</f>
        <v>0</v>
      </c>
      <c r="P32" s="303">
        <f ca="1">IF(P30=0,0,-'Amenity Dashboard'!$B$39/'Amenity Dashboard'!$B$37)</f>
        <v>-20000</v>
      </c>
      <c r="Q32" s="303">
        <f ca="1">IF(Q30=0,0,-'Amenity Dashboard'!$B$39/'Amenity Dashboard'!$B$37)</f>
        <v>-20000</v>
      </c>
      <c r="R32" s="303">
        <f ca="1">IF(R30=0,0,-'Amenity Dashboard'!$B$39/'Amenity Dashboard'!$B$37)</f>
        <v>-20000</v>
      </c>
      <c r="S32" s="303">
        <f ca="1">IF(S30=0,0,-'Amenity Dashboard'!$B$39/'Amenity Dashboard'!$B$37)</f>
        <v>-20000</v>
      </c>
      <c r="T32" s="303">
        <f ca="1">IF(T30=0,0,-'Amenity Dashboard'!$B$39/'Amenity Dashboard'!$B$37)</f>
        <v>-20000</v>
      </c>
      <c r="U32" s="303"/>
      <c r="V32" s="303"/>
      <c r="W32" s="303"/>
      <c r="X32" s="303"/>
      <c r="Y32" s="303"/>
      <c r="Z32" s="303"/>
      <c r="AA32" s="303"/>
      <c r="AB32" s="303">
        <f ca="1">IF(AB30=0,0,-'Amenity Dashboard'!$B$39/'Amenity Dashboard'!$B$37)</f>
        <v>-20000</v>
      </c>
      <c r="AC32" s="303">
        <f ca="1">IF(AC30=0,0,-'Amenity Dashboard'!$B$39/'Amenity Dashboard'!$B$37)</f>
        <v>-20000</v>
      </c>
      <c r="AD32" s="303">
        <f ca="1">IF(AD30=0,0,-'Amenity Dashboard'!$B$39/'Amenity Dashboard'!$B$37)</f>
        <v>-20000</v>
      </c>
      <c r="AE32" s="303">
        <f ca="1">IF(AE30=0,0,-'Amenity Dashboard'!$B$39/'Amenity Dashboard'!$B$37)</f>
        <v>-20000</v>
      </c>
      <c r="AF32" s="303">
        <f ca="1">IF(AF30=0,0,-'Amenity Dashboard'!$B$39/'Amenity Dashboard'!$B$37)</f>
        <v>-20000</v>
      </c>
      <c r="AG32" s="303"/>
      <c r="AH32" s="303"/>
      <c r="AI32" s="303"/>
      <c r="AJ32" s="303"/>
      <c r="AK32" s="303"/>
      <c r="AL32" s="303"/>
      <c r="AM32" s="303"/>
      <c r="AN32" s="303">
        <f ca="1">IF(AN30=0,0,-'Amenity Dashboard'!$B$39/'Amenity Dashboard'!$B$37)</f>
        <v>-20000</v>
      </c>
      <c r="AO32" s="303">
        <f ca="1">IF(AO30=0,0,-'Amenity Dashboard'!$B$39/'Amenity Dashboard'!$B$37)</f>
        <v>-20000</v>
      </c>
      <c r="AP32" s="303">
        <f ca="1">IF(AP30=0,0,-'Amenity Dashboard'!$B$39/'Amenity Dashboard'!$B$37)</f>
        <v>-20000</v>
      </c>
      <c r="AQ32" s="303">
        <f ca="1">IF(AQ30=0,0,-'Amenity Dashboard'!$B$39/'Amenity Dashboard'!$B$37)</f>
        <v>-20000</v>
      </c>
      <c r="AR32" s="303">
        <f ca="1">IF(AR30=0,0,-'Amenity Dashboard'!$B$39/'Amenity Dashboard'!$B$37)</f>
        <v>-20000</v>
      </c>
      <c r="AS32" s="303"/>
      <c r="AT32" s="303"/>
      <c r="AU32" s="303"/>
      <c r="AV32" s="303"/>
      <c r="AW32" s="303"/>
      <c r="AX32" s="303"/>
      <c r="AY32" s="303"/>
      <c r="AZ32" s="303">
        <f ca="1">IF(AZ30=0,0,-'Amenity Dashboard'!$B$39/'Amenity Dashboard'!$B$37)</f>
        <v>-20000</v>
      </c>
      <c r="BA32" s="303">
        <f ca="1">IF(BA30=0,0,-'Amenity Dashboard'!$B$39/'Amenity Dashboard'!$B$37)</f>
        <v>-20000</v>
      </c>
      <c r="BB32" s="303">
        <f ca="1">IF(BB30=0,0,-'Amenity Dashboard'!$B$39/'Amenity Dashboard'!$B$37)</f>
        <v>-20000</v>
      </c>
      <c r="BC32" s="303">
        <f ca="1">IF(BC30=0,0,-'Amenity Dashboard'!$B$39/'Amenity Dashboard'!$B$37)</f>
        <v>-20000</v>
      </c>
      <c r="BD32" s="303">
        <f ca="1">IF(BD30=0,0,-'Amenity Dashboard'!$B$39/'Amenity Dashboard'!$B$37)</f>
        <v>-20000</v>
      </c>
      <c r="BE32" s="303"/>
      <c r="BF32" s="303"/>
      <c r="BG32" s="303"/>
      <c r="BH32" s="303"/>
      <c r="BI32" s="303"/>
      <c r="BJ32" s="303"/>
      <c r="BK32" s="303"/>
      <c r="BL32" s="303">
        <f ca="1">IF(BL30=0,0,-'Amenity Dashboard'!$B$39/'Amenity Dashboard'!$B$37)</f>
        <v>-20000</v>
      </c>
      <c r="BM32" s="303">
        <f ca="1">IF(BM30=0,0,-'Amenity Dashboard'!$B$39/'Amenity Dashboard'!$B$37)</f>
        <v>-20000</v>
      </c>
      <c r="BN32" s="303">
        <f ca="1">IF(BN30=0,0,-'Amenity Dashboard'!$B$39/'Amenity Dashboard'!$B$37)</f>
        <v>-20000</v>
      </c>
      <c r="BO32" s="303">
        <f ca="1">IF(BO30=0,0,-'Amenity Dashboard'!$B$39/'Amenity Dashboard'!$B$37)</f>
        <v>-20000</v>
      </c>
      <c r="BP32" s="303">
        <f ca="1">IF(BP30=0,0,-'Amenity Dashboard'!$B$39/'Amenity Dashboard'!$B$37)</f>
        <v>-20000</v>
      </c>
      <c r="BQ32" s="303"/>
      <c r="BR32" s="303"/>
      <c r="BS32" s="303"/>
      <c r="BT32" s="303"/>
      <c r="BU32" s="303"/>
      <c r="BV32" s="303"/>
      <c r="BW32" s="303"/>
      <c r="BX32" s="303">
        <f ca="1">IF(BX30=0,0,-'Amenity Dashboard'!$B$39/'Amenity Dashboard'!$B$37)</f>
        <v>-20000</v>
      </c>
      <c r="BY32" s="303">
        <f ca="1">IF(BY30=0,0,-'Amenity Dashboard'!$B$39/'Amenity Dashboard'!$B$37)</f>
        <v>-20000</v>
      </c>
      <c r="BZ32" s="303">
        <f ca="1">IF(BZ30=0,0,-'Amenity Dashboard'!$B$39/'Amenity Dashboard'!$B$37)</f>
        <v>-20000</v>
      </c>
      <c r="CA32" s="303">
        <f ca="1">IF(CA30=0,0,-'Amenity Dashboard'!$B$39/'Amenity Dashboard'!$B$37)</f>
        <v>-20000</v>
      </c>
      <c r="CB32" s="303">
        <f ca="1">IF(CB30=0,0,-'Amenity Dashboard'!$B$39/'Amenity Dashboard'!$B$37)</f>
        <v>-20000</v>
      </c>
      <c r="CC32" s="303"/>
      <c r="CD32" s="303"/>
      <c r="CE32" s="303"/>
      <c r="CF32" s="303"/>
      <c r="CG32" s="303"/>
      <c r="CH32" s="303"/>
      <c r="CI32" s="303"/>
      <c r="CJ32" s="303">
        <f ca="1">IF(CJ30=0,0,-'Amenity Dashboard'!$B$39/'Amenity Dashboard'!$B$37)</f>
        <v>-20000</v>
      </c>
      <c r="CK32" s="303">
        <f ca="1">IF(CK30=0,0,-'Amenity Dashboard'!$B$39/'Amenity Dashboard'!$B$37)</f>
        <v>-20000</v>
      </c>
      <c r="CL32" s="303">
        <f ca="1">IF(CL30=0,0,-'Amenity Dashboard'!$B$39/'Amenity Dashboard'!$B$37)</f>
        <v>-20000</v>
      </c>
      <c r="CM32" s="303">
        <f ca="1">IF(CM30=0,0,-'Amenity Dashboard'!$B$39/'Amenity Dashboard'!$B$37)</f>
        <v>-20000</v>
      </c>
      <c r="CN32" s="303">
        <f ca="1">IF(CN30=0,0,-'Amenity Dashboard'!$B$39/'Amenity Dashboard'!$B$37)</f>
        <v>-20000</v>
      </c>
      <c r="CO32" s="303"/>
      <c r="CP32" s="303"/>
      <c r="CQ32" s="303"/>
      <c r="CR32" s="303"/>
      <c r="CS32" s="303"/>
      <c r="CT32" s="303"/>
      <c r="CU32" s="303"/>
      <c r="CV32" s="303">
        <f ca="1">IF(CV30=0,0,-'Amenity Dashboard'!$B$39/'Amenity Dashboard'!$B$37)</f>
        <v>-20000</v>
      </c>
      <c r="CW32" s="303">
        <f ca="1">IF(CW30=0,0,-'Amenity Dashboard'!$B$39/'Amenity Dashboard'!$B$37)</f>
        <v>-20000</v>
      </c>
      <c r="CX32" s="303">
        <f ca="1">IF(CX30=0,0,-'Amenity Dashboard'!$B$39/'Amenity Dashboard'!$B$37)</f>
        <v>-20000</v>
      </c>
      <c r="CY32" s="303">
        <f ca="1">IF(CY30=0,0,-'Amenity Dashboard'!$B$39/'Amenity Dashboard'!$B$37)</f>
        <v>-20000</v>
      </c>
      <c r="CZ32" s="303">
        <f ca="1">IF(CZ30=0,0,-'Amenity Dashboard'!$B$39/'Amenity Dashboard'!$B$37)</f>
        <v>-20000</v>
      </c>
      <c r="DA32" s="303"/>
      <c r="DB32" s="303"/>
      <c r="DC32" s="303"/>
      <c r="DD32" s="303"/>
      <c r="DE32" s="303"/>
      <c r="DF32" s="303"/>
      <c r="DG32" s="303"/>
      <c r="DH32" s="303">
        <f ca="1">IF(DH30=0,0,-'Amenity Dashboard'!$B$39/'Amenity Dashboard'!$B$37)</f>
        <v>-20000</v>
      </c>
      <c r="DI32" s="303">
        <f ca="1">IF(DI30=0,0,-'Amenity Dashboard'!$B$39/'Amenity Dashboard'!$B$37)</f>
        <v>-20000</v>
      </c>
      <c r="DJ32" s="303">
        <f ca="1">IF(DJ30=0,0,-'Amenity Dashboard'!$B$39/'Amenity Dashboard'!$B$37)</f>
        <v>-20000</v>
      </c>
      <c r="DK32" s="303">
        <f ca="1">IF(DK30=0,0,-'Amenity Dashboard'!$B$39/'Amenity Dashboard'!$B$37)</f>
        <v>-20000</v>
      </c>
      <c r="DL32" s="303">
        <f ca="1">IF(DL30=0,0,-'Amenity Dashboard'!$B$39/'Amenity Dashboard'!$B$37)</f>
        <v>-20000</v>
      </c>
      <c r="DM32" s="303"/>
      <c r="DN32" s="303"/>
      <c r="DO32" s="303"/>
      <c r="DP32" s="303"/>
      <c r="DQ32" s="303"/>
      <c r="DR32" s="303"/>
      <c r="DS32" s="303"/>
      <c r="DT32" s="303">
        <f ca="1">IF(DT30=0,0,-'Amenity Dashboard'!$B$39/'Amenity Dashboard'!$B$37)</f>
        <v>-20000</v>
      </c>
      <c r="DU32" s="303">
        <f ca="1">IF(DU30=0,0,-'Amenity Dashboard'!$B$39/'Amenity Dashboard'!$B$37)</f>
        <v>-20000</v>
      </c>
      <c r="DV32" s="303">
        <f ca="1">IF(DV30=0,0,-'Amenity Dashboard'!$B$39/'Amenity Dashboard'!$B$37)</f>
        <v>-20000</v>
      </c>
      <c r="DW32" s="303">
        <f ca="1">IF(DW30=0,0,-'Amenity Dashboard'!$B$39/'Amenity Dashboard'!$B$37)</f>
        <v>-20000</v>
      </c>
      <c r="DX32" s="303">
        <f ca="1">IF(DX30=0,0,-'Amenity Dashboard'!$B$39/'Amenity Dashboard'!$B$37)</f>
        <v>-20000</v>
      </c>
      <c r="DY32" s="303"/>
      <c r="DZ32" s="303"/>
      <c r="EA32" s="303"/>
      <c r="EB32" s="303"/>
      <c r="EC32" s="303"/>
      <c r="ED32" s="303"/>
      <c r="EE32" s="303"/>
    </row>
    <row r="33" spans="2:135" ht="16" thickBot="1" x14ac:dyDescent="0.25">
      <c r="B33" s="310" t="s">
        <v>468</v>
      </c>
      <c r="C33" s="305"/>
      <c r="D33" s="305">
        <f t="shared" ref="D33:BO33" si="25">D32+D31+D30</f>
        <v>0</v>
      </c>
      <c r="E33" s="305">
        <f t="shared" si="25"/>
        <v>0</v>
      </c>
      <c r="F33" s="305">
        <f t="shared" si="25"/>
        <v>0</v>
      </c>
      <c r="G33" s="305">
        <f t="shared" si="25"/>
        <v>0</v>
      </c>
      <c r="H33" s="305">
        <f t="shared" si="25"/>
        <v>0</v>
      </c>
      <c r="I33" s="305">
        <f t="shared" si="25"/>
        <v>0</v>
      </c>
      <c r="J33" s="305">
        <f t="shared" si="25"/>
        <v>0</v>
      </c>
      <c r="K33" s="305">
        <f t="shared" si="25"/>
        <v>0</v>
      </c>
      <c r="L33" s="305">
        <f t="shared" si="25"/>
        <v>0</v>
      </c>
      <c r="M33" s="305">
        <f t="shared" si="25"/>
        <v>0</v>
      </c>
      <c r="N33" s="305">
        <f t="shared" si="25"/>
        <v>0</v>
      </c>
      <c r="O33" s="305">
        <f t="shared" si="25"/>
        <v>0</v>
      </c>
      <c r="P33" s="305">
        <f t="shared" ca="1" si="25"/>
        <v>69760</v>
      </c>
      <c r="Q33" s="305">
        <f t="shared" ca="1" si="25"/>
        <v>69760</v>
      </c>
      <c r="R33" s="305">
        <f t="shared" ca="1" si="25"/>
        <v>69760</v>
      </c>
      <c r="S33" s="305">
        <f t="shared" ca="1" si="25"/>
        <v>69760</v>
      </c>
      <c r="T33" s="305">
        <f t="shared" ca="1" si="25"/>
        <v>69760</v>
      </c>
      <c r="U33" s="305">
        <f t="shared" si="25"/>
        <v>0</v>
      </c>
      <c r="V33" s="305">
        <f t="shared" si="25"/>
        <v>0</v>
      </c>
      <c r="W33" s="305">
        <f t="shared" si="25"/>
        <v>0</v>
      </c>
      <c r="X33" s="305">
        <f t="shared" si="25"/>
        <v>0</v>
      </c>
      <c r="Y33" s="305">
        <f t="shared" si="25"/>
        <v>0</v>
      </c>
      <c r="Z33" s="305">
        <f t="shared" si="25"/>
        <v>0</v>
      </c>
      <c r="AA33" s="305">
        <f t="shared" si="25"/>
        <v>0</v>
      </c>
      <c r="AB33" s="305">
        <f t="shared" ca="1" si="25"/>
        <v>72452.800000000003</v>
      </c>
      <c r="AC33" s="305">
        <f t="shared" ca="1" si="25"/>
        <v>72452.800000000003</v>
      </c>
      <c r="AD33" s="305">
        <f t="shared" ca="1" si="25"/>
        <v>72452.800000000003</v>
      </c>
      <c r="AE33" s="305">
        <f t="shared" ca="1" si="25"/>
        <v>72452.800000000003</v>
      </c>
      <c r="AF33" s="305">
        <f t="shared" ca="1" si="25"/>
        <v>72452.800000000003</v>
      </c>
      <c r="AG33" s="305">
        <f t="shared" si="25"/>
        <v>0</v>
      </c>
      <c r="AH33" s="305">
        <f t="shared" si="25"/>
        <v>0</v>
      </c>
      <c r="AI33" s="305">
        <f t="shared" si="25"/>
        <v>0</v>
      </c>
      <c r="AJ33" s="305">
        <f t="shared" si="25"/>
        <v>0</v>
      </c>
      <c r="AK33" s="305">
        <f t="shared" si="25"/>
        <v>0</v>
      </c>
      <c r="AL33" s="305">
        <f t="shared" si="25"/>
        <v>0</v>
      </c>
      <c r="AM33" s="305">
        <f t="shared" si="25"/>
        <v>0</v>
      </c>
      <c r="AN33" s="305">
        <f t="shared" ca="1" si="25"/>
        <v>75226.384000000005</v>
      </c>
      <c r="AO33" s="305">
        <f t="shared" ca="1" si="25"/>
        <v>75226.384000000005</v>
      </c>
      <c r="AP33" s="305">
        <f t="shared" ca="1" si="25"/>
        <v>75226.384000000005</v>
      </c>
      <c r="AQ33" s="305">
        <f t="shared" ca="1" si="25"/>
        <v>75226.384000000005</v>
      </c>
      <c r="AR33" s="305">
        <f t="shared" ca="1" si="25"/>
        <v>75226.384000000005</v>
      </c>
      <c r="AS33" s="305">
        <f t="shared" si="25"/>
        <v>0</v>
      </c>
      <c r="AT33" s="305">
        <f t="shared" si="25"/>
        <v>0</v>
      </c>
      <c r="AU33" s="305">
        <f t="shared" si="25"/>
        <v>0</v>
      </c>
      <c r="AV33" s="305">
        <f t="shared" si="25"/>
        <v>0</v>
      </c>
      <c r="AW33" s="305">
        <f t="shared" si="25"/>
        <v>0</v>
      </c>
      <c r="AX33" s="305">
        <f t="shared" si="25"/>
        <v>0</v>
      </c>
      <c r="AY33" s="305">
        <f t="shared" si="25"/>
        <v>0</v>
      </c>
      <c r="AZ33" s="305">
        <f t="shared" ca="1" si="25"/>
        <v>78083.175520000019</v>
      </c>
      <c r="BA33" s="305">
        <f t="shared" ca="1" si="25"/>
        <v>78083.175520000019</v>
      </c>
      <c r="BB33" s="305">
        <f t="shared" ca="1" si="25"/>
        <v>78083.175520000019</v>
      </c>
      <c r="BC33" s="305">
        <f t="shared" ca="1" si="25"/>
        <v>78083.175520000019</v>
      </c>
      <c r="BD33" s="305">
        <f t="shared" ca="1" si="25"/>
        <v>78083.175520000019</v>
      </c>
      <c r="BE33" s="305">
        <f t="shared" si="25"/>
        <v>0</v>
      </c>
      <c r="BF33" s="305">
        <f t="shared" si="25"/>
        <v>0</v>
      </c>
      <c r="BG33" s="305">
        <f t="shared" si="25"/>
        <v>0</v>
      </c>
      <c r="BH33" s="305">
        <f t="shared" si="25"/>
        <v>0</v>
      </c>
      <c r="BI33" s="305">
        <f t="shared" si="25"/>
        <v>0</v>
      </c>
      <c r="BJ33" s="305">
        <f t="shared" si="25"/>
        <v>0</v>
      </c>
      <c r="BK33" s="305">
        <f t="shared" si="25"/>
        <v>0</v>
      </c>
      <c r="BL33" s="305">
        <f t="shared" ca="1" si="25"/>
        <v>81025.670785600028</v>
      </c>
      <c r="BM33" s="305">
        <f t="shared" ca="1" si="25"/>
        <v>81025.670785600028</v>
      </c>
      <c r="BN33" s="305">
        <f t="shared" ca="1" si="25"/>
        <v>81025.670785600028</v>
      </c>
      <c r="BO33" s="305">
        <f t="shared" ca="1" si="25"/>
        <v>81025.670785600028</v>
      </c>
      <c r="BP33" s="305">
        <f t="shared" ref="BP33:EA33" ca="1" si="26">BP32+BP31+BP30</f>
        <v>81025.670785600028</v>
      </c>
      <c r="BQ33" s="305">
        <f t="shared" si="26"/>
        <v>0</v>
      </c>
      <c r="BR33" s="305">
        <f t="shared" si="26"/>
        <v>0</v>
      </c>
      <c r="BS33" s="305">
        <f t="shared" si="26"/>
        <v>0</v>
      </c>
      <c r="BT33" s="305">
        <f t="shared" si="26"/>
        <v>0</v>
      </c>
      <c r="BU33" s="305">
        <f t="shared" si="26"/>
        <v>0</v>
      </c>
      <c r="BV33" s="305">
        <f t="shared" si="26"/>
        <v>0</v>
      </c>
      <c r="BW33" s="305">
        <f t="shared" si="26"/>
        <v>0</v>
      </c>
      <c r="BX33" s="305">
        <f t="shared" ca="1" si="26"/>
        <v>84056.440909168014</v>
      </c>
      <c r="BY33" s="305">
        <f t="shared" ca="1" si="26"/>
        <v>84056.440909168014</v>
      </c>
      <c r="BZ33" s="305">
        <f t="shared" ca="1" si="26"/>
        <v>84056.440909168014</v>
      </c>
      <c r="CA33" s="305">
        <f t="shared" ca="1" si="26"/>
        <v>84056.440909168014</v>
      </c>
      <c r="CB33" s="305">
        <f t="shared" ca="1" si="26"/>
        <v>84056.440909168014</v>
      </c>
      <c r="CC33" s="305">
        <f t="shared" si="26"/>
        <v>0</v>
      </c>
      <c r="CD33" s="305">
        <f t="shared" si="26"/>
        <v>0</v>
      </c>
      <c r="CE33" s="305">
        <f t="shared" si="26"/>
        <v>0</v>
      </c>
      <c r="CF33" s="305">
        <f t="shared" si="26"/>
        <v>0</v>
      </c>
      <c r="CG33" s="305">
        <f t="shared" si="26"/>
        <v>0</v>
      </c>
      <c r="CH33" s="305">
        <f t="shared" si="26"/>
        <v>0</v>
      </c>
      <c r="CI33" s="305">
        <f t="shared" si="26"/>
        <v>0</v>
      </c>
      <c r="CJ33" s="305">
        <f t="shared" ca="1" si="26"/>
        <v>87178.13413644307</v>
      </c>
      <c r="CK33" s="305">
        <f t="shared" ca="1" si="26"/>
        <v>87178.13413644307</v>
      </c>
      <c r="CL33" s="305">
        <f t="shared" ca="1" si="26"/>
        <v>87178.13413644307</v>
      </c>
      <c r="CM33" s="305">
        <f t="shared" ca="1" si="26"/>
        <v>87178.13413644307</v>
      </c>
      <c r="CN33" s="305">
        <f t="shared" ca="1" si="26"/>
        <v>87178.13413644307</v>
      </c>
      <c r="CO33" s="305">
        <f t="shared" si="26"/>
        <v>0</v>
      </c>
      <c r="CP33" s="305">
        <f t="shared" si="26"/>
        <v>0</v>
      </c>
      <c r="CQ33" s="305">
        <f t="shared" si="26"/>
        <v>0</v>
      </c>
      <c r="CR33" s="305">
        <f t="shared" si="26"/>
        <v>0</v>
      </c>
      <c r="CS33" s="305">
        <f t="shared" si="26"/>
        <v>0</v>
      </c>
      <c r="CT33" s="305">
        <f t="shared" si="26"/>
        <v>0</v>
      </c>
      <c r="CU33" s="305">
        <f t="shared" si="26"/>
        <v>0</v>
      </c>
      <c r="CV33" s="305">
        <f t="shared" ca="1" si="26"/>
        <v>90393.478160536368</v>
      </c>
      <c r="CW33" s="305">
        <f t="shared" ca="1" si="26"/>
        <v>90393.478160536368</v>
      </c>
      <c r="CX33" s="305">
        <f t="shared" ca="1" si="26"/>
        <v>90393.478160536368</v>
      </c>
      <c r="CY33" s="305">
        <f t="shared" ca="1" si="26"/>
        <v>90393.478160536368</v>
      </c>
      <c r="CZ33" s="305">
        <f t="shared" ca="1" si="26"/>
        <v>90393.478160536368</v>
      </c>
      <c r="DA33" s="305">
        <f t="shared" si="26"/>
        <v>0</v>
      </c>
      <c r="DB33" s="305">
        <f t="shared" si="26"/>
        <v>0</v>
      </c>
      <c r="DC33" s="305">
        <f t="shared" si="26"/>
        <v>0</v>
      </c>
      <c r="DD33" s="305">
        <f t="shared" si="26"/>
        <v>0</v>
      </c>
      <c r="DE33" s="305">
        <f t="shared" si="26"/>
        <v>0</v>
      </c>
      <c r="DF33" s="305">
        <f t="shared" si="26"/>
        <v>0</v>
      </c>
      <c r="DG33" s="305">
        <f t="shared" si="26"/>
        <v>0</v>
      </c>
      <c r="DH33" s="305">
        <f t="shared" ca="1" si="26"/>
        <v>93705.282505352458</v>
      </c>
      <c r="DI33" s="305">
        <f t="shared" ca="1" si="26"/>
        <v>93705.282505352458</v>
      </c>
      <c r="DJ33" s="305">
        <f t="shared" ca="1" si="26"/>
        <v>93705.282505352458</v>
      </c>
      <c r="DK33" s="305">
        <f t="shared" ca="1" si="26"/>
        <v>93705.282505352458</v>
      </c>
      <c r="DL33" s="305">
        <f t="shared" ca="1" si="26"/>
        <v>93705.282505352458</v>
      </c>
      <c r="DM33" s="305">
        <f t="shared" si="26"/>
        <v>0</v>
      </c>
      <c r="DN33" s="305">
        <f t="shared" si="26"/>
        <v>0</v>
      </c>
      <c r="DO33" s="305">
        <f t="shared" si="26"/>
        <v>0</v>
      </c>
      <c r="DP33" s="305">
        <f t="shared" si="26"/>
        <v>0</v>
      </c>
      <c r="DQ33" s="305">
        <f t="shared" si="26"/>
        <v>0</v>
      </c>
      <c r="DR33" s="305">
        <f t="shared" si="26"/>
        <v>0</v>
      </c>
      <c r="DS33" s="305">
        <f t="shared" si="26"/>
        <v>0</v>
      </c>
      <c r="DT33" s="305">
        <f t="shared" ca="1" si="26"/>
        <v>97116.440980513013</v>
      </c>
      <c r="DU33" s="305">
        <f t="shared" ca="1" si="26"/>
        <v>97116.440980513013</v>
      </c>
      <c r="DV33" s="305">
        <f t="shared" ca="1" si="26"/>
        <v>97116.440980513013</v>
      </c>
      <c r="DW33" s="305">
        <f t="shared" ca="1" si="26"/>
        <v>97116.440980513013</v>
      </c>
      <c r="DX33" s="305">
        <f t="shared" ca="1" si="26"/>
        <v>97116.440980513013</v>
      </c>
      <c r="DY33" s="305">
        <f t="shared" si="26"/>
        <v>0</v>
      </c>
      <c r="DZ33" s="305">
        <f t="shared" si="26"/>
        <v>0</v>
      </c>
      <c r="EA33" s="305">
        <f t="shared" si="26"/>
        <v>0</v>
      </c>
      <c r="EB33" s="305">
        <f>EB32+EB31+EB30</f>
        <v>0</v>
      </c>
      <c r="EC33" s="305">
        <f>EC32+EC31+EC30</f>
        <v>0</v>
      </c>
      <c r="ED33" s="305">
        <f>ED32+ED31+ED30</f>
        <v>0</v>
      </c>
      <c r="EE33" s="305">
        <f>EE32+EE31+EE30</f>
        <v>0</v>
      </c>
    </row>
    <row r="34" spans="2:135" ht="16" thickBot="1" x14ac:dyDescent="0.25">
      <c r="B34" s="311"/>
      <c r="C34" s="311"/>
      <c r="D34" s="311"/>
      <c r="E34" s="311"/>
      <c r="F34" s="311"/>
      <c r="G34" s="311"/>
      <c r="H34" s="311"/>
      <c r="I34" s="311"/>
      <c r="J34" s="311"/>
      <c r="K34" s="311"/>
      <c r="L34" s="311"/>
      <c r="M34" s="311"/>
      <c r="N34" s="311"/>
      <c r="O34" s="311"/>
      <c r="P34" s="311"/>
      <c r="Q34" s="311"/>
      <c r="R34" s="311"/>
      <c r="S34" s="311"/>
      <c r="T34" s="311"/>
      <c r="U34" s="311"/>
      <c r="V34" s="311"/>
      <c r="W34" s="311"/>
      <c r="X34" s="311"/>
      <c r="Y34" s="311"/>
      <c r="Z34" s="311"/>
      <c r="AA34" s="311"/>
      <c r="AB34" s="311"/>
      <c r="AC34" s="311"/>
      <c r="AD34" s="311"/>
      <c r="AE34" s="311"/>
      <c r="AF34" s="311"/>
      <c r="AG34" s="311"/>
      <c r="AH34" s="311"/>
      <c r="AI34" s="311"/>
      <c r="AJ34" s="311"/>
      <c r="AK34" s="311"/>
      <c r="AL34" s="311"/>
      <c r="AM34" s="311"/>
      <c r="AN34" s="311"/>
      <c r="AO34" s="311"/>
      <c r="AP34" s="311"/>
      <c r="AQ34" s="311"/>
      <c r="AR34" s="311"/>
      <c r="AS34" s="311"/>
      <c r="AT34" s="311"/>
      <c r="AU34" s="311"/>
      <c r="AV34" s="311"/>
      <c r="AW34" s="311"/>
      <c r="AX34" s="311"/>
      <c r="AY34" s="311"/>
      <c r="AZ34" s="311"/>
      <c r="BA34" s="311"/>
      <c r="BB34" s="311"/>
      <c r="BC34" s="311"/>
      <c r="BD34" s="311"/>
      <c r="BE34" s="311"/>
      <c r="BF34" s="311"/>
      <c r="BG34" s="311"/>
      <c r="BH34" s="311"/>
      <c r="BI34" s="311"/>
      <c r="BJ34" s="311"/>
      <c r="BK34" s="311"/>
      <c r="BL34" s="311"/>
      <c r="BM34" s="311"/>
      <c r="BN34" s="311"/>
      <c r="BO34" s="311"/>
      <c r="BP34" s="311"/>
      <c r="BQ34" s="311"/>
      <c r="BR34" s="311"/>
      <c r="BS34" s="311"/>
      <c r="BT34" s="311"/>
      <c r="BU34" s="311"/>
      <c r="BV34" s="311"/>
      <c r="BW34" s="311"/>
      <c r="BX34" s="311"/>
      <c r="BY34" s="311"/>
      <c r="BZ34" s="311"/>
      <c r="CA34" s="311"/>
      <c r="CB34" s="311"/>
      <c r="CC34" s="311"/>
      <c r="CD34" s="311"/>
      <c r="CE34" s="311"/>
      <c r="CF34" s="311"/>
      <c r="CG34" s="311"/>
      <c r="CH34" s="311"/>
      <c r="CI34" s="311"/>
      <c r="CJ34" s="311"/>
      <c r="CK34" s="311"/>
      <c r="CL34" s="311"/>
      <c r="CM34" s="311"/>
      <c r="CN34" s="311"/>
      <c r="CO34" s="311"/>
      <c r="CP34" s="311"/>
      <c r="CQ34" s="311"/>
      <c r="CR34" s="311"/>
      <c r="CS34" s="311"/>
      <c r="CT34" s="311"/>
      <c r="CU34" s="311"/>
      <c r="CV34" s="311"/>
      <c r="CW34" s="311"/>
      <c r="CX34" s="311"/>
      <c r="CY34" s="311"/>
      <c r="CZ34" s="311"/>
      <c r="DA34" s="311"/>
      <c r="DB34" s="311"/>
      <c r="DC34" s="311"/>
      <c r="DD34" s="311"/>
      <c r="DE34" s="311"/>
      <c r="DF34" s="311"/>
      <c r="DG34" s="311"/>
      <c r="DH34" s="311"/>
      <c r="DI34" s="311"/>
      <c r="DJ34" s="311"/>
      <c r="DK34" s="311"/>
      <c r="DL34" s="311"/>
      <c r="DM34" s="311"/>
      <c r="DN34" s="311"/>
      <c r="DO34" s="311"/>
      <c r="DP34" s="311"/>
      <c r="DQ34" s="311"/>
      <c r="DR34" s="311"/>
      <c r="DS34" s="311"/>
      <c r="DT34" s="311"/>
      <c r="DU34" s="311"/>
      <c r="DV34" s="311"/>
      <c r="DW34" s="311"/>
      <c r="DX34" s="311"/>
      <c r="DY34" s="311"/>
      <c r="DZ34" s="311"/>
      <c r="EA34" s="311"/>
      <c r="EB34" s="311"/>
      <c r="EC34" s="311"/>
      <c r="ED34" s="311"/>
      <c r="EE34" s="311"/>
    </row>
    <row r="35" spans="2:135" ht="16" thickBot="1" x14ac:dyDescent="0.25">
      <c r="B35" s="310" t="s">
        <v>469</v>
      </c>
      <c r="C35" s="305"/>
      <c r="D35" s="305">
        <f>D33+D28+D24+D14+D20</f>
        <v>0</v>
      </c>
      <c r="E35" s="305">
        <f>E33+E28+E24+E14+E20</f>
        <v>0</v>
      </c>
      <c r="F35" s="305">
        <f>F33+F28+F24+F14+F20</f>
        <v>0</v>
      </c>
      <c r="G35" s="305">
        <f>G33+G28+G24+G14+G20</f>
        <v>0</v>
      </c>
      <c r="H35" s="305">
        <f>H33+H28+H24+H14+H20</f>
        <v>0</v>
      </c>
      <c r="I35" s="305">
        <f t="shared" ref="I35:BT35" si="27">I33+I28+I24+I14+I20</f>
        <v>0</v>
      </c>
      <c r="J35" s="305">
        <f t="shared" si="27"/>
        <v>0</v>
      </c>
      <c r="K35" s="305">
        <f t="shared" si="27"/>
        <v>0</v>
      </c>
      <c r="L35" s="305">
        <f t="shared" si="27"/>
        <v>0</v>
      </c>
      <c r="M35" s="305">
        <f t="shared" si="27"/>
        <v>0</v>
      </c>
      <c r="N35" s="305">
        <f t="shared" si="27"/>
        <v>0</v>
      </c>
      <c r="O35" s="305">
        <f t="shared" si="27"/>
        <v>0</v>
      </c>
      <c r="P35" s="305">
        <f t="shared" ca="1" si="27"/>
        <v>198280</v>
      </c>
      <c r="Q35" s="305">
        <f t="shared" ca="1" si="27"/>
        <v>211417.60000000001</v>
      </c>
      <c r="R35" s="305">
        <f t="shared" ca="1" si="27"/>
        <v>202564</v>
      </c>
      <c r="S35" s="305">
        <f t="shared" ca="1" si="27"/>
        <v>181144</v>
      </c>
      <c r="T35" s="305">
        <f t="shared" ca="1" si="27"/>
        <v>105174.39999999999</v>
      </c>
      <c r="U35" s="305">
        <f t="shared" si="27"/>
        <v>34272</v>
      </c>
      <c r="V35" s="305">
        <f t="shared" si="27"/>
        <v>79682.399999999994</v>
      </c>
      <c r="W35" s="305">
        <f t="shared" si="27"/>
        <v>79682.399999999994</v>
      </c>
      <c r="X35" s="305">
        <f t="shared" si="27"/>
        <v>74541.600000000006</v>
      </c>
      <c r="Y35" s="305">
        <f t="shared" si="27"/>
        <v>70828.800000000003</v>
      </c>
      <c r="Z35" s="305">
        <f t="shared" si="27"/>
        <v>17136</v>
      </c>
      <c r="AA35" s="305">
        <f t="shared" si="27"/>
        <v>35414.400000000001</v>
      </c>
      <c r="AB35" s="305">
        <f t="shared" ca="1" si="27"/>
        <v>204828.40000000002</v>
      </c>
      <c r="AC35" s="305">
        <f t="shared" ca="1" si="27"/>
        <v>218360.128</v>
      </c>
      <c r="AD35" s="305">
        <f t="shared" ca="1" si="27"/>
        <v>209240.91999999998</v>
      </c>
      <c r="AE35" s="305">
        <f t="shared" ca="1" si="27"/>
        <v>187178.32</v>
      </c>
      <c r="AF35" s="305">
        <f t="shared" ca="1" si="27"/>
        <v>108929.63200000001</v>
      </c>
      <c r="AG35" s="305">
        <f t="shared" si="27"/>
        <v>73403.567999999999</v>
      </c>
      <c r="AH35" s="305">
        <f t="shared" si="27"/>
        <v>170663.29560000001</v>
      </c>
      <c r="AI35" s="305">
        <f t="shared" si="27"/>
        <v>170663.29560000001</v>
      </c>
      <c r="AJ35" s="305">
        <f t="shared" si="27"/>
        <v>154147.49280000001</v>
      </c>
      <c r="AK35" s="305">
        <f t="shared" si="27"/>
        <v>151700.7072</v>
      </c>
      <c r="AL35" s="305">
        <f t="shared" si="27"/>
        <v>36701.784</v>
      </c>
      <c r="AM35" s="305">
        <f t="shared" si="27"/>
        <v>75850.353600000002</v>
      </c>
      <c r="AN35" s="305">
        <f t="shared" ca="1" si="27"/>
        <v>358747.6654</v>
      </c>
      <c r="AO35" s="305">
        <f t="shared" ca="1" si="27"/>
        <v>387729.84083200002</v>
      </c>
      <c r="AP35" s="305">
        <f t="shared" ca="1" si="27"/>
        <v>368198.37477999995</v>
      </c>
      <c r="AQ35" s="305">
        <f t="shared" ca="1" si="27"/>
        <v>320944.82788</v>
      </c>
      <c r="AR35" s="305">
        <f t="shared" ca="1" si="27"/>
        <v>153352.248208</v>
      </c>
      <c r="AS35" s="305">
        <f t="shared" si="27"/>
        <v>75605.675040000002</v>
      </c>
      <c r="AT35" s="305">
        <f t="shared" si="27"/>
        <v>175783.19446799997</v>
      </c>
      <c r="AU35" s="305">
        <f t="shared" si="27"/>
        <v>175783.19446799997</v>
      </c>
      <c r="AV35" s="305">
        <f t="shared" si="27"/>
        <v>158771.91758399998</v>
      </c>
      <c r="AW35" s="305">
        <f t="shared" si="27"/>
        <v>156251.728416</v>
      </c>
      <c r="AX35" s="305">
        <f t="shared" si="27"/>
        <v>37802.837520000001</v>
      </c>
      <c r="AY35" s="305">
        <f t="shared" si="27"/>
        <v>78125.864207999999</v>
      </c>
      <c r="AZ35" s="305">
        <f t="shared" ca="1" si="27"/>
        <v>370110.09536200005</v>
      </c>
      <c r="BA35" s="305">
        <f t="shared" ca="1" si="27"/>
        <v>399961.73605696007</v>
      </c>
      <c r="BB35" s="305">
        <f t="shared" ca="1" si="27"/>
        <v>379844.32602340006</v>
      </c>
      <c r="BC35" s="305">
        <f t="shared" ca="1" si="27"/>
        <v>331173.1727164</v>
      </c>
      <c r="BD35" s="305">
        <f t="shared" ca="1" si="27"/>
        <v>158552.81565424002</v>
      </c>
      <c r="BE35" s="305">
        <f t="shared" si="27"/>
        <v>77873.845291200007</v>
      </c>
      <c r="BF35" s="305">
        <f t="shared" si="27"/>
        <v>181056.69030204002</v>
      </c>
      <c r="BG35" s="305">
        <f t="shared" si="27"/>
        <v>181056.69030204002</v>
      </c>
      <c r="BH35" s="305">
        <f t="shared" si="27"/>
        <v>163535.07511152001</v>
      </c>
      <c r="BI35" s="305">
        <f t="shared" si="27"/>
        <v>160939.28026848001</v>
      </c>
      <c r="BJ35" s="305">
        <f t="shared" si="27"/>
        <v>38936.922645600003</v>
      </c>
      <c r="BK35" s="305">
        <f t="shared" si="27"/>
        <v>80469.640134240006</v>
      </c>
      <c r="BL35" s="305">
        <f t="shared" ca="1" si="27"/>
        <v>381813.39822286007</v>
      </c>
      <c r="BM35" s="305">
        <f t="shared" ca="1" si="27"/>
        <v>412560.58813866886</v>
      </c>
      <c r="BN35" s="305">
        <f t="shared" ca="1" si="27"/>
        <v>391839.65580410208</v>
      </c>
      <c r="BO35" s="305">
        <f t="shared" ca="1" si="27"/>
        <v>341708.36789789202</v>
      </c>
      <c r="BP35" s="305">
        <f t="shared" ca="1" si="27"/>
        <v>163909.40012386721</v>
      </c>
      <c r="BQ35" s="305">
        <f t="shared" si="27"/>
        <v>80210.060649936</v>
      </c>
      <c r="BR35" s="305">
        <f t="shared" si="27"/>
        <v>186488.39101110119</v>
      </c>
      <c r="BS35" s="305">
        <f t="shared" si="27"/>
        <v>186488.39101110119</v>
      </c>
      <c r="BT35" s="305">
        <f t="shared" si="27"/>
        <v>174456.88191361079</v>
      </c>
      <c r="BU35" s="305">
        <f t="shared" ref="BU35:EE35" si="28">BU33+BU28+BU24+BU14+BU20</f>
        <v>165767.45867653441</v>
      </c>
      <c r="BV35" s="305">
        <f t="shared" si="28"/>
        <v>40105.030324968</v>
      </c>
      <c r="BW35" s="305">
        <f t="shared" si="28"/>
        <v>82883.729338267207</v>
      </c>
      <c r="BX35" s="305">
        <f t="shared" ca="1" si="28"/>
        <v>393867.80016954581</v>
      </c>
      <c r="BY35" s="305">
        <f t="shared" ca="1" si="28"/>
        <v>425537.40578282892</v>
      </c>
      <c r="BZ35" s="305">
        <f t="shared" ca="1" si="28"/>
        <v>404194.84547822503</v>
      </c>
      <c r="CA35" s="305">
        <f t="shared" ca="1" si="28"/>
        <v>352559.61893482879</v>
      </c>
      <c r="CB35" s="305">
        <f t="shared" ca="1" si="28"/>
        <v>169426.68212758322</v>
      </c>
      <c r="CC35" s="305">
        <f t="shared" si="28"/>
        <v>82616.362469434098</v>
      </c>
      <c r="CD35" s="305">
        <f t="shared" si="28"/>
        <v>192083.04274143427</v>
      </c>
      <c r="CE35" s="305">
        <f t="shared" si="28"/>
        <v>192083.04274143427</v>
      </c>
      <c r="CF35" s="305">
        <f t="shared" si="28"/>
        <v>173494.36118581155</v>
      </c>
      <c r="CG35" s="305">
        <f t="shared" si="28"/>
        <v>170740.48243683044</v>
      </c>
      <c r="CH35" s="305">
        <f t="shared" si="28"/>
        <v>41308.181234717049</v>
      </c>
      <c r="CI35" s="305">
        <f t="shared" si="28"/>
        <v>85370.24121841522</v>
      </c>
      <c r="CJ35" s="305">
        <f t="shared" ca="1" si="28"/>
        <v>406283.83417463221</v>
      </c>
      <c r="CK35" s="305">
        <f t="shared" ca="1" si="28"/>
        <v>438903.52795631369</v>
      </c>
      <c r="CL35" s="305">
        <f t="shared" ca="1" si="28"/>
        <v>416920.69084257178</v>
      </c>
      <c r="CM35" s="305">
        <f t="shared" ca="1" si="28"/>
        <v>363736.40750287363</v>
      </c>
      <c r="CN35" s="305">
        <f t="shared" ca="1" si="28"/>
        <v>175109.48259141072</v>
      </c>
      <c r="CO35" s="305">
        <f t="shared" si="28"/>
        <v>85094.853343517083</v>
      </c>
      <c r="CP35" s="305">
        <f t="shared" si="28"/>
        <v>197845.53402367723</v>
      </c>
      <c r="CQ35" s="305">
        <f t="shared" si="28"/>
        <v>197845.53402367723</v>
      </c>
      <c r="CR35" s="305">
        <f t="shared" si="28"/>
        <v>178699.19202138588</v>
      </c>
      <c r="CS35" s="305">
        <f t="shared" si="28"/>
        <v>175862.69690993533</v>
      </c>
      <c r="CT35" s="305">
        <f t="shared" si="28"/>
        <v>42547.426671758541</v>
      </c>
      <c r="CU35" s="305">
        <f t="shared" si="28"/>
        <v>87931.348454967665</v>
      </c>
      <c r="CV35" s="305">
        <f t="shared" ca="1" si="28"/>
        <v>419072.34919987118</v>
      </c>
      <c r="CW35" s="305">
        <f t="shared" ca="1" si="28"/>
        <v>452670.63379500323</v>
      </c>
      <c r="CX35" s="305">
        <f t="shared" ca="1" si="28"/>
        <v>430028.31156784901</v>
      </c>
      <c r="CY35" s="305">
        <f t="shared" ca="1" si="28"/>
        <v>375248.49972795986</v>
      </c>
      <c r="CZ35" s="305">
        <f t="shared" ca="1" si="28"/>
        <v>180962.76706915308</v>
      </c>
      <c r="DA35" s="305">
        <f t="shared" si="28"/>
        <v>87647.698943822616</v>
      </c>
      <c r="DB35" s="305">
        <f t="shared" si="28"/>
        <v>203780.90004438758</v>
      </c>
      <c r="DC35" s="305">
        <f t="shared" si="28"/>
        <v>203780.90004438758</v>
      </c>
      <c r="DD35" s="305">
        <f t="shared" si="28"/>
        <v>184060.16778202748</v>
      </c>
      <c r="DE35" s="305">
        <f t="shared" si="28"/>
        <v>181138.57781723345</v>
      </c>
      <c r="DF35" s="305">
        <f t="shared" si="28"/>
        <v>43823.849471911308</v>
      </c>
      <c r="DG35" s="305">
        <f t="shared" si="28"/>
        <v>90569.288908616727</v>
      </c>
      <c r="DH35" s="305">
        <f t="shared" ca="1" si="28"/>
        <v>432244.51967586728</v>
      </c>
      <c r="DI35" s="305">
        <f t="shared" ca="1" si="28"/>
        <v>466850.75280885323</v>
      </c>
      <c r="DJ35" s="305">
        <f t="shared" ca="1" si="28"/>
        <v>443529.16091488441</v>
      </c>
      <c r="DK35" s="305">
        <f t="shared" ca="1" si="28"/>
        <v>387105.9547197987</v>
      </c>
      <c r="DL35" s="305">
        <f t="shared" ca="1" si="28"/>
        <v>186991.65008122765</v>
      </c>
      <c r="DM35" s="305">
        <f t="shared" si="28"/>
        <v>90277.129912137301</v>
      </c>
      <c r="DN35" s="305">
        <f t="shared" si="28"/>
        <v>209894.3270457192</v>
      </c>
      <c r="DO35" s="305">
        <f t="shared" si="28"/>
        <v>209894.3270457192</v>
      </c>
      <c r="DP35" s="305">
        <f t="shared" si="28"/>
        <v>196352.75755889862</v>
      </c>
      <c r="DQ35" s="305">
        <f t="shared" si="28"/>
        <v>186572.73515175038</v>
      </c>
      <c r="DR35" s="305">
        <f t="shared" si="28"/>
        <v>45138.564956068651</v>
      </c>
      <c r="DS35" s="305">
        <f t="shared" si="28"/>
        <v>93286.367575875192</v>
      </c>
      <c r="DT35" s="305">
        <f t="shared" ca="1" si="28"/>
        <v>445811.85526614339</v>
      </c>
      <c r="DU35" s="305">
        <f t="shared" ca="1" si="28"/>
        <v>481456.27539311885</v>
      </c>
      <c r="DV35" s="305">
        <f t="shared" ca="1" si="28"/>
        <v>457435.03574233106</v>
      </c>
      <c r="DW35" s="305">
        <f t="shared" ca="1" si="28"/>
        <v>399319.1333613926</v>
      </c>
      <c r="DX35" s="305">
        <f t="shared" ca="1" si="28"/>
        <v>193201.39958366443</v>
      </c>
      <c r="DY35" s="305">
        <f t="shared" si="28"/>
        <v>92985.443809501419</v>
      </c>
      <c r="DZ35" s="305">
        <f t="shared" si="28"/>
        <v>216191.1568570908</v>
      </c>
      <c r="EA35" s="305">
        <f t="shared" si="28"/>
        <v>216191.1568570908</v>
      </c>
      <c r="EB35" s="305">
        <f t="shared" si="28"/>
        <v>195269.431999953</v>
      </c>
      <c r="EC35" s="305">
        <f t="shared" si="28"/>
        <v>192169.91720630293</v>
      </c>
      <c r="ED35" s="305">
        <f t="shared" si="28"/>
        <v>46492.72190475071</v>
      </c>
      <c r="EE35" s="305">
        <f t="shared" si="28"/>
        <v>96084.958603151463</v>
      </c>
    </row>
    <row r="37" spans="2:135" x14ac:dyDescent="0.2">
      <c r="B37" s="294" t="s">
        <v>470</v>
      </c>
      <c r="C37" s="306"/>
      <c r="D37" s="306">
        <f>-D35*'Amenity Dashboard'!$B$42</f>
        <v>0</v>
      </c>
      <c r="E37" s="306">
        <f>-E35*'Amenity Dashboard'!$B$42</f>
        <v>0</v>
      </c>
      <c r="F37" s="306">
        <f>-F35*'Amenity Dashboard'!$B$42</f>
        <v>0</v>
      </c>
      <c r="G37" s="306">
        <f>-G35*'Amenity Dashboard'!$B$42</f>
        <v>0</v>
      </c>
      <c r="H37" s="306">
        <f>-H35*'Amenity Dashboard'!$B$42</f>
        <v>0</v>
      </c>
      <c r="I37" s="306">
        <f>-I35*'Amenity Dashboard'!$B$42</f>
        <v>0</v>
      </c>
      <c r="J37" s="306">
        <f>-J35*'Amenity Dashboard'!$B$42</f>
        <v>0</v>
      </c>
      <c r="K37" s="306">
        <f>-K35*'Amenity Dashboard'!$B$42</f>
        <v>0</v>
      </c>
      <c r="L37" s="306">
        <f>-L35*'Amenity Dashboard'!$B$42</f>
        <v>0</v>
      </c>
      <c r="M37" s="306">
        <f>-M35*'Amenity Dashboard'!$B$42</f>
        <v>0</v>
      </c>
      <c r="N37" s="306">
        <f>-N35*'Amenity Dashboard'!$B$42</f>
        <v>0</v>
      </c>
      <c r="O37" s="306">
        <f>-O35*'Amenity Dashboard'!$B$42</f>
        <v>0</v>
      </c>
      <c r="P37" s="306">
        <f ca="1">-P35*'Amenity Dashboard'!$B$42</f>
        <v>-31724.799999999999</v>
      </c>
      <c r="Q37" s="306">
        <f ca="1">-Q35*'Amenity Dashboard'!$B$42</f>
        <v>-33826.815999999999</v>
      </c>
      <c r="R37" s="306">
        <f ca="1">-R35*'Amenity Dashboard'!$B$42</f>
        <v>-32410.240000000002</v>
      </c>
      <c r="S37" s="306">
        <f ca="1">-S35*'Amenity Dashboard'!$B$42</f>
        <v>-28983.040000000001</v>
      </c>
      <c r="T37" s="306">
        <f ca="1">-T35*'Amenity Dashboard'!$B$42</f>
        <v>-16827.903999999999</v>
      </c>
      <c r="U37" s="306">
        <f>-U35*'Amenity Dashboard'!$B$42</f>
        <v>-5483.52</v>
      </c>
      <c r="V37" s="306">
        <f>-V35*'Amenity Dashboard'!$B$42</f>
        <v>-12749.183999999999</v>
      </c>
      <c r="W37" s="306">
        <f>-W35*'Amenity Dashboard'!$B$42</f>
        <v>-12749.183999999999</v>
      </c>
      <c r="X37" s="306">
        <f>-X35*'Amenity Dashboard'!$B$42</f>
        <v>-11926.656000000001</v>
      </c>
      <c r="Y37" s="306">
        <f>-Y35*'Amenity Dashboard'!$B$42</f>
        <v>-11332.608</v>
      </c>
      <c r="Z37" s="306">
        <f>-Z35*'Amenity Dashboard'!$B$42</f>
        <v>-2741.76</v>
      </c>
      <c r="AA37" s="306">
        <f>-AA35*'Amenity Dashboard'!$B$42</f>
        <v>-5666.3040000000001</v>
      </c>
      <c r="AB37" s="306">
        <f ca="1">-AB35*'Amenity Dashboard'!$B$42</f>
        <v>-32772.544000000002</v>
      </c>
      <c r="AC37" s="306">
        <f ca="1">-AC35*'Amenity Dashboard'!$B$42</f>
        <v>-34937.620479999998</v>
      </c>
      <c r="AD37" s="306">
        <f ca="1">-AD35*'Amenity Dashboard'!$B$42</f>
        <v>-33478.547200000001</v>
      </c>
      <c r="AE37" s="306">
        <f ca="1">-AE35*'Amenity Dashboard'!$B$42</f>
        <v>-29948.531200000001</v>
      </c>
      <c r="AF37" s="306">
        <f ca="1">-AF35*'Amenity Dashboard'!$B$42</f>
        <v>-17428.741120000002</v>
      </c>
      <c r="AG37" s="306">
        <f>-AG35*'Amenity Dashboard'!$B$42</f>
        <v>-11744.570879999999</v>
      </c>
      <c r="AH37" s="306">
        <f>-AH35*'Amenity Dashboard'!$B$42</f>
        <v>-27306.127296000002</v>
      </c>
      <c r="AI37" s="306">
        <f>-AI35*'Amenity Dashboard'!$B$42</f>
        <v>-27306.127296000002</v>
      </c>
      <c r="AJ37" s="306">
        <f>-AJ35*'Amenity Dashboard'!$B$42</f>
        <v>-24663.598848000001</v>
      </c>
      <c r="AK37" s="306">
        <f>-AK35*'Amenity Dashboard'!$B$42</f>
        <v>-24272.113152000002</v>
      </c>
      <c r="AL37" s="306">
        <f>-AL35*'Amenity Dashboard'!$B$42</f>
        <v>-5872.2854399999997</v>
      </c>
      <c r="AM37" s="306">
        <f>-AM35*'Amenity Dashboard'!$B$42</f>
        <v>-12136.056576000001</v>
      </c>
      <c r="AN37" s="306">
        <f ca="1">-AN35*'Amenity Dashboard'!$B$42</f>
        <v>-57399.626464000001</v>
      </c>
      <c r="AO37" s="306">
        <f ca="1">-AO35*'Amenity Dashboard'!$B$42</f>
        <v>-62036.774533120006</v>
      </c>
      <c r="AP37" s="306">
        <f ca="1">-AP35*'Amenity Dashboard'!$B$42</f>
        <v>-58911.739964799992</v>
      </c>
      <c r="AQ37" s="306">
        <f ca="1">-AQ35*'Amenity Dashboard'!$B$42</f>
        <v>-51351.1724608</v>
      </c>
      <c r="AR37" s="306">
        <f ca="1">-AR35*'Amenity Dashboard'!$B$42</f>
        <v>-24536.359713280002</v>
      </c>
      <c r="AS37" s="306">
        <f>-AS35*'Amenity Dashboard'!$B$42</f>
        <v>-12096.908006400001</v>
      </c>
      <c r="AT37" s="306">
        <f>-AT35*'Amenity Dashboard'!$B$42</f>
        <v>-28125.311114879994</v>
      </c>
      <c r="AU37" s="306">
        <f>-AU35*'Amenity Dashboard'!$B$42</f>
        <v>-28125.311114879994</v>
      </c>
      <c r="AV37" s="306">
        <f>-AV35*'Amenity Dashboard'!$B$42</f>
        <v>-25403.506813439999</v>
      </c>
      <c r="AW37" s="306">
        <f>-AW35*'Amenity Dashboard'!$B$42</f>
        <v>-25000.276546559999</v>
      </c>
      <c r="AX37" s="306">
        <f>-AX35*'Amenity Dashboard'!$B$42</f>
        <v>-6048.4540032000004</v>
      </c>
      <c r="AY37" s="306">
        <f>-AY35*'Amenity Dashboard'!$B$42</f>
        <v>-12500.138273279999</v>
      </c>
      <c r="AZ37" s="306">
        <f ca="1">-AZ35*'Amenity Dashboard'!$B$42</f>
        <v>-59217.615257920006</v>
      </c>
      <c r="BA37" s="306">
        <f ca="1">-BA35*'Amenity Dashboard'!$B$42</f>
        <v>-63993.877769113613</v>
      </c>
      <c r="BB37" s="306">
        <f ca="1">-BB35*'Amenity Dashboard'!$B$42</f>
        <v>-60775.092163744011</v>
      </c>
      <c r="BC37" s="306">
        <f ca="1">-BC35*'Amenity Dashboard'!$B$42</f>
        <v>-52987.707634623999</v>
      </c>
      <c r="BD37" s="306">
        <f ca="1">-BD35*'Amenity Dashboard'!$B$42</f>
        <v>-25368.450504678403</v>
      </c>
      <c r="BE37" s="306">
        <f>-BE35*'Amenity Dashboard'!$B$42</f>
        <v>-12459.815246592001</v>
      </c>
      <c r="BF37" s="306">
        <f>-BF35*'Amenity Dashboard'!$B$42</f>
        <v>-28969.070448326405</v>
      </c>
      <c r="BG37" s="306">
        <f>-BG35*'Amenity Dashboard'!$B$42</f>
        <v>-28969.070448326405</v>
      </c>
      <c r="BH37" s="306">
        <f>-BH35*'Amenity Dashboard'!$B$42</f>
        <v>-26165.612017843203</v>
      </c>
      <c r="BI37" s="306">
        <f>-BI35*'Amenity Dashboard'!$B$42</f>
        <v>-25750.284842956804</v>
      </c>
      <c r="BJ37" s="306">
        <f>-BJ35*'Amenity Dashboard'!$B$42</f>
        <v>-6229.9076232960006</v>
      </c>
      <c r="BK37" s="306">
        <f>-BK35*'Amenity Dashboard'!$B$42</f>
        <v>-12875.142421478402</v>
      </c>
      <c r="BL37" s="306">
        <f ca="1">-BL35*'Amenity Dashboard'!$B$42</f>
        <v>-61090.143715657614</v>
      </c>
      <c r="BM37" s="306">
        <f ca="1">-BM35*'Amenity Dashboard'!$B$42</f>
        <v>-66009.694102187015</v>
      </c>
      <c r="BN37" s="306">
        <f ca="1">-BN35*'Amenity Dashboard'!$B$42</f>
        <v>-62694.344928656334</v>
      </c>
      <c r="BO37" s="306">
        <f ca="1">-BO35*'Amenity Dashboard'!$B$42</f>
        <v>-54673.338863662728</v>
      </c>
      <c r="BP37" s="306">
        <f ca="1">-BP35*'Amenity Dashboard'!$B$42</f>
        <v>-26225.504019818753</v>
      </c>
      <c r="BQ37" s="306">
        <f>-BQ35*'Amenity Dashboard'!$B$42</f>
        <v>-12833.60970398976</v>
      </c>
      <c r="BR37" s="306">
        <f>-BR35*'Amenity Dashboard'!$B$42</f>
        <v>-29838.142561776192</v>
      </c>
      <c r="BS37" s="306">
        <f>-BS35*'Amenity Dashboard'!$B$42</f>
        <v>-29838.142561776192</v>
      </c>
      <c r="BT37" s="306">
        <f>-BT35*'Amenity Dashboard'!$B$42</f>
        <v>-27913.101106177728</v>
      </c>
      <c r="BU37" s="306">
        <f>-BU35*'Amenity Dashboard'!$B$42</f>
        <v>-26522.793388245507</v>
      </c>
      <c r="BV37" s="306">
        <f>-BV35*'Amenity Dashboard'!$B$42</f>
        <v>-6416.8048519948798</v>
      </c>
      <c r="BW37" s="306">
        <f>-BW35*'Amenity Dashboard'!$B$42</f>
        <v>-13261.396694122754</v>
      </c>
      <c r="BX37" s="306">
        <f ca="1">-BX35*'Amenity Dashboard'!$B$42</f>
        <v>-63018.848027127329</v>
      </c>
      <c r="BY37" s="306">
        <f ca="1">-BY35*'Amenity Dashboard'!$B$42</f>
        <v>-68085.984925252633</v>
      </c>
      <c r="BZ37" s="306">
        <f ca="1">-BZ35*'Amenity Dashboard'!$B$42</f>
        <v>-64671.175276516005</v>
      </c>
      <c r="CA37" s="306">
        <f ca="1">-CA35*'Amenity Dashboard'!$B$42</f>
        <v>-56409.53902957261</v>
      </c>
      <c r="CB37" s="306">
        <f ca="1">-CB35*'Amenity Dashboard'!$B$42</f>
        <v>-27108.269140413315</v>
      </c>
      <c r="CC37" s="306">
        <f>-CC35*'Amenity Dashboard'!$B$42</f>
        <v>-13218.617995109456</v>
      </c>
      <c r="CD37" s="306">
        <f>-CD35*'Amenity Dashboard'!$B$42</f>
        <v>-30733.286838629483</v>
      </c>
      <c r="CE37" s="306">
        <f>-CE35*'Amenity Dashboard'!$B$42</f>
        <v>-30733.286838629483</v>
      </c>
      <c r="CF37" s="306">
        <f>-CF35*'Amenity Dashboard'!$B$42</f>
        <v>-27759.097789729847</v>
      </c>
      <c r="CG37" s="306">
        <f>-CG35*'Amenity Dashboard'!$B$42</f>
        <v>-27318.47718989287</v>
      </c>
      <c r="CH37" s="306">
        <f>-CH35*'Amenity Dashboard'!$B$42</f>
        <v>-6609.3089975547282</v>
      </c>
      <c r="CI37" s="306">
        <f>-CI35*'Amenity Dashboard'!$B$42</f>
        <v>-13659.238594946435</v>
      </c>
      <c r="CJ37" s="306">
        <f ca="1">-CJ35*'Amenity Dashboard'!$B$42</f>
        <v>-65005.413467941158</v>
      </c>
      <c r="CK37" s="306">
        <f ca="1">-CK35*'Amenity Dashboard'!$B$42</f>
        <v>-70224.564473010192</v>
      </c>
      <c r="CL37" s="306">
        <f ca="1">-CL35*'Amenity Dashboard'!$B$42</f>
        <v>-66707.310534811491</v>
      </c>
      <c r="CM37" s="306">
        <f ca="1">-CM35*'Amenity Dashboard'!$B$42</f>
        <v>-58197.825200459782</v>
      </c>
      <c r="CN37" s="306">
        <f ca="1">-CN35*'Amenity Dashboard'!$B$42</f>
        <v>-28017.517214625717</v>
      </c>
      <c r="CO37" s="306">
        <f>-CO35*'Amenity Dashboard'!$B$42</f>
        <v>-13615.176534962733</v>
      </c>
      <c r="CP37" s="306">
        <f>-CP35*'Amenity Dashboard'!$B$42</f>
        <v>-31655.285443788358</v>
      </c>
      <c r="CQ37" s="306">
        <f>-CQ35*'Amenity Dashboard'!$B$42</f>
        <v>-31655.285443788358</v>
      </c>
      <c r="CR37" s="306">
        <f>-CR35*'Amenity Dashboard'!$B$42</f>
        <v>-28591.870723421744</v>
      </c>
      <c r="CS37" s="306">
        <f>-CS35*'Amenity Dashboard'!$B$42</f>
        <v>-28138.031505589654</v>
      </c>
      <c r="CT37" s="306">
        <f>-CT35*'Amenity Dashboard'!$B$42</f>
        <v>-6807.5882674813665</v>
      </c>
      <c r="CU37" s="306">
        <f>-CU35*'Amenity Dashboard'!$B$42</f>
        <v>-14069.015752794827</v>
      </c>
      <c r="CV37" s="306">
        <f ca="1">-CV35*'Amenity Dashboard'!$B$42</f>
        <v>-67051.575871979396</v>
      </c>
      <c r="CW37" s="306">
        <f ca="1">-CW35*'Amenity Dashboard'!$B$42</f>
        <v>-72427.301407200517</v>
      </c>
      <c r="CX37" s="306">
        <f ca="1">-CX35*'Amenity Dashboard'!$B$42</f>
        <v>-68804.529850855848</v>
      </c>
      <c r="CY37" s="306">
        <f ca="1">-CY35*'Amenity Dashboard'!$B$42</f>
        <v>-60039.759956473579</v>
      </c>
      <c r="CZ37" s="306">
        <f ca="1">-CZ35*'Amenity Dashboard'!$B$42</f>
        <v>-28954.042731064492</v>
      </c>
      <c r="DA37" s="306">
        <f>-DA35*'Amenity Dashboard'!$B$42</f>
        <v>-14023.631831011618</v>
      </c>
      <c r="DB37" s="306">
        <f>-DB35*'Amenity Dashboard'!$B$42</f>
        <v>-32604.944007102014</v>
      </c>
      <c r="DC37" s="306">
        <f>-DC35*'Amenity Dashboard'!$B$42</f>
        <v>-32604.944007102014</v>
      </c>
      <c r="DD37" s="306">
        <f>-DD35*'Amenity Dashboard'!$B$42</f>
        <v>-29449.626845124396</v>
      </c>
      <c r="DE37" s="306">
        <f>-DE35*'Amenity Dashboard'!$B$42</f>
        <v>-28982.172450757353</v>
      </c>
      <c r="DF37" s="306">
        <f>-DF35*'Amenity Dashboard'!$B$42</f>
        <v>-7011.8159155058092</v>
      </c>
      <c r="DG37" s="306">
        <f>-DG35*'Amenity Dashboard'!$B$42</f>
        <v>-14491.086225378676</v>
      </c>
      <c r="DH37" s="306">
        <f ca="1">-DH35*'Amenity Dashboard'!$B$42</f>
        <v>-69159.123148138766</v>
      </c>
      <c r="DI37" s="306">
        <f ca="1">-DI35*'Amenity Dashboard'!$B$42</f>
        <v>-74696.120449416514</v>
      </c>
      <c r="DJ37" s="306">
        <f ca="1">-DJ35*'Amenity Dashboard'!$B$42</f>
        <v>-70964.665746381506</v>
      </c>
      <c r="DK37" s="306">
        <f ca="1">-DK35*'Amenity Dashboard'!$B$42</f>
        <v>-61936.952755167789</v>
      </c>
      <c r="DL37" s="306">
        <f ca="1">-DL35*'Amenity Dashboard'!$B$42</f>
        <v>-29918.664012996425</v>
      </c>
      <c r="DM37" s="306">
        <f>-DM35*'Amenity Dashboard'!$B$42</f>
        <v>-14444.340785941968</v>
      </c>
      <c r="DN37" s="306">
        <f>-DN35*'Amenity Dashboard'!$B$42</f>
        <v>-33583.092327315069</v>
      </c>
      <c r="DO37" s="306">
        <f>-DO35*'Amenity Dashboard'!$B$42</f>
        <v>-33583.092327315069</v>
      </c>
      <c r="DP37" s="306">
        <f>-DP35*'Amenity Dashboard'!$B$42</f>
        <v>-31416.441209423781</v>
      </c>
      <c r="DQ37" s="306">
        <f>-DQ35*'Amenity Dashboard'!$B$42</f>
        <v>-29851.637624280062</v>
      </c>
      <c r="DR37" s="306">
        <f>-DR35*'Amenity Dashboard'!$B$42</f>
        <v>-7222.1703929709838</v>
      </c>
      <c r="DS37" s="306">
        <f>-DS35*'Amenity Dashboard'!$B$42</f>
        <v>-14925.818812140031</v>
      </c>
      <c r="DT37" s="306">
        <f ca="1">-DT35*'Amenity Dashboard'!$B$42</f>
        <v>-71329.896842582952</v>
      </c>
      <c r="DU37" s="306">
        <f ca="1">-DU35*'Amenity Dashboard'!$B$42</f>
        <v>-77033.004062899025</v>
      </c>
      <c r="DV37" s="306">
        <f ca="1">-DV35*'Amenity Dashboard'!$B$42</f>
        <v>-73189.605718772975</v>
      </c>
      <c r="DW37" s="306">
        <f ca="1">-DW35*'Amenity Dashboard'!$B$42</f>
        <v>-63891.061337822815</v>
      </c>
      <c r="DX37" s="306">
        <f ca="1">-DX35*'Amenity Dashboard'!$B$42</f>
        <v>-30912.223933386311</v>
      </c>
      <c r="DY37" s="306">
        <f>-DY35*'Amenity Dashboard'!$B$42</f>
        <v>-14877.671009520227</v>
      </c>
      <c r="DZ37" s="306">
        <f>-DZ35*'Amenity Dashboard'!$B$42</f>
        <v>-34590.585097134528</v>
      </c>
      <c r="EA37" s="306">
        <f>-EA35*'Amenity Dashboard'!$B$42</f>
        <v>-34590.585097134528</v>
      </c>
      <c r="EB37" s="306">
        <f>-EB35*'Amenity Dashboard'!$B$42</f>
        <v>-31243.109119992481</v>
      </c>
      <c r="EC37" s="306">
        <f>-EC35*'Amenity Dashboard'!$B$42</f>
        <v>-30747.186753008467</v>
      </c>
      <c r="ED37" s="306">
        <f>-ED35*'Amenity Dashboard'!$B$42</f>
        <v>-7438.8355047601135</v>
      </c>
      <c r="EE37" s="306">
        <f>-EE35*'Amenity Dashboard'!$B$42</f>
        <v>-15373.593376504234</v>
      </c>
    </row>
    <row r="38" spans="2:135" x14ac:dyDescent="0.2">
      <c r="B38" s="259" t="s">
        <v>471</v>
      </c>
      <c r="C38" s="309"/>
      <c r="D38" s="309">
        <f>-(D12+D18)*'Amenity Dashboard'!$B$43</f>
        <v>0</v>
      </c>
      <c r="E38" s="309">
        <f>-(E12+E18)*'Amenity Dashboard'!$B$43</f>
        <v>0</v>
      </c>
      <c r="F38" s="309">
        <f>-(F12+F18)*'Amenity Dashboard'!$B$43</f>
        <v>0</v>
      </c>
      <c r="G38" s="309">
        <f>-(G12+G18)*'Amenity Dashboard'!$B$43</f>
        <v>0</v>
      </c>
      <c r="H38" s="309">
        <f>-(H12+H18)*'Amenity Dashboard'!$B$43</f>
        <v>0</v>
      </c>
      <c r="I38" s="309">
        <f>-(I12+I18)*'Amenity Dashboard'!$B$43</f>
        <v>0</v>
      </c>
      <c r="J38" s="309">
        <f>-(J12+J18)*'Amenity Dashboard'!$B$43</f>
        <v>0</v>
      </c>
      <c r="K38" s="309">
        <f>-(K12+K18)*'Amenity Dashboard'!$B$43</f>
        <v>0</v>
      </c>
      <c r="L38" s="309">
        <f>-(L12+L18)*'Amenity Dashboard'!$B$43</f>
        <v>0</v>
      </c>
      <c r="M38" s="309">
        <f>-(M12+M18)*'Amenity Dashboard'!$B$43</f>
        <v>0</v>
      </c>
      <c r="N38" s="309">
        <f>-(N12+N18)*'Amenity Dashboard'!$B$43</f>
        <v>0</v>
      </c>
      <c r="O38" s="309">
        <f>-(O12+O18)*'Amenity Dashboard'!$B$43</f>
        <v>0</v>
      </c>
      <c r="P38" s="309">
        <f>-(P12+P18)*'Amenity Dashboard'!$B$43</f>
        <v>-11340</v>
      </c>
      <c r="Q38" s="309">
        <f>-(Q12+Q18)*'Amenity Dashboard'!$B$43</f>
        <v>-12499.199999999999</v>
      </c>
      <c r="R38" s="309">
        <f>-(R12+R18)*'Amenity Dashboard'!$B$43</f>
        <v>-11718</v>
      </c>
      <c r="S38" s="309">
        <f>-(S12+S18)*'Amenity Dashboard'!$B$43</f>
        <v>-9828</v>
      </c>
      <c r="T38" s="309">
        <f>-(T12+T18)*'Amenity Dashboard'!$B$43</f>
        <v>-3124.7999999999997</v>
      </c>
      <c r="U38" s="309">
        <f>-(U12+U18)*'Amenity Dashboard'!$B$43</f>
        <v>-3024</v>
      </c>
      <c r="V38" s="309">
        <f>-(V12+V18)*'Amenity Dashboard'!$B$43</f>
        <v>-7030.8</v>
      </c>
      <c r="W38" s="309">
        <f>-(W12+W18)*'Amenity Dashboard'!$B$43</f>
        <v>-7030.8</v>
      </c>
      <c r="X38" s="309">
        <f>-(X12+X18)*'Amenity Dashboard'!$B$43</f>
        <v>-6577.2</v>
      </c>
      <c r="Y38" s="309">
        <f>-(Y12+Y18)*'Amenity Dashboard'!$B$43</f>
        <v>-6249.5999999999995</v>
      </c>
      <c r="Z38" s="309">
        <f>-(Z12+Z18)*'Amenity Dashboard'!$B$43</f>
        <v>-1512</v>
      </c>
      <c r="AA38" s="309">
        <f>-(AA12+AA18)*'Amenity Dashboard'!$B$43</f>
        <v>-3124.7999999999997</v>
      </c>
      <c r="AB38" s="309">
        <f>-(AB12+AB18)*'Amenity Dashboard'!$B$43</f>
        <v>-11680.199999999999</v>
      </c>
      <c r="AC38" s="309">
        <f>-(AC12+AC18)*'Amenity Dashboard'!$B$43</f>
        <v>-12874.175999999999</v>
      </c>
      <c r="AD38" s="309">
        <f>-(AD12+AD18)*'Amenity Dashboard'!$B$43</f>
        <v>-12069.539999999999</v>
      </c>
      <c r="AE38" s="309">
        <f>-(AE12+AE18)*'Amenity Dashboard'!$B$43</f>
        <v>-10122.84</v>
      </c>
      <c r="AF38" s="309">
        <f>-(AF12+AF18)*'Amenity Dashboard'!$B$43</f>
        <v>-3218.5439999999999</v>
      </c>
      <c r="AG38" s="309">
        <f>-(AG12+AG18)*'Amenity Dashboard'!$B$43</f>
        <v>-6229.44</v>
      </c>
      <c r="AH38" s="309">
        <f>-(AH12+AH18)*'Amenity Dashboard'!$B$43</f>
        <v>-14483.448</v>
      </c>
      <c r="AI38" s="309">
        <f>-(AI12+AI18)*'Amenity Dashboard'!$B$43</f>
        <v>-14483.448</v>
      </c>
      <c r="AJ38" s="309">
        <f>-(AJ12+AJ18)*'Amenity Dashboard'!$B$43</f>
        <v>-13081.823999999999</v>
      </c>
      <c r="AK38" s="309">
        <f>-(AK12+AK18)*'Amenity Dashboard'!$B$43</f>
        <v>-12874.175999999999</v>
      </c>
      <c r="AL38" s="309">
        <f>-(AL12+AL18)*'Amenity Dashboard'!$B$43</f>
        <v>-3114.72</v>
      </c>
      <c r="AM38" s="309">
        <f>-(AM12+AM18)*'Amenity Dashboard'!$B$43</f>
        <v>-6437.0879999999997</v>
      </c>
      <c r="AN38" s="309">
        <f>-(AN12+AN18)*'Amenity Dashboard'!$B$43</f>
        <v>-24061.211999999996</v>
      </c>
      <c r="AO38" s="309">
        <f>-(AO12+AO18)*'Amenity Dashboard'!$B$43</f>
        <v>-26520.80256</v>
      </c>
      <c r="AP38" s="309">
        <f>-(AP12+AP18)*'Amenity Dashboard'!$B$43</f>
        <v>-24863.252399999998</v>
      </c>
      <c r="AQ38" s="309">
        <f>-(AQ12+AQ18)*'Amenity Dashboard'!$B$43</f>
        <v>-20853.0504</v>
      </c>
      <c r="AR38" s="309">
        <f>-(AR12+AR18)*'Amenity Dashboard'!$B$43</f>
        <v>-6630.20064</v>
      </c>
      <c r="AS38" s="309">
        <f>-(AS12+AS18)*'Amenity Dashboard'!$B$43</f>
        <v>-6416.3231999999998</v>
      </c>
      <c r="AT38" s="309">
        <f>-(AT12+AT18)*'Amenity Dashboard'!$B$43</f>
        <v>-14917.951439999999</v>
      </c>
      <c r="AU38" s="309">
        <f>-(AU12+AU18)*'Amenity Dashboard'!$B$43</f>
        <v>-14917.951439999999</v>
      </c>
      <c r="AV38" s="309">
        <f>-(AV12+AV18)*'Amenity Dashboard'!$B$43</f>
        <v>-13474.27872</v>
      </c>
      <c r="AW38" s="309">
        <f>-(AW12+AW18)*'Amenity Dashboard'!$B$43</f>
        <v>-13260.40128</v>
      </c>
      <c r="AX38" s="309">
        <f>-(AX12+AX18)*'Amenity Dashboard'!$B$43</f>
        <v>-3208.1615999999999</v>
      </c>
      <c r="AY38" s="309">
        <f>-(AY12+AY18)*'Amenity Dashboard'!$B$43</f>
        <v>-6630.20064</v>
      </c>
      <c r="AZ38" s="309">
        <f>-(AZ12+AZ18)*'Amenity Dashboard'!$B$43</f>
        <v>-24783.048360000001</v>
      </c>
      <c r="BA38" s="309">
        <f>-(BA12+BA18)*'Amenity Dashboard'!$B$43</f>
        <v>-27316.426636800003</v>
      </c>
      <c r="BB38" s="309">
        <f>-(BB12+BB18)*'Amenity Dashboard'!$B$43</f>
        <v>-25609.149972000003</v>
      </c>
      <c r="BC38" s="309">
        <f>-(BC12+BC18)*'Amenity Dashboard'!$B$43</f>
        <v>-21478.641912000003</v>
      </c>
      <c r="BD38" s="309">
        <f>-(BD12+BD18)*'Amenity Dashboard'!$B$43</f>
        <v>-6829.1066592000006</v>
      </c>
      <c r="BE38" s="309">
        <f>-(BE12+BE18)*'Amenity Dashboard'!$B$43</f>
        <v>-6608.8128960000013</v>
      </c>
      <c r="BF38" s="309">
        <f>-(BF12+BF18)*'Amenity Dashboard'!$B$43</f>
        <v>-15365.489983200001</v>
      </c>
      <c r="BG38" s="309">
        <f>-(BG12+BG18)*'Amenity Dashboard'!$B$43</f>
        <v>-15365.489983200001</v>
      </c>
      <c r="BH38" s="309">
        <f>-(BH12+BH18)*'Amenity Dashboard'!$B$43</f>
        <v>-13878.507081600001</v>
      </c>
      <c r="BI38" s="309">
        <f>-(BI12+BI18)*'Amenity Dashboard'!$B$43</f>
        <v>-13658.213318400001</v>
      </c>
      <c r="BJ38" s="309">
        <f>-(BJ12+BJ18)*'Amenity Dashboard'!$B$43</f>
        <v>-3304.4064480000006</v>
      </c>
      <c r="BK38" s="309">
        <f>-(BK12+BK18)*'Amenity Dashboard'!$B$43</f>
        <v>-6829.1066592000006</v>
      </c>
      <c r="BL38" s="309">
        <f>-(BL12+BL18)*'Amenity Dashboard'!$B$43</f>
        <v>-25526.539810800001</v>
      </c>
      <c r="BM38" s="309">
        <f>-(BM12+BM18)*'Amenity Dashboard'!$B$43</f>
        <v>-28135.919435904001</v>
      </c>
      <c r="BN38" s="309">
        <f>-(BN12+BN18)*'Amenity Dashboard'!$B$43</f>
        <v>-26377.424471160004</v>
      </c>
      <c r="BO38" s="309">
        <f>-(BO12+BO18)*'Amenity Dashboard'!$B$43</f>
        <v>-22123.001169359999</v>
      </c>
      <c r="BP38" s="309">
        <f>-(BP12+BP18)*'Amenity Dashboard'!$B$43</f>
        <v>-7033.9798589760003</v>
      </c>
      <c r="BQ38" s="309">
        <f>-(BQ12+BQ18)*'Amenity Dashboard'!$B$43</f>
        <v>-6807.0772828800009</v>
      </c>
      <c r="BR38" s="309">
        <f>-(BR12+BR18)*'Amenity Dashboard'!$B$43</f>
        <v>-15826.454682696</v>
      </c>
      <c r="BS38" s="309">
        <f>-(BS12+BS18)*'Amenity Dashboard'!$B$43</f>
        <v>-15826.454682696</v>
      </c>
      <c r="BT38" s="309">
        <f>-(BT12+BT18)*'Amenity Dashboard'!$B$43</f>
        <v>-14805.393090264</v>
      </c>
      <c r="BU38" s="309">
        <f>-(BU12+BU18)*'Amenity Dashboard'!$B$43</f>
        <v>-14067.959717952001</v>
      </c>
      <c r="BV38" s="309">
        <f>-(BV12+BV18)*'Amenity Dashboard'!$B$43</f>
        <v>-3403.5386414400004</v>
      </c>
      <c r="BW38" s="309">
        <f>-(BW12+BW18)*'Amenity Dashboard'!$B$43</f>
        <v>-7033.9798589760003</v>
      </c>
      <c r="BX38" s="309">
        <f>-(BX12+BX18)*'Amenity Dashboard'!$B$43</f>
        <v>-26292.336005124002</v>
      </c>
      <c r="BY38" s="309">
        <f>-(BY12+BY18)*'Amenity Dashboard'!$B$43</f>
        <v>-28979.997018981125</v>
      </c>
      <c r="BZ38" s="309">
        <f>-(BZ12+BZ18)*'Amenity Dashboard'!$B$43</f>
        <v>-27168.7472052948</v>
      </c>
      <c r="CA38" s="309">
        <f>-(CA12+CA18)*'Amenity Dashboard'!$B$43</f>
        <v>-22786.691204440802</v>
      </c>
      <c r="CB38" s="309">
        <f>-(CB12+CB18)*'Amenity Dashboard'!$B$43</f>
        <v>-7244.9992547452812</v>
      </c>
      <c r="CC38" s="309">
        <f>-(CC12+CC18)*'Amenity Dashboard'!$B$43</f>
        <v>-7011.2896013664003</v>
      </c>
      <c r="CD38" s="309">
        <f>-(CD12+CD18)*'Amenity Dashboard'!$B$43</f>
        <v>-16301.24832317688</v>
      </c>
      <c r="CE38" s="309">
        <f>-(CE12+CE18)*'Amenity Dashboard'!$B$43</f>
        <v>-16301.24832317688</v>
      </c>
      <c r="CF38" s="309">
        <f>-(CF12+CF18)*'Amenity Dashboard'!$B$43</f>
        <v>-14723.70816286944</v>
      </c>
      <c r="CG38" s="309">
        <f>-(CG12+CG18)*'Amenity Dashboard'!$B$43</f>
        <v>-14489.998509490562</v>
      </c>
      <c r="CH38" s="309">
        <f>-(CH12+CH18)*'Amenity Dashboard'!$B$43</f>
        <v>-3505.6448006832002</v>
      </c>
      <c r="CI38" s="309">
        <f>-(CI12+CI18)*'Amenity Dashboard'!$B$43</f>
        <v>-7244.9992547452812</v>
      </c>
      <c r="CJ38" s="309">
        <f>-(CJ12+CJ18)*'Amenity Dashboard'!$B$43</f>
        <v>-27081.106085277715</v>
      </c>
      <c r="CK38" s="309">
        <f>-(CK12+CK18)*'Amenity Dashboard'!$B$43</f>
        <v>-29849.396929550552</v>
      </c>
      <c r="CL38" s="309">
        <f>-(CL12+CL18)*'Amenity Dashboard'!$B$43</f>
        <v>-27983.809621453642</v>
      </c>
      <c r="CM38" s="309">
        <f>-(CM12+CM18)*'Amenity Dashboard'!$B$43</f>
        <v>-23470.291940574025</v>
      </c>
      <c r="CN38" s="309">
        <f>-(CN12+CN18)*'Amenity Dashboard'!$B$43</f>
        <v>-7462.349232387638</v>
      </c>
      <c r="CO38" s="309">
        <f>-(CO12+CO18)*'Amenity Dashboard'!$B$43</f>
        <v>-7221.6282894073911</v>
      </c>
      <c r="CP38" s="309">
        <f>-(CP12+CP18)*'Amenity Dashboard'!$B$43</f>
        <v>-16790.285772872183</v>
      </c>
      <c r="CQ38" s="309">
        <f>-(CQ12+CQ18)*'Amenity Dashboard'!$B$43</f>
        <v>-16790.285772872183</v>
      </c>
      <c r="CR38" s="309">
        <f>-(CR12+CR18)*'Amenity Dashboard'!$B$43</f>
        <v>-15165.419407755522</v>
      </c>
      <c r="CS38" s="309">
        <f>-(CS12+CS18)*'Amenity Dashboard'!$B$43</f>
        <v>-14924.698464775276</v>
      </c>
      <c r="CT38" s="309">
        <f>-(CT12+CT18)*'Amenity Dashboard'!$B$43</f>
        <v>-3610.8141447036955</v>
      </c>
      <c r="CU38" s="309">
        <f>-(CU12+CU18)*'Amenity Dashboard'!$B$43</f>
        <v>-7462.349232387638</v>
      </c>
      <c r="CV38" s="309">
        <f>-(CV12+CV18)*'Amenity Dashboard'!$B$43</f>
        <v>-27893.539267836051</v>
      </c>
      <c r="CW38" s="309">
        <f>-(CW12+CW18)*'Amenity Dashboard'!$B$43</f>
        <v>-30744.878837437074</v>
      </c>
      <c r="CX38" s="309">
        <f>-(CX12+CX18)*'Amenity Dashboard'!$B$43</f>
        <v>-28823.323910097253</v>
      </c>
      <c r="CY38" s="309">
        <f>-(CY12+CY18)*'Amenity Dashboard'!$B$43</f>
        <v>-24174.400698791247</v>
      </c>
      <c r="CZ38" s="309">
        <f>-(CZ12+CZ18)*'Amenity Dashboard'!$B$43</f>
        <v>-7686.2197093592686</v>
      </c>
      <c r="DA38" s="309">
        <f>-(DA12+DA18)*'Amenity Dashboard'!$B$43</f>
        <v>-7438.2771380896138</v>
      </c>
      <c r="DB38" s="309">
        <f>-(DB12+DB18)*'Amenity Dashboard'!$B$43</f>
        <v>-17293.994346058353</v>
      </c>
      <c r="DC38" s="309">
        <f>-(DC12+DC18)*'Amenity Dashboard'!$B$43</f>
        <v>-17293.994346058353</v>
      </c>
      <c r="DD38" s="309">
        <f>-(DD12+DD18)*'Amenity Dashboard'!$B$43</f>
        <v>-15620.381989988187</v>
      </c>
      <c r="DE38" s="309">
        <f>-(DE12+DE18)*'Amenity Dashboard'!$B$43</f>
        <v>-15372.439418718537</v>
      </c>
      <c r="DF38" s="309">
        <f>-(DF12+DF18)*'Amenity Dashboard'!$B$43</f>
        <v>-3719.1385690448069</v>
      </c>
      <c r="DG38" s="309">
        <f>-(DG12+DG18)*'Amenity Dashboard'!$B$43</f>
        <v>-7686.2197093592686</v>
      </c>
      <c r="DH38" s="309">
        <f>-(DH12+DH18)*'Amenity Dashboard'!$B$43</f>
        <v>-28730.345445871131</v>
      </c>
      <c r="DI38" s="309">
        <f>-(DI12+DI18)*'Amenity Dashboard'!$B$43</f>
        <v>-31667.225202560181</v>
      </c>
      <c r="DJ38" s="309">
        <f>-(DJ12+DJ18)*'Amenity Dashboard'!$B$43</f>
        <v>-29688.023627400169</v>
      </c>
      <c r="DK38" s="309">
        <f>-(DK12+DK18)*'Amenity Dashboard'!$B$43</f>
        <v>-24899.632719754984</v>
      </c>
      <c r="DL38" s="309">
        <f>-(DL12+DL18)*'Amenity Dashboard'!$B$43</f>
        <v>-7916.8063006400453</v>
      </c>
      <c r="DM38" s="309">
        <f>-(DM12+DM18)*'Amenity Dashboard'!$B$43</f>
        <v>-7661.4254522323017</v>
      </c>
      <c r="DN38" s="309">
        <f>-(DN12+DN18)*'Amenity Dashboard'!$B$43</f>
        <v>-17812.814176440101</v>
      </c>
      <c r="DO38" s="309">
        <f>-(DO12+DO18)*'Amenity Dashboard'!$B$43</f>
        <v>-17812.814176440101</v>
      </c>
      <c r="DP38" s="309">
        <f>-(DP12+DP18)*'Amenity Dashboard'!$B$43</f>
        <v>-16663.600358605257</v>
      </c>
      <c r="DQ38" s="309">
        <f>-(DQ12+DQ18)*'Amenity Dashboard'!$B$43</f>
        <v>-15833.612601280091</v>
      </c>
      <c r="DR38" s="309">
        <f>-(DR12+DR18)*'Amenity Dashboard'!$B$43</f>
        <v>-3830.7127261161509</v>
      </c>
      <c r="DS38" s="309">
        <f>-(DS12+DS18)*'Amenity Dashboard'!$B$43</f>
        <v>-7916.8063006400453</v>
      </c>
      <c r="DT38" s="309">
        <f>-(DT12+DT18)*'Amenity Dashboard'!$B$43</f>
        <v>-29592.255809247268</v>
      </c>
      <c r="DU38" s="309">
        <f>-(DU12+DU18)*'Amenity Dashboard'!$B$43</f>
        <v>-32617.241958636987</v>
      </c>
      <c r="DV38" s="309">
        <f>-(DV12+DV18)*'Amenity Dashboard'!$B$43</f>
        <v>-30578.66433622218</v>
      </c>
      <c r="DW38" s="309">
        <f>-(DW12+DW18)*'Amenity Dashboard'!$B$43</f>
        <v>-25646.621701347631</v>
      </c>
      <c r="DX38" s="309">
        <f>-(DX12+DX18)*'Amenity Dashboard'!$B$43</f>
        <v>-8154.3104896592467</v>
      </c>
      <c r="DY38" s="309">
        <f>-(DY12+DY18)*'Amenity Dashboard'!$B$43</f>
        <v>-7891.2682157992722</v>
      </c>
      <c r="DZ38" s="309">
        <f>-(DZ12+DZ18)*'Amenity Dashboard'!$B$43</f>
        <v>-18347.198601733307</v>
      </c>
      <c r="EA38" s="309">
        <f>-(EA12+EA18)*'Amenity Dashboard'!$B$43</f>
        <v>-18347.198601733307</v>
      </c>
      <c r="EB38" s="309">
        <f>-(EB12+EB18)*'Amenity Dashboard'!$B$43</f>
        <v>-16571.663253178471</v>
      </c>
      <c r="EC38" s="309">
        <f>-(EC12+EC18)*'Amenity Dashboard'!$B$43</f>
        <v>-16308.620979318493</v>
      </c>
      <c r="ED38" s="309">
        <f>-(ED12+ED18)*'Amenity Dashboard'!$B$43</f>
        <v>-3945.6341078996361</v>
      </c>
      <c r="EE38" s="309">
        <f>-(EE12+EE18)*'Amenity Dashboard'!$B$43</f>
        <v>-8154.3104896592467</v>
      </c>
    </row>
    <row r="39" spans="2:135" x14ac:dyDescent="0.2">
      <c r="B39" s="312" t="s">
        <v>472</v>
      </c>
      <c r="C39" s="307"/>
      <c r="D39" s="307">
        <f>-(D12+D18)*'Amenity Dashboard'!$B$44</f>
        <v>0</v>
      </c>
      <c r="E39" s="307">
        <f>-(E12+E18)*'Amenity Dashboard'!$B$44</f>
        <v>0</v>
      </c>
      <c r="F39" s="307">
        <f>-(F12+F18)*'Amenity Dashboard'!$B$44</f>
        <v>0</v>
      </c>
      <c r="G39" s="307">
        <f>-(G12+G18)*'Amenity Dashboard'!$B$44</f>
        <v>0</v>
      </c>
      <c r="H39" s="307">
        <f>-(H12+H18)*'Amenity Dashboard'!$B$44</f>
        <v>0</v>
      </c>
      <c r="I39" s="307">
        <f>-(I12+I18)*'Amenity Dashboard'!$B$44</f>
        <v>0</v>
      </c>
      <c r="J39" s="307">
        <f>-(J12+J18)*'Amenity Dashboard'!$B$44</f>
        <v>0</v>
      </c>
      <c r="K39" s="307">
        <f>-(K12+K18)*'Amenity Dashboard'!$B$44</f>
        <v>0</v>
      </c>
      <c r="L39" s="307">
        <f>-(L12+L18)*'Amenity Dashboard'!$B$44</f>
        <v>0</v>
      </c>
      <c r="M39" s="307">
        <f>-(M12+M18)*'Amenity Dashboard'!$B$44</f>
        <v>0</v>
      </c>
      <c r="N39" s="307">
        <f>-(N12+N18)*'Amenity Dashboard'!$B$44</f>
        <v>0</v>
      </c>
      <c r="O39" s="307">
        <f>-(O12+O18)*'Amenity Dashboard'!$B$44</f>
        <v>0</v>
      </c>
      <c r="P39" s="307">
        <f>-(P12+P18)*'Amenity Dashboard'!$B$44</f>
        <v>-11340</v>
      </c>
      <c r="Q39" s="307">
        <f>-(Q12+Q18)*'Amenity Dashboard'!$B$44</f>
        <v>-12499.199999999999</v>
      </c>
      <c r="R39" s="307">
        <f>-(R12+R18)*'Amenity Dashboard'!$B$44</f>
        <v>-11718</v>
      </c>
      <c r="S39" s="307">
        <f>-(S12+S18)*'Amenity Dashboard'!$B$44</f>
        <v>-9828</v>
      </c>
      <c r="T39" s="307">
        <f>-(T12+T18)*'Amenity Dashboard'!$B$44</f>
        <v>-3124.7999999999997</v>
      </c>
      <c r="U39" s="307">
        <f>-(U12+U18)*'Amenity Dashboard'!$B$44</f>
        <v>-3024</v>
      </c>
      <c r="V39" s="307">
        <f>-(V12+V18)*'Amenity Dashboard'!$B$44</f>
        <v>-7030.8</v>
      </c>
      <c r="W39" s="307">
        <f>-(W12+W18)*'Amenity Dashboard'!$B$44</f>
        <v>-7030.8</v>
      </c>
      <c r="X39" s="307">
        <f>-(X12+X18)*'Amenity Dashboard'!$B$44</f>
        <v>-6577.2</v>
      </c>
      <c r="Y39" s="307">
        <f>-(Y12+Y18)*'Amenity Dashboard'!$B$44</f>
        <v>-6249.5999999999995</v>
      </c>
      <c r="Z39" s="307">
        <f>-(Z12+Z18)*'Amenity Dashboard'!$B$44</f>
        <v>-1512</v>
      </c>
      <c r="AA39" s="307">
        <f>-(AA12+AA18)*'Amenity Dashboard'!$B$44</f>
        <v>-3124.7999999999997</v>
      </c>
      <c r="AB39" s="307">
        <f>-(AB12+AB18)*'Amenity Dashboard'!$B$44</f>
        <v>-11680.199999999999</v>
      </c>
      <c r="AC39" s="307">
        <f>-(AC12+AC18)*'Amenity Dashboard'!$B$44</f>
        <v>-12874.175999999999</v>
      </c>
      <c r="AD39" s="307">
        <f>-(AD12+AD18)*'Amenity Dashboard'!$B$44</f>
        <v>-12069.539999999999</v>
      </c>
      <c r="AE39" s="307">
        <f>-(AE12+AE18)*'Amenity Dashboard'!$B$44</f>
        <v>-10122.84</v>
      </c>
      <c r="AF39" s="307">
        <f>-(AF12+AF18)*'Amenity Dashboard'!$B$44</f>
        <v>-3218.5439999999999</v>
      </c>
      <c r="AG39" s="307">
        <f>-(AG12+AG18)*'Amenity Dashboard'!$B$44</f>
        <v>-6229.44</v>
      </c>
      <c r="AH39" s="307">
        <f>-(AH12+AH18)*'Amenity Dashboard'!$B$44</f>
        <v>-14483.448</v>
      </c>
      <c r="AI39" s="307">
        <f>-(AI12+AI18)*'Amenity Dashboard'!$B$44</f>
        <v>-14483.448</v>
      </c>
      <c r="AJ39" s="307">
        <f>-(AJ12+AJ18)*'Amenity Dashboard'!$B$44</f>
        <v>-13081.823999999999</v>
      </c>
      <c r="AK39" s="307">
        <f>-(AK12+AK18)*'Amenity Dashboard'!$B$44</f>
        <v>-12874.175999999999</v>
      </c>
      <c r="AL39" s="307">
        <f>-(AL12+AL18)*'Amenity Dashboard'!$B$44</f>
        <v>-3114.72</v>
      </c>
      <c r="AM39" s="307">
        <f>-(AM12+AM18)*'Amenity Dashboard'!$B$44</f>
        <v>-6437.0879999999997</v>
      </c>
      <c r="AN39" s="307">
        <f>-(AN12+AN18)*'Amenity Dashboard'!$B$44</f>
        <v>-24061.211999999996</v>
      </c>
      <c r="AO39" s="307">
        <f>-(AO12+AO18)*'Amenity Dashboard'!$B$44</f>
        <v>-26520.80256</v>
      </c>
      <c r="AP39" s="307">
        <f>-(AP12+AP18)*'Amenity Dashboard'!$B$44</f>
        <v>-24863.252399999998</v>
      </c>
      <c r="AQ39" s="307">
        <f>-(AQ12+AQ18)*'Amenity Dashboard'!$B$44</f>
        <v>-20853.0504</v>
      </c>
      <c r="AR39" s="307">
        <f>-(AR12+AR18)*'Amenity Dashboard'!$B$44</f>
        <v>-6630.20064</v>
      </c>
      <c r="AS39" s="307">
        <f>-(AS12+AS18)*'Amenity Dashboard'!$B$44</f>
        <v>-6416.3231999999998</v>
      </c>
      <c r="AT39" s="307">
        <f>-(AT12+AT18)*'Amenity Dashboard'!$B$44</f>
        <v>-14917.951439999999</v>
      </c>
      <c r="AU39" s="307">
        <f>-(AU12+AU18)*'Amenity Dashboard'!$B$44</f>
        <v>-14917.951439999999</v>
      </c>
      <c r="AV39" s="307">
        <f>-(AV12+AV18)*'Amenity Dashboard'!$B$44</f>
        <v>-13474.27872</v>
      </c>
      <c r="AW39" s="307">
        <f>-(AW12+AW18)*'Amenity Dashboard'!$B$44</f>
        <v>-13260.40128</v>
      </c>
      <c r="AX39" s="307">
        <f>-(AX12+AX18)*'Amenity Dashboard'!$B$44</f>
        <v>-3208.1615999999999</v>
      </c>
      <c r="AY39" s="307">
        <f>-(AY12+AY18)*'Amenity Dashboard'!$B$44</f>
        <v>-6630.20064</v>
      </c>
      <c r="AZ39" s="307">
        <f>-(AZ12+AZ18)*'Amenity Dashboard'!$B$44</f>
        <v>-24783.048360000001</v>
      </c>
      <c r="BA39" s="307">
        <f>-(BA12+BA18)*'Amenity Dashboard'!$B$44</f>
        <v>-27316.426636800003</v>
      </c>
      <c r="BB39" s="307">
        <f>-(BB12+BB18)*'Amenity Dashboard'!$B$44</f>
        <v>-25609.149972000003</v>
      </c>
      <c r="BC39" s="307">
        <f>-(BC12+BC18)*'Amenity Dashboard'!$B$44</f>
        <v>-21478.641912000003</v>
      </c>
      <c r="BD39" s="307">
        <f>-(BD12+BD18)*'Amenity Dashboard'!$B$44</f>
        <v>-6829.1066592000006</v>
      </c>
      <c r="BE39" s="307">
        <f>-(BE12+BE18)*'Amenity Dashboard'!$B$44</f>
        <v>-6608.8128960000013</v>
      </c>
      <c r="BF39" s="307">
        <f>-(BF12+BF18)*'Amenity Dashboard'!$B$44</f>
        <v>-15365.489983200001</v>
      </c>
      <c r="BG39" s="307">
        <f>-(BG12+BG18)*'Amenity Dashboard'!$B$44</f>
        <v>-15365.489983200001</v>
      </c>
      <c r="BH39" s="307">
        <f>-(BH12+BH18)*'Amenity Dashboard'!$B$44</f>
        <v>-13878.507081600001</v>
      </c>
      <c r="BI39" s="307">
        <f>-(BI12+BI18)*'Amenity Dashboard'!$B$44</f>
        <v>-13658.213318400001</v>
      </c>
      <c r="BJ39" s="307">
        <f>-(BJ12+BJ18)*'Amenity Dashboard'!$B$44</f>
        <v>-3304.4064480000006</v>
      </c>
      <c r="BK39" s="307">
        <f>-(BK12+BK18)*'Amenity Dashboard'!$B$44</f>
        <v>-6829.1066592000006</v>
      </c>
      <c r="BL39" s="307">
        <f>-(BL12+BL18)*'Amenity Dashboard'!$B$44</f>
        <v>-25526.539810800001</v>
      </c>
      <c r="BM39" s="307">
        <f>-(BM12+BM18)*'Amenity Dashboard'!$B$44</f>
        <v>-28135.919435904001</v>
      </c>
      <c r="BN39" s="307">
        <f>-(BN12+BN18)*'Amenity Dashboard'!$B$44</f>
        <v>-26377.424471160004</v>
      </c>
      <c r="BO39" s="307">
        <f>-(BO12+BO18)*'Amenity Dashboard'!$B$44</f>
        <v>-22123.001169359999</v>
      </c>
      <c r="BP39" s="307">
        <f>-(BP12+BP18)*'Amenity Dashboard'!$B$44</f>
        <v>-7033.9798589760003</v>
      </c>
      <c r="BQ39" s="307">
        <f>-(BQ12+BQ18)*'Amenity Dashboard'!$B$44</f>
        <v>-6807.0772828800009</v>
      </c>
      <c r="BR39" s="307">
        <f>-(BR12+BR18)*'Amenity Dashboard'!$B$44</f>
        <v>-15826.454682696</v>
      </c>
      <c r="BS39" s="307">
        <f>-(BS12+BS18)*'Amenity Dashboard'!$B$44</f>
        <v>-15826.454682696</v>
      </c>
      <c r="BT39" s="307">
        <f>-(BT12+BT18)*'Amenity Dashboard'!$B$44</f>
        <v>-14805.393090264</v>
      </c>
      <c r="BU39" s="307">
        <f>-(BU12+BU18)*'Amenity Dashboard'!$B$44</f>
        <v>-14067.959717952001</v>
      </c>
      <c r="BV39" s="307">
        <f>-(BV12+BV18)*'Amenity Dashboard'!$B$44</f>
        <v>-3403.5386414400004</v>
      </c>
      <c r="BW39" s="307">
        <f>-(BW12+BW18)*'Amenity Dashboard'!$B$44</f>
        <v>-7033.9798589760003</v>
      </c>
      <c r="BX39" s="307">
        <f>-(BX12+BX18)*'Amenity Dashboard'!$B$44</f>
        <v>-26292.336005124002</v>
      </c>
      <c r="BY39" s="307">
        <f>-(BY12+BY18)*'Amenity Dashboard'!$B$44</f>
        <v>-28979.997018981125</v>
      </c>
      <c r="BZ39" s="307">
        <f>-(BZ12+BZ18)*'Amenity Dashboard'!$B$44</f>
        <v>-27168.7472052948</v>
      </c>
      <c r="CA39" s="307">
        <f>-(CA12+CA18)*'Amenity Dashboard'!$B$44</f>
        <v>-22786.691204440802</v>
      </c>
      <c r="CB39" s="307">
        <f>-(CB12+CB18)*'Amenity Dashboard'!$B$44</f>
        <v>-7244.9992547452812</v>
      </c>
      <c r="CC39" s="307">
        <f>-(CC12+CC18)*'Amenity Dashboard'!$B$44</f>
        <v>-7011.2896013664003</v>
      </c>
      <c r="CD39" s="307">
        <f>-(CD12+CD18)*'Amenity Dashboard'!$B$44</f>
        <v>-16301.24832317688</v>
      </c>
      <c r="CE39" s="307">
        <f>-(CE12+CE18)*'Amenity Dashboard'!$B$44</f>
        <v>-16301.24832317688</v>
      </c>
      <c r="CF39" s="307">
        <f>-(CF12+CF18)*'Amenity Dashboard'!$B$44</f>
        <v>-14723.70816286944</v>
      </c>
      <c r="CG39" s="307">
        <f>-(CG12+CG18)*'Amenity Dashboard'!$B$44</f>
        <v>-14489.998509490562</v>
      </c>
      <c r="CH39" s="307">
        <f>-(CH12+CH18)*'Amenity Dashboard'!$B$44</f>
        <v>-3505.6448006832002</v>
      </c>
      <c r="CI39" s="307">
        <f>-(CI12+CI18)*'Amenity Dashboard'!$B$44</f>
        <v>-7244.9992547452812</v>
      </c>
      <c r="CJ39" s="307">
        <f>-(CJ12+CJ18)*'Amenity Dashboard'!$B$44</f>
        <v>-27081.106085277715</v>
      </c>
      <c r="CK39" s="307">
        <f>-(CK12+CK18)*'Amenity Dashboard'!$B$44</f>
        <v>-29849.396929550552</v>
      </c>
      <c r="CL39" s="307">
        <f>-(CL12+CL18)*'Amenity Dashboard'!$B$44</f>
        <v>-27983.809621453642</v>
      </c>
      <c r="CM39" s="307">
        <f>-(CM12+CM18)*'Amenity Dashboard'!$B$44</f>
        <v>-23470.291940574025</v>
      </c>
      <c r="CN39" s="307">
        <f>-(CN12+CN18)*'Amenity Dashboard'!$B$44</f>
        <v>-7462.349232387638</v>
      </c>
      <c r="CO39" s="307">
        <f>-(CO12+CO18)*'Amenity Dashboard'!$B$44</f>
        <v>-7221.6282894073911</v>
      </c>
      <c r="CP39" s="307">
        <f>-(CP12+CP18)*'Amenity Dashboard'!$B$44</f>
        <v>-16790.285772872183</v>
      </c>
      <c r="CQ39" s="307">
        <f>-(CQ12+CQ18)*'Amenity Dashboard'!$B$44</f>
        <v>-16790.285772872183</v>
      </c>
      <c r="CR39" s="307">
        <f>-(CR12+CR18)*'Amenity Dashboard'!$B$44</f>
        <v>-15165.419407755522</v>
      </c>
      <c r="CS39" s="307">
        <f>-(CS12+CS18)*'Amenity Dashboard'!$B$44</f>
        <v>-14924.698464775276</v>
      </c>
      <c r="CT39" s="307">
        <f>-(CT12+CT18)*'Amenity Dashboard'!$B$44</f>
        <v>-3610.8141447036955</v>
      </c>
      <c r="CU39" s="307">
        <f>-(CU12+CU18)*'Amenity Dashboard'!$B$44</f>
        <v>-7462.349232387638</v>
      </c>
      <c r="CV39" s="307">
        <f>-(CV12+CV18)*'Amenity Dashboard'!$B$44</f>
        <v>-27893.539267836051</v>
      </c>
      <c r="CW39" s="307">
        <f>-(CW12+CW18)*'Amenity Dashboard'!$B$44</f>
        <v>-30744.878837437074</v>
      </c>
      <c r="CX39" s="307">
        <f>-(CX12+CX18)*'Amenity Dashboard'!$B$44</f>
        <v>-28823.323910097253</v>
      </c>
      <c r="CY39" s="307">
        <f>-(CY12+CY18)*'Amenity Dashboard'!$B$44</f>
        <v>-24174.400698791247</v>
      </c>
      <c r="CZ39" s="307">
        <f>-(CZ12+CZ18)*'Amenity Dashboard'!$B$44</f>
        <v>-7686.2197093592686</v>
      </c>
      <c r="DA39" s="307">
        <f>-(DA12+DA18)*'Amenity Dashboard'!$B$44</f>
        <v>-7438.2771380896138</v>
      </c>
      <c r="DB39" s="307">
        <f>-(DB12+DB18)*'Amenity Dashboard'!$B$44</f>
        <v>-17293.994346058353</v>
      </c>
      <c r="DC39" s="307">
        <f>-(DC12+DC18)*'Amenity Dashboard'!$B$44</f>
        <v>-17293.994346058353</v>
      </c>
      <c r="DD39" s="307">
        <f>-(DD12+DD18)*'Amenity Dashboard'!$B$44</f>
        <v>-15620.381989988187</v>
      </c>
      <c r="DE39" s="307">
        <f>-(DE12+DE18)*'Amenity Dashboard'!$B$44</f>
        <v>-15372.439418718537</v>
      </c>
      <c r="DF39" s="307">
        <f>-(DF12+DF18)*'Amenity Dashboard'!$B$44</f>
        <v>-3719.1385690448069</v>
      </c>
      <c r="DG39" s="307">
        <f>-(DG12+DG18)*'Amenity Dashboard'!$B$44</f>
        <v>-7686.2197093592686</v>
      </c>
      <c r="DH39" s="307">
        <f>-(DH12+DH18)*'Amenity Dashboard'!$B$44</f>
        <v>-28730.345445871131</v>
      </c>
      <c r="DI39" s="307">
        <f>-(DI12+DI18)*'Amenity Dashboard'!$B$44</f>
        <v>-31667.225202560181</v>
      </c>
      <c r="DJ39" s="307">
        <f>-(DJ12+DJ18)*'Amenity Dashboard'!$B$44</f>
        <v>-29688.023627400169</v>
      </c>
      <c r="DK39" s="307">
        <f>-(DK12+DK18)*'Amenity Dashboard'!$B$44</f>
        <v>-24899.632719754984</v>
      </c>
      <c r="DL39" s="307">
        <f>-(DL12+DL18)*'Amenity Dashboard'!$B$44</f>
        <v>-7916.8063006400453</v>
      </c>
      <c r="DM39" s="307">
        <f>-(DM12+DM18)*'Amenity Dashboard'!$B$44</f>
        <v>-7661.4254522323017</v>
      </c>
      <c r="DN39" s="307">
        <f>-(DN12+DN18)*'Amenity Dashboard'!$B$44</f>
        <v>-17812.814176440101</v>
      </c>
      <c r="DO39" s="307">
        <f>-(DO12+DO18)*'Amenity Dashboard'!$B$44</f>
        <v>-17812.814176440101</v>
      </c>
      <c r="DP39" s="307">
        <f>-(DP12+DP18)*'Amenity Dashboard'!$B$44</f>
        <v>-16663.600358605257</v>
      </c>
      <c r="DQ39" s="307">
        <f>-(DQ12+DQ18)*'Amenity Dashboard'!$B$44</f>
        <v>-15833.612601280091</v>
      </c>
      <c r="DR39" s="307">
        <f>-(DR12+DR18)*'Amenity Dashboard'!$B$44</f>
        <v>-3830.7127261161509</v>
      </c>
      <c r="DS39" s="307">
        <f>-(DS12+DS18)*'Amenity Dashboard'!$B$44</f>
        <v>-7916.8063006400453</v>
      </c>
      <c r="DT39" s="307">
        <f>-(DT12+DT18)*'Amenity Dashboard'!$B$44</f>
        <v>-29592.255809247268</v>
      </c>
      <c r="DU39" s="307">
        <f>-(DU12+DU18)*'Amenity Dashboard'!$B$44</f>
        <v>-32617.241958636987</v>
      </c>
      <c r="DV39" s="307">
        <f>-(DV12+DV18)*'Amenity Dashboard'!$B$44</f>
        <v>-30578.66433622218</v>
      </c>
      <c r="DW39" s="307">
        <f>-(DW12+DW18)*'Amenity Dashboard'!$B$44</f>
        <v>-25646.621701347631</v>
      </c>
      <c r="DX39" s="307">
        <f>-(DX12+DX18)*'Amenity Dashboard'!$B$44</f>
        <v>-8154.3104896592467</v>
      </c>
      <c r="DY39" s="307">
        <f>-(DY12+DY18)*'Amenity Dashboard'!$B$44</f>
        <v>-7891.2682157992722</v>
      </c>
      <c r="DZ39" s="307">
        <f>-(DZ12+DZ18)*'Amenity Dashboard'!$B$44</f>
        <v>-18347.198601733307</v>
      </c>
      <c r="EA39" s="307">
        <f>-(EA12+EA18)*'Amenity Dashboard'!$B$44</f>
        <v>-18347.198601733307</v>
      </c>
      <c r="EB39" s="307">
        <f>-(EB12+EB18)*'Amenity Dashboard'!$B$44</f>
        <v>-16571.663253178471</v>
      </c>
      <c r="EC39" s="307">
        <f>-(EC12+EC18)*'Amenity Dashboard'!$B$44</f>
        <v>-16308.620979318493</v>
      </c>
      <c r="ED39" s="307">
        <f>-(ED12+ED18)*'Amenity Dashboard'!$B$44</f>
        <v>-3945.6341078996361</v>
      </c>
      <c r="EE39" s="307">
        <f>-(EE12+EE18)*'Amenity Dashboard'!$B$44</f>
        <v>-8154.3104896592467</v>
      </c>
    </row>
    <row r="40" spans="2:135" ht="16" thickBot="1" x14ac:dyDescent="0.25">
      <c r="B40" s="302" t="s">
        <v>473</v>
      </c>
      <c r="C40" s="303"/>
      <c r="D40" s="303">
        <f>-(D12+D18)*'Amenity Dashboard'!$B$45</f>
        <v>0</v>
      </c>
      <c r="E40" s="303">
        <f>-(E12+E18)*'Amenity Dashboard'!$B$45</f>
        <v>0</v>
      </c>
      <c r="F40" s="303">
        <f>-(F12+F18)*'Amenity Dashboard'!$B$45</f>
        <v>0</v>
      </c>
      <c r="G40" s="303">
        <f>-(G12+G18)*'Amenity Dashboard'!$B$45</f>
        <v>0</v>
      </c>
      <c r="H40" s="303">
        <f>-(H12+H18)*'Amenity Dashboard'!$B$45</f>
        <v>0</v>
      </c>
      <c r="I40" s="303">
        <f>-(I12+I18)*'Amenity Dashboard'!$B$45</f>
        <v>0</v>
      </c>
      <c r="J40" s="303">
        <f>-(J12+J18)*'Amenity Dashboard'!$B$45</f>
        <v>0</v>
      </c>
      <c r="K40" s="303">
        <f>-(K12+K18)*'Amenity Dashboard'!$B$45</f>
        <v>0</v>
      </c>
      <c r="L40" s="303">
        <f>-(L12+L18)*'Amenity Dashboard'!$B$45</f>
        <v>0</v>
      </c>
      <c r="M40" s="303">
        <f>-(M12+M18)*'Amenity Dashboard'!$B$45</f>
        <v>0</v>
      </c>
      <c r="N40" s="303">
        <f>-(N12+N18)*'Amenity Dashboard'!$B$45</f>
        <v>0</v>
      </c>
      <c r="O40" s="303">
        <f>-(O12+O18)*'Amenity Dashboard'!$B$45</f>
        <v>0</v>
      </c>
      <c r="P40" s="303">
        <f>-(P12+P18)*'Amenity Dashboard'!$B$45</f>
        <v>-7560</v>
      </c>
      <c r="Q40" s="303">
        <f>-(Q12+Q18)*'Amenity Dashboard'!$B$45</f>
        <v>-8332.7999999999993</v>
      </c>
      <c r="R40" s="303">
        <f>-(R12+R18)*'Amenity Dashboard'!$B$45</f>
        <v>-7812</v>
      </c>
      <c r="S40" s="303">
        <f>-(S12+S18)*'Amenity Dashboard'!$B$45</f>
        <v>-6552</v>
      </c>
      <c r="T40" s="303">
        <f>-(T12+T18)*'Amenity Dashboard'!$B$45</f>
        <v>-2083.1999999999998</v>
      </c>
      <c r="U40" s="303">
        <f>-(U12+U18)*'Amenity Dashboard'!$B$45</f>
        <v>-2016</v>
      </c>
      <c r="V40" s="303">
        <f>-(V12+V18)*'Amenity Dashboard'!$B$45</f>
        <v>-4687.2</v>
      </c>
      <c r="W40" s="303">
        <f>-(W12+W18)*'Amenity Dashboard'!$B$45</f>
        <v>-4687.2</v>
      </c>
      <c r="X40" s="303">
        <f>-(X12+X18)*'Amenity Dashboard'!$B$45</f>
        <v>-4384.8</v>
      </c>
      <c r="Y40" s="303">
        <f>-(Y12+Y18)*'Amenity Dashboard'!$B$45</f>
        <v>-4166.3999999999996</v>
      </c>
      <c r="Z40" s="303">
        <f>-(Z12+Z18)*'Amenity Dashboard'!$B$45</f>
        <v>-1008</v>
      </c>
      <c r="AA40" s="303">
        <f>-(AA12+AA18)*'Amenity Dashboard'!$B$45</f>
        <v>-2083.1999999999998</v>
      </c>
      <c r="AB40" s="303">
        <f>-(AB12+AB18)*'Amenity Dashboard'!$B$45</f>
        <v>-7786.8</v>
      </c>
      <c r="AC40" s="303">
        <f>-(AC12+AC18)*'Amenity Dashboard'!$B$45</f>
        <v>-8582.7839999999997</v>
      </c>
      <c r="AD40" s="303">
        <f>-(AD12+AD18)*'Amenity Dashboard'!$B$45</f>
        <v>-8046.3600000000006</v>
      </c>
      <c r="AE40" s="303">
        <f>-(AE12+AE18)*'Amenity Dashboard'!$B$45</f>
        <v>-6748.56</v>
      </c>
      <c r="AF40" s="303">
        <f>-(AF12+AF18)*'Amenity Dashboard'!$B$45</f>
        <v>-2145.6959999999999</v>
      </c>
      <c r="AG40" s="303">
        <f>-(AG12+AG18)*'Amenity Dashboard'!$B$45</f>
        <v>-4152.96</v>
      </c>
      <c r="AH40" s="303">
        <f>-(AH12+AH18)*'Amenity Dashboard'!$B$45</f>
        <v>-9655.6320000000014</v>
      </c>
      <c r="AI40" s="303">
        <f>-(AI12+AI18)*'Amenity Dashboard'!$B$45</f>
        <v>-9655.6320000000014</v>
      </c>
      <c r="AJ40" s="303">
        <f>-(AJ12+AJ18)*'Amenity Dashboard'!$B$45</f>
        <v>-8721.2160000000003</v>
      </c>
      <c r="AK40" s="303">
        <f>-(AK12+AK18)*'Amenity Dashboard'!$B$45</f>
        <v>-8582.7839999999997</v>
      </c>
      <c r="AL40" s="303">
        <f>-(AL12+AL18)*'Amenity Dashboard'!$B$45</f>
        <v>-2076.48</v>
      </c>
      <c r="AM40" s="303">
        <f>-(AM12+AM18)*'Amenity Dashboard'!$B$45</f>
        <v>-4291.3919999999998</v>
      </c>
      <c r="AN40" s="303">
        <f>-(AN12+AN18)*'Amenity Dashboard'!$B$45</f>
        <v>-16040.807999999999</v>
      </c>
      <c r="AO40" s="303">
        <f>-(AO12+AO18)*'Amenity Dashboard'!$B$45</f>
        <v>-17680.535039999999</v>
      </c>
      <c r="AP40" s="303">
        <f>-(AP12+AP18)*'Amenity Dashboard'!$B$45</f>
        <v>-16575.5016</v>
      </c>
      <c r="AQ40" s="303">
        <f>-(AQ12+AQ18)*'Amenity Dashboard'!$B$45</f>
        <v>-13902.033600000001</v>
      </c>
      <c r="AR40" s="303">
        <f>-(AR12+AR18)*'Amenity Dashboard'!$B$45</f>
        <v>-4420.1337599999997</v>
      </c>
      <c r="AS40" s="303">
        <f>-(AS12+AS18)*'Amenity Dashboard'!$B$45</f>
        <v>-4277.5488000000005</v>
      </c>
      <c r="AT40" s="303">
        <f>-(AT12+AT18)*'Amenity Dashboard'!$B$45</f>
        <v>-9945.3009600000005</v>
      </c>
      <c r="AU40" s="303">
        <f>-(AU12+AU18)*'Amenity Dashboard'!$B$45</f>
        <v>-9945.3009600000005</v>
      </c>
      <c r="AV40" s="303">
        <f>-(AV12+AV18)*'Amenity Dashboard'!$B$45</f>
        <v>-8982.8524799999996</v>
      </c>
      <c r="AW40" s="303">
        <f>-(AW12+AW18)*'Amenity Dashboard'!$B$45</f>
        <v>-8840.2675199999994</v>
      </c>
      <c r="AX40" s="303">
        <f>-(AX12+AX18)*'Amenity Dashboard'!$B$45</f>
        <v>-2138.7744000000002</v>
      </c>
      <c r="AY40" s="303">
        <f>-(AY12+AY18)*'Amenity Dashboard'!$B$45</f>
        <v>-4420.1337599999997</v>
      </c>
      <c r="AZ40" s="303">
        <f>-(AZ12+AZ18)*'Amenity Dashboard'!$B$45</f>
        <v>-16522.03224</v>
      </c>
      <c r="BA40" s="303">
        <f>-(BA12+BA18)*'Amenity Dashboard'!$B$45</f>
        <v>-18210.951091200001</v>
      </c>
      <c r="BB40" s="303">
        <f>-(BB12+BB18)*'Amenity Dashboard'!$B$45</f>
        <v>-17072.766648000001</v>
      </c>
      <c r="BC40" s="303">
        <f>-(BC12+BC18)*'Amenity Dashboard'!$B$45</f>
        <v>-14319.094608000003</v>
      </c>
      <c r="BD40" s="303">
        <f>-(BD12+BD18)*'Amenity Dashboard'!$B$45</f>
        <v>-4552.7377728000001</v>
      </c>
      <c r="BE40" s="303">
        <f>-(BE12+BE18)*'Amenity Dashboard'!$B$45</f>
        <v>-4405.8752640000012</v>
      </c>
      <c r="BF40" s="303">
        <f>-(BF12+BF18)*'Amenity Dashboard'!$B$45</f>
        <v>-10243.659988800002</v>
      </c>
      <c r="BG40" s="303">
        <f>-(BG12+BG18)*'Amenity Dashboard'!$B$45</f>
        <v>-10243.659988800002</v>
      </c>
      <c r="BH40" s="303">
        <f>-(BH12+BH18)*'Amenity Dashboard'!$B$45</f>
        <v>-9252.3380544000011</v>
      </c>
      <c r="BI40" s="303">
        <f>-(BI12+BI18)*'Amenity Dashboard'!$B$45</f>
        <v>-9105.4755456000003</v>
      </c>
      <c r="BJ40" s="303">
        <f>-(BJ12+BJ18)*'Amenity Dashboard'!$B$45</f>
        <v>-2202.9376320000006</v>
      </c>
      <c r="BK40" s="303">
        <f>-(BK12+BK18)*'Amenity Dashboard'!$B$45</f>
        <v>-4552.7377728000001</v>
      </c>
      <c r="BL40" s="303">
        <f>-(BL12+BL18)*'Amenity Dashboard'!$B$45</f>
        <v>-17017.693207200002</v>
      </c>
      <c r="BM40" s="303">
        <f>-(BM12+BM18)*'Amenity Dashboard'!$B$45</f>
        <v>-18757.279623936003</v>
      </c>
      <c r="BN40" s="303">
        <f>-(BN12+BN18)*'Amenity Dashboard'!$B$45</f>
        <v>-17584.949647440004</v>
      </c>
      <c r="BO40" s="303">
        <f>-(BO12+BO18)*'Amenity Dashboard'!$B$45</f>
        <v>-14748.667446240001</v>
      </c>
      <c r="BP40" s="303">
        <f>-(BP12+BP18)*'Amenity Dashboard'!$B$45</f>
        <v>-4689.3199059840008</v>
      </c>
      <c r="BQ40" s="303">
        <f>-(BQ12+BQ18)*'Amenity Dashboard'!$B$45</f>
        <v>-4538.0515219200006</v>
      </c>
      <c r="BR40" s="303">
        <f>-(BR12+BR18)*'Amenity Dashboard'!$B$45</f>
        <v>-10550.969788464001</v>
      </c>
      <c r="BS40" s="303">
        <f>-(BS12+BS18)*'Amenity Dashboard'!$B$45</f>
        <v>-10550.969788464001</v>
      </c>
      <c r="BT40" s="303">
        <f>-(BT12+BT18)*'Amenity Dashboard'!$B$45</f>
        <v>-9870.2620601760009</v>
      </c>
      <c r="BU40" s="303">
        <f>-(BU12+BU18)*'Amenity Dashboard'!$B$45</f>
        <v>-9378.6398119680016</v>
      </c>
      <c r="BV40" s="303">
        <f>-(BV12+BV18)*'Amenity Dashboard'!$B$45</f>
        <v>-2269.0257609600003</v>
      </c>
      <c r="BW40" s="303">
        <f>-(BW12+BW18)*'Amenity Dashboard'!$B$45</f>
        <v>-4689.3199059840008</v>
      </c>
      <c r="BX40" s="303">
        <f>-(BX12+BX18)*'Amenity Dashboard'!$B$45</f>
        <v>-17528.224003416002</v>
      </c>
      <c r="BY40" s="303">
        <f>-(BY12+BY18)*'Amenity Dashboard'!$B$45</f>
        <v>-19319.998012654083</v>
      </c>
      <c r="BZ40" s="303">
        <f>-(BZ12+BZ18)*'Amenity Dashboard'!$B$45</f>
        <v>-18112.4981368632</v>
      </c>
      <c r="CA40" s="303">
        <f>-(CA12+CA18)*'Amenity Dashboard'!$B$45</f>
        <v>-15191.127469627203</v>
      </c>
      <c r="CB40" s="303">
        <f>-(CB12+CB18)*'Amenity Dashboard'!$B$45</f>
        <v>-4829.9995031635208</v>
      </c>
      <c r="CC40" s="303">
        <f>-(CC12+CC18)*'Amenity Dashboard'!$B$45</f>
        <v>-4674.1930675776011</v>
      </c>
      <c r="CD40" s="303">
        <f>-(CD12+CD18)*'Amenity Dashboard'!$B$45</f>
        <v>-10867.498882117921</v>
      </c>
      <c r="CE40" s="303">
        <f>-(CE12+CE18)*'Amenity Dashboard'!$B$45</f>
        <v>-10867.498882117921</v>
      </c>
      <c r="CF40" s="303">
        <f>-(CF12+CF18)*'Amenity Dashboard'!$B$45</f>
        <v>-9815.8054419129603</v>
      </c>
      <c r="CG40" s="303">
        <f>-(CG12+CG18)*'Amenity Dashboard'!$B$45</f>
        <v>-9659.9990063270416</v>
      </c>
      <c r="CH40" s="303">
        <f>-(CH12+CH18)*'Amenity Dashboard'!$B$45</f>
        <v>-2337.0965337888006</v>
      </c>
      <c r="CI40" s="303">
        <f>-(CI12+CI18)*'Amenity Dashboard'!$B$45</f>
        <v>-4829.9995031635208</v>
      </c>
      <c r="CJ40" s="303">
        <f>-(CJ12+CJ18)*'Amenity Dashboard'!$B$45</f>
        <v>-18054.070723518478</v>
      </c>
      <c r="CK40" s="303">
        <f>-(CK12+CK18)*'Amenity Dashboard'!$B$45</f>
        <v>-19899.597953033703</v>
      </c>
      <c r="CL40" s="303">
        <f>-(CL12+CL18)*'Amenity Dashboard'!$B$45</f>
        <v>-18655.873080969093</v>
      </c>
      <c r="CM40" s="303">
        <f>-(CM12+CM18)*'Amenity Dashboard'!$B$45</f>
        <v>-15646.861293716016</v>
      </c>
      <c r="CN40" s="303">
        <f>-(CN12+CN18)*'Amenity Dashboard'!$B$45</f>
        <v>-4974.8994882584257</v>
      </c>
      <c r="CO40" s="303">
        <f>-(CO12+CO18)*'Amenity Dashboard'!$B$45</f>
        <v>-4814.418859604928</v>
      </c>
      <c r="CP40" s="303">
        <f>-(CP12+CP18)*'Amenity Dashboard'!$B$45</f>
        <v>-11193.523848581457</v>
      </c>
      <c r="CQ40" s="303">
        <f>-(CQ12+CQ18)*'Amenity Dashboard'!$B$45</f>
        <v>-11193.523848581457</v>
      </c>
      <c r="CR40" s="303">
        <f>-(CR12+CR18)*'Amenity Dashboard'!$B$45</f>
        <v>-10110.279605170348</v>
      </c>
      <c r="CS40" s="303">
        <f>-(CS12+CS18)*'Amenity Dashboard'!$B$45</f>
        <v>-9949.7989765168513</v>
      </c>
      <c r="CT40" s="303">
        <f>-(CT12+CT18)*'Amenity Dashboard'!$B$45</f>
        <v>-2407.209429802464</v>
      </c>
      <c r="CU40" s="303">
        <f>-(CU12+CU18)*'Amenity Dashboard'!$B$45</f>
        <v>-4974.8994882584257</v>
      </c>
      <c r="CV40" s="303">
        <f>-(CV12+CV18)*'Amenity Dashboard'!$B$45</f>
        <v>-18595.692845224035</v>
      </c>
      <c r="CW40" s="303">
        <f>-(CW12+CW18)*'Amenity Dashboard'!$B$45</f>
        <v>-20496.585891624716</v>
      </c>
      <c r="CX40" s="303">
        <f>-(CX12+CX18)*'Amenity Dashboard'!$B$45</f>
        <v>-19215.54927339817</v>
      </c>
      <c r="CY40" s="303">
        <f>-(CY12+CY18)*'Amenity Dashboard'!$B$45</f>
        <v>-16116.267132527499</v>
      </c>
      <c r="CZ40" s="303">
        <f>-(CZ12+CZ18)*'Amenity Dashboard'!$B$45</f>
        <v>-5124.146472906179</v>
      </c>
      <c r="DA40" s="303">
        <f>-(DA12+DA18)*'Amenity Dashboard'!$B$45</f>
        <v>-4958.8514253930762</v>
      </c>
      <c r="DB40" s="303">
        <f>-(DB12+DB18)*'Amenity Dashboard'!$B$45</f>
        <v>-11529.329564038902</v>
      </c>
      <c r="DC40" s="303">
        <f>-(DC12+DC18)*'Amenity Dashboard'!$B$45</f>
        <v>-11529.329564038902</v>
      </c>
      <c r="DD40" s="303">
        <f>-(DD12+DD18)*'Amenity Dashboard'!$B$45</f>
        <v>-10413.587993325458</v>
      </c>
      <c r="DE40" s="303">
        <f>-(DE12+DE18)*'Amenity Dashboard'!$B$45</f>
        <v>-10248.292945812358</v>
      </c>
      <c r="DF40" s="303">
        <f>-(DF12+DF18)*'Amenity Dashboard'!$B$45</f>
        <v>-2479.4257126965381</v>
      </c>
      <c r="DG40" s="303">
        <f>-(DG12+DG18)*'Amenity Dashboard'!$B$45</f>
        <v>-5124.146472906179</v>
      </c>
      <c r="DH40" s="303">
        <f>-(DH12+DH18)*'Amenity Dashboard'!$B$45</f>
        <v>-19153.563630580757</v>
      </c>
      <c r="DI40" s="303">
        <f>-(DI12+DI18)*'Amenity Dashboard'!$B$45</f>
        <v>-21111.483468373455</v>
      </c>
      <c r="DJ40" s="303">
        <f>-(DJ12+DJ18)*'Amenity Dashboard'!$B$45</f>
        <v>-19792.015751600116</v>
      </c>
      <c r="DK40" s="303">
        <f>-(DK12+DK18)*'Amenity Dashboard'!$B$45</f>
        <v>-16599.755146503325</v>
      </c>
      <c r="DL40" s="303">
        <f>-(DL12+DL18)*'Amenity Dashboard'!$B$45</f>
        <v>-5277.8708670933638</v>
      </c>
      <c r="DM40" s="303">
        <f>-(DM12+DM18)*'Amenity Dashboard'!$B$45</f>
        <v>-5107.6169681548681</v>
      </c>
      <c r="DN40" s="303">
        <f>-(DN12+DN18)*'Amenity Dashboard'!$B$45</f>
        <v>-11875.209450960068</v>
      </c>
      <c r="DO40" s="303">
        <f>-(DO12+DO18)*'Amenity Dashboard'!$B$45</f>
        <v>-11875.209450960068</v>
      </c>
      <c r="DP40" s="303">
        <f>-(DP12+DP18)*'Amenity Dashboard'!$B$45</f>
        <v>-11109.06690573684</v>
      </c>
      <c r="DQ40" s="303">
        <f>-(DQ12+DQ18)*'Amenity Dashboard'!$B$45</f>
        <v>-10555.741734186728</v>
      </c>
      <c r="DR40" s="303">
        <f>-(DR12+DR18)*'Amenity Dashboard'!$B$45</f>
        <v>-2553.8084840774341</v>
      </c>
      <c r="DS40" s="303">
        <f>-(DS12+DS18)*'Amenity Dashboard'!$B$45</f>
        <v>-5277.8708670933638</v>
      </c>
      <c r="DT40" s="303">
        <f>-(DT12+DT18)*'Amenity Dashboard'!$B$45</f>
        <v>-19728.17053949818</v>
      </c>
      <c r="DU40" s="303">
        <f>-(DU12+DU18)*'Amenity Dashboard'!$B$45</f>
        <v>-21744.82797242466</v>
      </c>
      <c r="DV40" s="303">
        <f>-(DV12+DV18)*'Amenity Dashboard'!$B$45</f>
        <v>-20385.776224148121</v>
      </c>
      <c r="DW40" s="303">
        <f>-(DW12+DW18)*'Amenity Dashboard'!$B$45</f>
        <v>-17097.747800898422</v>
      </c>
      <c r="DX40" s="303">
        <f>-(DX12+DX18)*'Amenity Dashboard'!$B$45</f>
        <v>-5436.2069931061651</v>
      </c>
      <c r="DY40" s="303">
        <f>-(DY12+DY18)*'Amenity Dashboard'!$B$45</f>
        <v>-5260.8454771995148</v>
      </c>
      <c r="DZ40" s="303">
        <f>-(DZ12+DZ18)*'Amenity Dashboard'!$B$45</f>
        <v>-12231.465734488871</v>
      </c>
      <c r="EA40" s="303">
        <f>-(EA12+EA18)*'Amenity Dashboard'!$B$45</f>
        <v>-12231.465734488871</v>
      </c>
      <c r="EB40" s="303">
        <f>-(EB12+EB18)*'Amenity Dashboard'!$B$45</f>
        <v>-11047.775502118981</v>
      </c>
      <c r="EC40" s="303">
        <f>-(EC12+EC18)*'Amenity Dashboard'!$B$45</f>
        <v>-10872.41398621233</v>
      </c>
      <c r="ED40" s="303">
        <f>-(ED12+ED18)*'Amenity Dashboard'!$B$45</f>
        <v>-2630.4227385997574</v>
      </c>
      <c r="EE40" s="303">
        <f>-(EE12+EE18)*'Amenity Dashboard'!$B$45</f>
        <v>-5436.2069931061651</v>
      </c>
    </row>
    <row r="41" spans="2:135" ht="16" thickBot="1" x14ac:dyDescent="0.25">
      <c r="B41" s="310" t="s">
        <v>474</v>
      </c>
      <c r="C41" s="305"/>
      <c r="D41" s="305">
        <f>SUM(D37:D40)</f>
        <v>0</v>
      </c>
      <c r="E41" s="305">
        <f t="shared" ref="E41:BP41" si="29">SUM(E37:E40)</f>
        <v>0</v>
      </c>
      <c r="F41" s="305">
        <f t="shared" si="29"/>
        <v>0</v>
      </c>
      <c r="G41" s="305">
        <f t="shared" si="29"/>
        <v>0</v>
      </c>
      <c r="H41" s="305">
        <f t="shared" si="29"/>
        <v>0</v>
      </c>
      <c r="I41" s="305">
        <f t="shared" si="29"/>
        <v>0</v>
      </c>
      <c r="J41" s="305">
        <f t="shared" si="29"/>
        <v>0</v>
      </c>
      <c r="K41" s="305">
        <f t="shared" si="29"/>
        <v>0</v>
      </c>
      <c r="L41" s="305">
        <f t="shared" si="29"/>
        <v>0</v>
      </c>
      <c r="M41" s="305">
        <f t="shared" si="29"/>
        <v>0</v>
      </c>
      <c r="N41" s="305">
        <f t="shared" si="29"/>
        <v>0</v>
      </c>
      <c r="O41" s="305">
        <f t="shared" si="29"/>
        <v>0</v>
      </c>
      <c r="P41" s="305">
        <f t="shared" ca="1" si="29"/>
        <v>-61964.800000000003</v>
      </c>
      <c r="Q41" s="305">
        <f t="shared" ca="1" si="29"/>
        <v>-67158.015999999989</v>
      </c>
      <c r="R41" s="305">
        <f t="shared" ca="1" si="29"/>
        <v>-63658.240000000005</v>
      </c>
      <c r="S41" s="305">
        <f t="shared" ca="1" si="29"/>
        <v>-55191.040000000001</v>
      </c>
      <c r="T41" s="305">
        <f t="shared" ca="1" si="29"/>
        <v>-25160.703999999998</v>
      </c>
      <c r="U41" s="305">
        <f t="shared" si="29"/>
        <v>-13547.52</v>
      </c>
      <c r="V41" s="305">
        <f t="shared" si="29"/>
        <v>-31497.984</v>
      </c>
      <c r="W41" s="305">
        <f t="shared" si="29"/>
        <v>-31497.984</v>
      </c>
      <c r="X41" s="305">
        <f t="shared" si="29"/>
        <v>-29465.856</v>
      </c>
      <c r="Y41" s="305">
        <f t="shared" si="29"/>
        <v>-27998.207999999999</v>
      </c>
      <c r="Z41" s="305">
        <f t="shared" si="29"/>
        <v>-6773.76</v>
      </c>
      <c r="AA41" s="305">
        <f t="shared" si="29"/>
        <v>-13999.103999999999</v>
      </c>
      <c r="AB41" s="305">
        <f t="shared" ca="1" si="29"/>
        <v>-63919.743999999999</v>
      </c>
      <c r="AC41" s="305">
        <f t="shared" ca="1" si="29"/>
        <v>-69268.756479999996</v>
      </c>
      <c r="AD41" s="305">
        <f t="shared" ca="1" si="29"/>
        <v>-65663.987200000003</v>
      </c>
      <c r="AE41" s="305">
        <f t="shared" ca="1" si="29"/>
        <v>-56942.771200000003</v>
      </c>
      <c r="AF41" s="305">
        <f t="shared" ca="1" si="29"/>
        <v>-26011.525120000002</v>
      </c>
      <c r="AG41" s="305">
        <f t="shared" si="29"/>
        <v>-28356.410879999996</v>
      </c>
      <c r="AH41" s="305">
        <f t="shared" si="29"/>
        <v>-65928.655295999997</v>
      </c>
      <c r="AI41" s="305">
        <f t="shared" si="29"/>
        <v>-65928.655295999997</v>
      </c>
      <c r="AJ41" s="305">
        <f t="shared" si="29"/>
        <v>-59548.462848000003</v>
      </c>
      <c r="AK41" s="305">
        <f t="shared" si="29"/>
        <v>-58603.249151999997</v>
      </c>
      <c r="AL41" s="305">
        <f t="shared" si="29"/>
        <v>-14178.205439999998</v>
      </c>
      <c r="AM41" s="305">
        <f t="shared" si="29"/>
        <v>-29301.624575999998</v>
      </c>
      <c r="AN41" s="305">
        <f t="shared" ca="1" si="29"/>
        <v>-121562.858464</v>
      </c>
      <c r="AO41" s="305">
        <f t="shared" ca="1" si="29"/>
        <v>-132758.91469311999</v>
      </c>
      <c r="AP41" s="305">
        <f t="shared" ca="1" si="29"/>
        <v>-125213.74636479998</v>
      </c>
      <c r="AQ41" s="305">
        <f t="shared" ca="1" si="29"/>
        <v>-106959.30686079999</v>
      </c>
      <c r="AR41" s="305">
        <f t="shared" ca="1" si="29"/>
        <v>-42216.894753280001</v>
      </c>
      <c r="AS41" s="305">
        <f t="shared" si="29"/>
        <v>-29207.103206399999</v>
      </c>
      <c r="AT41" s="305">
        <f t="shared" si="29"/>
        <v>-67906.514954879996</v>
      </c>
      <c r="AU41" s="305">
        <f t="shared" si="29"/>
        <v>-67906.514954879996</v>
      </c>
      <c r="AV41" s="305">
        <f t="shared" si="29"/>
        <v>-61334.916733440004</v>
      </c>
      <c r="AW41" s="305">
        <f t="shared" si="29"/>
        <v>-60361.34662656</v>
      </c>
      <c r="AX41" s="305">
        <f t="shared" si="29"/>
        <v>-14603.5516032</v>
      </c>
      <c r="AY41" s="305">
        <f t="shared" si="29"/>
        <v>-30180.67331328</v>
      </c>
      <c r="AZ41" s="305">
        <f t="shared" ca="1" si="29"/>
        <v>-125305.74421792002</v>
      </c>
      <c r="BA41" s="305">
        <f t="shared" ca="1" si="29"/>
        <v>-136837.68213391362</v>
      </c>
      <c r="BB41" s="305">
        <f t="shared" ca="1" si="29"/>
        <v>-129066.15875574402</v>
      </c>
      <c r="BC41" s="305">
        <f t="shared" ca="1" si="29"/>
        <v>-110264.086066624</v>
      </c>
      <c r="BD41" s="305">
        <f t="shared" ca="1" si="29"/>
        <v>-43579.4015958784</v>
      </c>
      <c r="BE41" s="305">
        <f t="shared" si="29"/>
        <v>-30083.316302592008</v>
      </c>
      <c r="BF41" s="305">
        <f t="shared" si="29"/>
        <v>-69943.710403526406</v>
      </c>
      <c r="BG41" s="305">
        <f t="shared" si="29"/>
        <v>-69943.710403526406</v>
      </c>
      <c r="BH41" s="305">
        <f t="shared" si="29"/>
        <v>-63174.964235443207</v>
      </c>
      <c r="BI41" s="305">
        <f t="shared" si="29"/>
        <v>-62172.187025356805</v>
      </c>
      <c r="BJ41" s="305">
        <f t="shared" si="29"/>
        <v>-15041.658151296004</v>
      </c>
      <c r="BK41" s="305">
        <f t="shared" si="29"/>
        <v>-31086.093512678402</v>
      </c>
      <c r="BL41" s="305">
        <f t="shared" ca="1" si="29"/>
        <v>-129160.91654445761</v>
      </c>
      <c r="BM41" s="305">
        <f t="shared" ca="1" si="29"/>
        <v>-141038.81259793101</v>
      </c>
      <c r="BN41" s="305">
        <f t="shared" ca="1" si="29"/>
        <v>-133034.14351841636</v>
      </c>
      <c r="BO41" s="305">
        <f t="shared" ca="1" si="29"/>
        <v>-113668.00864862272</v>
      </c>
      <c r="BP41" s="305">
        <f t="shared" ca="1" si="29"/>
        <v>-44982.783643754752</v>
      </c>
      <c r="BQ41" s="305">
        <f t="shared" ref="BQ41:EB41" si="30">SUM(BQ37:BQ40)</f>
        <v>-30985.81579166976</v>
      </c>
      <c r="BR41" s="305">
        <f t="shared" si="30"/>
        <v>-72042.021715632189</v>
      </c>
      <c r="BS41" s="305">
        <f t="shared" si="30"/>
        <v>-72042.021715632189</v>
      </c>
      <c r="BT41" s="305">
        <f t="shared" si="30"/>
        <v>-67394.149346881735</v>
      </c>
      <c r="BU41" s="305">
        <f t="shared" si="30"/>
        <v>-64037.35263611751</v>
      </c>
      <c r="BV41" s="305">
        <f t="shared" si="30"/>
        <v>-15492.90789583488</v>
      </c>
      <c r="BW41" s="305">
        <f t="shared" si="30"/>
        <v>-32018.676318058755</v>
      </c>
      <c r="BX41" s="305">
        <f t="shared" ca="1" si="30"/>
        <v>-133131.74404079132</v>
      </c>
      <c r="BY41" s="305">
        <f t="shared" ca="1" si="30"/>
        <v>-145365.97697586898</v>
      </c>
      <c r="BZ41" s="305">
        <f t="shared" ca="1" si="30"/>
        <v>-137121.1678239688</v>
      </c>
      <c r="CA41" s="305">
        <f t="shared" ca="1" si="30"/>
        <v>-117174.04890808141</v>
      </c>
      <c r="CB41" s="305">
        <f t="shared" ca="1" si="30"/>
        <v>-46428.267153067391</v>
      </c>
      <c r="CC41" s="305">
        <f t="shared" si="30"/>
        <v>-31915.390265419857</v>
      </c>
      <c r="CD41" s="305">
        <f t="shared" si="30"/>
        <v>-74203.282367101172</v>
      </c>
      <c r="CE41" s="305">
        <f t="shared" si="30"/>
        <v>-74203.282367101172</v>
      </c>
      <c r="CF41" s="305">
        <f t="shared" si="30"/>
        <v>-67022.319557381692</v>
      </c>
      <c r="CG41" s="305">
        <f t="shared" si="30"/>
        <v>-65958.47321520104</v>
      </c>
      <c r="CH41" s="305">
        <f t="shared" si="30"/>
        <v>-15957.695132709929</v>
      </c>
      <c r="CI41" s="305">
        <f t="shared" si="30"/>
        <v>-32979.23660760052</v>
      </c>
      <c r="CJ41" s="305">
        <f t="shared" ca="1" si="30"/>
        <v>-137221.69636201506</v>
      </c>
      <c r="CK41" s="305">
        <f t="shared" ca="1" si="30"/>
        <v>-149822.95628514499</v>
      </c>
      <c r="CL41" s="305">
        <f t="shared" ca="1" si="30"/>
        <v>-141330.80285868785</v>
      </c>
      <c r="CM41" s="305">
        <f t="shared" ca="1" si="30"/>
        <v>-120785.27037532386</v>
      </c>
      <c r="CN41" s="305">
        <f t="shared" ca="1" si="30"/>
        <v>-47917.115167659416</v>
      </c>
      <c r="CO41" s="305">
        <f t="shared" si="30"/>
        <v>-32872.851973382443</v>
      </c>
      <c r="CP41" s="305">
        <f t="shared" si="30"/>
        <v>-76429.380838114186</v>
      </c>
      <c r="CQ41" s="305">
        <f t="shared" si="30"/>
        <v>-76429.380838114186</v>
      </c>
      <c r="CR41" s="305">
        <f t="shared" si="30"/>
        <v>-69032.989144103136</v>
      </c>
      <c r="CS41" s="305">
        <f t="shared" si="30"/>
        <v>-67937.227411657062</v>
      </c>
      <c r="CT41" s="305">
        <f t="shared" si="30"/>
        <v>-16436.425986691222</v>
      </c>
      <c r="CU41" s="305">
        <f t="shared" si="30"/>
        <v>-33968.613705828531</v>
      </c>
      <c r="CV41" s="305">
        <f t="shared" ca="1" si="30"/>
        <v>-141434.34725287554</v>
      </c>
      <c r="CW41" s="305">
        <f t="shared" ca="1" si="30"/>
        <v>-154413.64497369938</v>
      </c>
      <c r="CX41" s="305">
        <f t="shared" ca="1" si="30"/>
        <v>-145666.72694444854</v>
      </c>
      <c r="CY41" s="305">
        <f t="shared" ca="1" si="30"/>
        <v>-124504.82848658357</v>
      </c>
      <c r="CZ41" s="305">
        <f t="shared" ca="1" si="30"/>
        <v>-49450.628622689204</v>
      </c>
      <c r="DA41" s="305">
        <f t="shared" si="30"/>
        <v>-33859.037532583927</v>
      </c>
      <c r="DB41" s="305">
        <f t="shared" si="30"/>
        <v>-78722.262263257609</v>
      </c>
      <c r="DC41" s="305">
        <f t="shared" si="30"/>
        <v>-78722.262263257609</v>
      </c>
      <c r="DD41" s="305">
        <f t="shared" si="30"/>
        <v>-71103.978818426229</v>
      </c>
      <c r="DE41" s="305">
        <f t="shared" si="30"/>
        <v>-69975.344234006785</v>
      </c>
      <c r="DF41" s="305">
        <f t="shared" si="30"/>
        <v>-16929.518766291963</v>
      </c>
      <c r="DG41" s="305">
        <f t="shared" si="30"/>
        <v>-34987.672117003392</v>
      </c>
      <c r="DH41" s="305">
        <f t="shared" ca="1" si="30"/>
        <v>-145773.37767046178</v>
      </c>
      <c r="DI41" s="305">
        <f t="shared" ca="1" si="30"/>
        <v>-159142.05432291032</v>
      </c>
      <c r="DJ41" s="305">
        <f t="shared" ca="1" si="30"/>
        <v>-150132.72875278196</v>
      </c>
      <c r="DK41" s="305">
        <f t="shared" ca="1" si="30"/>
        <v>-128335.97334118109</v>
      </c>
      <c r="DL41" s="305">
        <f t="shared" ca="1" si="30"/>
        <v>-51030.147481369881</v>
      </c>
      <c r="DM41" s="305">
        <f t="shared" si="30"/>
        <v>-34874.808658561444</v>
      </c>
      <c r="DN41" s="305">
        <f t="shared" si="30"/>
        <v>-81083.930131155343</v>
      </c>
      <c r="DO41" s="305">
        <f t="shared" si="30"/>
        <v>-81083.930131155343</v>
      </c>
      <c r="DP41" s="305">
        <f t="shared" si="30"/>
        <v>-75852.708832371136</v>
      </c>
      <c r="DQ41" s="305">
        <f t="shared" si="30"/>
        <v>-72074.604561026965</v>
      </c>
      <c r="DR41" s="305">
        <f t="shared" si="30"/>
        <v>-17437.404329280722</v>
      </c>
      <c r="DS41" s="305">
        <f t="shared" si="30"/>
        <v>-36037.302280513482</v>
      </c>
      <c r="DT41" s="305">
        <f t="shared" ca="1" si="30"/>
        <v>-150242.57900057567</v>
      </c>
      <c r="DU41" s="305">
        <f t="shared" ca="1" si="30"/>
        <v>-164012.31595259765</v>
      </c>
      <c r="DV41" s="305">
        <f t="shared" ca="1" si="30"/>
        <v>-154732.71061536545</v>
      </c>
      <c r="DW41" s="305">
        <f t="shared" ca="1" si="30"/>
        <v>-132282.05254141649</v>
      </c>
      <c r="DX41" s="305">
        <f t="shared" ca="1" si="30"/>
        <v>-52657.051905810971</v>
      </c>
      <c r="DY41" s="305">
        <f t="shared" si="30"/>
        <v>-35921.052918318288</v>
      </c>
      <c r="DZ41" s="305">
        <f t="shared" si="30"/>
        <v>-83516.448035090012</v>
      </c>
      <c r="EA41" s="305">
        <f t="shared" si="30"/>
        <v>-83516.448035090012</v>
      </c>
      <c r="EB41" s="305">
        <f t="shared" si="30"/>
        <v>-75434.211128468407</v>
      </c>
      <c r="EC41" s="305">
        <f>SUM(EC37:EC40)</f>
        <v>-74236.842697857777</v>
      </c>
      <c r="ED41" s="305">
        <f>SUM(ED37:ED40)</f>
        <v>-17960.526459159144</v>
      </c>
      <c r="EE41" s="305">
        <f>SUM(EE37:EE40)</f>
        <v>-37118.421348928889</v>
      </c>
    </row>
    <row r="42" spans="2:135" x14ac:dyDescent="0.2">
      <c r="C42" s="301"/>
      <c r="D42" s="301"/>
      <c r="E42" s="301"/>
      <c r="F42" s="301"/>
      <c r="G42" s="301"/>
      <c r="H42" s="301"/>
      <c r="I42" s="301"/>
      <c r="J42" s="301"/>
      <c r="K42" s="301"/>
      <c r="L42" s="301"/>
      <c r="M42" s="301"/>
      <c r="N42" s="301"/>
      <c r="O42" s="301"/>
      <c r="P42" s="301"/>
      <c r="Q42" s="301"/>
      <c r="R42" s="301"/>
      <c r="S42" s="301"/>
      <c r="T42" s="301"/>
      <c r="U42" s="301"/>
      <c r="V42" s="301"/>
      <c r="W42" s="301"/>
      <c r="X42" s="301"/>
      <c r="Y42" s="301"/>
      <c r="Z42" s="301"/>
      <c r="AA42" s="301"/>
      <c r="AB42" s="301"/>
      <c r="AC42" s="301"/>
      <c r="AD42" s="301"/>
      <c r="AE42" s="301"/>
      <c r="AF42" s="301"/>
      <c r="AG42" s="301"/>
      <c r="AH42" s="301"/>
      <c r="AI42" s="301"/>
      <c r="AJ42" s="301"/>
      <c r="AK42" s="301"/>
      <c r="AL42" s="301"/>
      <c r="AM42" s="301"/>
      <c r="AN42" s="301"/>
      <c r="AO42" s="301"/>
      <c r="AP42" s="301"/>
      <c r="AQ42" s="301"/>
      <c r="AR42" s="301"/>
      <c r="AS42" s="301"/>
      <c r="AT42" s="301"/>
      <c r="AU42" s="301"/>
      <c r="AV42" s="301"/>
      <c r="AW42" s="301"/>
      <c r="AX42" s="301"/>
      <c r="AY42" s="301"/>
      <c r="AZ42" s="301"/>
      <c r="BA42" s="301"/>
      <c r="BB42" s="301"/>
      <c r="BC42" s="301"/>
      <c r="BD42" s="301"/>
      <c r="BE42" s="301"/>
      <c r="BF42" s="301"/>
      <c r="BG42" s="301"/>
      <c r="BH42" s="301"/>
      <c r="BI42" s="301"/>
      <c r="BJ42" s="301"/>
      <c r="BK42" s="301"/>
      <c r="BL42" s="301"/>
      <c r="BM42" s="301"/>
      <c r="BN42" s="301"/>
      <c r="BO42" s="301"/>
      <c r="BP42" s="301"/>
      <c r="BQ42" s="301"/>
      <c r="BR42" s="301"/>
      <c r="BS42" s="301"/>
      <c r="BT42" s="301"/>
      <c r="BU42" s="301"/>
      <c r="BV42" s="301"/>
      <c r="BW42" s="301"/>
      <c r="BX42" s="301"/>
      <c r="BY42" s="301"/>
      <c r="BZ42" s="301"/>
      <c r="CA42" s="301"/>
      <c r="CB42" s="301"/>
      <c r="CC42" s="301"/>
      <c r="CD42" s="301"/>
      <c r="CE42" s="301"/>
      <c r="CF42" s="301"/>
      <c r="CG42" s="301"/>
      <c r="CH42" s="301"/>
      <c r="CI42" s="301"/>
      <c r="CJ42" s="301"/>
      <c r="CK42" s="301"/>
      <c r="CL42" s="301"/>
      <c r="CM42" s="301"/>
      <c r="CN42" s="301"/>
      <c r="CO42" s="301"/>
      <c r="CP42" s="301"/>
      <c r="CQ42" s="301"/>
      <c r="CR42" s="301"/>
      <c r="CS42" s="301"/>
      <c r="CT42" s="301"/>
      <c r="CU42" s="301"/>
      <c r="CV42" s="301"/>
      <c r="CW42" s="301"/>
      <c r="CX42" s="301"/>
      <c r="CY42" s="301"/>
      <c r="CZ42" s="301"/>
      <c r="DA42" s="301"/>
      <c r="DB42" s="301"/>
      <c r="DC42" s="301"/>
      <c r="DD42" s="301"/>
      <c r="DE42" s="301"/>
      <c r="DF42" s="301"/>
      <c r="DG42" s="301"/>
      <c r="DH42" s="301"/>
      <c r="DI42" s="301"/>
      <c r="DJ42" s="301"/>
      <c r="DK42" s="301"/>
      <c r="DL42" s="301"/>
      <c r="DM42" s="301"/>
      <c r="DN42" s="301"/>
      <c r="DO42" s="301"/>
      <c r="DP42" s="301"/>
      <c r="DQ42" s="301"/>
      <c r="DR42" s="301"/>
      <c r="DS42" s="301"/>
      <c r="DT42" s="301"/>
      <c r="DU42" s="301"/>
      <c r="DV42" s="301"/>
      <c r="DW42" s="301"/>
      <c r="DX42" s="301"/>
      <c r="DY42" s="301"/>
      <c r="DZ42" s="301"/>
      <c r="EA42" s="301"/>
      <c r="EB42" s="301"/>
      <c r="EC42" s="301"/>
      <c r="ED42" s="301"/>
      <c r="EE42" s="301"/>
    </row>
    <row r="43" spans="2:135" ht="16" thickBot="1" x14ac:dyDescent="0.25">
      <c r="B43" s="310" t="s">
        <v>426</v>
      </c>
      <c r="C43" s="305"/>
      <c r="D43" s="305">
        <f>D35+D41</f>
        <v>0</v>
      </c>
      <c r="E43" s="305">
        <f t="shared" ref="E43:BP43" si="31">E35+E41</f>
        <v>0</v>
      </c>
      <c r="F43" s="305">
        <f t="shared" si="31"/>
        <v>0</v>
      </c>
      <c r="G43" s="305">
        <f t="shared" si="31"/>
        <v>0</v>
      </c>
      <c r="H43" s="305">
        <f t="shared" si="31"/>
        <v>0</v>
      </c>
      <c r="I43" s="305">
        <f t="shared" si="31"/>
        <v>0</v>
      </c>
      <c r="J43" s="305">
        <f t="shared" si="31"/>
        <v>0</v>
      </c>
      <c r="K43" s="305">
        <f t="shared" si="31"/>
        <v>0</v>
      </c>
      <c r="L43" s="305">
        <f t="shared" si="31"/>
        <v>0</v>
      </c>
      <c r="M43" s="305">
        <f t="shared" si="31"/>
        <v>0</v>
      </c>
      <c r="N43" s="305">
        <f t="shared" si="31"/>
        <v>0</v>
      </c>
      <c r="O43" s="305">
        <f t="shared" si="31"/>
        <v>0</v>
      </c>
      <c r="P43" s="305">
        <f t="shared" ca="1" si="31"/>
        <v>136315.20000000001</v>
      </c>
      <c r="Q43" s="305">
        <f t="shared" ca="1" si="31"/>
        <v>144259.58400000003</v>
      </c>
      <c r="R43" s="305">
        <f t="shared" ca="1" si="31"/>
        <v>138905.76</v>
      </c>
      <c r="S43" s="305">
        <f t="shared" ca="1" si="31"/>
        <v>125952.95999999999</v>
      </c>
      <c r="T43" s="305">
        <f t="shared" ca="1" si="31"/>
        <v>80013.695999999996</v>
      </c>
      <c r="U43" s="305">
        <f t="shared" si="31"/>
        <v>20724.48</v>
      </c>
      <c r="V43" s="305">
        <f t="shared" si="31"/>
        <v>48184.415999999997</v>
      </c>
      <c r="W43" s="305">
        <f t="shared" si="31"/>
        <v>48184.415999999997</v>
      </c>
      <c r="X43" s="305">
        <f t="shared" si="31"/>
        <v>45075.744000000006</v>
      </c>
      <c r="Y43" s="305">
        <f t="shared" si="31"/>
        <v>42830.592000000004</v>
      </c>
      <c r="Z43" s="305">
        <f t="shared" si="31"/>
        <v>10362.24</v>
      </c>
      <c r="AA43" s="305">
        <f t="shared" si="31"/>
        <v>21415.296000000002</v>
      </c>
      <c r="AB43" s="305">
        <f t="shared" ca="1" si="31"/>
        <v>140908.65600000002</v>
      </c>
      <c r="AC43" s="305">
        <f t="shared" ca="1" si="31"/>
        <v>149091.37151999999</v>
      </c>
      <c r="AD43" s="305">
        <f t="shared" ca="1" si="31"/>
        <v>143576.93279999998</v>
      </c>
      <c r="AE43" s="305">
        <f t="shared" ca="1" si="31"/>
        <v>130235.5488</v>
      </c>
      <c r="AF43" s="305">
        <f t="shared" ca="1" si="31"/>
        <v>82918.106880000007</v>
      </c>
      <c r="AG43" s="305">
        <f t="shared" si="31"/>
        <v>45047.157120000003</v>
      </c>
      <c r="AH43" s="305">
        <f t="shared" si="31"/>
        <v>104734.64030400002</v>
      </c>
      <c r="AI43" s="305">
        <f t="shared" si="31"/>
        <v>104734.64030400002</v>
      </c>
      <c r="AJ43" s="305">
        <f t="shared" si="31"/>
        <v>94599.029952000012</v>
      </c>
      <c r="AK43" s="305">
        <f t="shared" si="31"/>
        <v>93097.458048</v>
      </c>
      <c r="AL43" s="305">
        <f t="shared" si="31"/>
        <v>22523.578560000002</v>
      </c>
      <c r="AM43" s="305">
        <f t="shared" si="31"/>
        <v>46548.729024</v>
      </c>
      <c r="AN43" s="305">
        <f t="shared" ca="1" si="31"/>
        <v>237184.80693600001</v>
      </c>
      <c r="AO43" s="305">
        <f t="shared" ca="1" si="31"/>
        <v>254970.92613888002</v>
      </c>
      <c r="AP43" s="305">
        <f t="shared" ca="1" si="31"/>
        <v>242984.62841519999</v>
      </c>
      <c r="AQ43" s="305">
        <f t="shared" ca="1" si="31"/>
        <v>213985.52101920001</v>
      </c>
      <c r="AR43" s="305">
        <f t="shared" ca="1" si="31"/>
        <v>111135.35345472</v>
      </c>
      <c r="AS43" s="305">
        <f t="shared" si="31"/>
        <v>46398.571833599999</v>
      </c>
      <c r="AT43" s="305">
        <f t="shared" si="31"/>
        <v>107876.67951311998</v>
      </c>
      <c r="AU43" s="305">
        <f t="shared" si="31"/>
        <v>107876.67951311998</v>
      </c>
      <c r="AV43" s="305">
        <f t="shared" si="31"/>
        <v>97437.000850559969</v>
      </c>
      <c r="AW43" s="305">
        <f t="shared" si="31"/>
        <v>95890.381789439998</v>
      </c>
      <c r="AX43" s="305">
        <f t="shared" si="31"/>
        <v>23199.2859168</v>
      </c>
      <c r="AY43" s="305">
        <f t="shared" si="31"/>
        <v>47945.190894719999</v>
      </c>
      <c r="AZ43" s="305">
        <f t="shared" ca="1" si="31"/>
        <v>244804.35114408005</v>
      </c>
      <c r="BA43" s="305">
        <f t="shared" ca="1" si="31"/>
        <v>263124.05392304645</v>
      </c>
      <c r="BB43" s="305">
        <f t="shared" ca="1" si="31"/>
        <v>250778.16726765604</v>
      </c>
      <c r="BC43" s="305">
        <f t="shared" ca="1" si="31"/>
        <v>220909.086649776</v>
      </c>
      <c r="BD43" s="305">
        <f t="shared" ca="1" si="31"/>
        <v>114973.41405836162</v>
      </c>
      <c r="BE43" s="305">
        <f t="shared" si="31"/>
        <v>47790.528988607999</v>
      </c>
      <c r="BF43" s="305">
        <f t="shared" si="31"/>
        <v>111112.97989851361</v>
      </c>
      <c r="BG43" s="305">
        <f t="shared" si="31"/>
        <v>111112.97989851361</v>
      </c>
      <c r="BH43" s="305">
        <f t="shared" si="31"/>
        <v>100360.1108760768</v>
      </c>
      <c r="BI43" s="305">
        <f t="shared" si="31"/>
        <v>98767.093243123207</v>
      </c>
      <c r="BJ43" s="305">
        <f t="shared" si="31"/>
        <v>23895.264494304</v>
      </c>
      <c r="BK43" s="305">
        <f t="shared" si="31"/>
        <v>49383.546621561603</v>
      </c>
      <c r="BL43" s="305">
        <f t="shared" ca="1" si="31"/>
        <v>252652.48167840246</v>
      </c>
      <c r="BM43" s="305">
        <f t="shared" ca="1" si="31"/>
        <v>271521.77554073784</v>
      </c>
      <c r="BN43" s="305">
        <f t="shared" ca="1" si="31"/>
        <v>258805.51228568572</v>
      </c>
      <c r="BO43" s="305">
        <f t="shared" ca="1" si="31"/>
        <v>228040.3592492693</v>
      </c>
      <c r="BP43" s="305">
        <f t="shared" ca="1" si="31"/>
        <v>118926.61648011245</v>
      </c>
      <c r="BQ43" s="305">
        <f t="shared" ref="BQ43:EB43" si="32">BQ35+BQ41</f>
        <v>49224.24485826624</v>
      </c>
      <c r="BR43" s="305">
        <f t="shared" si="32"/>
        <v>114446.36929546901</v>
      </c>
      <c r="BS43" s="305">
        <f t="shared" si="32"/>
        <v>114446.36929546901</v>
      </c>
      <c r="BT43" s="305">
        <f t="shared" si="32"/>
        <v>107062.73256672906</v>
      </c>
      <c r="BU43" s="305">
        <f t="shared" si="32"/>
        <v>101730.1060404169</v>
      </c>
      <c r="BV43" s="305">
        <f t="shared" si="32"/>
        <v>24612.12242913312</v>
      </c>
      <c r="BW43" s="305">
        <f t="shared" si="32"/>
        <v>50865.053020208448</v>
      </c>
      <c r="BX43" s="305">
        <f t="shared" ca="1" si="32"/>
        <v>260736.05612875448</v>
      </c>
      <c r="BY43" s="305">
        <f t="shared" ca="1" si="32"/>
        <v>280171.42880695994</v>
      </c>
      <c r="BZ43" s="305">
        <f t="shared" ca="1" si="32"/>
        <v>267073.67765425623</v>
      </c>
      <c r="CA43" s="305">
        <f t="shared" ca="1" si="32"/>
        <v>235385.57002674736</v>
      </c>
      <c r="CB43" s="305">
        <f t="shared" ca="1" si="32"/>
        <v>122998.41497451582</v>
      </c>
      <c r="CC43" s="305">
        <f t="shared" si="32"/>
        <v>50700.972204014237</v>
      </c>
      <c r="CD43" s="305">
        <f t="shared" si="32"/>
        <v>117879.7603743331</v>
      </c>
      <c r="CE43" s="305">
        <f t="shared" si="32"/>
        <v>117879.7603743331</v>
      </c>
      <c r="CF43" s="305">
        <f t="shared" si="32"/>
        <v>106472.04162842986</v>
      </c>
      <c r="CG43" s="305">
        <f t="shared" si="32"/>
        <v>104782.0092216294</v>
      </c>
      <c r="CH43" s="305">
        <f t="shared" si="32"/>
        <v>25350.486102007118</v>
      </c>
      <c r="CI43" s="305">
        <f t="shared" si="32"/>
        <v>52391.0046108147</v>
      </c>
      <c r="CJ43" s="305">
        <f t="shared" ca="1" si="32"/>
        <v>269062.13781261712</v>
      </c>
      <c r="CK43" s="305">
        <f t="shared" ca="1" si="32"/>
        <v>289080.57167116867</v>
      </c>
      <c r="CL43" s="305">
        <f t="shared" ca="1" si="32"/>
        <v>275589.88798388396</v>
      </c>
      <c r="CM43" s="305">
        <f t="shared" ca="1" si="32"/>
        <v>242951.13712754977</v>
      </c>
      <c r="CN43" s="305">
        <f t="shared" ca="1" si="32"/>
        <v>127192.3674237513</v>
      </c>
      <c r="CO43" s="305">
        <f t="shared" si="32"/>
        <v>52222.00137013464</v>
      </c>
      <c r="CP43" s="305">
        <f t="shared" si="32"/>
        <v>121416.15318556305</v>
      </c>
      <c r="CQ43" s="305">
        <f t="shared" si="32"/>
        <v>121416.15318556305</v>
      </c>
      <c r="CR43" s="305">
        <f t="shared" si="32"/>
        <v>109666.20287728275</v>
      </c>
      <c r="CS43" s="305">
        <f t="shared" si="32"/>
        <v>107925.46949827827</v>
      </c>
      <c r="CT43" s="305">
        <f t="shared" si="32"/>
        <v>26111.00068506732</v>
      </c>
      <c r="CU43" s="305">
        <f t="shared" si="32"/>
        <v>53962.734749139134</v>
      </c>
      <c r="CV43" s="305">
        <f t="shared" ca="1" si="32"/>
        <v>277638.00194699562</v>
      </c>
      <c r="CW43" s="305">
        <f t="shared" ca="1" si="32"/>
        <v>298256.98882130382</v>
      </c>
      <c r="CX43" s="305">
        <f t="shared" ca="1" si="32"/>
        <v>284361.58462340047</v>
      </c>
      <c r="CY43" s="305">
        <f t="shared" ca="1" si="32"/>
        <v>250743.67124137629</v>
      </c>
      <c r="CZ43" s="305">
        <f t="shared" ca="1" si="32"/>
        <v>131512.13844646388</v>
      </c>
      <c r="DA43" s="305">
        <f t="shared" si="32"/>
        <v>53788.661411238689</v>
      </c>
      <c r="DB43" s="305">
        <f t="shared" si="32"/>
        <v>125058.63778112998</v>
      </c>
      <c r="DC43" s="305">
        <f t="shared" si="32"/>
        <v>125058.63778112998</v>
      </c>
      <c r="DD43" s="305">
        <f t="shared" si="32"/>
        <v>112956.18896360125</v>
      </c>
      <c r="DE43" s="305">
        <f t="shared" si="32"/>
        <v>111163.23358322667</v>
      </c>
      <c r="DF43" s="305">
        <f t="shared" si="32"/>
        <v>26894.330705619344</v>
      </c>
      <c r="DG43" s="305">
        <f t="shared" si="32"/>
        <v>55581.616791613334</v>
      </c>
      <c r="DH43" s="305">
        <f t="shared" ca="1" si="32"/>
        <v>286471.14200540551</v>
      </c>
      <c r="DI43" s="305">
        <f t="shared" ca="1" si="32"/>
        <v>307708.69848594291</v>
      </c>
      <c r="DJ43" s="305">
        <f t="shared" ca="1" si="32"/>
        <v>293396.43216210243</v>
      </c>
      <c r="DK43" s="305">
        <f t="shared" ca="1" si="32"/>
        <v>258769.98137861761</v>
      </c>
      <c r="DL43" s="305">
        <f t="shared" ca="1" si="32"/>
        <v>135961.50259985778</v>
      </c>
      <c r="DM43" s="305">
        <f t="shared" si="32"/>
        <v>55402.321253575858</v>
      </c>
      <c r="DN43" s="305">
        <f t="shared" si="32"/>
        <v>128810.39691456385</v>
      </c>
      <c r="DO43" s="305">
        <f t="shared" si="32"/>
        <v>128810.39691456385</v>
      </c>
      <c r="DP43" s="305">
        <f t="shared" si="32"/>
        <v>120500.04872652749</v>
      </c>
      <c r="DQ43" s="305">
        <f t="shared" si="32"/>
        <v>114498.13059072342</v>
      </c>
      <c r="DR43" s="305">
        <f t="shared" si="32"/>
        <v>27701.160626787929</v>
      </c>
      <c r="DS43" s="305">
        <f t="shared" si="32"/>
        <v>57249.06529536171</v>
      </c>
      <c r="DT43" s="305">
        <f t="shared" ca="1" si="32"/>
        <v>295569.27626556775</v>
      </c>
      <c r="DU43" s="305">
        <f t="shared" ca="1" si="32"/>
        <v>317443.9594405212</v>
      </c>
      <c r="DV43" s="305">
        <f t="shared" ca="1" si="32"/>
        <v>302702.32512696565</v>
      </c>
      <c r="DW43" s="305">
        <f t="shared" ca="1" si="32"/>
        <v>267037.08081997611</v>
      </c>
      <c r="DX43" s="305">
        <f t="shared" ca="1" si="32"/>
        <v>140544.34767785345</v>
      </c>
      <c r="DY43" s="305">
        <f t="shared" si="32"/>
        <v>57064.390891183131</v>
      </c>
      <c r="DZ43" s="305">
        <f t="shared" si="32"/>
        <v>132674.70882200077</v>
      </c>
      <c r="EA43" s="305">
        <f t="shared" si="32"/>
        <v>132674.70882200077</v>
      </c>
      <c r="EB43" s="305">
        <f t="shared" si="32"/>
        <v>119835.22087148459</v>
      </c>
      <c r="EC43" s="305">
        <f>EC35+EC41</f>
        <v>117933.07450844515</v>
      </c>
      <c r="ED43" s="305">
        <f>ED35+ED41</f>
        <v>28532.195445591566</v>
      </c>
      <c r="EE43" s="305">
        <f>EE35+EE41</f>
        <v>58966.537254222574</v>
      </c>
    </row>
    <row r="45" spans="2:135" x14ac:dyDescent="0.2">
      <c r="H45" s="313"/>
    </row>
    <row r="46" spans="2:135" x14ac:dyDescent="0.2">
      <c r="H46" s="313"/>
    </row>
  </sheetData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B3764-0C6F-FA47-9465-45026DC7F7D6}">
  <sheetPr codeName="Sheet6">
    <tabColor rgb="FFFF0000"/>
  </sheetPr>
  <dimension ref="A2:Q42"/>
  <sheetViews>
    <sheetView topLeftCell="A16" zoomScale="110" zoomScaleNormal="110" workbookViewId="0">
      <selection activeCell="E58" sqref="E58"/>
    </sheetView>
  </sheetViews>
  <sheetFormatPr baseColWidth="10" defaultColWidth="8.83203125" defaultRowHeight="15" x14ac:dyDescent="0.2"/>
  <cols>
    <col min="1" max="1" width="30.5" style="248" bestFit="1" customWidth="1"/>
    <col min="2" max="2" width="10" style="248" customWidth="1"/>
    <col min="3" max="13" width="10.5" style="248" bestFit="1" customWidth="1"/>
    <col min="14" max="16384" width="8.83203125" style="248"/>
  </cols>
  <sheetData>
    <row r="2" spans="1:17" x14ac:dyDescent="0.2">
      <c r="A2" s="249" t="s">
        <v>422</v>
      </c>
      <c r="B2" s="314"/>
      <c r="C2" s="250">
        <v>0</v>
      </c>
      <c r="D2" s="250">
        <f>C2+1</f>
        <v>1</v>
      </c>
      <c r="E2" s="250">
        <f t="shared" ref="E2:M2" si="0">D2+1</f>
        <v>2</v>
      </c>
      <c r="F2" s="250">
        <f t="shared" si="0"/>
        <v>3</v>
      </c>
      <c r="G2" s="250">
        <f t="shared" si="0"/>
        <v>4</v>
      </c>
      <c r="H2" s="250">
        <f t="shared" si="0"/>
        <v>5</v>
      </c>
      <c r="I2" s="250">
        <f t="shared" si="0"/>
        <v>6</v>
      </c>
      <c r="J2" s="250">
        <f t="shared" si="0"/>
        <v>7</v>
      </c>
      <c r="K2" s="250">
        <f t="shared" si="0"/>
        <v>8</v>
      </c>
      <c r="L2" s="250">
        <f t="shared" si="0"/>
        <v>9</v>
      </c>
      <c r="M2" s="251">
        <f t="shared" si="0"/>
        <v>10</v>
      </c>
      <c r="Q2" s="248" t="s">
        <v>475</v>
      </c>
    </row>
    <row r="3" spans="1:17" x14ac:dyDescent="0.2">
      <c r="A3" s="254" t="s">
        <v>476</v>
      </c>
      <c r="B3" s="315"/>
      <c r="C3" s="267">
        <f>'Amenity Dashboard'!B2</f>
        <v>44708</v>
      </c>
      <c r="D3" s="267">
        <f>EOMONTH(C3,12)</f>
        <v>45077</v>
      </c>
      <c r="E3" s="267">
        <f t="shared" ref="E3:M3" si="1">EOMONTH(D3,12)</f>
        <v>45443</v>
      </c>
      <c r="F3" s="267">
        <f t="shared" si="1"/>
        <v>45808</v>
      </c>
      <c r="G3" s="267">
        <f t="shared" si="1"/>
        <v>46173</v>
      </c>
      <c r="H3" s="267">
        <f t="shared" si="1"/>
        <v>46538</v>
      </c>
      <c r="I3" s="267">
        <f t="shared" si="1"/>
        <v>46904</v>
      </c>
      <c r="J3" s="267">
        <f t="shared" si="1"/>
        <v>47269</v>
      </c>
      <c r="K3" s="267">
        <f t="shared" si="1"/>
        <v>47634</v>
      </c>
      <c r="L3" s="267">
        <f t="shared" si="1"/>
        <v>47999</v>
      </c>
      <c r="M3" s="268">
        <f t="shared" si="1"/>
        <v>48365</v>
      </c>
    </row>
    <row r="4" spans="1:17" x14ac:dyDescent="0.2">
      <c r="A4" s="294" t="s">
        <v>456</v>
      </c>
      <c r="B4" s="316"/>
      <c r="C4" s="317">
        <f>SUMIFS('Amenity CashFlow'!$C10:$EE10,'Amenity CashFlow'!$C$7:$EE$7,'Amenity Annual CF'!C$2,'Amenity CashFlow'!$C$8:$EE$8,"&lt;="&amp;'Amenity Dashboard'!$B$47)</f>
        <v>0</v>
      </c>
      <c r="D4" s="317">
        <f>SUMIFS('Amenity CashFlow'!$C10:$EE10,'Amenity CashFlow'!$C$7:$EE$7,'Amenity Annual CF'!D$2,'Amenity CashFlow'!$C$8:$EE$8,"&lt;="&amp;'Amenity Dashboard'!$B$47)</f>
        <v>3074400</v>
      </c>
      <c r="E4" s="317">
        <f>SUMIFS('Amenity CashFlow'!$C10:$EE10,'Amenity CashFlow'!$C$7:$EE$7,'Amenity Annual CF'!E$2,'Amenity CashFlow'!$C$8:$EE$8,"&lt;="&amp;'Amenity Dashboard'!$B$47)</f>
        <v>3157980</v>
      </c>
      <c r="F4" s="317">
        <f>SUMIFS('Amenity CashFlow'!$C10:$EE10,'Amenity CashFlow'!$C$7:$EE$7,'Amenity Annual CF'!F$2,'Amenity CashFlow'!$C$8:$EE$8,"&lt;="&amp;'Amenity Dashboard'!$B$47)</f>
        <v>3252719.3999999994</v>
      </c>
      <c r="G4" s="317">
        <f>SUMIFS('Amenity CashFlow'!$C10:$EE10,'Amenity CashFlow'!$C$7:$EE$7,'Amenity Annual CF'!G$2,'Amenity CashFlow'!$C$8:$EE$8,"&lt;="&amp;'Amenity Dashboard'!$B$47)</f>
        <v>3350300.9819999994</v>
      </c>
      <c r="H4" s="317">
        <f>SUMIFS('Amenity CashFlow'!$C10:$EE10,'Amenity CashFlow'!$C$7:$EE$7,'Amenity Annual CF'!H$2,'Amenity CashFlow'!$C$8:$EE$8,"&lt;="&amp;'Amenity Dashboard'!$B$47)</f>
        <v>3460264.285464</v>
      </c>
      <c r="I4" s="317">
        <f>SUMIFS('Amenity CashFlow'!$C10:$EE10,'Amenity CashFlow'!$C$7:$EE$7,'Amenity Annual CF'!I$2,'Amenity CashFlow'!$C$8:$EE$8,"&lt;="&amp;'Amenity Dashboard'!$B$47)</f>
        <v>3554334.3118038001</v>
      </c>
      <c r="J4" s="317">
        <f>SUMIFS('Amenity CashFlow'!$C10:$EE10,'Amenity CashFlow'!$C$7:$EE$7,'Amenity Annual CF'!J$2,'Amenity CashFlow'!$C$8:$EE$8,"&lt;="&amp;'Amenity Dashboard'!$B$47)</f>
        <v>3660964.3411579132</v>
      </c>
      <c r="K4" s="317">
        <f>SUMIFS('Amenity CashFlow'!$C10:$EE10,'Amenity CashFlow'!$C$7:$EE$7,'Amenity Annual CF'!K$2,'Amenity CashFlow'!$C$8:$EE$8,"&lt;="&amp;'Amenity Dashboard'!$B$47)</f>
        <v>3770793.2713926518</v>
      </c>
      <c r="L4" s="317">
        <f>SUMIFS('Amenity CashFlow'!$C10:$EE10,'Amenity CashFlow'!$C$7:$EE$7,'Amenity Annual CF'!L$2,'Amenity CashFlow'!$C$8:$EE$8,"&lt;="&amp;'Amenity Dashboard'!$B$47)</f>
        <v>3894557.9382180865</v>
      </c>
      <c r="M4" s="318">
        <f>SUMIFS('Amenity CashFlow'!$C10:$EE10,'Amenity CashFlow'!$C$7:$EE$7,'Amenity Annual CF'!M$2,'Amenity CashFlow'!$C$8:$EE$8,"&lt;="&amp;'Amenity Dashboard'!$B$47)</f>
        <v>4000434.5816204641</v>
      </c>
    </row>
    <row r="5" spans="1:17" x14ac:dyDescent="0.2">
      <c r="A5" s="259" t="s">
        <v>416</v>
      </c>
      <c r="B5" s="319"/>
      <c r="C5" s="288"/>
      <c r="D5" s="288"/>
      <c r="E5" s="288"/>
      <c r="F5" s="288"/>
      <c r="G5" s="288"/>
      <c r="H5" s="288"/>
      <c r="I5" s="288"/>
      <c r="J5" s="288"/>
      <c r="K5" s="288"/>
      <c r="L5" s="288"/>
      <c r="M5" s="320"/>
    </row>
    <row r="6" spans="1:17" x14ac:dyDescent="0.2">
      <c r="A6" s="321" t="s">
        <v>457</v>
      </c>
      <c r="B6" s="322"/>
      <c r="C6" s="288">
        <f>SUMIFS('Amenity CashFlow'!$C12:$EE12,'Amenity CashFlow'!$C$7:$EE$7,'Amenity Annual CF'!C$2,'Amenity CashFlow'!$C$8:$EE$8,"&lt;="&amp;'Amenity Dashboard'!$B$47)</f>
        <v>0</v>
      </c>
      <c r="D6" s="288">
        <f>SUMIFS('Amenity CashFlow'!$C12:$EE12,'Amenity CashFlow'!$C$7:$EE$7,'Amenity Annual CF'!D$2,'Amenity CashFlow'!$C$8:$EE$8,"&lt;="&amp;'Amenity Dashboard'!$B$47)</f>
        <v>1384320</v>
      </c>
      <c r="E6" s="288">
        <f>SUMIFS('Amenity CashFlow'!$C12:$EE12,'Amenity CashFlow'!$C$7:$EE$7,'Amenity Annual CF'!E$2,'Amenity CashFlow'!$C$8:$EE$8,"&lt;="&amp;'Amenity Dashboard'!$B$47)</f>
        <v>1421956.2</v>
      </c>
      <c r="F6" s="288">
        <f>SUMIFS('Amenity CashFlow'!$C12:$EE12,'Amenity CashFlow'!$C$7:$EE$7,'Amenity Annual CF'!F$2,'Amenity CashFlow'!$C$8:$EE$8,"&lt;="&amp;'Amenity Dashboard'!$B$47)</f>
        <v>1464614.8859999999</v>
      </c>
      <c r="G6" s="288">
        <f>SUMIFS('Amenity CashFlow'!$C12:$EE12,'Amenity CashFlow'!$C$7:$EE$7,'Amenity Annual CF'!G$2,'Amenity CashFlow'!$C$8:$EE$8,"&lt;="&amp;'Amenity Dashboard'!$B$47)</f>
        <v>1508553.3325800002</v>
      </c>
      <c r="H6" s="288">
        <f>SUMIFS('Amenity CashFlow'!$C12:$EE12,'Amenity CashFlow'!$C$7:$EE$7,'Amenity Annual CF'!H$2,'Amenity CashFlow'!$C$8:$EE$8,"&lt;="&amp;'Amenity Dashboard'!$B$47)</f>
        <v>1558064.3558592002</v>
      </c>
      <c r="I6" s="288">
        <f>SUMIFS('Amenity CashFlow'!$C12:$EE12,'Amenity CashFlow'!$C$7:$EE$7,'Amenity Annual CF'!I$2,'Amenity CashFlow'!$C$8:$EE$8,"&lt;="&amp;'Amenity Dashboard'!$B$47)</f>
        <v>1600424.2305341221</v>
      </c>
      <c r="J6" s="288">
        <f>SUMIFS('Amenity CashFlow'!$C12:$EE12,'Amenity CashFlow'!$C$7:$EE$7,'Amenity Annual CF'!J$2,'Amenity CashFlow'!$C$8:$EE$8,"&lt;="&amp;'Amenity Dashboard'!$B$47)</f>
        <v>1648436.9574501456</v>
      </c>
      <c r="K6" s="288">
        <f>SUMIFS('Amenity CashFlow'!$C12:$EE12,'Amenity CashFlow'!$C$7:$EE$7,'Amenity Annual CF'!K$2,'Amenity CashFlow'!$C$8:$EE$8,"&lt;="&amp;'Amenity Dashboard'!$B$47)</f>
        <v>1697890.0661736503</v>
      </c>
      <c r="L6" s="288">
        <f>SUMIFS('Amenity CashFlow'!$C12:$EE12,'Amenity CashFlow'!$C$7:$EE$7,'Amenity Annual CF'!L$2,'Amenity CashFlow'!$C$8:$EE$8,"&lt;="&amp;'Amenity Dashboard'!$B$47)</f>
        <v>1753615.1590665043</v>
      </c>
      <c r="M6" s="320">
        <f>SUMIFS('Amenity CashFlow'!$C12:$EE12,'Amenity CashFlow'!$C$7:$EE$7,'Amenity Annual CF'!M$2,'Amenity CashFlow'!$C$8:$EE$8,"&lt;="&amp;'Amenity Dashboard'!$B$47)</f>
        <v>1801291.5712036253</v>
      </c>
    </row>
    <row r="7" spans="1:17" ht="17" thickBot="1" x14ac:dyDescent="0.25">
      <c r="A7" s="259" t="s">
        <v>458</v>
      </c>
      <c r="B7" s="323">
        <f>-SUM(C7:M7)/SUM(C6:M6)</f>
        <v>0.4</v>
      </c>
      <c r="C7" s="288">
        <f>SUMIFS('Amenity CashFlow'!$C13:$EE13,'Amenity CashFlow'!$C$7:$EE$7,'Amenity Annual CF'!C$2,'Amenity CashFlow'!$C$8:$EE$8,"&lt;="&amp;'Amenity Dashboard'!$B$47)</f>
        <v>0</v>
      </c>
      <c r="D7" s="288">
        <f>SUMIFS('Amenity CashFlow'!$C13:$EE13,'Amenity CashFlow'!$C$7:$EE$7,'Amenity Annual CF'!D$2,'Amenity CashFlow'!$C$8:$EE$8,"&lt;="&amp;'Amenity Dashboard'!$B$47)</f>
        <v>-553728</v>
      </c>
      <c r="E7" s="288">
        <f>SUMIFS('Amenity CashFlow'!$C13:$EE13,'Amenity CashFlow'!$C$7:$EE$7,'Amenity Annual CF'!E$2,'Amenity CashFlow'!$C$8:$EE$8,"&lt;="&amp;'Amenity Dashboard'!$B$47)</f>
        <v>-568782.4800000001</v>
      </c>
      <c r="F7" s="288">
        <f>SUMIFS('Amenity CashFlow'!$C13:$EE13,'Amenity CashFlow'!$C$7:$EE$7,'Amenity Annual CF'!F$2,'Amenity CashFlow'!$C$8:$EE$8,"&lt;="&amp;'Amenity Dashboard'!$B$47)</f>
        <v>-585845.95439999993</v>
      </c>
      <c r="G7" s="288">
        <f>SUMIFS('Amenity CashFlow'!$C13:$EE13,'Amenity CashFlow'!$C$7:$EE$7,'Amenity Annual CF'!G$2,'Amenity CashFlow'!$C$8:$EE$8,"&lt;="&amp;'Amenity Dashboard'!$B$47)</f>
        <v>-603421.33303200023</v>
      </c>
      <c r="H7" s="288">
        <f>SUMIFS('Amenity CashFlow'!$C13:$EE13,'Amenity CashFlow'!$C$7:$EE$7,'Amenity Annual CF'!H$2,'Amenity CashFlow'!$C$8:$EE$8,"&lt;="&amp;'Amenity Dashboard'!$B$47)</f>
        <v>-623225.74234368012</v>
      </c>
      <c r="I7" s="288">
        <f>SUMIFS('Amenity CashFlow'!$C13:$EE13,'Amenity CashFlow'!$C$7:$EE$7,'Amenity Annual CF'!I$2,'Amenity CashFlow'!$C$8:$EE$8,"&lt;="&amp;'Amenity Dashboard'!$B$47)</f>
        <v>-640169.69221364893</v>
      </c>
      <c r="J7" s="288">
        <f>SUMIFS('Amenity CashFlow'!$C13:$EE13,'Amenity CashFlow'!$C$7:$EE$7,'Amenity Annual CF'!J$2,'Amenity CashFlow'!$C$8:$EE$8,"&lt;="&amp;'Amenity Dashboard'!$B$47)</f>
        <v>-659374.78298005823</v>
      </c>
      <c r="K7" s="288">
        <f>SUMIFS('Amenity CashFlow'!$C13:$EE13,'Amenity CashFlow'!$C$7:$EE$7,'Amenity Annual CF'!K$2,'Amenity CashFlow'!$C$8:$EE$8,"&lt;="&amp;'Amenity Dashboard'!$B$47)</f>
        <v>-679156.02646946011</v>
      </c>
      <c r="L7" s="288">
        <f>SUMIFS('Amenity CashFlow'!$C13:$EE13,'Amenity CashFlow'!$C$7:$EE$7,'Amenity Annual CF'!L$2,'Amenity CashFlow'!$C$8:$EE$8,"&lt;="&amp;'Amenity Dashboard'!$B$47)</f>
        <v>-701446.06362660194</v>
      </c>
      <c r="M7" s="320">
        <f>SUMIFS('Amenity CashFlow'!$C13:$EE13,'Amenity CashFlow'!$C$7:$EE$7,'Amenity Annual CF'!M$2,'Amenity CashFlow'!$C$8:$EE$8,"&lt;="&amp;'Amenity Dashboard'!$B$47)</f>
        <v>-720516.62848145026</v>
      </c>
    </row>
    <row r="8" spans="1:17" ht="17" thickTop="1" thickBot="1" x14ac:dyDescent="0.25">
      <c r="A8" s="270" t="s">
        <v>459</v>
      </c>
      <c r="B8" s="324"/>
      <c r="C8" s="325">
        <f>SUMIFS('Amenity CashFlow'!$C14:$EE14,'Amenity CashFlow'!$C$7:$EE$7,'Amenity Annual CF'!C$2,'Amenity CashFlow'!$C$8:$EE$8,"&lt;="&amp;'Amenity Dashboard'!$B$47)</f>
        <v>0</v>
      </c>
      <c r="D8" s="325">
        <f>SUMIFS('Amenity CashFlow'!$C14:$EE14,'Amenity CashFlow'!$C$7:$EE$7,'Amenity Annual CF'!D$2,'Amenity CashFlow'!$C$8:$EE$8,"&lt;="&amp;'Amenity Dashboard'!$B$47)</f>
        <v>830592</v>
      </c>
      <c r="E8" s="325">
        <f>SUMIFS('Amenity CashFlow'!$C14:$EE14,'Amenity CashFlow'!$C$7:$EE$7,'Amenity Annual CF'!E$2,'Amenity CashFlow'!$C$8:$EE$8,"&lt;="&amp;'Amenity Dashboard'!$B$47)</f>
        <v>853173.72</v>
      </c>
      <c r="F8" s="325">
        <f>SUMIFS('Amenity CashFlow'!$C14:$EE14,'Amenity CashFlow'!$C$7:$EE$7,'Amenity Annual CF'!F$2,'Amenity CashFlow'!$C$8:$EE$8,"&lt;="&amp;'Amenity Dashboard'!$B$47)</f>
        <v>878768.93159999978</v>
      </c>
      <c r="G8" s="325">
        <f>SUMIFS('Amenity CashFlow'!$C14:$EE14,'Amenity CashFlow'!$C$7:$EE$7,'Amenity Annual CF'!G$2,'Amenity CashFlow'!$C$8:$EE$8,"&lt;="&amp;'Amenity Dashboard'!$B$47)</f>
        <v>905131.99954799993</v>
      </c>
      <c r="H8" s="325">
        <f>SUMIFS('Amenity CashFlow'!$C14:$EE14,'Amenity CashFlow'!$C$7:$EE$7,'Amenity Annual CF'!H$2,'Amenity CashFlow'!$C$8:$EE$8,"&lt;="&amp;'Amenity Dashboard'!$B$47)</f>
        <v>934838.61351552012</v>
      </c>
      <c r="I8" s="325">
        <f>SUMIFS('Amenity CashFlow'!$C14:$EE14,'Amenity CashFlow'!$C$7:$EE$7,'Amenity Annual CF'!I$2,'Amenity CashFlow'!$C$8:$EE$8,"&lt;="&amp;'Amenity Dashboard'!$B$47)</f>
        <v>960254.53832047363</v>
      </c>
      <c r="J8" s="325">
        <f>SUMIFS('Amenity CashFlow'!$C14:$EE14,'Amenity CashFlow'!$C$7:$EE$7,'Amenity Annual CF'!J$2,'Amenity CashFlow'!$C$8:$EE$8,"&lt;="&amp;'Amenity Dashboard'!$B$47)</f>
        <v>989062.17447008728</v>
      </c>
      <c r="K8" s="325">
        <f>SUMIFS('Amenity CashFlow'!$C14:$EE14,'Amenity CashFlow'!$C$7:$EE$7,'Amenity Annual CF'!K$2,'Amenity CashFlow'!$C$8:$EE$8,"&lt;="&amp;'Amenity Dashboard'!$B$47)</f>
        <v>1018734.0397041902</v>
      </c>
      <c r="L8" s="325">
        <f>SUMIFS('Amenity CashFlow'!$C14:$EE14,'Amenity CashFlow'!$C$7:$EE$7,'Amenity Annual CF'!L$2,'Amenity CashFlow'!$C$8:$EE$8,"&lt;="&amp;'Amenity Dashboard'!$B$47)</f>
        <v>1052169.0954399027</v>
      </c>
      <c r="M8" s="326">
        <f>SUMIFS('Amenity CashFlow'!$C14:$EE14,'Amenity CashFlow'!$C$7:$EE$7,'Amenity Annual CF'!M$2,'Amenity CashFlow'!$C$8:$EE$8,"&lt;="&amp;'Amenity Dashboard'!$B$47)</f>
        <v>1080774.9427221753</v>
      </c>
    </row>
    <row r="9" spans="1:17" ht="16" thickTop="1" x14ac:dyDescent="0.2"/>
    <row r="10" spans="1:17" x14ac:dyDescent="0.2">
      <c r="A10" s="294" t="s">
        <v>460</v>
      </c>
      <c r="B10" s="316"/>
      <c r="C10" s="317">
        <f>SUMIFS('Amenity CashFlow'!$C16:$EE16,'Amenity CashFlow'!$C$7:$EE$7,'Amenity Annual CF'!C$2,'Amenity CashFlow'!$C$8:$EE$8,"&lt;="&amp;'Amenity Dashboard'!$B$47)</f>
        <v>0</v>
      </c>
      <c r="D10" s="317">
        <f>SUMIFS('Amenity CashFlow'!$C16:$EE16,'Amenity CashFlow'!$C$7:$EE$7,'Amenity Annual CF'!D$2,'Amenity CashFlow'!$C$8:$EE$8,"&lt;="&amp;'Amenity Dashboard'!$B$47)</f>
        <v>0</v>
      </c>
      <c r="E10" s="317">
        <f>SUMIFS('Amenity CashFlow'!$C16:$EE16,'Amenity CashFlow'!$C$7:$EE$7,'Amenity Annual CF'!E$2,'Amenity CashFlow'!$C$8:$EE$8,"&lt;="&amp;'Amenity Dashboard'!$B$47)</f>
        <v>1834224</v>
      </c>
      <c r="F10" s="317">
        <f>SUMIFS('Amenity CashFlow'!$C16:$EE16,'Amenity CashFlow'!$C$7:$EE$7,'Amenity Annual CF'!F$2,'Amenity CashFlow'!$C$8:$EE$8,"&lt;="&amp;'Amenity Dashboard'!$B$47)</f>
        <v>3252719.3999999994</v>
      </c>
      <c r="G10" s="317">
        <f>SUMIFS('Amenity CashFlow'!$C16:$EE16,'Amenity CashFlow'!$C$7:$EE$7,'Amenity Annual CF'!G$2,'Amenity CashFlow'!$C$8:$EE$8,"&lt;="&amp;'Amenity Dashboard'!$B$47)</f>
        <v>3350300.9819999994</v>
      </c>
      <c r="H10" s="317">
        <f>SUMIFS('Amenity CashFlow'!$C16:$EE16,'Amenity CashFlow'!$C$7:$EE$7,'Amenity Annual CF'!H$2,'Amenity CashFlow'!$C$8:$EE$8,"&lt;="&amp;'Amenity Dashboard'!$B$47)</f>
        <v>3460264.285464</v>
      </c>
      <c r="I10" s="317">
        <f>SUMIFS('Amenity CashFlow'!$C16:$EE16,'Amenity CashFlow'!$C$7:$EE$7,'Amenity Annual CF'!I$2,'Amenity CashFlow'!$C$8:$EE$8,"&lt;="&amp;'Amenity Dashboard'!$B$47)</f>
        <v>3554334.3118038001</v>
      </c>
      <c r="J10" s="317">
        <f>SUMIFS('Amenity CashFlow'!$C16:$EE16,'Amenity CashFlow'!$C$7:$EE$7,'Amenity Annual CF'!J$2,'Amenity CashFlow'!$C$8:$EE$8,"&lt;="&amp;'Amenity Dashboard'!$B$47)</f>
        <v>3660964.3411579132</v>
      </c>
      <c r="K10" s="317">
        <f>SUMIFS('Amenity CashFlow'!$C16:$EE16,'Amenity CashFlow'!$C$7:$EE$7,'Amenity Annual CF'!K$2,'Amenity CashFlow'!$C$8:$EE$8,"&lt;="&amp;'Amenity Dashboard'!$B$47)</f>
        <v>3770793.2713926518</v>
      </c>
      <c r="L10" s="317">
        <f>SUMIFS('Amenity CashFlow'!$C16:$EE16,'Amenity CashFlow'!$C$7:$EE$7,'Amenity Annual CF'!L$2,'Amenity CashFlow'!$C$8:$EE$8,"&lt;="&amp;'Amenity Dashboard'!$B$47)</f>
        <v>3894557.9382180865</v>
      </c>
      <c r="M10" s="318">
        <f>SUMIFS('Amenity CashFlow'!$C16:$EE16,'Amenity CashFlow'!$C$7:$EE$7,'Amenity Annual CF'!M$2,'Amenity CashFlow'!$C$8:$EE$8,"&lt;="&amp;'Amenity Dashboard'!$B$47)</f>
        <v>4000434.5816204641</v>
      </c>
      <c r="Q10" s="248" t="s">
        <v>477</v>
      </c>
    </row>
    <row r="11" spans="1:17" x14ac:dyDescent="0.2">
      <c r="A11" s="259" t="s">
        <v>416</v>
      </c>
      <c r="B11" s="319"/>
      <c r="C11" s="288"/>
      <c r="D11" s="288"/>
      <c r="E11" s="288"/>
      <c r="F11" s="288"/>
      <c r="G11" s="288"/>
      <c r="H11" s="288"/>
      <c r="I11" s="288"/>
      <c r="J11" s="288"/>
      <c r="K11" s="288"/>
      <c r="L11" s="288"/>
      <c r="M11" s="320"/>
    </row>
    <row r="12" spans="1:17" x14ac:dyDescent="0.2">
      <c r="A12" s="321" t="s">
        <v>457</v>
      </c>
      <c r="B12" s="322"/>
      <c r="C12" s="288">
        <f>SUMIFS('Amenity CashFlow'!$C18:$EE18,'Amenity CashFlow'!$C$7:$EE$7,'Amenity Annual CF'!C$2,'Amenity CashFlow'!$C$8:$EE$8,"&lt;="&amp;'Amenity Dashboard'!$B$47)</f>
        <v>0</v>
      </c>
      <c r="D12" s="288">
        <f>SUMIFS('Amenity CashFlow'!$C18:$EE18,'Amenity CashFlow'!$C$7:$EE$7,'Amenity Annual CF'!D$2,'Amenity CashFlow'!$C$8:$EE$8,"&lt;="&amp;'Amenity Dashboard'!$B$47)</f>
        <v>0</v>
      </c>
      <c r="E12" s="288">
        <f>SUMIFS('Amenity CashFlow'!$C18:$EE18,'Amenity CashFlow'!$C$7:$EE$7,'Amenity Annual CF'!E$2,'Amenity CashFlow'!$C$8:$EE$8,"&lt;="&amp;'Amenity Dashboard'!$B$47)</f>
        <v>589201.20000000007</v>
      </c>
      <c r="F12" s="288">
        <f>SUMIFS('Amenity CashFlow'!$C18:$EE18,'Amenity CashFlow'!$C$7:$EE$7,'Amenity Annual CF'!F$2,'Amenity CashFlow'!$C$8:$EE$8,"&lt;="&amp;'Amenity Dashboard'!$B$47)</f>
        <v>1464614.8859999999</v>
      </c>
      <c r="G12" s="288">
        <f>SUMIFS('Amenity CashFlow'!$C18:$EE18,'Amenity CashFlow'!$C$7:$EE$7,'Amenity Annual CF'!G$2,'Amenity CashFlow'!$C$8:$EE$8,"&lt;="&amp;'Amenity Dashboard'!$B$47)</f>
        <v>1508553.3325800002</v>
      </c>
      <c r="H12" s="288">
        <f>SUMIFS('Amenity CashFlow'!$C18:$EE18,'Amenity CashFlow'!$C$7:$EE$7,'Amenity Annual CF'!H$2,'Amenity CashFlow'!$C$8:$EE$8,"&lt;="&amp;'Amenity Dashboard'!$B$47)</f>
        <v>1558064.3558592002</v>
      </c>
      <c r="I12" s="288">
        <f>SUMIFS('Amenity CashFlow'!$C18:$EE18,'Amenity CashFlow'!$C$7:$EE$7,'Amenity Annual CF'!I$2,'Amenity CashFlow'!$C$8:$EE$8,"&lt;="&amp;'Amenity Dashboard'!$B$47)</f>
        <v>1600424.2305341221</v>
      </c>
      <c r="J12" s="288">
        <f>SUMIFS('Amenity CashFlow'!$C18:$EE18,'Amenity CashFlow'!$C$7:$EE$7,'Amenity Annual CF'!J$2,'Amenity CashFlow'!$C$8:$EE$8,"&lt;="&amp;'Amenity Dashboard'!$B$47)</f>
        <v>1648436.9574501456</v>
      </c>
      <c r="K12" s="288">
        <f>SUMIFS('Amenity CashFlow'!$C18:$EE18,'Amenity CashFlow'!$C$7:$EE$7,'Amenity Annual CF'!K$2,'Amenity CashFlow'!$C$8:$EE$8,"&lt;="&amp;'Amenity Dashboard'!$B$47)</f>
        <v>1697890.0661736503</v>
      </c>
      <c r="L12" s="288">
        <f>SUMIFS('Amenity CashFlow'!$C18:$EE18,'Amenity CashFlow'!$C$7:$EE$7,'Amenity Annual CF'!L$2,'Amenity CashFlow'!$C$8:$EE$8,"&lt;="&amp;'Amenity Dashboard'!$B$47)</f>
        <v>1753615.1590665043</v>
      </c>
      <c r="M12" s="320">
        <f>SUMIFS('Amenity CashFlow'!$C18:$EE18,'Amenity CashFlow'!$C$7:$EE$7,'Amenity Annual CF'!M$2,'Amenity CashFlow'!$C$8:$EE$8,"&lt;="&amp;'Amenity Dashboard'!$B$47)</f>
        <v>1801291.5712036253</v>
      </c>
    </row>
    <row r="13" spans="1:17" ht="17" thickBot="1" x14ac:dyDescent="0.25">
      <c r="A13" s="259" t="s">
        <v>458</v>
      </c>
      <c r="B13" s="323">
        <f>-SUM(C13:M13)/SUM(C12:M12)</f>
        <v>0.40000000000000008</v>
      </c>
      <c r="C13" s="288">
        <f>SUMIFS('Amenity CashFlow'!$C19:$EE19,'Amenity CashFlow'!$C$7:$EE$7,'Amenity Annual CF'!C$2,'Amenity CashFlow'!$C$8:$EE$8,"&lt;="&amp;'Amenity Dashboard'!$B$47)</f>
        <v>0</v>
      </c>
      <c r="D13" s="288">
        <f>SUMIFS('Amenity CashFlow'!$C19:$EE19,'Amenity CashFlow'!$C$7:$EE$7,'Amenity Annual CF'!D$2,'Amenity CashFlow'!$C$8:$EE$8,"&lt;="&amp;'Amenity Dashboard'!$B$47)</f>
        <v>0</v>
      </c>
      <c r="E13" s="288">
        <f>SUMIFS('Amenity CashFlow'!$C19:$EE19,'Amenity CashFlow'!$C$7:$EE$7,'Amenity Annual CF'!E$2,'Amenity CashFlow'!$C$8:$EE$8,"&lt;="&amp;'Amenity Dashboard'!$B$47)</f>
        <v>-235680.48</v>
      </c>
      <c r="F13" s="288">
        <f>SUMIFS('Amenity CashFlow'!$C19:$EE19,'Amenity CashFlow'!$C$7:$EE$7,'Amenity Annual CF'!F$2,'Amenity CashFlow'!$C$8:$EE$8,"&lt;="&amp;'Amenity Dashboard'!$B$47)</f>
        <v>-585845.95439999993</v>
      </c>
      <c r="G13" s="288">
        <f>SUMIFS('Amenity CashFlow'!$C19:$EE19,'Amenity CashFlow'!$C$7:$EE$7,'Amenity Annual CF'!G$2,'Amenity CashFlow'!$C$8:$EE$8,"&lt;="&amp;'Amenity Dashboard'!$B$47)</f>
        <v>-603421.33303200023</v>
      </c>
      <c r="H13" s="288">
        <f>SUMIFS('Amenity CashFlow'!$C19:$EE19,'Amenity CashFlow'!$C$7:$EE$7,'Amenity Annual CF'!H$2,'Amenity CashFlow'!$C$8:$EE$8,"&lt;="&amp;'Amenity Dashboard'!$B$47)</f>
        <v>-623225.74234368012</v>
      </c>
      <c r="I13" s="288">
        <f>SUMIFS('Amenity CashFlow'!$C19:$EE19,'Amenity CashFlow'!$C$7:$EE$7,'Amenity Annual CF'!I$2,'Amenity CashFlow'!$C$8:$EE$8,"&lt;="&amp;'Amenity Dashboard'!$B$47)</f>
        <v>-640169.69221364893</v>
      </c>
      <c r="J13" s="288">
        <f>SUMIFS('Amenity CashFlow'!$C19:$EE19,'Amenity CashFlow'!$C$7:$EE$7,'Amenity Annual CF'!J$2,'Amenity CashFlow'!$C$8:$EE$8,"&lt;="&amp;'Amenity Dashboard'!$B$47)</f>
        <v>-659374.78298005823</v>
      </c>
      <c r="K13" s="288">
        <f>SUMIFS('Amenity CashFlow'!$C19:$EE19,'Amenity CashFlow'!$C$7:$EE$7,'Amenity Annual CF'!K$2,'Amenity CashFlow'!$C$8:$EE$8,"&lt;="&amp;'Amenity Dashboard'!$B$47)</f>
        <v>-679156.02646946011</v>
      </c>
      <c r="L13" s="288">
        <f>SUMIFS('Amenity CashFlow'!$C19:$EE19,'Amenity CashFlow'!$C$7:$EE$7,'Amenity Annual CF'!L$2,'Amenity CashFlow'!$C$8:$EE$8,"&lt;="&amp;'Amenity Dashboard'!$B$47)</f>
        <v>-701446.06362660194</v>
      </c>
      <c r="M13" s="320">
        <f>SUMIFS('Amenity CashFlow'!$C19:$EE19,'Amenity CashFlow'!$C$7:$EE$7,'Amenity Annual CF'!M$2,'Amenity CashFlow'!$C$8:$EE$8,"&lt;="&amp;'Amenity Dashboard'!$B$47)</f>
        <v>-720516.62848145026</v>
      </c>
    </row>
    <row r="14" spans="1:17" ht="17" thickTop="1" thickBot="1" x14ac:dyDescent="0.25">
      <c r="A14" s="270" t="s">
        <v>459</v>
      </c>
      <c r="B14" s="324"/>
      <c r="C14" s="325">
        <f>SUMIFS('Amenity CashFlow'!$C20:$EE20,'Amenity CashFlow'!$C$7:$EE$7,'Amenity Annual CF'!C$2,'Amenity CashFlow'!$C$8:$EE$8,"&lt;="&amp;'Amenity Dashboard'!$B$47)</f>
        <v>0</v>
      </c>
      <c r="D14" s="325">
        <f>SUMIFS('Amenity CashFlow'!$C20:$EE20,'Amenity CashFlow'!$C$7:$EE$7,'Amenity Annual CF'!D$2,'Amenity CashFlow'!$C$8:$EE$8,"&lt;="&amp;'Amenity Dashboard'!$B$47)</f>
        <v>0</v>
      </c>
      <c r="E14" s="325">
        <f>SUMIFS('Amenity CashFlow'!$C20:$EE20,'Amenity CashFlow'!$C$7:$EE$7,'Amenity Annual CF'!E$2,'Amenity CashFlow'!$C$8:$EE$8,"&lt;="&amp;'Amenity Dashboard'!$B$47)</f>
        <v>353520.72</v>
      </c>
      <c r="F14" s="325">
        <f>SUMIFS('Amenity CashFlow'!$C20:$EE20,'Amenity CashFlow'!$C$7:$EE$7,'Amenity Annual CF'!F$2,'Amenity CashFlow'!$C$8:$EE$8,"&lt;="&amp;'Amenity Dashboard'!$B$47)</f>
        <v>878768.93159999978</v>
      </c>
      <c r="G14" s="325">
        <f>SUMIFS('Amenity CashFlow'!$C20:$EE20,'Amenity CashFlow'!$C$7:$EE$7,'Amenity Annual CF'!G$2,'Amenity CashFlow'!$C$8:$EE$8,"&lt;="&amp;'Amenity Dashboard'!$B$47)</f>
        <v>905131.99954799993</v>
      </c>
      <c r="H14" s="325">
        <f>SUMIFS('Amenity CashFlow'!$C20:$EE20,'Amenity CashFlow'!$C$7:$EE$7,'Amenity Annual CF'!H$2,'Amenity CashFlow'!$C$8:$EE$8,"&lt;="&amp;'Amenity Dashboard'!$B$47)</f>
        <v>934838.61351552012</v>
      </c>
      <c r="I14" s="325">
        <f>SUMIFS('Amenity CashFlow'!$C20:$EE20,'Amenity CashFlow'!$C$7:$EE$7,'Amenity Annual CF'!I$2,'Amenity CashFlow'!$C$8:$EE$8,"&lt;="&amp;'Amenity Dashboard'!$B$47)</f>
        <v>960254.53832047363</v>
      </c>
      <c r="J14" s="325">
        <f>SUMIFS('Amenity CashFlow'!$C20:$EE20,'Amenity CashFlow'!$C$7:$EE$7,'Amenity Annual CF'!J$2,'Amenity CashFlow'!$C$8:$EE$8,"&lt;="&amp;'Amenity Dashboard'!$B$47)</f>
        <v>989062.17447008728</v>
      </c>
      <c r="K14" s="325">
        <f>SUMIFS('Amenity CashFlow'!$C20:$EE20,'Amenity CashFlow'!$C$7:$EE$7,'Amenity Annual CF'!K$2,'Amenity CashFlow'!$C$8:$EE$8,"&lt;="&amp;'Amenity Dashboard'!$B$47)</f>
        <v>1018734.0397041902</v>
      </c>
      <c r="L14" s="325">
        <f>SUMIFS('Amenity CashFlow'!$C20:$EE20,'Amenity CashFlow'!$C$7:$EE$7,'Amenity Annual CF'!L$2,'Amenity CashFlow'!$C$8:$EE$8,"&lt;="&amp;'Amenity Dashboard'!$B$47)</f>
        <v>1052169.0954399027</v>
      </c>
      <c r="M14" s="326">
        <f>SUMIFS('Amenity CashFlow'!$C20:$EE20,'Amenity CashFlow'!$C$7:$EE$7,'Amenity Annual CF'!M$2,'Amenity CashFlow'!$C$8:$EE$8,"&lt;="&amp;'Amenity Dashboard'!$B$47)</f>
        <v>1080774.9427221753</v>
      </c>
    </row>
    <row r="15" spans="1:17" ht="16" thickTop="1" x14ac:dyDescent="0.2"/>
    <row r="16" spans="1:17" x14ac:dyDescent="0.2">
      <c r="A16" s="294" t="s">
        <v>461</v>
      </c>
      <c r="B16" s="316"/>
      <c r="C16" s="317">
        <f>SUMIFS('Amenity CashFlow'!$C22:$EE22,'Amenity CashFlow'!$C$7:$EE$7,'Amenity Annual CF'!C$2,'Amenity CashFlow'!$C$8:$EE$8,"&lt;="&amp;'Amenity Dashboard'!$B$47)</f>
        <v>0</v>
      </c>
      <c r="D16" s="317">
        <f>SUMIFS('Amenity CashFlow'!$C22:$EE22,'Amenity CashFlow'!$C$7:$EE$7,'Amenity Annual CF'!D$2,'Amenity CashFlow'!$C$8:$EE$8,"&lt;="&amp;'Amenity Dashboard'!$B$47)</f>
        <v>0</v>
      </c>
      <c r="E16" s="317">
        <f>SUMIFS('Amenity CashFlow'!$C22:$EE22,'Amenity CashFlow'!$C$7:$EE$7,'Amenity Annual CF'!E$2,'Amenity CashFlow'!$C$8:$EE$8,"&lt;="&amp;'Amenity Dashboard'!$B$47)</f>
        <v>318168.64800000004</v>
      </c>
      <c r="F16" s="317">
        <f>SUMIFS('Amenity CashFlow'!$C22:$EE22,'Amenity CashFlow'!$C$7:$EE$7,'Amenity Annual CF'!F$2,'Amenity CashFlow'!$C$8:$EE$8,"&lt;="&amp;'Amenity Dashboard'!$B$47)</f>
        <v>790892.03844000003</v>
      </c>
      <c r="G16" s="317">
        <f>SUMIFS('Amenity CashFlow'!$C22:$EE22,'Amenity CashFlow'!$C$7:$EE$7,'Amenity Annual CF'!G$2,'Amenity CashFlow'!$C$8:$EE$8,"&lt;="&amp;'Amenity Dashboard'!$B$47)</f>
        <v>814618.79959320021</v>
      </c>
      <c r="H16" s="317">
        <f>SUMIFS('Amenity CashFlow'!$C22:$EE22,'Amenity CashFlow'!$C$7:$EE$7,'Amenity Annual CF'!H$2,'Amenity CashFlow'!$C$8:$EE$8,"&lt;="&amp;'Amenity Dashboard'!$B$47)</f>
        <v>841354.75216396817</v>
      </c>
      <c r="I16" s="317">
        <f>SUMIFS('Amenity CashFlow'!$C22:$EE22,'Amenity CashFlow'!$C$7:$EE$7,'Amenity Annual CF'!I$2,'Amenity CashFlow'!$C$8:$EE$8,"&lt;="&amp;'Amenity Dashboard'!$B$47)</f>
        <v>864229.08448842587</v>
      </c>
      <c r="J16" s="317">
        <f>SUMIFS('Amenity CashFlow'!$C22:$EE22,'Amenity CashFlow'!$C$7:$EE$7,'Amenity Annual CF'!J$2,'Amenity CashFlow'!$C$8:$EE$8,"&lt;="&amp;'Amenity Dashboard'!$B$47)</f>
        <v>890155.95702307858</v>
      </c>
      <c r="K16" s="317">
        <f>SUMIFS('Amenity CashFlow'!$C22:$EE22,'Amenity CashFlow'!$C$7:$EE$7,'Amenity Annual CF'!K$2,'Amenity CashFlow'!$C$8:$EE$8,"&lt;="&amp;'Amenity Dashboard'!$B$47)</f>
        <v>916860.63573377102</v>
      </c>
      <c r="L16" s="317">
        <f>SUMIFS('Amenity CashFlow'!$C22:$EE22,'Amenity CashFlow'!$C$7:$EE$7,'Amenity Annual CF'!L$2,'Amenity CashFlow'!$C$8:$EE$8,"&lt;="&amp;'Amenity Dashboard'!$B$47)</f>
        <v>946952.18589591281</v>
      </c>
      <c r="M16" s="318">
        <f>SUMIFS('Amenity CashFlow'!$C22:$EE22,'Amenity CashFlow'!$C$7:$EE$7,'Amenity Annual CF'!M$2,'Amenity CashFlow'!$C$8:$EE$8,"&lt;="&amp;'Amenity Dashboard'!$B$47)</f>
        <v>972697.44844995765</v>
      </c>
      <c r="Q16" s="248" t="s">
        <v>477</v>
      </c>
    </row>
    <row r="17" spans="1:14" ht="17" thickBot="1" x14ac:dyDescent="0.25">
      <c r="A17" s="259" t="s">
        <v>462</v>
      </c>
      <c r="B17" s="323">
        <f>-SUM(C17:M17)/SUM(C16:M16)</f>
        <v>0.89999999999999991</v>
      </c>
      <c r="C17" s="288">
        <f>SUMIFS('Amenity CashFlow'!$C23:$EE23,'Amenity CashFlow'!$C$7:$EE$7,'Amenity Annual CF'!C$2,'Amenity CashFlow'!$C$8:$EE$8,"&lt;="&amp;'Amenity Dashboard'!$B$47)</f>
        <v>0</v>
      </c>
      <c r="D17" s="288">
        <f>SUMIFS('Amenity CashFlow'!$C23:$EE23,'Amenity CashFlow'!$C$7:$EE$7,'Amenity Annual CF'!D$2,'Amenity CashFlow'!$C$8:$EE$8,"&lt;="&amp;'Amenity Dashboard'!$B$47)</f>
        <v>0</v>
      </c>
      <c r="E17" s="288">
        <f>SUMIFS('Amenity CashFlow'!$C23:$EE23,'Amenity CashFlow'!$C$7:$EE$7,'Amenity Annual CF'!E$2,'Amenity CashFlow'!$C$8:$EE$8,"&lt;="&amp;'Amenity Dashboard'!$B$47)</f>
        <v>-286351.78320000001</v>
      </c>
      <c r="F17" s="288">
        <f>SUMIFS('Amenity CashFlow'!$C23:$EE23,'Amenity CashFlow'!$C$7:$EE$7,'Amenity Annual CF'!F$2,'Amenity CashFlow'!$C$8:$EE$8,"&lt;="&amp;'Amenity Dashboard'!$B$47)</f>
        <v>-711802.83459600015</v>
      </c>
      <c r="G17" s="288">
        <f>SUMIFS('Amenity CashFlow'!$C23:$EE23,'Amenity CashFlow'!$C$7:$EE$7,'Amenity Annual CF'!G$2,'Amenity CashFlow'!$C$8:$EE$8,"&lt;="&amp;'Amenity Dashboard'!$B$47)</f>
        <v>-733156.91963388014</v>
      </c>
      <c r="H17" s="288">
        <f>SUMIFS('Amenity CashFlow'!$C23:$EE23,'Amenity CashFlow'!$C$7:$EE$7,'Amenity Annual CF'!H$2,'Amenity CashFlow'!$C$8:$EE$8,"&lt;="&amp;'Amenity Dashboard'!$B$47)</f>
        <v>-757219.27694757131</v>
      </c>
      <c r="I17" s="288">
        <f>SUMIFS('Amenity CashFlow'!$C23:$EE23,'Amenity CashFlow'!$C$7:$EE$7,'Amenity Annual CF'!I$2,'Amenity CashFlow'!$C$8:$EE$8,"&lt;="&amp;'Amenity Dashboard'!$B$47)</f>
        <v>-777806.1760395834</v>
      </c>
      <c r="J17" s="288">
        <f>SUMIFS('Amenity CashFlow'!$C23:$EE23,'Amenity CashFlow'!$C$7:$EE$7,'Amenity Annual CF'!J$2,'Amenity CashFlow'!$C$8:$EE$8,"&lt;="&amp;'Amenity Dashboard'!$B$47)</f>
        <v>-801140.36132077069</v>
      </c>
      <c r="K17" s="288">
        <f>SUMIFS('Amenity CashFlow'!$C23:$EE23,'Amenity CashFlow'!$C$7:$EE$7,'Amenity Annual CF'!K$2,'Amenity CashFlow'!$C$8:$EE$8,"&lt;="&amp;'Amenity Dashboard'!$B$47)</f>
        <v>-825174.57216039393</v>
      </c>
      <c r="L17" s="288">
        <f>SUMIFS('Amenity CashFlow'!$C23:$EE23,'Amenity CashFlow'!$C$7:$EE$7,'Amenity Annual CF'!L$2,'Amenity CashFlow'!$C$8:$EE$8,"&lt;="&amp;'Amenity Dashboard'!$B$47)</f>
        <v>-852256.96730632137</v>
      </c>
      <c r="M17" s="320">
        <f>SUMIFS('Amenity CashFlow'!$C23:$EE23,'Amenity CashFlow'!$C$7:$EE$7,'Amenity Annual CF'!M$2,'Amenity CashFlow'!$C$8:$EE$8,"&lt;="&amp;'Amenity Dashboard'!$B$47)</f>
        <v>-875427.70360496209</v>
      </c>
    </row>
    <row r="18" spans="1:14" ht="17" thickTop="1" thickBot="1" x14ac:dyDescent="0.25">
      <c r="A18" s="270" t="s">
        <v>463</v>
      </c>
      <c r="B18" s="324"/>
      <c r="C18" s="325">
        <f>SUMIFS('Amenity CashFlow'!$C24:$EE24,'Amenity CashFlow'!$C$7:$EE$7,'Amenity Annual CF'!C$2,'Amenity CashFlow'!$C$8:$EE$8,"&lt;="&amp;'Amenity Dashboard'!$B$47)</f>
        <v>0</v>
      </c>
      <c r="D18" s="325">
        <f>SUMIFS('Amenity CashFlow'!$C24:$EE24,'Amenity CashFlow'!$C$7:$EE$7,'Amenity Annual CF'!D$2,'Amenity CashFlow'!$C$8:$EE$8,"&lt;="&amp;'Amenity Dashboard'!$B$47)</f>
        <v>0</v>
      </c>
      <c r="E18" s="325">
        <f>SUMIFS('Amenity CashFlow'!$C24:$EE24,'Amenity CashFlow'!$C$7:$EE$7,'Amenity Annual CF'!E$2,'Amenity CashFlow'!$C$8:$EE$8,"&lt;="&amp;'Amenity Dashboard'!$B$47)</f>
        <v>31816.864800000003</v>
      </c>
      <c r="F18" s="325">
        <f>SUMIFS('Amenity CashFlow'!$C24:$EE24,'Amenity CashFlow'!$C$7:$EE$7,'Amenity Annual CF'!F$2,'Amenity CashFlow'!$C$8:$EE$8,"&lt;="&amp;'Amenity Dashboard'!$B$47)</f>
        <v>79089.203844000003</v>
      </c>
      <c r="G18" s="325">
        <f>SUMIFS('Amenity CashFlow'!$C24:$EE24,'Amenity CashFlow'!$C$7:$EE$7,'Amenity Annual CF'!G$2,'Amenity CashFlow'!$C$8:$EE$8,"&lt;="&amp;'Amenity Dashboard'!$B$47)</f>
        <v>81461.879959320009</v>
      </c>
      <c r="H18" s="325">
        <f>SUMIFS('Amenity CashFlow'!$C24:$EE24,'Amenity CashFlow'!$C$7:$EE$7,'Amenity Annual CF'!H$2,'Amenity CashFlow'!$C$8:$EE$8,"&lt;="&amp;'Amenity Dashboard'!$B$47)</f>
        <v>84135.475216396793</v>
      </c>
      <c r="I18" s="325">
        <f>SUMIFS('Amenity CashFlow'!$C24:$EE24,'Amenity CashFlow'!$C$7:$EE$7,'Amenity Annual CF'!I$2,'Amenity CashFlow'!$C$8:$EE$8,"&lt;="&amp;'Amenity Dashboard'!$B$47)</f>
        <v>86422.908448842587</v>
      </c>
      <c r="J18" s="325">
        <f>SUMIFS('Amenity CashFlow'!$C24:$EE24,'Amenity CashFlow'!$C$7:$EE$7,'Amenity Annual CF'!J$2,'Amenity CashFlow'!$C$8:$EE$8,"&lt;="&amp;'Amenity Dashboard'!$B$47)</f>
        <v>89015.595702307808</v>
      </c>
      <c r="K18" s="325">
        <f>SUMIFS('Amenity CashFlow'!$C24:$EE24,'Amenity CashFlow'!$C$7:$EE$7,'Amenity Annual CF'!K$2,'Amenity CashFlow'!$C$8:$EE$8,"&lt;="&amp;'Amenity Dashboard'!$B$47)</f>
        <v>91686.06357337712</v>
      </c>
      <c r="L18" s="325">
        <f>SUMIFS('Amenity CashFlow'!$C24:$EE24,'Amenity CashFlow'!$C$7:$EE$7,'Amenity Annual CF'!L$2,'Amenity CashFlow'!$C$8:$EE$8,"&lt;="&amp;'Amenity Dashboard'!$B$47)</f>
        <v>94695.218589591241</v>
      </c>
      <c r="M18" s="326">
        <f>SUMIFS('Amenity CashFlow'!$C24:$EE24,'Amenity CashFlow'!$C$7:$EE$7,'Amenity Annual CF'!M$2,'Amenity CashFlow'!$C$8:$EE$8,"&lt;="&amp;'Amenity Dashboard'!$B$47)</f>
        <v>97269.744844995759</v>
      </c>
    </row>
    <row r="19" spans="1:14" ht="16" thickTop="1" x14ac:dyDescent="0.2"/>
    <row r="20" spans="1:14" x14ac:dyDescent="0.2">
      <c r="A20" s="294" t="s">
        <v>434</v>
      </c>
      <c r="B20" s="316"/>
      <c r="C20" s="317">
        <f>SUMIFS('Amenity CashFlow'!$C26:$EE26,'Amenity CashFlow'!$C$7:$EE$7,'Amenity Annual CF'!C$2,'Amenity CashFlow'!$C$8:$EE$8,"&lt;="&amp;'Amenity Dashboard'!$B$47)</f>
        <v>0</v>
      </c>
      <c r="D20" s="317">
        <f>SUMIFS('Amenity CashFlow'!$C26:$EE26,'Amenity CashFlow'!$C$7:$EE$7,'Amenity Annual CF'!D$2,'Amenity CashFlow'!$C$8:$EE$8,"&lt;="&amp;'Amenity Dashboard'!$B$47)</f>
        <v>276864</v>
      </c>
      <c r="E20" s="317">
        <f>SUMIFS('Amenity CashFlow'!$C26:$EE26,'Amenity CashFlow'!$C$7:$EE$7,'Amenity Annual CF'!E$2,'Amenity CashFlow'!$C$8:$EE$8,"&lt;="&amp;'Amenity Dashboard'!$B$47)</f>
        <v>402231.4800000001</v>
      </c>
      <c r="F20" s="317">
        <f>SUMIFS('Amenity CashFlow'!$C26:$EE26,'Amenity CashFlow'!$C$7:$EE$7,'Amenity Annual CF'!F$2,'Amenity CashFlow'!$C$8:$EE$8,"&lt;="&amp;'Amenity Dashboard'!$B$47)</f>
        <v>585845.95439999993</v>
      </c>
      <c r="G20" s="317">
        <f>SUMIFS('Amenity CashFlow'!$C26:$EE26,'Amenity CashFlow'!$C$7:$EE$7,'Amenity Annual CF'!G$2,'Amenity CashFlow'!$C$8:$EE$8,"&lt;="&amp;'Amenity Dashboard'!$B$47)</f>
        <v>603421.33303200023</v>
      </c>
      <c r="H20" s="317">
        <f>SUMIFS('Amenity CashFlow'!$C26:$EE26,'Amenity CashFlow'!$C$7:$EE$7,'Amenity Annual CF'!H$2,'Amenity CashFlow'!$C$8:$EE$8,"&lt;="&amp;'Amenity Dashboard'!$B$47)</f>
        <v>623225.74234368012</v>
      </c>
      <c r="I20" s="317">
        <f>SUMIFS('Amenity CashFlow'!$C26:$EE26,'Amenity CashFlow'!$C$7:$EE$7,'Amenity Annual CF'!I$2,'Amenity CashFlow'!$C$8:$EE$8,"&lt;="&amp;'Amenity Dashboard'!$B$47)</f>
        <v>640169.69221364893</v>
      </c>
      <c r="J20" s="317">
        <f>SUMIFS('Amenity CashFlow'!$C26:$EE26,'Amenity CashFlow'!$C$7:$EE$7,'Amenity Annual CF'!J$2,'Amenity CashFlow'!$C$8:$EE$8,"&lt;="&amp;'Amenity Dashboard'!$B$47)</f>
        <v>659374.78298005823</v>
      </c>
      <c r="K20" s="317">
        <f>SUMIFS('Amenity CashFlow'!$C26:$EE26,'Amenity CashFlow'!$C$7:$EE$7,'Amenity Annual CF'!K$2,'Amenity CashFlow'!$C$8:$EE$8,"&lt;="&amp;'Amenity Dashboard'!$B$47)</f>
        <v>679156.02646946011</v>
      </c>
      <c r="L20" s="317">
        <f>SUMIFS('Amenity CashFlow'!$C26:$EE26,'Amenity CashFlow'!$C$7:$EE$7,'Amenity Annual CF'!L$2,'Amenity CashFlow'!$C$8:$EE$8,"&lt;="&amp;'Amenity Dashboard'!$B$47)</f>
        <v>701446.06362660194</v>
      </c>
      <c r="M20" s="318">
        <f>SUMIFS('Amenity CashFlow'!$C26:$EE26,'Amenity CashFlow'!$C$7:$EE$7,'Amenity Annual CF'!M$2,'Amenity CashFlow'!$C$8:$EE$8,"&lt;="&amp;'Amenity Dashboard'!$B$47)</f>
        <v>720516.62848145026</v>
      </c>
    </row>
    <row r="21" spans="1:14" ht="17" thickBot="1" x14ac:dyDescent="0.25">
      <c r="A21" s="259" t="s">
        <v>464</v>
      </c>
      <c r="B21" s="323">
        <f>-SUM(C21:M21)/SUM(C20:M20)</f>
        <v>0.59999999999999987</v>
      </c>
      <c r="C21" s="288">
        <f>SUMIFS('Amenity CashFlow'!$C27:$EE27,'Amenity CashFlow'!$C$7:$EE$7,'Amenity Annual CF'!C$2,'Amenity CashFlow'!$C$8:$EE$8,"&lt;="&amp;'Amenity Dashboard'!$B$47)</f>
        <v>0</v>
      </c>
      <c r="D21" s="288">
        <f>SUMIFS('Amenity CashFlow'!$C27:$EE27,'Amenity CashFlow'!$C$7:$EE$7,'Amenity Annual CF'!D$2,'Amenity CashFlow'!$C$8:$EE$8,"&lt;="&amp;'Amenity Dashboard'!$B$47)</f>
        <v>-166118.40000000002</v>
      </c>
      <c r="E21" s="288">
        <f>SUMIFS('Amenity CashFlow'!$C27:$EE27,'Amenity CashFlow'!$C$7:$EE$7,'Amenity Annual CF'!E$2,'Amenity CashFlow'!$C$8:$EE$8,"&lt;="&amp;'Amenity Dashboard'!$B$47)</f>
        <v>-241338.88800000001</v>
      </c>
      <c r="F21" s="288">
        <f>SUMIFS('Amenity CashFlow'!$C27:$EE27,'Amenity CashFlow'!$C$7:$EE$7,'Amenity Annual CF'!F$2,'Amenity CashFlow'!$C$8:$EE$8,"&lt;="&amp;'Amenity Dashboard'!$B$47)</f>
        <v>-351507.57263999991</v>
      </c>
      <c r="G21" s="288">
        <f>SUMIFS('Amenity CashFlow'!$C27:$EE27,'Amenity CashFlow'!$C$7:$EE$7,'Amenity Annual CF'!G$2,'Amenity CashFlow'!$C$8:$EE$8,"&lt;="&amp;'Amenity Dashboard'!$B$47)</f>
        <v>-362052.79981920007</v>
      </c>
      <c r="H21" s="288">
        <f>SUMIFS('Amenity CashFlow'!$C27:$EE27,'Amenity CashFlow'!$C$7:$EE$7,'Amenity Annual CF'!H$2,'Amenity CashFlow'!$C$8:$EE$8,"&lt;="&amp;'Amenity Dashboard'!$B$47)</f>
        <v>-373935.44540620805</v>
      </c>
      <c r="I21" s="288">
        <f>SUMIFS('Amenity CashFlow'!$C27:$EE27,'Amenity CashFlow'!$C$7:$EE$7,'Amenity Annual CF'!I$2,'Amenity CashFlow'!$C$8:$EE$8,"&lt;="&amp;'Amenity Dashboard'!$B$47)</f>
        <v>-384101.81532818935</v>
      </c>
      <c r="J21" s="288">
        <f>SUMIFS('Amenity CashFlow'!$C27:$EE27,'Amenity CashFlow'!$C$7:$EE$7,'Amenity Annual CF'!J$2,'Amenity CashFlow'!$C$8:$EE$8,"&lt;="&amp;'Amenity Dashboard'!$B$47)</f>
        <v>-395624.86978803499</v>
      </c>
      <c r="K21" s="288">
        <f>SUMIFS('Amenity CashFlow'!$C27:$EE27,'Amenity CashFlow'!$C$7:$EE$7,'Amenity Annual CF'!K$2,'Amenity CashFlow'!$C$8:$EE$8,"&lt;="&amp;'Amenity Dashboard'!$B$47)</f>
        <v>-407493.61588167597</v>
      </c>
      <c r="L21" s="288">
        <f>SUMIFS('Amenity CashFlow'!$C27:$EE27,'Amenity CashFlow'!$C$7:$EE$7,'Amenity Annual CF'!L$2,'Amenity CashFlow'!$C$8:$EE$8,"&lt;="&amp;'Amenity Dashboard'!$B$47)</f>
        <v>-420867.63817596115</v>
      </c>
      <c r="M21" s="320">
        <f>SUMIFS('Amenity CashFlow'!$C27:$EE27,'Amenity CashFlow'!$C$7:$EE$7,'Amenity Annual CF'!M$2,'Amenity CashFlow'!$C$8:$EE$8,"&lt;="&amp;'Amenity Dashboard'!$B$47)</f>
        <v>-432309.97708887013</v>
      </c>
    </row>
    <row r="22" spans="1:14" ht="17" thickTop="1" thickBot="1" x14ac:dyDescent="0.25">
      <c r="A22" s="270" t="s">
        <v>465</v>
      </c>
      <c r="B22" s="324"/>
      <c r="C22" s="325">
        <f>SUMIFS('Amenity CashFlow'!$C28:$EE28,'Amenity CashFlow'!$C$7:$EE$7,'Amenity Annual CF'!C$2,'Amenity CashFlow'!$C$8:$EE$8,"&lt;="&amp;'Amenity Dashboard'!$B$47)</f>
        <v>0</v>
      </c>
      <c r="D22" s="325">
        <f>SUMIFS('Amenity CashFlow'!$C28:$EE28,'Amenity CashFlow'!$C$7:$EE$7,'Amenity Annual CF'!D$2,'Amenity CashFlow'!$C$8:$EE$8,"&lt;="&amp;'Amenity Dashboard'!$B$47)</f>
        <v>110745.59999999999</v>
      </c>
      <c r="E22" s="325">
        <f>SUMIFS('Amenity CashFlow'!$C28:$EE28,'Amenity CashFlow'!$C$7:$EE$7,'Amenity Annual CF'!E$2,'Amenity CashFlow'!$C$8:$EE$8,"&lt;="&amp;'Amenity Dashboard'!$B$47)</f>
        <v>160892.592</v>
      </c>
      <c r="F22" s="325">
        <f>SUMIFS('Amenity CashFlow'!$C28:$EE28,'Amenity CashFlow'!$C$7:$EE$7,'Amenity Annual CF'!F$2,'Amenity CashFlow'!$C$8:$EE$8,"&lt;="&amp;'Amenity Dashboard'!$B$47)</f>
        <v>234338.38175999996</v>
      </c>
      <c r="G22" s="325">
        <f>SUMIFS('Amenity CashFlow'!$C28:$EE28,'Amenity CashFlow'!$C$7:$EE$7,'Amenity Annual CF'!G$2,'Amenity CashFlow'!$C$8:$EE$8,"&lt;="&amp;'Amenity Dashboard'!$B$47)</f>
        <v>241368.53321280004</v>
      </c>
      <c r="H22" s="325">
        <f>SUMIFS('Amenity CashFlow'!$C28:$EE28,'Amenity CashFlow'!$C$7:$EE$7,'Amenity Annual CF'!H$2,'Amenity CashFlow'!$C$8:$EE$8,"&lt;="&amp;'Amenity Dashboard'!$B$47)</f>
        <v>249290.29693747201</v>
      </c>
      <c r="I22" s="325">
        <f>SUMIFS('Amenity CashFlow'!$C28:$EE28,'Amenity CashFlow'!$C$7:$EE$7,'Amenity Annual CF'!I$2,'Amenity CashFlow'!$C$8:$EE$8,"&lt;="&amp;'Amenity Dashboard'!$B$47)</f>
        <v>256067.87688545955</v>
      </c>
      <c r="J22" s="325">
        <f>SUMIFS('Amenity CashFlow'!$C28:$EE28,'Amenity CashFlow'!$C$7:$EE$7,'Amenity Annual CF'!J$2,'Amenity CashFlow'!$C$8:$EE$8,"&lt;="&amp;'Amenity Dashboard'!$B$47)</f>
        <v>263749.91319202335</v>
      </c>
      <c r="K22" s="325">
        <f>SUMIFS('Amenity CashFlow'!$C28:$EE28,'Amenity CashFlow'!$C$7:$EE$7,'Amenity Annual CF'!K$2,'Amenity CashFlow'!$C$8:$EE$8,"&lt;="&amp;'Amenity Dashboard'!$B$47)</f>
        <v>271662.41058778408</v>
      </c>
      <c r="L22" s="325">
        <f>SUMIFS('Amenity CashFlow'!$C28:$EE28,'Amenity CashFlow'!$C$7:$EE$7,'Amenity Annual CF'!L$2,'Amenity CashFlow'!$C$8:$EE$8,"&lt;="&amp;'Amenity Dashboard'!$B$47)</f>
        <v>280578.42545064079</v>
      </c>
      <c r="M22" s="326">
        <f>SUMIFS('Amenity CashFlow'!$C28:$EE28,'Amenity CashFlow'!$C$7:$EE$7,'Amenity Annual CF'!M$2,'Amenity CashFlow'!$C$8:$EE$8,"&lt;="&amp;'Amenity Dashboard'!$B$47)</f>
        <v>288206.65139258013</v>
      </c>
    </row>
    <row r="23" spans="1:14" ht="16" thickTop="1" x14ac:dyDescent="0.2"/>
    <row r="24" spans="1:14" x14ac:dyDescent="0.2">
      <c r="A24" s="294" t="s">
        <v>466</v>
      </c>
      <c r="B24" s="316"/>
      <c r="C24" s="317">
        <f>SUMIFS('Amenity CashFlow'!$C30:$EE30,'Amenity CashFlow'!$C$7:$EE$7,'Amenity Annual CF'!C$2,'Amenity CashFlow'!$C$8:$EE$8,"&lt;="&amp;'Amenity Dashboard'!$B$47)</f>
        <v>0</v>
      </c>
      <c r="D24" s="317">
        <f ca="1">SUMIFS('Amenity CashFlow'!$C30:$EE30,'Amenity CashFlow'!$C$7:$EE$7,'Amenity Annual CF'!D$2,'Amenity CashFlow'!$C$8:$EE$8,"&lt;="&amp;'Amenity Dashboard'!$B$47)</f>
        <v>408000</v>
      </c>
      <c r="E24" s="317">
        <f ca="1">SUMIFS('Amenity CashFlow'!$C30:$EE30,'Amenity CashFlow'!$C$7:$EE$7,'Amenity Annual CF'!E$2,'Amenity CashFlow'!$C$8:$EE$8,"&lt;="&amp;'Amenity Dashboard'!$B$47)</f>
        <v>420240</v>
      </c>
      <c r="F24" s="317">
        <f ca="1">SUMIFS('Amenity CashFlow'!$C30:$EE30,'Amenity CashFlow'!$C$7:$EE$7,'Amenity Annual CF'!F$2,'Amenity CashFlow'!$C$8:$EE$8,"&lt;="&amp;'Amenity Dashboard'!$B$47)</f>
        <v>432847.2</v>
      </c>
      <c r="G24" s="317">
        <f ca="1">SUMIFS('Amenity CashFlow'!$C30:$EE30,'Amenity CashFlow'!$C$7:$EE$7,'Amenity Annual CF'!G$2,'Amenity CashFlow'!$C$8:$EE$8,"&lt;="&amp;'Amenity Dashboard'!$B$47)</f>
        <v>445832.61600000004</v>
      </c>
      <c r="H24" s="317">
        <f ca="1">SUMIFS('Amenity CashFlow'!$C30:$EE30,'Amenity CashFlow'!$C$7:$EE$7,'Amenity Annual CF'!H$2,'Amenity CashFlow'!$C$8:$EE$8,"&lt;="&amp;'Amenity Dashboard'!$B$47)</f>
        <v>459207.59448000009</v>
      </c>
      <c r="I24" s="317">
        <f ca="1">SUMIFS('Amenity CashFlow'!$C30:$EE30,'Amenity CashFlow'!$C$7:$EE$7,'Amenity Annual CF'!I$2,'Amenity CashFlow'!$C$8:$EE$8,"&lt;="&amp;'Amenity Dashboard'!$B$47)</f>
        <v>472983.82231440011</v>
      </c>
      <c r="J24" s="317">
        <f ca="1">SUMIFS('Amenity CashFlow'!$C30:$EE30,'Amenity CashFlow'!$C$7:$EE$7,'Amenity Annual CF'!J$2,'Amenity CashFlow'!$C$8:$EE$8,"&lt;="&amp;'Amenity Dashboard'!$B$47)</f>
        <v>487173.33698383212</v>
      </c>
      <c r="K24" s="317">
        <f ca="1">SUMIFS('Amenity CashFlow'!$C30:$EE30,'Amenity CashFlow'!$C$7:$EE$7,'Amenity Annual CF'!K$2,'Amenity CashFlow'!$C$8:$EE$8,"&lt;="&amp;'Amenity Dashboard'!$B$47)</f>
        <v>501788.53709334711</v>
      </c>
      <c r="L24" s="317">
        <f ca="1">SUMIFS('Amenity CashFlow'!$C30:$EE30,'Amenity CashFlow'!$C$7:$EE$7,'Amenity Annual CF'!L$2,'Amenity CashFlow'!$C$8:$EE$8,"&lt;="&amp;'Amenity Dashboard'!$B$47)</f>
        <v>516842.19320614752</v>
      </c>
      <c r="M24" s="318">
        <f ca="1">SUMIFS('Amenity CashFlow'!$C30:$EE30,'Amenity CashFlow'!$C$7:$EE$7,'Amenity Annual CF'!M$2,'Amenity CashFlow'!$C$8:$EE$8,"&lt;="&amp;'Amenity Dashboard'!$B$47)</f>
        <v>532347.45900233183</v>
      </c>
    </row>
    <row r="25" spans="1:14" x14ac:dyDescent="0.2">
      <c r="A25" s="259" t="s">
        <v>467</v>
      </c>
      <c r="B25" s="319"/>
      <c r="C25" s="288">
        <f>SUMIFS('Amenity CashFlow'!$C31:$EE31,'Amenity CashFlow'!$C$7:$EE$7,'Amenity Annual CF'!C$2,'Amenity CashFlow'!$C$8:$EE$8,"&lt;="&amp;'Amenity Dashboard'!$B$47)</f>
        <v>0</v>
      </c>
      <c r="D25" s="288">
        <f ca="1">SUMIFS('Amenity CashFlow'!$C31:$EE31,'Amenity CashFlow'!$C$7:$EE$7,'Amenity Annual CF'!D$2,'Amenity CashFlow'!$C$8:$EE$8,"&lt;="&amp;'Amenity Dashboard'!$B$47)</f>
        <v>40800</v>
      </c>
      <c r="E25" s="288">
        <f ca="1">SUMIFS('Amenity CashFlow'!$C31:$EE31,'Amenity CashFlow'!$C$7:$EE$7,'Amenity Annual CF'!E$2,'Amenity CashFlow'!$C$8:$EE$8,"&lt;="&amp;'Amenity Dashboard'!$B$47)</f>
        <v>42024.000000000007</v>
      </c>
      <c r="F25" s="288">
        <f ca="1">SUMIFS('Amenity CashFlow'!$C31:$EE31,'Amenity CashFlow'!$C$7:$EE$7,'Amenity Annual CF'!F$2,'Amenity CashFlow'!$C$8:$EE$8,"&lt;="&amp;'Amenity Dashboard'!$B$47)</f>
        <v>43284.720000000008</v>
      </c>
      <c r="G25" s="288">
        <f ca="1">SUMIFS('Amenity CashFlow'!$C31:$EE31,'Amenity CashFlow'!$C$7:$EE$7,'Amenity Annual CF'!G$2,'Amenity CashFlow'!$C$8:$EE$8,"&lt;="&amp;'Amenity Dashboard'!$B$47)</f>
        <v>44583.261600000005</v>
      </c>
      <c r="H25" s="288">
        <f ca="1">SUMIFS('Amenity CashFlow'!$C31:$EE31,'Amenity CashFlow'!$C$7:$EE$7,'Amenity Annual CF'!H$2,'Amenity CashFlow'!$C$8:$EE$8,"&lt;="&amp;'Amenity Dashboard'!$B$47)</f>
        <v>45920.759448000019</v>
      </c>
      <c r="I25" s="288">
        <f ca="1">SUMIFS('Amenity CashFlow'!$C31:$EE31,'Amenity CashFlow'!$C$7:$EE$7,'Amenity Annual CF'!I$2,'Amenity CashFlow'!$C$8:$EE$8,"&lt;="&amp;'Amenity Dashboard'!$B$47)</f>
        <v>47298.382231440009</v>
      </c>
      <c r="J25" s="288">
        <f ca="1">SUMIFS('Amenity CashFlow'!$C31:$EE31,'Amenity CashFlow'!$C$7:$EE$7,'Amenity Annual CF'!J$2,'Amenity CashFlow'!$C$8:$EE$8,"&lt;="&amp;'Amenity Dashboard'!$B$47)</f>
        <v>48717.33369838322</v>
      </c>
      <c r="K25" s="288">
        <f ca="1">SUMIFS('Amenity CashFlow'!$C31:$EE31,'Amenity CashFlow'!$C$7:$EE$7,'Amenity Annual CF'!K$2,'Amenity CashFlow'!$C$8:$EE$8,"&lt;="&amp;'Amenity Dashboard'!$B$47)</f>
        <v>50178.853709334719</v>
      </c>
      <c r="L25" s="288">
        <f ca="1">SUMIFS('Amenity CashFlow'!$C31:$EE31,'Amenity CashFlow'!$C$7:$EE$7,'Amenity Annual CF'!L$2,'Amenity CashFlow'!$C$8:$EE$8,"&lt;="&amp;'Amenity Dashboard'!$B$47)</f>
        <v>51684.219320614757</v>
      </c>
      <c r="M25" s="320">
        <f ca="1">SUMIFS('Amenity CashFlow'!$C31:$EE31,'Amenity CashFlow'!$C$7:$EE$7,'Amenity Annual CF'!M$2,'Amenity CashFlow'!$C$8:$EE$8,"&lt;="&amp;'Amenity Dashboard'!$B$47)</f>
        <v>53234.745900233189</v>
      </c>
    </row>
    <row r="26" spans="1:14" ht="17" thickBot="1" x14ac:dyDescent="0.25">
      <c r="A26" s="259" t="s">
        <v>445</v>
      </c>
      <c r="B26" s="323"/>
      <c r="C26" s="288">
        <f>SUMIFS('Amenity CashFlow'!$C32:$EE32,'Amenity CashFlow'!$C$7:$EE$7,'Amenity Annual CF'!C$2,'Amenity CashFlow'!$C$8:$EE$8,"&lt;="&amp;'Amenity Dashboard'!$B$47)</f>
        <v>0</v>
      </c>
      <c r="D26" s="288">
        <f ca="1">SUMIFS('Amenity CashFlow'!$C32:$EE32,'Amenity CashFlow'!$C$7:$EE$7,'Amenity Annual CF'!D$2,'Amenity CashFlow'!$C$8:$EE$8,"&lt;="&amp;'Amenity Dashboard'!$B$47)</f>
        <v>-100000</v>
      </c>
      <c r="E26" s="288">
        <f ca="1">SUMIFS('Amenity CashFlow'!$C32:$EE32,'Amenity CashFlow'!$C$7:$EE$7,'Amenity Annual CF'!E$2,'Amenity CashFlow'!$C$8:$EE$8,"&lt;="&amp;'Amenity Dashboard'!$B$47)</f>
        <v>-100000</v>
      </c>
      <c r="F26" s="288">
        <f ca="1">SUMIFS('Amenity CashFlow'!$C32:$EE32,'Amenity CashFlow'!$C$7:$EE$7,'Amenity Annual CF'!F$2,'Amenity CashFlow'!$C$8:$EE$8,"&lt;="&amp;'Amenity Dashboard'!$B$47)</f>
        <v>-100000</v>
      </c>
      <c r="G26" s="288">
        <f ca="1">SUMIFS('Amenity CashFlow'!$C32:$EE32,'Amenity CashFlow'!$C$7:$EE$7,'Amenity Annual CF'!G$2,'Amenity CashFlow'!$C$8:$EE$8,"&lt;="&amp;'Amenity Dashboard'!$B$47)</f>
        <v>-100000</v>
      </c>
      <c r="H26" s="288">
        <f ca="1">SUMIFS('Amenity CashFlow'!$C32:$EE32,'Amenity CashFlow'!$C$7:$EE$7,'Amenity Annual CF'!H$2,'Amenity CashFlow'!$C$8:$EE$8,"&lt;="&amp;'Amenity Dashboard'!$B$47)</f>
        <v>-100000</v>
      </c>
      <c r="I26" s="288">
        <f ca="1">SUMIFS('Amenity CashFlow'!$C32:$EE32,'Amenity CashFlow'!$C$7:$EE$7,'Amenity Annual CF'!I$2,'Amenity CashFlow'!$C$8:$EE$8,"&lt;="&amp;'Amenity Dashboard'!$B$47)</f>
        <v>-100000</v>
      </c>
      <c r="J26" s="288">
        <f ca="1">SUMIFS('Amenity CashFlow'!$C32:$EE32,'Amenity CashFlow'!$C$7:$EE$7,'Amenity Annual CF'!J$2,'Amenity CashFlow'!$C$8:$EE$8,"&lt;="&amp;'Amenity Dashboard'!$B$47)</f>
        <v>-100000</v>
      </c>
      <c r="K26" s="288">
        <f ca="1">SUMIFS('Amenity CashFlow'!$C32:$EE32,'Amenity CashFlow'!$C$7:$EE$7,'Amenity Annual CF'!K$2,'Amenity CashFlow'!$C$8:$EE$8,"&lt;="&amp;'Amenity Dashboard'!$B$47)</f>
        <v>-100000</v>
      </c>
      <c r="L26" s="288">
        <f ca="1">SUMIFS('Amenity CashFlow'!$C32:$EE32,'Amenity CashFlow'!$C$7:$EE$7,'Amenity Annual CF'!L$2,'Amenity CashFlow'!$C$8:$EE$8,"&lt;="&amp;'Amenity Dashboard'!$B$47)</f>
        <v>-100000</v>
      </c>
      <c r="M26" s="320">
        <f ca="1">SUMIFS('Amenity CashFlow'!$C32:$EE32,'Amenity CashFlow'!$C$7:$EE$7,'Amenity Annual CF'!M$2,'Amenity CashFlow'!$C$8:$EE$8,"&lt;="&amp;'Amenity Dashboard'!$B$47)</f>
        <v>-100000</v>
      </c>
    </row>
    <row r="27" spans="1:14" ht="17" thickTop="1" thickBot="1" x14ac:dyDescent="0.25">
      <c r="A27" s="270" t="s">
        <v>468</v>
      </c>
      <c r="B27" s="324"/>
      <c r="C27" s="325">
        <f>SUMIFS('Amenity CashFlow'!$C33:$EE33,'Amenity CashFlow'!$C$7:$EE$7,'Amenity Annual CF'!C$2,'Amenity CashFlow'!$C$8:$EE$8,"&lt;="&amp;'Amenity Dashboard'!$B$47)</f>
        <v>0</v>
      </c>
      <c r="D27" s="325">
        <f ca="1">SUMIFS('Amenity CashFlow'!$C33:$EE33,'Amenity CashFlow'!$C$7:$EE$7,'Amenity Annual CF'!D$2,'Amenity CashFlow'!$C$8:$EE$8,"&lt;="&amp;'Amenity Dashboard'!$B$47)</f>
        <v>348800</v>
      </c>
      <c r="E27" s="325">
        <f ca="1">SUMIFS('Amenity CashFlow'!$C33:$EE33,'Amenity CashFlow'!$C$7:$EE$7,'Amenity Annual CF'!E$2,'Amenity CashFlow'!$C$8:$EE$8,"&lt;="&amp;'Amenity Dashboard'!$B$47)</f>
        <v>362264</v>
      </c>
      <c r="F27" s="325">
        <f ca="1">SUMIFS('Amenity CashFlow'!$C33:$EE33,'Amenity CashFlow'!$C$7:$EE$7,'Amenity Annual CF'!F$2,'Amenity CashFlow'!$C$8:$EE$8,"&lt;="&amp;'Amenity Dashboard'!$B$47)</f>
        <v>376131.92000000004</v>
      </c>
      <c r="G27" s="325">
        <f ca="1">SUMIFS('Amenity CashFlow'!$C33:$EE33,'Amenity CashFlow'!$C$7:$EE$7,'Amenity Annual CF'!G$2,'Amenity CashFlow'!$C$8:$EE$8,"&lt;="&amp;'Amenity Dashboard'!$B$47)</f>
        <v>390415.87760000012</v>
      </c>
      <c r="H27" s="325">
        <f ca="1">SUMIFS('Amenity CashFlow'!$C33:$EE33,'Amenity CashFlow'!$C$7:$EE$7,'Amenity Annual CF'!H$2,'Amenity CashFlow'!$C$8:$EE$8,"&lt;="&amp;'Amenity Dashboard'!$B$47)</f>
        <v>405128.35392800014</v>
      </c>
      <c r="I27" s="325">
        <f ca="1">SUMIFS('Amenity CashFlow'!$C33:$EE33,'Amenity CashFlow'!$C$7:$EE$7,'Amenity Annual CF'!I$2,'Amenity CashFlow'!$C$8:$EE$8,"&lt;="&amp;'Amenity Dashboard'!$B$47)</f>
        <v>420282.20454584004</v>
      </c>
      <c r="J27" s="325">
        <f ca="1">SUMIFS('Amenity CashFlow'!$C33:$EE33,'Amenity CashFlow'!$C$7:$EE$7,'Amenity Annual CF'!J$2,'Amenity CashFlow'!$C$8:$EE$8,"&lt;="&amp;'Amenity Dashboard'!$B$47)</f>
        <v>435890.67068221536</v>
      </c>
      <c r="K27" s="325">
        <f ca="1">SUMIFS('Amenity CashFlow'!$C33:$EE33,'Amenity CashFlow'!$C$7:$EE$7,'Amenity Annual CF'!K$2,'Amenity CashFlow'!$C$8:$EE$8,"&lt;="&amp;'Amenity Dashboard'!$B$47)</f>
        <v>451967.39080268185</v>
      </c>
      <c r="L27" s="325">
        <f ca="1">SUMIFS('Amenity CashFlow'!$C33:$EE33,'Amenity CashFlow'!$C$7:$EE$7,'Amenity Annual CF'!L$2,'Amenity CashFlow'!$C$8:$EE$8,"&lt;="&amp;'Amenity Dashboard'!$B$47)</f>
        <v>468526.41252676229</v>
      </c>
      <c r="M27" s="326">
        <f ca="1">SUMIFS('Amenity CashFlow'!$C33:$EE33,'Amenity CashFlow'!$C$7:$EE$7,'Amenity Annual CF'!M$2,'Amenity CashFlow'!$C$8:$EE$8,"&lt;="&amp;'Amenity Dashboard'!$B$47)</f>
        <v>485582.20490256505</v>
      </c>
    </row>
    <row r="28" spans="1:14" ht="17" thickTop="1" thickBot="1" x14ac:dyDescent="0.25">
      <c r="A28" s="327"/>
    </row>
    <row r="29" spans="1:14" ht="17" thickTop="1" thickBot="1" x14ac:dyDescent="0.25">
      <c r="A29" s="270" t="s">
        <v>469</v>
      </c>
      <c r="B29" s="324"/>
      <c r="C29" s="325">
        <f>SUMIFS('Amenity CashFlow'!$C35:$EE35,'Amenity CashFlow'!$C$7:$EE$7,'Amenity Annual CF'!C$2,'Amenity CashFlow'!$C$8:$EE$8,"&lt;="&amp;'Amenity Dashboard'!$B$47)</f>
        <v>0</v>
      </c>
      <c r="D29" s="325">
        <f ca="1">SUMIFS('Amenity CashFlow'!$C35:$EE35,'Amenity CashFlow'!$C$7:$EE$7,'Amenity Annual CF'!D$2,'Amenity CashFlow'!$C$8:$EE$8,"&lt;="&amp;'Amenity Dashboard'!$B$47)</f>
        <v>1290137.6000000001</v>
      </c>
      <c r="E29" s="325">
        <f ca="1">SUMIFS('Amenity CashFlow'!$C35:$EE35,'Amenity CashFlow'!$C$7:$EE$7,'Amenity Annual CF'!E$2,'Amenity CashFlow'!$C$8:$EE$8,"&lt;="&amp;'Amenity Dashboard'!$B$47)</f>
        <v>1761667.8968000002</v>
      </c>
      <c r="F29" s="325">
        <f ca="1">SUMIFS('Amenity CashFlow'!$C35:$EE35,'Amenity CashFlow'!$C$7:$EE$7,'Amenity Annual CF'!F$2,'Amenity CashFlow'!$C$8:$EE$8,"&lt;="&amp;'Amenity Dashboard'!$B$47)</f>
        <v>2447097.3688039999</v>
      </c>
      <c r="G29" s="325">
        <f ca="1">SUMIFS('Amenity CashFlow'!$C35:$EE35,'Amenity CashFlow'!$C$7:$EE$7,'Amenity Annual CF'!G$2,'Amenity CashFlow'!$C$8:$EE$8,"&lt;="&amp;'Amenity Dashboard'!$B$47)</f>
        <v>2523510.2898681206</v>
      </c>
      <c r="H29" s="325">
        <f ca="1">SUMIFS('Amenity CashFlow'!$C35:$EE35,'Amenity CashFlow'!$C$7:$EE$7,'Amenity Annual CF'!H$2,'Amenity CashFlow'!$C$8:$EE$8,"&lt;="&amp;'Amenity Dashboard'!$B$47)</f>
        <v>2608231.353112909</v>
      </c>
      <c r="I29" s="325">
        <f ca="1">SUMIFS('Amenity CashFlow'!$C35:$EE35,'Amenity CashFlow'!$C$7:$EE$7,'Amenity Annual CF'!I$2,'Amenity CashFlow'!$C$8:$EE$8,"&lt;="&amp;'Amenity Dashboard'!$B$47)</f>
        <v>2683282.0665210886</v>
      </c>
      <c r="J29" s="325">
        <f ca="1">SUMIFS('Amenity CashFlow'!$C35:$EE35,'Amenity CashFlow'!$C$7:$EE$7,'Amenity Annual CF'!J$2,'Amenity CashFlow'!$C$8:$EE$8,"&lt;="&amp;'Amenity Dashboard'!$B$47)</f>
        <v>2766780.528516721</v>
      </c>
      <c r="K29" s="325">
        <f ca="1">SUMIFS('Amenity CashFlow'!$C35:$EE35,'Amenity CashFlow'!$C$7:$EE$7,'Amenity Annual CF'!K$2,'Amenity CashFlow'!$C$8:$EE$8,"&lt;="&amp;'Amenity Dashboard'!$B$47)</f>
        <v>2852783.9443722228</v>
      </c>
      <c r="L29" s="325">
        <f ca="1">SUMIFS('Amenity CashFlow'!$C35:$EE35,'Amenity CashFlow'!$C$7:$EE$7,'Amenity Annual CF'!L$2,'Amenity CashFlow'!$C$8:$EE$8,"&lt;="&amp;'Amenity Dashboard'!$B$47)</f>
        <v>2948138.2474467997</v>
      </c>
      <c r="M29" s="325">
        <f ca="1">SUMIFS('Amenity CashFlow'!$C35:$EE35,'Amenity CashFlow'!$C$7:$EE$7,'Amenity Annual CF'!M$2,'Amenity CashFlow'!$C$8:$EE$8,"&lt;="&amp;'Amenity Dashboard'!$B$47)</f>
        <v>3032608.486584492</v>
      </c>
    </row>
    <row r="30" spans="1:14" ht="16" thickTop="1" x14ac:dyDescent="0.2"/>
    <row r="31" spans="1:14" ht="16" x14ac:dyDescent="0.2">
      <c r="A31" s="294" t="s">
        <v>470</v>
      </c>
      <c r="B31" s="328"/>
      <c r="C31" s="317">
        <f>SUMIFS('Amenity CashFlow'!$C37:$EE37,'Amenity CashFlow'!$C$7:$EE$7,'Amenity Annual CF'!C$2,'Amenity CashFlow'!$C$8:$EE$8,"&lt;="&amp;'Amenity Dashboard'!$B$47)</f>
        <v>0</v>
      </c>
      <c r="D31" s="317">
        <f ca="1">SUMIFS('Amenity CashFlow'!$C37:$EE37,'Amenity CashFlow'!$C$7:$EE$7,'Amenity Annual CF'!D$2,'Amenity CashFlow'!$C$8:$EE$8,"&lt;="&amp;'Amenity Dashboard'!$B$47)</f>
        <v>-206422.01600000003</v>
      </c>
      <c r="E31" s="317">
        <f ca="1">SUMIFS('Amenity CashFlow'!$C37:$EE37,'Amenity CashFlow'!$C$7:$EE$7,'Amenity Annual CF'!E$2,'Amenity CashFlow'!$C$8:$EE$8,"&lt;="&amp;'Amenity Dashboard'!$B$47)</f>
        <v>-281866.863488</v>
      </c>
      <c r="F31" s="317">
        <f ca="1">SUMIFS('Amenity CashFlow'!$C37:$EE37,'Amenity CashFlow'!$C$7:$EE$7,'Amenity Annual CF'!F$2,'Amenity CashFlow'!$C$8:$EE$8,"&lt;="&amp;'Amenity Dashboard'!$B$47)</f>
        <v>-391535.57900863996</v>
      </c>
      <c r="G31" s="317">
        <f ca="1">SUMIFS('Amenity CashFlow'!$C37:$EE37,'Amenity CashFlow'!$C$7:$EE$7,'Amenity Annual CF'!G$2,'Amenity CashFlow'!$C$8:$EE$8,"&lt;="&amp;'Amenity Dashboard'!$B$47)</f>
        <v>-403761.64637889934</v>
      </c>
      <c r="H31" s="317">
        <f ca="1">SUMIFS('Amenity CashFlow'!$C37:$EE37,'Amenity CashFlow'!$C$7:$EE$7,'Amenity Annual CF'!H$2,'Amenity CashFlow'!$C$8:$EE$8,"&lt;="&amp;'Amenity Dashboard'!$B$47)</f>
        <v>-417317.01649806555</v>
      </c>
      <c r="I31" s="317">
        <f ca="1">SUMIFS('Amenity CashFlow'!$C37:$EE37,'Amenity CashFlow'!$C$7:$EE$7,'Amenity Annual CF'!I$2,'Amenity CashFlow'!$C$8:$EE$8,"&lt;="&amp;'Amenity Dashboard'!$B$47)</f>
        <v>-429325.13064337411</v>
      </c>
      <c r="J31" s="317">
        <f ca="1">SUMIFS('Amenity CashFlow'!$C37:$EE37,'Amenity CashFlow'!$C$7:$EE$7,'Amenity Annual CF'!J$2,'Amenity CashFlow'!$C$8:$EE$8,"&lt;="&amp;'Amenity Dashboard'!$B$47)</f>
        <v>-442684.88456267532</v>
      </c>
      <c r="K31" s="317">
        <f ca="1">SUMIFS('Amenity CashFlow'!$C37:$EE37,'Amenity CashFlow'!$C$7:$EE$7,'Amenity Annual CF'!K$2,'Amenity CashFlow'!$C$8:$EE$8,"&lt;="&amp;'Amenity Dashboard'!$B$47)</f>
        <v>-456445.43109955569</v>
      </c>
      <c r="L31" s="317">
        <f ca="1">SUMIFS('Amenity CashFlow'!$C37:$EE37,'Amenity CashFlow'!$C$7:$EE$7,'Amenity Annual CF'!L$2,'Amenity CashFlow'!$C$8:$EE$8,"&lt;="&amp;'Amenity Dashboard'!$B$47)</f>
        <v>-471702.11959148792</v>
      </c>
      <c r="M31" s="318">
        <f ca="1">SUMIFS('Amenity CashFlow'!$C37:$EE37,'Amenity CashFlow'!$C$7:$EE$7,'Amenity Annual CF'!M$2,'Amenity CashFlow'!$C$8:$EE$8,"&lt;="&amp;'Amenity Dashboard'!$B$47)</f>
        <v>-485217.35785351868</v>
      </c>
      <c r="N31" s="329"/>
    </row>
    <row r="32" spans="1:14" ht="16" x14ac:dyDescent="0.2">
      <c r="A32" s="259" t="s">
        <v>471</v>
      </c>
      <c r="B32" s="323"/>
      <c r="C32" s="288">
        <f>SUMIFS('Amenity CashFlow'!$C38:$EE38,'Amenity CashFlow'!$C$7:$EE$7,'Amenity Annual CF'!C$2,'Amenity CashFlow'!$C$8:$EE$8,"&lt;="&amp;'Amenity Dashboard'!$B$47)</f>
        <v>0</v>
      </c>
      <c r="D32" s="288">
        <f>SUMIFS('Amenity CashFlow'!$C38:$EE38,'Amenity CashFlow'!$C$7:$EE$7,'Amenity Annual CF'!D$2,'Amenity CashFlow'!$C$8:$EE$8,"&lt;="&amp;'Amenity Dashboard'!$B$47)</f>
        <v>-83059.200000000012</v>
      </c>
      <c r="E32" s="288">
        <f>SUMIFS('Amenity CashFlow'!$C38:$EE38,'Amenity CashFlow'!$C$7:$EE$7,'Amenity Annual CF'!E$2,'Amenity CashFlow'!$C$8:$EE$8,"&lt;="&amp;'Amenity Dashboard'!$B$47)</f>
        <v>-120669.444</v>
      </c>
      <c r="F32" s="288">
        <f>SUMIFS('Amenity CashFlow'!$C38:$EE38,'Amenity CashFlow'!$C$7:$EE$7,'Amenity Annual CF'!F$2,'Amenity CashFlow'!$C$8:$EE$8,"&lt;="&amp;'Amenity Dashboard'!$B$47)</f>
        <v>-175753.78631999996</v>
      </c>
      <c r="G32" s="288">
        <f>SUMIFS('Amenity CashFlow'!$C38:$EE38,'Amenity CashFlow'!$C$7:$EE$7,'Amenity Annual CF'!G$2,'Amenity CashFlow'!$C$8:$EE$8,"&lt;="&amp;'Amenity Dashboard'!$B$47)</f>
        <v>-181026.39990960003</v>
      </c>
      <c r="H32" s="288">
        <f>SUMIFS('Amenity CashFlow'!$C38:$EE38,'Amenity CashFlow'!$C$7:$EE$7,'Amenity Annual CF'!H$2,'Amenity CashFlow'!$C$8:$EE$8,"&lt;="&amp;'Amenity Dashboard'!$B$47)</f>
        <v>-186967.72270310402</v>
      </c>
      <c r="I32" s="288">
        <f>SUMIFS('Amenity CashFlow'!$C38:$EE38,'Amenity CashFlow'!$C$7:$EE$7,'Amenity Annual CF'!I$2,'Amenity CashFlow'!$C$8:$EE$8,"&lt;="&amp;'Amenity Dashboard'!$B$47)</f>
        <v>-192050.90766409467</v>
      </c>
      <c r="J32" s="288">
        <f>SUMIFS('Amenity CashFlow'!$C38:$EE38,'Amenity CashFlow'!$C$7:$EE$7,'Amenity Annual CF'!J$2,'Amenity CashFlow'!$C$8:$EE$8,"&lt;="&amp;'Amenity Dashboard'!$B$47)</f>
        <v>-197812.4348940175</v>
      </c>
      <c r="K32" s="288">
        <f>SUMIFS('Amenity CashFlow'!$C38:$EE38,'Amenity CashFlow'!$C$7:$EE$7,'Amenity Annual CF'!K$2,'Amenity CashFlow'!$C$8:$EE$8,"&lt;="&amp;'Amenity Dashboard'!$B$47)</f>
        <v>-203746.80794083799</v>
      </c>
      <c r="L32" s="288">
        <f>SUMIFS('Amenity CashFlow'!$C38:$EE38,'Amenity CashFlow'!$C$7:$EE$7,'Amenity Annual CF'!L$2,'Amenity CashFlow'!$C$8:$EE$8,"&lt;="&amp;'Amenity Dashboard'!$B$47)</f>
        <v>-210433.81908798058</v>
      </c>
      <c r="M32" s="320">
        <f>SUMIFS('Amenity CashFlow'!$C38:$EE38,'Amenity CashFlow'!$C$7:$EE$7,'Amenity Annual CF'!M$2,'Amenity CashFlow'!$C$8:$EE$8,"&lt;="&amp;'Amenity Dashboard'!$B$47)</f>
        <v>-216154.98854443507</v>
      </c>
    </row>
    <row r="33" spans="1:13" ht="16" x14ac:dyDescent="0.2">
      <c r="A33" s="312" t="s">
        <v>472</v>
      </c>
      <c r="B33" s="323"/>
      <c r="C33" s="288">
        <f>SUMIFS('Amenity CashFlow'!$C39:$EE39,'Amenity CashFlow'!$C$7:$EE$7,'Amenity Annual CF'!C$2,'Amenity CashFlow'!$C$8:$EE$8,"&lt;="&amp;'Amenity Dashboard'!$B$47)</f>
        <v>0</v>
      </c>
      <c r="D33" s="288">
        <f>SUMIFS('Amenity CashFlow'!$C39:$EE39,'Amenity CashFlow'!$C$7:$EE$7,'Amenity Annual CF'!D$2,'Amenity CashFlow'!$C$8:$EE$8,"&lt;="&amp;'Amenity Dashboard'!$B$47)</f>
        <v>-83059.200000000012</v>
      </c>
      <c r="E33" s="288">
        <f>SUMIFS('Amenity CashFlow'!$C39:$EE39,'Amenity CashFlow'!$C$7:$EE$7,'Amenity Annual CF'!E$2,'Amenity CashFlow'!$C$8:$EE$8,"&lt;="&amp;'Amenity Dashboard'!$B$47)</f>
        <v>-120669.444</v>
      </c>
      <c r="F33" s="288">
        <f>SUMIFS('Amenity CashFlow'!$C39:$EE39,'Amenity CashFlow'!$C$7:$EE$7,'Amenity Annual CF'!F$2,'Amenity CashFlow'!$C$8:$EE$8,"&lt;="&amp;'Amenity Dashboard'!$B$47)</f>
        <v>-175753.78631999996</v>
      </c>
      <c r="G33" s="288">
        <f>SUMIFS('Amenity CashFlow'!$C39:$EE39,'Amenity CashFlow'!$C$7:$EE$7,'Amenity Annual CF'!G$2,'Amenity CashFlow'!$C$8:$EE$8,"&lt;="&amp;'Amenity Dashboard'!$B$47)</f>
        <v>-181026.39990960003</v>
      </c>
      <c r="H33" s="288">
        <f>SUMIFS('Amenity CashFlow'!$C39:$EE39,'Amenity CashFlow'!$C$7:$EE$7,'Amenity Annual CF'!H$2,'Amenity CashFlow'!$C$8:$EE$8,"&lt;="&amp;'Amenity Dashboard'!$B$47)</f>
        <v>-186967.72270310402</v>
      </c>
      <c r="I33" s="288">
        <f>SUMIFS('Amenity CashFlow'!$C39:$EE39,'Amenity CashFlow'!$C$7:$EE$7,'Amenity Annual CF'!I$2,'Amenity CashFlow'!$C$8:$EE$8,"&lt;="&amp;'Amenity Dashboard'!$B$47)</f>
        <v>-192050.90766409467</v>
      </c>
      <c r="J33" s="288">
        <f>SUMIFS('Amenity CashFlow'!$C39:$EE39,'Amenity CashFlow'!$C$7:$EE$7,'Amenity Annual CF'!J$2,'Amenity CashFlow'!$C$8:$EE$8,"&lt;="&amp;'Amenity Dashboard'!$B$47)</f>
        <v>-197812.4348940175</v>
      </c>
      <c r="K33" s="288">
        <f>SUMIFS('Amenity CashFlow'!$C39:$EE39,'Amenity CashFlow'!$C$7:$EE$7,'Amenity Annual CF'!K$2,'Amenity CashFlow'!$C$8:$EE$8,"&lt;="&amp;'Amenity Dashboard'!$B$47)</f>
        <v>-203746.80794083799</v>
      </c>
      <c r="L33" s="288">
        <f>SUMIFS('Amenity CashFlow'!$C39:$EE39,'Amenity CashFlow'!$C$7:$EE$7,'Amenity Annual CF'!L$2,'Amenity CashFlow'!$C$8:$EE$8,"&lt;="&amp;'Amenity Dashboard'!$B$47)</f>
        <v>-210433.81908798058</v>
      </c>
      <c r="M33" s="320">
        <f>SUMIFS('Amenity CashFlow'!$C39:$EE39,'Amenity CashFlow'!$C$7:$EE$7,'Amenity Annual CF'!M$2,'Amenity CashFlow'!$C$8:$EE$8,"&lt;="&amp;'Amenity Dashboard'!$B$47)</f>
        <v>-216154.98854443507</v>
      </c>
    </row>
    <row r="34" spans="1:13" ht="17" thickBot="1" x14ac:dyDescent="0.25">
      <c r="A34" s="259" t="s">
        <v>473</v>
      </c>
      <c r="B34" s="323"/>
      <c r="C34" s="288">
        <f>SUMIFS('Amenity CashFlow'!$C40:$EE40,'Amenity CashFlow'!$C$7:$EE$7,'Amenity Annual CF'!C$2,'Amenity CashFlow'!$C$8:$EE$8,"&lt;="&amp;'Amenity Dashboard'!$B$47)</f>
        <v>0</v>
      </c>
      <c r="D34" s="288">
        <f>SUMIFS('Amenity CashFlow'!$C40:$EE40,'Amenity CashFlow'!$C$7:$EE$7,'Amenity Annual CF'!D$2,'Amenity CashFlow'!$C$8:$EE$8,"&lt;="&amp;'Amenity Dashboard'!$B$47)</f>
        <v>-55372.799999999996</v>
      </c>
      <c r="E34" s="288">
        <f>SUMIFS('Amenity CashFlow'!$C40:$EE40,'Amenity CashFlow'!$C$7:$EE$7,'Amenity Annual CF'!E$2,'Amenity CashFlow'!$C$8:$EE$8,"&lt;="&amp;'Amenity Dashboard'!$B$47)</f>
        <v>-80446.296000000002</v>
      </c>
      <c r="F34" s="288">
        <f>SUMIFS('Amenity CashFlow'!$C40:$EE40,'Amenity CashFlow'!$C$7:$EE$7,'Amenity Annual CF'!F$2,'Amenity CashFlow'!$C$8:$EE$8,"&lt;="&amp;'Amenity Dashboard'!$B$47)</f>
        <v>-117169.19087999998</v>
      </c>
      <c r="G34" s="288">
        <f>SUMIFS('Amenity CashFlow'!$C40:$EE40,'Amenity CashFlow'!$C$7:$EE$7,'Amenity Annual CF'!G$2,'Amenity CashFlow'!$C$8:$EE$8,"&lt;="&amp;'Amenity Dashboard'!$B$47)</f>
        <v>-120684.26660640001</v>
      </c>
      <c r="H34" s="288">
        <f>SUMIFS('Amenity CashFlow'!$C40:$EE40,'Amenity CashFlow'!$C$7:$EE$7,'Amenity Annual CF'!H$2,'Amenity CashFlow'!$C$8:$EE$8,"&lt;="&amp;'Amenity Dashboard'!$B$47)</f>
        <v>-124645.14846873601</v>
      </c>
      <c r="I34" s="288">
        <f>SUMIFS('Amenity CashFlow'!$C40:$EE40,'Amenity CashFlow'!$C$7:$EE$7,'Amenity Annual CF'!I$2,'Amenity CashFlow'!$C$8:$EE$8,"&lt;="&amp;'Amenity Dashboard'!$B$47)</f>
        <v>-128033.93844272975</v>
      </c>
      <c r="J34" s="288">
        <f>SUMIFS('Amenity CashFlow'!$C40:$EE40,'Amenity CashFlow'!$C$7:$EE$7,'Amenity Annual CF'!J$2,'Amenity CashFlow'!$C$8:$EE$8,"&lt;="&amp;'Amenity Dashboard'!$B$47)</f>
        <v>-131874.95659601165</v>
      </c>
      <c r="K34" s="288">
        <f>SUMIFS('Amenity CashFlow'!$C40:$EE40,'Amenity CashFlow'!$C$7:$EE$7,'Amenity Annual CF'!K$2,'Amenity CashFlow'!$C$8:$EE$8,"&lt;="&amp;'Amenity Dashboard'!$B$47)</f>
        <v>-135831.20529389201</v>
      </c>
      <c r="L34" s="288">
        <f>SUMIFS('Amenity CashFlow'!$C40:$EE40,'Amenity CashFlow'!$C$7:$EE$7,'Amenity Annual CF'!L$2,'Amenity CashFlow'!$C$8:$EE$8,"&lt;="&amp;'Amenity Dashboard'!$B$47)</f>
        <v>-140289.21272532039</v>
      </c>
      <c r="M34" s="320">
        <f>SUMIFS('Amenity CashFlow'!$C40:$EE40,'Amenity CashFlow'!$C$7:$EE$7,'Amenity Annual CF'!M$2,'Amenity CashFlow'!$C$8:$EE$8,"&lt;="&amp;'Amenity Dashboard'!$B$47)</f>
        <v>-144103.32569629006</v>
      </c>
    </row>
    <row r="35" spans="1:13" ht="17" thickTop="1" thickBot="1" x14ac:dyDescent="0.25">
      <c r="A35" s="270" t="s">
        <v>474</v>
      </c>
      <c r="B35" s="330">
        <f ca="1">-SUM(C35:M35)/SUM(C29:M29)</f>
        <v>0.3492011067759076</v>
      </c>
      <c r="C35" s="325">
        <f>SUMIFS('Amenity CashFlow'!$C41:$EE41,'Amenity CashFlow'!$C$7:$EE$7,'Amenity Annual CF'!C$2,'Amenity CashFlow'!$C$8:$EE$8,"&lt;="&amp;'Amenity Dashboard'!$B$47)</f>
        <v>0</v>
      </c>
      <c r="D35" s="325">
        <f ca="1">SUMIFS('Amenity CashFlow'!$C41:$EE41,'Amenity CashFlow'!$C$7:$EE$7,'Amenity Annual CF'!D$2,'Amenity CashFlow'!$C$8:$EE$8,"&lt;="&amp;'Amenity Dashboard'!$B$47)</f>
        <v>-427913.21599999996</v>
      </c>
      <c r="E35" s="325">
        <f ca="1">SUMIFS('Amenity CashFlow'!$C41:$EE41,'Amenity CashFlow'!$C$7:$EE$7,'Amenity Annual CF'!E$2,'Amenity CashFlow'!$C$8:$EE$8,"&lt;="&amp;'Amenity Dashboard'!$B$47)</f>
        <v>-603652.04748800001</v>
      </c>
      <c r="F35" s="325">
        <f ca="1">SUMIFS('Amenity CashFlow'!$C41:$EE41,'Amenity CashFlow'!$C$7:$EE$7,'Amenity Annual CF'!F$2,'Amenity CashFlow'!$C$8:$EE$8,"&lt;="&amp;'Amenity Dashboard'!$B$47)</f>
        <v>-860212.34252863983</v>
      </c>
      <c r="G35" s="325">
        <f ca="1">SUMIFS('Amenity CashFlow'!$C41:$EE41,'Amenity CashFlow'!$C$7:$EE$7,'Amenity Annual CF'!G$2,'Amenity CashFlow'!$C$8:$EE$8,"&lt;="&amp;'Amenity Dashboard'!$B$47)</f>
        <v>-886498.71280449932</v>
      </c>
      <c r="H35" s="325">
        <f ca="1">SUMIFS('Amenity CashFlow'!$C41:$EE41,'Amenity CashFlow'!$C$7:$EE$7,'Amenity Annual CF'!H$2,'Amenity CashFlow'!$C$8:$EE$8,"&lt;="&amp;'Amenity Dashboard'!$B$47)</f>
        <v>-915897.61037300946</v>
      </c>
      <c r="I35" s="325">
        <f ca="1">SUMIFS('Amenity CashFlow'!$C41:$EE41,'Amenity CashFlow'!$C$7:$EE$7,'Amenity Annual CF'!I$2,'Amenity CashFlow'!$C$8:$EE$8,"&lt;="&amp;'Amenity Dashboard'!$B$47)</f>
        <v>-941460.88441429322</v>
      </c>
      <c r="J35" s="325">
        <f ca="1">SUMIFS('Amenity CashFlow'!$C41:$EE41,'Amenity CashFlow'!$C$7:$EE$7,'Amenity Annual CF'!J$2,'Amenity CashFlow'!$C$8:$EE$8,"&lt;="&amp;'Amenity Dashboard'!$B$47)</f>
        <v>-970184.71094672196</v>
      </c>
      <c r="K35" s="325">
        <f ca="1">SUMIFS('Amenity CashFlow'!$C41:$EE41,'Amenity CashFlow'!$C$7:$EE$7,'Amenity Annual CF'!K$2,'Amenity CashFlow'!$C$8:$EE$8,"&lt;="&amp;'Amenity Dashboard'!$B$47)</f>
        <v>-999770.25227512384</v>
      </c>
      <c r="L35" s="325">
        <f ca="1">SUMIFS('Amenity CashFlow'!$C41:$EE41,'Amenity CashFlow'!$C$7:$EE$7,'Amenity Annual CF'!L$2,'Amenity CashFlow'!$C$8:$EE$8,"&lt;="&amp;'Amenity Dashboard'!$B$47)</f>
        <v>-1032858.9704927693</v>
      </c>
      <c r="M35" s="326">
        <f ca="1">SUMIFS('Amenity CashFlow'!$C41:$EE41,'Amenity CashFlow'!$C$7:$EE$7,'Amenity Annual CF'!M$2,'Amenity CashFlow'!$C$8:$EE$8,"&lt;="&amp;'Amenity Dashboard'!$B$47)</f>
        <v>-1061630.6606386786</v>
      </c>
    </row>
    <row r="36" spans="1:13" ht="17" thickTop="1" thickBot="1" x14ac:dyDescent="0.25"/>
    <row r="37" spans="1:13" ht="17" thickTop="1" thickBot="1" x14ac:dyDescent="0.25">
      <c r="A37" s="270" t="s">
        <v>478</v>
      </c>
      <c r="B37" s="324"/>
      <c r="C37" s="325">
        <f>SUMIFS('Amenity CashFlow'!$C43:$EE43,'Amenity CashFlow'!$C$7:$EE$7,'Amenity Annual CF'!C$2,'Amenity CashFlow'!$C$8:$EE$8,"&lt;="&amp;'Amenity Dashboard'!$B$47)</f>
        <v>0</v>
      </c>
      <c r="D37" s="325">
        <f ca="1">SUMIFS('Amenity CashFlow'!$C43:$EE43,'Amenity CashFlow'!$C$7:$EE$7,'Amenity Annual CF'!D$2,'Amenity CashFlow'!$C$8:$EE$8,"&lt;="&amp;'Amenity Dashboard'!$B$47)</f>
        <v>862224.38399999996</v>
      </c>
      <c r="E37" s="325">
        <f ca="1">SUMIFS('Amenity CashFlow'!$C43:$EE43,'Amenity CashFlow'!$C$7:$EE$7,'Amenity Annual CF'!E$2,'Amenity CashFlow'!$C$8:$EE$8,"&lt;="&amp;'Amenity Dashboard'!$B$47)</f>
        <v>1158015.849312</v>
      </c>
      <c r="F37" s="325">
        <f ca="1">SUMIFS('Amenity CashFlow'!$C43:$EE43,'Amenity CashFlow'!$C$7:$EE$7,'Amenity Annual CF'!F$2,'Amenity CashFlow'!$C$8:$EE$8,"&lt;="&amp;'Amenity Dashboard'!$B$47)</f>
        <v>1586885.02627536</v>
      </c>
      <c r="G37" s="325">
        <f ca="1">SUMIFS('Amenity CashFlow'!$C43:$EE43,'Amenity CashFlow'!$C$7:$EE$7,'Amenity Annual CF'!G$2,'Amenity CashFlow'!$C$8:$EE$8,"&lt;="&amp;'Amenity Dashboard'!$B$47)</f>
        <v>1637011.5770636208</v>
      </c>
      <c r="H37" s="325">
        <f ca="1">SUMIFS('Amenity CashFlow'!$C43:$EE43,'Amenity CashFlow'!$C$7:$EE$7,'Amenity Annual CF'!H$2,'Amenity CashFlow'!$C$8:$EE$8,"&lt;="&amp;'Amenity Dashboard'!$B$47)</f>
        <v>1692333.7427398998</v>
      </c>
      <c r="I37" s="325">
        <f ca="1">SUMIFS('Amenity CashFlow'!$C43:$EE43,'Amenity CashFlow'!$C$7:$EE$7,'Amenity Annual CF'!I$2,'Amenity CashFlow'!$C$8:$EE$8,"&lt;="&amp;'Amenity Dashboard'!$B$47)</f>
        <v>1741821.182106795</v>
      </c>
      <c r="J37" s="325">
        <f ca="1">SUMIFS('Amenity CashFlow'!$C43:$EE43,'Amenity CashFlow'!$C$7:$EE$7,'Amenity Annual CF'!J$2,'Amenity CashFlow'!$C$8:$EE$8,"&lt;="&amp;'Amenity Dashboard'!$B$47)</f>
        <v>1796595.817569999</v>
      </c>
      <c r="K37" s="325">
        <f ca="1">SUMIFS('Amenity CashFlow'!$C43:$EE43,'Amenity CashFlow'!$C$7:$EE$7,'Amenity Annual CF'!K$2,'Amenity CashFlow'!$C$8:$EE$8,"&lt;="&amp;'Amenity Dashboard'!$B$47)</f>
        <v>1853013.6920970993</v>
      </c>
      <c r="L37" s="325">
        <f ca="1">SUMIFS('Amenity CashFlow'!$C43:$EE43,'Amenity CashFlow'!$C$7:$EE$7,'Amenity Annual CF'!L$2,'Amenity CashFlow'!$C$8:$EE$8,"&lt;="&amp;'Amenity Dashboard'!$B$47)</f>
        <v>1915279.2769540302</v>
      </c>
      <c r="M37" s="325">
        <f ca="1">SUMIFS('Amenity CashFlow'!$C43:$EE43,'Amenity CashFlow'!$C$7:$EE$7,'Amenity Annual CF'!M$2,'Amenity CashFlow'!$C$8:$EE$8,"&lt;="&amp;'Amenity Dashboard'!$B$47)</f>
        <v>1970977.8259458127</v>
      </c>
    </row>
    <row r="38" spans="1:13" ht="16" thickTop="1" x14ac:dyDescent="0.2"/>
    <row r="39" spans="1:13" ht="16" x14ac:dyDescent="0.2">
      <c r="A39" s="294" t="s">
        <v>470</v>
      </c>
      <c r="B39" s="328"/>
      <c r="C39" s="328">
        <f>IF(C37=0,0,-C31/C29)</f>
        <v>0</v>
      </c>
      <c r="D39" s="328">
        <f t="shared" ref="D39:M39" ca="1" si="2">IF(D37=0,0,-D31/D29)</f>
        <v>0.16</v>
      </c>
      <c r="E39" s="328">
        <f t="shared" ca="1" si="2"/>
        <v>0.15999999999999998</v>
      </c>
      <c r="F39" s="328">
        <f t="shared" ca="1" si="2"/>
        <v>0.16</v>
      </c>
      <c r="G39" s="328">
        <f t="shared" ca="1" si="2"/>
        <v>0.16000000000000003</v>
      </c>
      <c r="H39" s="328">
        <f t="shared" ca="1" si="2"/>
        <v>0.16000000000000003</v>
      </c>
      <c r="I39" s="328">
        <f t="shared" ca="1" si="2"/>
        <v>0.15999999999999998</v>
      </c>
      <c r="J39" s="328">
        <f t="shared" ca="1" si="2"/>
        <v>0.15999999999999998</v>
      </c>
      <c r="K39" s="328">
        <f t="shared" ca="1" si="2"/>
        <v>0.16</v>
      </c>
      <c r="L39" s="328">
        <f t="shared" ca="1" si="2"/>
        <v>0.16</v>
      </c>
      <c r="M39" s="331">
        <f t="shared" ca="1" si="2"/>
        <v>0.15999999999999998</v>
      </c>
    </row>
    <row r="40" spans="1:13" ht="16" x14ac:dyDescent="0.2">
      <c r="A40" s="259" t="s">
        <v>471</v>
      </c>
      <c r="B40" s="323"/>
      <c r="C40" s="323">
        <f>IF(C$37=0,0,-C32/(C6+C12))</f>
        <v>0</v>
      </c>
      <c r="D40" s="323">
        <f t="shared" ref="D40:M40" ca="1" si="3">IF(D$37=0,0,-D32/(D6+D12))</f>
        <v>6.0000000000000012E-2</v>
      </c>
      <c r="E40" s="323">
        <f t="shared" ca="1" si="3"/>
        <v>6.0000000000000005E-2</v>
      </c>
      <c r="F40" s="323">
        <f t="shared" ca="1" si="3"/>
        <v>5.9999999999999984E-2</v>
      </c>
      <c r="G40" s="323">
        <f t="shared" ca="1" si="3"/>
        <v>6.0000000000000005E-2</v>
      </c>
      <c r="H40" s="323">
        <f t="shared" ca="1" si="3"/>
        <v>0.06</v>
      </c>
      <c r="I40" s="323">
        <f t="shared" ca="1" si="3"/>
        <v>6.0000000000000005E-2</v>
      </c>
      <c r="J40" s="323">
        <f t="shared" ca="1" si="3"/>
        <v>6.0000000000000005E-2</v>
      </c>
      <c r="K40" s="323">
        <f t="shared" ca="1" si="3"/>
        <v>5.9999999999999984E-2</v>
      </c>
      <c r="L40" s="323">
        <f t="shared" ca="1" si="3"/>
        <v>6.0000000000000019E-2</v>
      </c>
      <c r="M40" s="332">
        <f t="shared" ca="1" si="3"/>
        <v>6.0000000000000012E-2</v>
      </c>
    </row>
    <row r="41" spans="1:13" ht="16" x14ac:dyDescent="0.2">
      <c r="A41" s="259" t="s">
        <v>472</v>
      </c>
      <c r="B41" s="323"/>
      <c r="C41" s="323">
        <f>IF(C37=0,0,-C33/(C12+C6))</f>
        <v>0</v>
      </c>
      <c r="D41" s="323">
        <f t="shared" ref="D41:M41" ca="1" si="4">IF(D37=0,0,-D33/(D12+D6))</f>
        <v>6.0000000000000012E-2</v>
      </c>
      <c r="E41" s="323">
        <f t="shared" ca="1" si="4"/>
        <v>6.0000000000000005E-2</v>
      </c>
      <c r="F41" s="323">
        <f t="shared" ca="1" si="4"/>
        <v>5.9999999999999984E-2</v>
      </c>
      <c r="G41" s="323">
        <f t="shared" ca="1" si="4"/>
        <v>6.0000000000000005E-2</v>
      </c>
      <c r="H41" s="323">
        <f t="shared" ca="1" si="4"/>
        <v>0.06</v>
      </c>
      <c r="I41" s="323">
        <f t="shared" ca="1" si="4"/>
        <v>6.0000000000000005E-2</v>
      </c>
      <c r="J41" s="323">
        <f t="shared" ca="1" si="4"/>
        <v>6.0000000000000005E-2</v>
      </c>
      <c r="K41" s="323">
        <f t="shared" ca="1" si="4"/>
        <v>5.9999999999999984E-2</v>
      </c>
      <c r="L41" s="323">
        <f t="shared" ca="1" si="4"/>
        <v>6.0000000000000019E-2</v>
      </c>
      <c r="M41" s="332">
        <f t="shared" ca="1" si="4"/>
        <v>6.0000000000000012E-2</v>
      </c>
    </row>
    <row r="42" spans="1:13" ht="16" x14ac:dyDescent="0.2">
      <c r="A42" s="333" t="s">
        <v>473</v>
      </c>
      <c r="B42" s="334"/>
      <c r="C42" s="334">
        <f>IF(C37=0,0,-C34/(C12+C6))</f>
        <v>0</v>
      </c>
      <c r="D42" s="334">
        <f t="shared" ref="D42:M42" ca="1" si="5">IF(D37=0,0,-D34/(D12+D6))</f>
        <v>3.9999999999999994E-2</v>
      </c>
      <c r="E42" s="334">
        <f t="shared" ca="1" si="5"/>
        <v>0.04</v>
      </c>
      <c r="F42" s="334">
        <f t="shared" ca="1" si="5"/>
        <v>3.9999999999999994E-2</v>
      </c>
      <c r="G42" s="334">
        <f t="shared" ca="1" si="5"/>
        <v>0.04</v>
      </c>
      <c r="H42" s="334">
        <f t="shared" ca="1" si="5"/>
        <v>3.9999999999999994E-2</v>
      </c>
      <c r="I42" s="334">
        <f t="shared" ca="1" si="5"/>
        <v>3.9999999999999994E-2</v>
      </c>
      <c r="J42" s="334">
        <f t="shared" ca="1" si="5"/>
        <v>0.04</v>
      </c>
      <c r="K42" s="334">
        <f t="shared" ca="1" si="5"/>
        <v>3.9999999999999994E-2</v>
      </c>
      <c r="L42" s="334">
        <f t="shared" ca="1" si="5"/>
        <v>4.0000000000000015E-2</v>
      </c>
      <c r="M42" s="335">
        <f t="shared" ca="1" si="5"/>
        <v>4.0000000000000008E-2</v>
      </c>
    </row>
  </sheetData>
  <pageMargins left="0.7" right="0.7" top="0.75" bottom="0.75" header="0.3" footer="0.3"/>
  <pageSetup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0252D7E75271943BB8A4607D6E892BE" ma:contentTypeVersion="16" ma:contentTypeDescription="Create a new document." ma:contentTypeScope="" ma:versionID="f942b44aa63b62a65e4124ad0e4ecfb7">
  <xsd:schema xmlns:xsd="http://www.w3.org/2001/XMLSchema" xmlns:xs="http://www.w3.org/2001/XMLSchema" xmlns:p="http://schemas.microsoft.com/office/2006/metadata/properties" xmlns:ns2="05a5ab23-7fc8-4cc3-938f-ad22d069fa30" xmlns:ns3="4789bdcd-11ea-4db7-b08b-7436f76fa1ae" targetNamespace="http://schemas.microsoft.com/office/2006/metadata/properties" ma:root="true" ma:fieldsID="5d59277ea5e1eec0681bc3b8f461837f" ns2:_="" ns3:_="">
    <xsd:import namespace="05a5ab23-7fc8-4cc3-938f-ad22d069fa30"/>
    <xsd:import namespace="4789bdcd-11ea-4db7-b08b-7436f76fa1ae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3:TaxCatchAll" minOccurs="0"/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5a5ab23-7fc8-4cc3-938f-ad22d069fa30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Image Tags" ma:readOnly="false" ma:fieldId="{5cf76f15-5ced-4ddc-b409-7134ff3c332f}" ma:taxonomyMulti="true" ma:sspId="c600597d-47fc-434b-9f46-07f6642aa0d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89bdcd-11ea-4db7-b08b-7436f76fa1ae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ffca2aac-8c98-4806-a0e7-88288e39c14a}" ma:internalName="TaxCatchAll" ma:showField="CatchAllData" ma:web="4789bdcd-11ea-4db7-b08b-7436f76fa1a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5a5ab23-7fc8-4cc3-938f-ad22d069fa30">
      <Terms xmlns="http://schemas.microsoft.com/office/infopath/2007/PartnerControls"/>
    </lcf76f155ced4ddcb4097134ff3c332f>
    <TaxCatchAll xmlns="4789bdcd-11ea-4db7-b08b-7436f76fa1ae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B9A3105-C61D-43C8-B7BC-A72E1ABC00A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5a5ab23-7fc8-4cc3-938f-ad22d069fa30"/>
    <ds:schemaRef ds:uri="4789bdcd-11ea-4db7-b08b-7436f76fa1a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4149960-3AF4-451A-A998-625FAB7A3D5B}">
  <ds:schemaRefs>
    <ds:schemaRef ds:uri="05a5ab23-7fc8-4cc3-938f-ad22d069fa30"/>
    <ds:schemaRef ds:uri="http://schemas.microsoft.com/office/2006/documentManagement/types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purl.org/dc/terms/"/>
    <ds:schemaRef ds:uri="http://www.w3.org/XML/1998/namespace"/>
    <ds:schemaRef ds:uri="4789bdcd-11ea-4db7-b08b-7436f76fa1ae"/>
    <ds:schemaRef ds:uri="http://purl.org/dc/elements/1.1/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7EBA60B4-F0CA-46EA-A7DB-0B9F7198A5F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Proforma (PreSales)</vt:lpstr>
      <vt:lpstr>Returns (PreSales)</vt:lpstr>
      <vt:lpstr>Proforma Amenity Ops</vt:lpstr>
      <vt:lpstr>Amenity Dashboard</vt:lpstr>
      <vt:lpstr>Amenity CashFlow</vt:lpstr>
      <vt:lpstr>Amenity Annual CF</vt:lpstr>
      <vt:lpstr>'Proforma (PreSales)'!Print_Area</vt:lpstr>
      <vt:lpstr>'Proforma Amenity Ops'!Print_Area</vt:lpstr>
      <vt:lpstr>'Returns (PreSales)'!Print_Area</vt:lpstr>
      <vt:lpstr>'Proforma (PreSales)'!Print_Titles</vt:lpstr>
      <vt:lpstr>'Proforma Amenity Ops'!Print_Titles</vt:lpstr>
      <vt:lpstr>'Returns (PreSales)'!Print_Titles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rdavis@mcdonough.com</dc:creator>
  <cp:keywords/>
  <dc:description/>
  <cp:lastModifiedBy>Layne Thompson</cp:lastModifiedBy>
  <cp:revision/>
  <dcterms:created xsi:type="dcterms:W3CDTF">2018-09-25T10:16:16Z</dcterms:created>
  <dcterms:modified xsi:type="dcterms:W3CDTF">2026-03-18T00:43:46Z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0x010100D0252D7E75271943BB8A4607D6E892BE</vt:lpwstr>
  </property>
  <property fmtid="{D5CDD505-2E9C-101B-9397-08002B2CF9AE}" pid="3" name="Order">
    <vt:r8>2283200</vt:r8>
  </property>
  <property fmtid="{D5CDD505-2E9C-101B-9397-08002B2CF9AE}" pid="4" name="TriggerFlowInfo">
    <vt:lpwstr/>
  </property>
  <property fmtid="{D5CDD505-2E9C-101B-9397-08002B2CF9AE}" pid="5" name="ComplianceAssetId">
    <vt:lpwstr/>
  </property>
  <property fmtid="{D5CDD505-2E9C-101B-9397-08002B2CF9AE}" pid="6" name="_ExtendedDescription">
    <vt:lpwstr/>
  </property>
  <property fmtid="{D5CDD505-2E9C-101B-9397-08002B2CF9AE}" pid="7" name="MediaServiceImageTags">
    <vt:lpwstr/>
  </property>
</Properties>
</file>