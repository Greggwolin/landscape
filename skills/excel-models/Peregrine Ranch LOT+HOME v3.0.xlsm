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8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rescentbayholdings-my.sharepoint.com/personal/wolin_crescentbayholdings_com/Documents/Downloads-OneDrive/"/>
    </mc:Choice>
  </mc:AlternateContent>
  <xr:revisionPtr revIDLastSave="53" documentId="8_{E8CA9A65-4486-419F-9EB5-443911179CD5}" xr6:coauthVersionLast="47" xr6:coauthVersionMax="47" xr10:uidLastSave="{17EE89D5-E07B-1443-9631-AFC22DFCB598}"/>
  <bookViews>
    <workbookView xWindow="3500" yWindow="460" windowWidth="40760" windowHeight="28800" tabRatio="817" xr2:uid="{A2330339-FB89-A041-9A59-BFA60DBA12F0}"/>
  </bookViews>
  <sheets>
    <sheet name="Proforma Lot Only" sheetId="19" r:id="rId1"/>
    <sheet name="Returns Lot Only" sheetId="20" r:id="rId2"/>
  </sheets>
  <definedNames>
    <definedName name="_xlnm.Print_Area" localSheetId="0">'Proforma Lot Only'!$A$1:$S$222</definedName>
    <definedName name="_xlnm.Print_Area" localSheetId="1">'Returns Lot Only'!$B$2:$N$83</definedName>
    <definedName name="_xlnm.Print_Titles" localSheetId="0">'Proforma Lot Only'!$2:$7</definedName>
    <definedName name="_xlnm.Print_Titles" localSheetId="1">'Returns Lot Only'!$2:$6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8" i="19" l="1"/>
  <c r="O8" i="19"/>
  <c r="L8" i="19"/>
  <c r="K8" i="19"/>
  <c r="H8" i="19"/>
  <c r="G8" i="19"/>
  <c r="N192" i="19"/>
  <c r="N165" i="19"/>
  <c r="N133" i="19"/>
  <c r="N132" i="19"/>
  <c r="B300" i="19"/>
  <c r="H189" i="19"/>
  <c r="G189" i="19"/>
  <c r="M24" i="19"/>
  <c r="N24" i="19" s="1"/>
  <c r="I24" i="19"/>
  <c r="J24" i="19"/>
  <c r="K24" i="19"/>
  <c r="L24" i="19"/>
  <c r="H24" i="19"/>
  <c r="G24" i="19"/>
  <c r="B299" i="19"/>
  <c r="F180" i="19" a="1"/>
  <c r="F180" i="19" s="1"/>
  <c r="E180" i="19" a="1"/>
  <c r="E180" i="19" s="1"/>
  <c r="B301" i="19"/>
  <c r="B267" i="19"/>
  <c r="B236" i="19"/>
  <c r="C5" i="19"/>
  <c r="D5" i="20" s="1"/>
  <c r="B302" i="19" l="1"/>
  <c r="F244" i="19"/>
  <c r="E244" i="19"/>
  <c r="B244" i="19"/>
  <c r="B275" i="19" s="1"/>
  <c r="H53" i="20"/>
  <c r="M166" i="19"/>
  <c r="L166" i="19"/>
  <c r="K166" i="19"/>
  <c r="J166" i="19"/>
  <c r="I166" i="19"/>
  <c r="H166" i="19"/>
  <c r="G166" i="19"/>
  <c r="F166" i="19"/>
  <c r="E166" i="19"/>
  <c r="N25" i="19"/>
  <c r="L25" i="19"/>
  <c r="J25" i="19"/>
  <c r="H62" i="19"/>
  <c r="I62" i="19"/>
  <c r="G25" i="19"/>
  <c r="C66" i="20"/>
  <c r="B58" i="20"/>
  <c r="C57" i="20"/>
  <c r="B57" i="20"/>
  <c r="R53" i="20"/>
  <c r="R56" i="20" s="1"/>
  <c r="R58" i="20" s="1"/>
  <c r="R61" i="20" s="1"/>
  <c r="R64" i="20" s="1"/>
  <c r="Q53" i="20"/>
  <c r="Q56" i="20" s="1"/>
  <c r="P53" i="20"/>
  <c r="P56" i="20" s="1"/>
  <c r="O53" i="20"/>
  <c r="O56" i="20" s="1"/>
  <c r="N53" i="20"/>
  <c r="N56" i="20" s="1"/>
  <c r="M53" i="20"/>
  <c r="M54" i="20" s="1"/>
  <c r="L53" i="20"/>
  <c r="L54" i="20" s="1"/>
  <c r="K53" i="20"/>
  <c r="K54" i="20" s="1"/>
  <c r="K56" i="20" s="1"/>
  <c r="K58" i="20" s="1"/>
  <c r="K61" i="20" s="1"/>
  <c r="J53" i="20"/>
  <c r="J54" i="20" s="1"/>
  <c r="J56" i="20" s="1"/>
  <c r="I53" i="20"/>
  <c r="I54" i="20" s="1"/>
  <c r="F46" i="20"/>
  <c r="F16" i="20" s="1"/>
  <c r="R41" i="20"/>
  <c r="Q41" i="20"/>
  <c r="P41" i="20"/>
  <c r="G41" i="20"/>
  <c r="F41" i="20"/>
  <c r="B41" i="20"/>
  <c r="R40" i="20"/>
  <c r="Q40" i="20"/>
  <c r="P40" i="20"/>
  <c r="B40" i="20"/>
  <c r="B39" i="20"/>
  <c r="R33" i="20"/>
  <c r="Q33" i="20"/>
  <c r="P33" i="20"/>
  <c r="O33" i="20"/>
  <c r="N33" i="20"/>
  <c r="M33" i="20"/>
  <c r="L33" i="20"/>
  <c r="K33" i="20"/>
  <c r="J33" i="20"/>
  <c r="I33" i="20"/>
  <c r="H33" i="20"/>
  <c r="H61" i="20" s="1"/>
  <c r="G33" i="20"/>
  <c r="G61" i="20" s="1"/>
  <c r="F33" i="20"/>
  <c r="R27" i="20"/>
  <c r="Q27" i="20"/>
  <c r="P27" i="20"/>
  <c r="O27" i="20"/>
  <c r="N27" i="20"/>
  <c r="M27" i="20"/>
  <c r="L27" i="20"/>
  <c r="K27" i="20"/>
  <c r="J27" i="20"/>
  <c r="I27" i="20"/>
  <c r="H27" i="20"/>
  <c r="G27" i="20"/>
  <c r="G28" i="20" s="1"/>
  <c r="F27" i="20"/>
  <c r="R19" i="20"/>
  <c r="Q19" i="20"/>
  <c r="P19" i="20"/>
  <c r="O19" i="20"/>
  <c r="N19" i="20"/>
  <c r="M19" i="20"/>
  <c r="L19" i="20"/>
  <c r="K19" i="20"/>
  <c r="J19" i="20"/>
  <c r="I19" i="20"/>
  <c r="H19" i="20"/>
  <c r="G19" i="20"/>
  <c r="F19" i="20"/>
  <c r="F53" i="20" s="1"/>
  <c r="F15" i="20"/>
  <c r="R14" i="20"/>
  <c r="Q14" i="20"/>
  <c r="P14" i="20"/>
  <c r="O14" i="20"/>
  <c r="N14" i="20"/>
  <c r="M14" i="20"/>
  <c r="L14" i="20"/>
  <c r="K14" i="20"/>
  <c r="J14" i="20"/>
  <c r="I14" i="20"/>
  <c r="H14" i="20"/>
  <c r="G14" i="20"/>
  <c r="F14" i="20"/>
  <c r="C12" i="20"/>
  <c r="C58" i="20" s="1"/>
  <c r="B4" i="20"/>
  <c r="B266" i="19"/>
  <c r="B260" i="19"/>
  <c r="B291" i="19" s="1"/>
  <c r="Q259" i="19"/>
  <c r="P259" i="19"/>
  <c r="O259" i="19"/>
  <c r="N259" i="19"/>
  <c r="M259" i="19"/>
  <c r="L259" i="19"/>
  <c r="K259" i="19"/>
  <c r="J259" i="19"/>
  <c r="I259" i="19"/>
  <c r="H259" i="19"/>
  <c r="G259" i="19"/>
  <c r="F259" i="19"/>
  <c r="E259" i="19"/>
  <c r="B259" i="19"/>
  <c r="B290" i="19" s="1"/>
  <c r="B258" i="19"/>
  <c r="B289" i="19" s="1"/>
  <c r="B257" i="19"/>
  <c r="B288" i="19" s="1"/>
  <c r="B311" i="19" s="1"/>
  <c r="B256" i="19"/>
  <c r="B287" i="19" s="1"/>
  <c r="B310" i="19" s="1"/>
  <c r="B255" i="19"/>
  <c r="B286" i="19" s="1"/>
  <c r="B309" i="19" s="1"/>
  <c r="B254" i="19"/>
  <c r="B285" i="19" s="1"/>
  <c r="B308" i="19" s="1"/>
  <c r="Q253" i="19"/>
  <c r="Q250" i="19"/>
  <c r="Q249" i="19"/>
  <c r="B248" i="19"/>
  <c r="B279" i="19" s="1"/>
  <c r="B305" i="19" s="1"/>
  <c r="E247" i="19"/>
  <c r="B247" i="19"/>
  <c r="B278" i="19" s="1"/>
  <c r="B245" i="19"/>
  <c r="B276" i="19" s="1"/>
  <c r="Q243" i="19"/>
  <c r="P243" i="19"/>
  <c r="O243" i="19"/>
  <c r="N243" i="19"/>
  <c r="M243" i="19"/>
  <c r="L243" i="19"/>
  <c r="K243" i="19"/>
  <c r="J243" i="19"/>
  <c r="I243" i="19"/>
  <c r="H243" i="19"/>
  <c r="G243" i="19"/>
  <c r="F243" i="19"/>
  <c r="E243" i="19"/>
  <c r="B243" i="19"/>
  <c r="B274" i="19" s="1"/>
  <c r="P242" i="19"/>
  <c r="O242" i="19"/>
  <c r="N242" i="19"/>
  <c r="M242" i="19"/>
  <c r="L242" i="19"/>
  <c r="K242" i="19"/>
  <c r="J242" i="19"/>
  <c r="I242" i="19"/>
  <c r="H242" i="19"/>
  <c r="G242" i="19"/>
  <c r="F242" i="19"/>
  <c r="E242" i="19"/>
  <c r="B242" i="19"/>
  <c r="B273" i="19" s="1"/>
  <c r="Q241" i="19"/>
  <c r="P241" i="19"/>
  <c r="O241" i="19"/>
  <c r="N241" i="19"/>
  <c r="K241" i="19"/>
  <c r="J241" i="19"/>
  <c r="I241" i="19"/>
  <c r="H241" i="19"/>
  <c r="E241" i="19"/>
  <c r="B241" i="19"/>
  <c r="B272" i="19" s="1"/>
  <c r="Q240" i="19"/>
  <c r="P240" i="19"/>
  <c r="O240" i="19"/>
  <c r="N240" i="19"/>
  <c r="M240" i="19"/>
  <c r="L240" i="19"/>
  <c r="K240" i="19"/>
  <c r="J240" i="19"/>
  <c r="I240" i="19"/>
  <c r="H240" i="19"/>
  <c r="B240" i="19"/>
  <c r="B271" i="19" s="1"/>
  <c r="Q239" i="19"/>
  <c r="P239" i="19"/>
  <c r="O239" i="19"/>
  <c r="N239" i="19"/>
  <c r="M239" i="19"/>
  <c r="L239" i="19"/>
  <c r="K239" i="19"/>
  <c r="J239" i="19"/>
  <c r="I239" i="19"/>
  <c r="H239" i="19"/>
  <c r="G239" i="19"/>
  <c r="F239" i="19"/>
  <c r="E239" i="19"/>
  <c r="B239" i="19"/>
  <c r="B270" i="19" s="1"/>
  <c r="Q238" i="19"/>
  <c r="P238" i="19"/>
  <c r="O238" i="19"/>
  <c r="N238" i="19"/>
  <c r="M238" i="19"/>
  <c r="L238" i="19"/>
  <c r="K238" i="19"/>
  <c r="J238" i="19"/>
  <c r="I238" i="19"/>
  <c r="H238" i="19"/>
  <c r="G238" i="19"/>
  <c r="F238" i="19"/>
  <c r="E238" i="19"/>
  <c r="B238" i="19"/>
  <c r="B269" i="19" s="1"/>
  <c r="E237" i="19"/>
  <c r="B237" i="19"/>
  <c r="B268" i="19" s="1"/>
  <c r="B235" i="19"/>
  <c r="C229" i="19"/>
  <c r="E229" i="19" s="1"/>
  <c r="C228" i="19"/>
  <c r="E228" i="19" s="1"/>
  <c r="C227" i="19"/>
  <c r="E227" i="19" s="1"/>
  <c r="C226" i="19"/>
  <c r="E226" i="19" s="1"/>
  <c r="C225" i="19"/>
  <c r="E225" i="19" s="1"/>
  <c r="Q198" i="19"/>
  <c r="R48" i="20" s="1"/>
  <c r="P198" i="19"/>
  <c r="Q48" i="20" s="1"/>
  <c r="O198" i="19"/>
  <c r="P48" i="20" s="1"/>
  <c r="N198" i="19"/>
  <c r="O48" i="20" s="1"/>
  <c r="M198" i="19"/>
  <c r="N48" i="20" s="1"/>
  <c r="L198" i="19"/>
  <c r="M48" i="20" s="1"/>
  <c r="K198" i="19"/>
  <c r="L48" i="20" s="1"/>
  <c r="J198" i="19"/>
  <c r="K48" i="20" s="1"/>
  <c r="I198" i="19"/>
  <c r="J48" i="20" s="1"/>
  <c r="H198" i="19"/>
  <c r="I48" i="20" s="1"/>
  <c r="G198" i="19"/>
  <c r="H48" i="20" s="1"/>
  <c r="F198" i="19"/>
  <c r="G48" i="20" s="1"/>
  <c r="E198" i="19"/>
  <c r="R192" i="19"/>
  <c r="R259" i="19" s="1"/>
  <c r="C290" i="19" s="1"/>
  <c r="D290" i="19" s="1"/>
  <c r="Q188" i="19"/>
  <c r="P188" i="19"/>
  <c r="O188" i="19"/>
  <c r="E186" i="19"/>
  <c r="E187" i="19" s="1"/>
  <c r="P182" i="19"/>
  <c r="O182" i="19"/>
  <c r="N182" i="19"/>
  <c r="M182" i="19"/>
  <c r="G40" i="20"/>
  <c r="F40" i="20"/>
  <c r="C173" i="19"/>
  <c r="E173" i="19" s="1"/>
  <c r="E170" i="19"/>
  <c r="Q166" i="19"/>
  <c r="Q167" i="19" s="1"/>
  <c r="Q255" i="19" s="1"/>
  <c r="E165" i="19"/>
  <c r="N161" i="19"/>
  <c r="R161" i="19" s="1"/>
  <c r="N160" i="19"/>
  <c r="L160" i="19"/>
  <c r="J160" i="19"/>
  <c r="H160" i="19"/>
  <c r="G159" i="19"/>
  <c r="F159" i="19"/>
  <c r="E159" i="19"/>
  <c r="F158" i="19"/>
  <c r="E158" i="19"/>
  <c r="F157" i="19"/>
  <c r="E157" i="19"/>
  <c r="B154" i="19"/>
  <c r="B253" i="19" s="1"/>
  <c r="B284" i="19" s="1"/>
  <c r="E152" i="19"/>
  <c r="M151" i="19"/>
  <c r="L151" i="19"/>
  <c r="J151" i="19"/>
  <c r="H151" i="19"/>
  <c r="G151" i="19"/>
  <c r="F151" i="19"/>
  <c r="E151" i="19"/>
  <c r="N150" i="19"/>
  <c r="M150" i="19"/>
  <c r="L150" i="19"/>
  <c r="K150" i="19"/>
  <c r="J150" i="19"/>
  <c r="I150" i="19"/>
  <c r="H150" i="19"/>
  <c r="G150" i="19"/>
  <c r="Q149" i="19"/>
  <c r="P149" i="19"/>
  <c r="O149" i="19"/>
  <c r="N149" i="19"/>
  <c r="M149" i="19"/>
  <c r="L149" i="19"/>
  <c r="K149" i="19"/>
  <c r="J149" i="19"/>
  <c r="I149" i="19"/>
  <c r="H149" i="19"/>
  <c r="G149" i="19"/>
  <c r="N148" i="19"/>
  <c r="M148" i="19"/>
  <c r="L148" i="19"/>
  <c r="K148" i="19"/>
  <c r="J148" i="19"/>
  <c r="I148" i="19"/>
  <c r="H148" i="19"/>
  <c r="G148" i="19"/>
  <c r="N147" i="19"/>
  <c r="M147" i="19"/>
  <c r="L147" i="19"/>
  <c r="K147" i="19"/>
  <c r="J147" i="19"/>
  <c r="I147" i="19"/>
  <c r="H147" i="19"/>
  <c r="G147" i="19"/>
  <c r="F145" i="19"/>
  <c r="L144" i="19"/>
  <c r="J144" i="19"/>
  <c r="H144" i="19"/>
  <c r="F144" i="19"/>
  <c r="L143" i="19"/>
  <c r="J143" i="19"/>
  <c r="H143" i="19"/>
  <c r="F143" i="19"/>
  <c r="L141" i="19"/>
  <c r="J141" i="19"/>
  <c r="H141" i="19"/>
  <c r="F141" i="19"/>
  <c r="E140" i="19"/>
  <c r="E139" i="19"/>
  <c r="E138" i="19"/>
  <c r="V137" i="19"/>
  <c r="P134" i="19"/>
  <c r="P252" i="19" s="1"/>
  <c r="O134" i="19"/>
  <c r="O252" i="19" s="1"/>
  <c r="B134" i="19"/>
  <c r="B252" i="19" s="1"/>
  <c r="B283" i="19" s="1"/>
  <c r="B307" i="19" s="1"/>
  <c r="Q133" i="19"/>
  <c r="Q134" i="19" s="1"/>
  <c r="M132" i="19"/>
  <c r="L132" i="19"/>
  <c r="K132" i="19"/>
  <c r="J132" i="19"/>
  <c r="I132" i="19"/>
  <c r="H132" i="19"/>
  <c r="G132" i="19"/>
  <c r="F132" i="19"/>
  <c r="E132" i="19"/>
  <c r="C132" i="19"/>
  <c r="M131" i="19"/>
  <c r="L131" i="19"/>
  <c r="J131" i="19"/>
  <c r="H131" i="19"/>
  <c r="F131" i="19"/>
  <c r="E131" i="19"/>
  <c r="T130" i="19"/>
  <c r="N128" i="19"/>
  <c r="N126" i="19"/>
  <c r="L125" i="19"/>
  <c r="J125" i="19"/>
  <c r="H125" i="19"/>
  <c r="F125" i="19"/>
  <c r="R124" i="19"/>
  <c r="C123" i="19"/>
  <c r="E123" i="19" s="1"/>
  <c r="R123" i="19" s="1"/>
  <c r="C122" i="19"/>
  <c r="E122" i="19" s="1"/>
  <c r="R122" i="19" s="1"/>
  <c r="C121" i="19"/>
  <c r="E121" i="19" s="1"/>
  <c r="R121" i="19" s="1"/>
  <c r="E120" i="19"/>
  <c r="R120" i="19" s="1"/>
  <c r="E119" i="19"/>
  <c r="R118" i="19"/>
  <c r="T118" i="19" s="1"/>
  <c r="B115" i="19"/>
  <c r="B251" i="19" s="1"/>
  <c r="B282" i="19" s="1"/>
  <c r="F114" i="19"/>
  <c r="F115" i="19" s="1"/>
  <c r="E114" i="19"/>
  <c r="E115" i="19" s="1"/>
  <c r="G112" i="19"/>
  <c r="N111" i="19"/>
  <c r="M111" i="19"/>
  <c r="L111" i="19"/>
  <c r="K111" i="19"/>
  <c r="J111" i="19"/>
  <c r="I111" i="19"/>
  <c r="H111" i="19"/>
  <c r="G111" i="19"/>
  <c r="N110" i="19"/>
  <c r="M110" i="19"/>
  <c r="L110" i="19"/>
  <c r="K110" i="19"/>
  <c r="J110" i="19"/>
  <c r="I110" i="19"/>
  <c r="H110" i="19"/>
  <c r="G110" i="19"/>
  <c r="Q109" i="19"/>
  <c r="Q152" i="19" s="1"/>
  <c r="P109" i="19"/>
  <c r="O109" i="19"/>
  <c r="N109" i="19"/>
  <c r="M109" i="19"/>
  <c r="L109" i="19"/>
  <c r="K109" i="19"/>
  <c r="J109" i="19"/>
  <c r="I109" i="19"/>
  <c r="H109" i="19"/>
  <c r="G109" i="19"/>
  <c r="P105" i="19"/>
  <c r="O105" i="19"/>
  <c r="B105" i="19"/>
  <c r="B250" i="19" s="1"/>
  <c r="B281" i="19" s="1"/>
  <c r="B306" i="19" s="1"/>
  <c r="V104" i="19"/>
  <c r="V103" i="19"/>
  <c r="V102" i="19"/>
  <c r="V101" i="19"/>
  <c r="V100" i="19"/>
  <c r="V99" i="19"/>
  <c r="V98" i="19"/>
  <c r="F98" i="19" s="1"/>
  <c r="R98" i="19" s="1"/>
  <c r="V97" i="19"/>
  <c r="V96" i="19"/>
  <c r="V95" i="19"/>
  <c r="V94" i="19"/>
  <c r="V93" i="19"/>
  <c r="V92" i="19"/>
  <c r="V91" i="19"/>
  <c r="V90" i="19"/>
  <c r="F90" i="19" s="1"/>
  <c r="R90" i="19" s="1"/>
  <c r="V89" i="19"/>
  <c r="V88" i="19"/>
  <c r="V87" i="19"/>
  <c r="V86" i="19"/>
  <c r="V85" i="19"/>
  <c r="V84" i="19"/>
  <c r="V83" i="19"/>
  <c r="V82" i="19"/>
  <c r="V81" i="19"/>
  <c r="V80" i="19"/>
  <c r="V79" i="19"/>
  <c r="N76" i="19"/>
  <c r="M76" i="19"/>
  <c r="L76" i="19"/>
  <c r="K76" i="19"/>
  <c r="J76" i="19"/>
  <c r="J249" i="19" s="1"/>
  <c r="I76" i="19"/>
  <c r="H76" i="19"/>
  <c r="G76" i="19"/>
  <c r="B76" i="19"/>
  <c r="B249" i="19" s="1"/>
  <c r="B280" i="19" s="1"/>
  <c r="F75" i="19"/>
  <c r="F76" i="19" s="1"/>
  <c r="E75" i="19"/>
  <c r="E76" i="19" s="1"/>
  <c r="L72" i="19"/>
  <c r="L248" i="19" s="1"/>
  <c r="K72" i="19"/>
  <c r="K248" i="19" s="1"/>
  <c r="J72" i="19"/>
  <c r="J248" i="19" s="1"/>
  <c r="I72" i="19"/>
  <c r="I248" i="19" s="1"/>
  <c r="H72" i="19"/>
  <c r="H248" i="19" s="1"/>
  <c r="G72" i="19"/>
  <c r="G248" i="19" s="1"/>
  <c r="F72" i="19"/>
  <c r="F248" i="19" s="1"/>
  <c r="Q71" i="19"/>
  <c r="Q72" i="19" s="1"/>
  <c r="Q248" i="19" s="1"/>
  <c r="P71" i="19"/>
  <c r="O71" i="19"/>
  <c r="O72" i="19" s="1"/>
  <c r="O248" i="19" s="1"/>
  <c r="N71" i="19"/>
  <c r="N72" i="19" s="1"/>
  <c r="N248" i="19" s="1"/>
  <c r="M71" i="19"/>
  <c r="M72" i="19" s="1"/>
  <c r="M248" i="19" s="1"/>
  <c r="E71" i="19"/>
  <c r="E70" i="19"/>
  <c r="V69" i="19"/>
  <c r="R69" i="19"/>
  <c r="V68" i="19"/>
  <c r="R68" i="19"/>
  <c r="V67" i="19"/>
  <c r="G63" i="19"/>
  <c r="N62" i="19"/>
  <c r="N180" i="19" s="1" a="1"/>
  <c r="N180" i="19" s="1"/>
  <c r="M62" i="19"/>
  <c r="G62" i="19"/>
  <c r="R60" i="19"/>
  <c r="C60" i="19"/>
  <c r="L55" i="19"/>
  <c r="K55" i="19"/>
  <c r="J55" i="19"/>
  <c r="I55" i="19"/>
  <c r="H55" i="19"/>
  <c r="G55" i="19"/>
  <c r="F55" i="19"/>
  <c r="E55" i="19"/>
  <c r="R54" i="19"/>
  <c r="R53" i="19"/>
  <c r="Q52" i="19"/>
  <c r="Q242" i="19" s="1"/>
  <c r="M50" i="19"/>
  <c r="L50" i="19"/>
  <c r="G50" i="19"/>
  <c r="F50" i="19"/>
  <c r="R48" i="19"/>
  <c r="G46" i="19"/>
  <c r="G240" i="19" s="1"/>
  <c r="F46" i="19"/>
  <c r="E46" i="19"/>
  <c r="E240" i="19" s="1"/>
  <c r="U43" i="19"/>
  <c r="R43" i="19"/>
  <c r="R42" i="19"/>
  <c r="R41" i="19"/>
  <c r="R40" i="19"/>
  <c r="R39" i="19"/>
  <c r="R38" i="19"/>
  <c r="R239" i="19" s="1"/>
  <c r="C270" i="19" s="1"/>
  <c r="R37" i="19"/>
  <c r="R238" i="19" s="1"/>
  <c r="C269" i="19" s="1"/>
  <c r="G33" i="19"/>
  <c r="H33" i="19" s="1"/>
  <c r="I33" i="19" s="1"/>
  <c r="J33" i="19" s="1"/>
  <c r="K33" i="19" s="1"/>
  <c r="L33" i="19" s="1"/>
  <c r="M33" i="19" s="1"/>
  <c r="N33" i="19" s="1"/>
  <c r="O33" i="19" s="1"/>
  <c r="P33" i="19" s="1"/>
  <c r="Q33" i="19" s="1"/>
  <c r="G32" i="19"/>
  <c r="H32" i="19" s="1"/>
  <c r="I32" i="19" s="1"/>
  <c r="J32" i="19" s="1"/>
  <c r="K32" i="19" s="1"/>
  <c r="L32" i="19" s="1"/>
  <c r="M32" i="19" s="1"/>
  <c r="N32" i="19" s="1"/>
  <c r="O32" i="19" s="1"/>
  <c r="P32" i="19" s="1"/>
  <c r="Q32" i="19" s="1"/>
  <c r="F32" i="19"/>
  <c r="G31" i="19"/>
  <c r="Q30" i="19"/>
  <c r="P30" i="19"/>
  <c r="O30" i="19"/>
  <c r="N30" i="19"/>
  <c r="M30" i="19"/>
  <c r="L30" i="19"/>
  <c r="K30" i="19"/>
  <c r="J30" i="19"/>
  <c r="I30" i="19"/>
  <c r="H30" i="19"/>
  <c r="F30" i="19"/>
  <c r="B30" i="19"/>
  <c r="Q29" i="19"/>
  <c r="P29" i="19"/>
  <c r="O29" i="19"/>
  <c r="N29" i="19"/>
  <c r="M29" i="19"/>
  <c r="L29" i="19"/>
  <c r="K29" i="19"/>
  <c r="J29" i="19"/>
  <c r="I29" i="19"/>
  <c r="H29" i="19"/>
  <c r="F29" i="19"/>
  <c r="B29" i="19"/>
  <c r="Q28" i="19"/>
  <c r="P28" i="19"/>
  <c r="O28" i="19"/>
  <c r="N28" i="19"/>
  <c r="M28" i="19"/>
  <c r="L28" i="19"/>
  <c r="K28" i="19"/>
  <c r="J28" i="19"/>
  <c r="I28" i="19"/>
  <c r="H28" i="19"/>
  <c r="F28" i="19"/>
  <c r="B28" i="19"/>
  <c r="M25" i="19"/>
  <c r="K25" i="19"/>
  <c r="I25" i="19"/>
  <c r="H25" i="19"/>
  <c r="F25" i="19"/>
  <c r="Q24" i="19"/>
  <c r="P24" i="19"/>
  <c r="O24" i="19"/>
  <c r="Q19" i="19"/>
  <c r="P19" i="19"/>
  <c r="O19" i="19"/>
  <c r="N139" i="19" s="1"/>
  <c r="N19" i="19"/>
  <c r="M19" i="19"/>
  <c r="L19" i="19"/>
  <c r="M112" i="19" s="1"/>
  <c r="K19" i="19"/>
  <c r="J19" i="19"/>
  <c r="I19" i="19"/>
  <c r="H19" i="19"/>
  <c r="G19" i="19"/>
  <c r="R18" i="19"/>
  <c r="C30" i="19" s="1"/>
  <c r="R17" i="19"/>
  <c r="C29" i="19" s="1"/>
  <c r="V16" i="19"/>
  <c r="R16" i="19"/>
  <c r="Q11" i="19"/>
  <c r="P11" i="19"/>
  <c r="O11" i="19"/>
  <c r="N11" i="19"/>
  <c r="N138" i="19" s="1"/>
  <c r="M11" i="19"/>
  <c r="M138" i="19" s="1"/>
  <c r="L11" i="19"/>
  <c r="L138" i="19" s="1"/>
  <c r="K11" i="19"/>
  <c r="K138" i="19" s="1"/>
  <c r="J11" i="19"/>
  <c r="J138" i="19" s="1"/>
  <c r="I11" i="19"/>
  <c r="I138" i="19" s="1"/>
  <c r="H11" i="19"/>
  <c r="H138" i="19" s="1"/>
  <c r="G11" i="19"/>
  <c r="G138" i="19" s="1"/>
  <c r="F11" i="19"/>
  <c r="F138" i="19" s="1"/>
  <c r="R10" i="19"/>
  <c r="R11" i="19" s="1"/>
  <c r="F8" i="19"/>
  <c r="F7" i="19"/>
  <c r="G15" i="20" s="1"/>
  <c r="O41" i="20" l="1"/>
  <c r="H244" i="19"/>
  <c r="G244" i="19"/>
  <c r="G180" i="19" a="1"/>
  <c r="E206" i="19"/>
  <c r="M244" i="19"/>
  <c r="H63" i="19"/>
  <c r="E212" i="19" s="1"/>
  <c r="I244" i="19"/>
  <c r="M56" i="20"/>
  <c r="M58" i="20" s="1"/>
  <c r="M61" i="20" s="1"/>
  <c r="M64" i="20" s="1"/>
  <c r="P63" i="19"/>
  <c r="J62" i="19"/>
  <c r="J64" i="19" s="1"/>
  <c r="L62" i="19"/>
  <c r="R242" i="19"/>
  <c r="E72" i="19"/>
  <c r="E248" i="19" s="1"/>
  <c r="R243" i="19"/>
  <c r="C274" i="19" s="1"/>
  <c r="D274" i="19" s="1"/>
  <c r="F173" i="19"/>
  <c r="R173" i="19" s="1"/>
  <c r="C24" i="19"/>
  <c r="C25" i="19" s="1"/>
  <c r="T98" i="19" s="1"/>
  <c r="O31" i="19"/>
  <c r="O159" i="19" s="1"/>
  <c r="R131" i="19"/>
  <c r="I56" i="20"/>
  <c r="I57" i="20" s="1"/>
  <c r="I18" i="20" s="1"/>
  <c r="I20" i="20" s="1"/>
  <c r="T10" i="19"/>
  <c r="E204" i="19" s="1"/>
  <c r="I63" i="19"/>
  <c r="I158" i="19" s="1"/>
  <c r="Q63" i="19"/>
  <c r="V105" i="19"/>
  <c r="W96" i="19" s="1"/>
  <c r="J63" i="19"/>
  <c r="R55" i="19"/>
  <c r="R144" i="19"/>
  <c r="R160" i="19"/>
  <c r="E162" i="19"/>
  <c r="E254" i="19" s="1"/>
  <c r="F162" i="19"/>
  <c r="F254" i="19" s="1"/>
  <c r="R57" i="20"/>
  <c r="R18" i="20" s="1"/>
  <c r="R20" i="20" s="1"/>
  <c r="R141" i="19"/>
  <c r="N31" i="19"/>
  <c r="P31" i="19"/>
  <c r="P159" i="19" s="1"/>
  <c r="D19" i="20"/>
  <c r="G53" i="20"/>
  <c r="G54" i="20" s="1"/>
  <c r="J58" i="20"/>
  <c r="J61" i="20" s="1"/>
  <c r="J26" i="20" s="1"/>
  <c r="J28" i="20" s="1"/>
  <c r="J57" i="20"/>
  <c r="J18" i="20" s="1"/>
  <c r="J20" i="20" s="1"/>
  <c r="L56" i="20"/>
  <c r="L58" i="20" s="1"/>
  <c r="L61" i="20" s="1"/>
  <c r="R143" i="19"/>
  <c r="C102" i="19"/>
  <c r="M102" i="19" s="1"/>
  <c r="C90" i="19"/>
  <c r="C84" i="19"/>
  <c r="K84" i="19" s="1"/>
  <c r="C93" i="19"/>
  <c r="F93" i="19" s="1"/>
  <c r="C100" i="19"/>
  <c r="K100" i="19" s="1"/>
  <c r="R24" i="19"/>
  <c r="K62" i="19"/>
  <c r="R25" i="19"/>
  <c r="R29" i="19"/>
  <c r="T17" i="19" s="1"/>
  <c r="R30" i="19"/>
  <c r="T18" i="19" s="1"/>
  <c r="R111" i="19"/>
  <c r="H31" i="19"/>
  <c r="V19" i="19"/>
  <c r="C20" i="19"/>
  <c r="C21" i="19" s="1"/>
  <c r="R109" i="19"/>
  <c r="H46" i="20"/>
  <c r="H16" i="20" s="1"/>
  <c r="G247" i="19"/>
  <c r="G237" i="19"/>
  <c r="L170" i="19"/>
  <c r="L139" i="19"/>
  <c r="M145" i="19"/>
  <c r="M108" i="19"/>
  <c r="M114" i="19" s="1"/>
  <c r="M115" i="19" s="1"/>
  <c r="L140" i="19"/>
  <c r="N112" i="19"/>
  <c r="P244" i="19"/>
  <c r="P64" i="19"/>
  <c r="P157" i="19"/>
  <c r="F241" i="19"/>
  <c r="F186" i="19"/>
  <c r="F187" i="19" s="1"/>
  <c r="F190" i="19" s="1"/>
  <c r="F258" i="19" s="1"/>
  <c r="R50" i="19"/>
  <c r="G249" i="19"/>
  <c r="F251" i="19"/>
  <c r="E174" i="19"/>
  <c r="I46" i="20"/>
  <c r="I16" i="20" s="1"/>
  <c r="H237" i="19"/>
  <c r="H247" i="19"/>
  <c r="M139" i="19"/>
  <c r="N108" i="19"/>
  <c r="M140" i="19"/>
  <c r="O110" i="19"/>
  <c r="O147" i="19" s="1"/>
  <c r="M170" i="19"/>
  <c r="I8" i="19"/>
  <c r="F170" i="19"/>
  <c r="G145" i="19"/>
  <c r="F140" i="19"/>
  <c r="F139" i="19"/>
  <c r="H112" i="19"/>
  <c r="O148" i="19"/>
  <c r="O174" i="19"/>
  <c r="N170" i="19"/>
  <c r="N140" i="19"/>
  <c r="P110" i="19"/>
  <c r="P147" i="19" s="1"/>
  <c r="O146" i="19"/>
  <c r="P108" i="19"/>
  <c r="D20" i="19"/>
  <c r="D270" i="19" s="1"/>
  <c r="R28" i="19"/>
  <c r="I31" i="19"/>
  <c r="Q31" i="19"/>
  <c r="P72" i="19"/>
  <c r="P248" i="19" s="1"/>
  <c r="R71" i="19"/>
  <c r="N145" i="19"/>
  <c r="C101" i="19"/>
  <c r="C99" i="19"/>
  <c r="C92" i="19"/>
  <c r="C85" i="19"/>
  <c r="C94" i="19"/>
  <c r="C87" i="19"/>
  <c r="C79" i="19"/>
  <c r="C96" i="19"/>
  <c r="C89" i="19"/>
  <c r="C81" i="19"/>
  <c r="G170" i="19"/>
  <c r="H145" i="19"/>
  <c r="G140" i="19"/>
  <c r="G139" i="19"/>
  <c r="I112" i="19"/>
  <c r="H108" i="19"/>
  <c r="P174" i="19"/>
  <c r="O170" i="19"/>
  <c r="P148" i="19"/>
  <c r="Q110" i="19"/>
  <c r="Q147" i="19" s="1"/>
  <c r="P146" i="19"/>
  <c r="Q108" i="19"/>
  <c r="K63" i="19"/>
  <c r="J31" i="19"/>
  <c r="J34" i="19" s="1"/>
  <c r="F240" i="19"/>
  <c r="R240" i="19" s="1"/>
  <c r="R46" i="19"/>
  <c r="F64" i="19"/>
  <c r="M241" i="19"/>
  <c r="W84" i="19"/>
  <c r="C83" i="19"/>
  <c r="C88" i="19"/>
  <c r="C91" i="19"/>
  <c r="G7" i="19"/>
  <c r="H170" i="19"/>
  <c r="I145" i="19"/>
  <c r="H140" i="19"/>
  <c r="H139" i="19"/>
  <c r="J112" i="19"/>
  <c r="I108" i="19"/>
  <c r="P170" i="19"/>
  <c r="Q146" i="19"/>
  <c r="Q148" i="19"/>
  <c r="Q174" i="19"/>
  <c r="L63" i="19"/>
  <c r="K31" i="19"/>
  <c r="C98" i="19"/>
  <c r="I139" i="19"/>
  <c r="I170" i="19"/>
  <c r="J145" i="19"/>
  <c r="I140" i="19"/>
  <c r="K112" i="19"/>
  <c r="J108" i="19"/>
  <c r="R19" i="19"/>
  <c r="M63" i="19"/>
  <c r="M157" i="19" s="1"/>
  <c r="L31" i="19"/>
  <c r="E249" i="19"/>
  <c r="C80" i="19"/>
  <c r="W83" i="19"/>
  <c r="J139" i="19"/>
  <c r="J170" i="19"/>
  <c r="K145" i="19"/>
  <c r="J140" i="19"/>
  <c r="L112" i="19"/>
  <c r="K108" i="19"/>
  <c r="C28" i="19"/>
  <c r="C31" i="19" s="1"/>
  <c r="N63" i="19"/>
  <c r="N158" i="19" s="1"/>
  <c r="M31" i="19"/>
  <c r="W46" i="19"/>
  <c r="F249" i="19"/>
  <c r="C86" i="19"/>
  <c r="C95" i="19"/>
  <c r="G108" i="19"/>
  <c r="G46" i="20"/>
  <c r="G16" i="20" s="1"/>
  <c r="F237" i="19"/>
  <c r="F247" i="19"/>
  <c r="K139" i="19"/>
  <c r="K170" i="19"/>
  <c r="L145" i="19"/>
  <c r="L108" i="19"/>
  <c r="K140" i="19"/>
  <c r="O63" i="19"/>
  <c r="O108" i="19"/>
  <c r="E251" i="19"/>
  <c r="R119" i="19"/>
  <c r="V46" i="19"/>
  <c r="H249" i="19"/>
  <c r="C82" i="19"/>
  <c r="C97" i="19"/>
  <c r="O250" i="19"/>
  <c r="O166" i="19"/>
  <c r="O167" i="19" s="1"/>
  <c r="O255" i="19" s="1"/>
  <c r="R182" i="19"/>
  <c r="E190" i="19"/>
  <c r="I249" i="19"/>
  <c r="P250" i="19"/>
  <c r="P166" i="19"/>
  <c r="P167" i="19" s="1"/>
  <c r="P255" i="19" s="1"/>
  <c r="R149" i="19"/>
  <c r="R26" i="20"/>
  <c r="R28" i="20" s="1"/>
  <c r="R65" i="20"/>
  <c r="R32" i="20" s="1"/>
  <c r="R34" i="20" s="1"/>
  <c r="R66" i="20"/>
  <c r="R38" i="20" s="1"/>
  <c r="R70" i="19"/>
  <c r="W93" i="19"/>
  <c r="Q252" i="19"/>
  <c r="J142" i="19"/>
  <c r="H142" i="19"/>
  <c r="F142" i="19"/>
  <c r="L142" i="19"/>
  <c r="R52" i="19"/>
  <c r="G158" i="19"/>
  <c r="G157" i="19"/>
  <c r="E64" i="19"/>
  <c r="R75" i="19"/>
  <c r="K249" i="19"/>
  <c r="L249" i="19"/>
  <c r="O145" i="19"/>
  <c r="O151" i="19"/>
  <c r="O152" i="19"/>
  <c r="F48" i="20"/>
  <c r="E216" i="19"/>
  <c r="E220" i="19" s="1"/>
  <c r="F28" i="20"/>
  <c r="D27" i="20"/>
  <c r="K26" i="20"/>
  <c r="K28" i="20" s="1"/>
  <c r="K64" i="20"/>
  <c r="G241" i="19"/>
  <c r="G64" i="19"/>
  <c r="M249" i="19"/>
  <c r="P145" i="19"/>
  <c r="P150" i="19"/>
  <c r="P152" i="19"/>
  <c r="L241" i="19"/>
  <c r="Q55" i="19"/>
  <c r="N249" i="19"/>
  <c r="Q145" i="19"/>
  <c r="Q150" i="19"/>
  <c r="R132" i="19"/>
  <c r="O150" i="19"/>
  <c r="P151" i="19"/>
  <c r="Q151" i="19"/>
  <c r="R138" i="19"/>
  <c r="R125" i="19"/>
  <c r="D33" i="20"/>
  <c r="K57" i="20"/>
  <c r="K18" i="20" s="1"/>
  <c r="K20" i="20" s="1"/>
  <c r="N58" i="20"/>
  <c r="N61" i="20" s="1"/>
  <c r="N64" i="20" s="1"/>
  <c r="N57" i="20"/>
  <c r="N18" i="20" s="1"/>
  <c r="N20" i="20" s="1"/>
  <c r="I58" i="20"/>
  <c r="I61" i="20" s="1"/>
  <c r="H26" i="20"/>
  <c r="O58" i="20"/>
  <c r="O61" i="20" s="1"/>
  <c r="O64" i="20" s="1"/>
  <c r="O57" i="20"/>
  <c r="O18" i="20" s="1"/>
  <c r="O20" i="20" s="1"/>
  <c r="G62" i="20"/>
  <c r="G64" i="20" s="1"/>
  <c r="H54" i="20"/>
  <c r="P58" i="20"/>
  <c r="P61" i="20" s="1"/>
  <c r="P64" i="20" s="1"/>
  <c r="P57" i="20"/>
  <c r="P18" i="20" s="1"/>
  <c r="P20" i="20" s="1"/>
  <c r="Q58" i="20"/>
  <c r="Q61" i="20" s="1"/>
  <c r="Q64" i="20" s="1"/>
  <c r="Q57" i="20"/>
  <c r="Q18" i="20" s="1"/>
  <c r="Q20" i="20" s="1"/>
  <c r="H62" i="20"/>
  <c r="F54" i="20"/>
  <c r="F56" i="20" s="1"/>
  <c r="E153" i="19"/>
  <c r="F61" i="20"/>
  <c r="W95" i="19" l="1"/>
  <c r="E208" i="19"/>
  <c r="J158" i="19"/>
  <c r="W102" i="19"/>
  <c r="W103" i="19"/>
  <c r="W89" i="19"/>
  <c r="W87" i="19"/>
  <c r="W100" i="19"/>
  <c r="W98" i="19"/>
  <c r="W94" i="19"/>
  <c r="W104" i="19"/>
  <c r="W80" i="19"/>
  <c r="W79" i="19"/>
  <c r="W97" i="19"/>
  <c r="W85" i="19"/>
  <c r="W90" i="19"/>
  <c r="W91" i="19"/>
  <c r="W99" i="19"/>
  <c r="W92" i="19"/>
  <c r="W105" i="19"/>
  <c r="W86" i="19"/>
  <c r="W88" i="19"/>
  <c r="W101" i="19"/>
  <c r="H64" i="19"/>
  <c r="H245" i="19" s="1"/>
  <c r="C273" i="19"/>
  <c r="D273" i="19" s="1"/>
  <c r="H34" i="19"/>
  <c r="L244" i="19"/>
  <c r="L180" i="19" a="1"/>
  <c r="M180" i="19" a="1"/>
  <c r="R159" i="19"/>
  <c r="J244" i="19"/>
  <c r="J180" i="19" a="1"/>
  <c r="H158" i="19"/>
  <c r="G180" i="19"/>
  <c r="H40" i="20" s="1"/>
  <c r="H41" i="20"/>
  <c r="E84" i="19"/>
  <c r="K244" i="19"/>
  <c r="K180" i="19" a="1"/>
  <c r="I180" i="19" a="1"/>
  <c r="H180" i="19" a="1"/>
  <c r="H157" i="19"/>
  <c r="H162" i="19" s="1"/>
  <c r="H254" i="19" s="1"/>
  <c r="L157" i="19"/>
  <c r="J157" i="19"/>
  <c r="M57" i="20"/>
  <c r="M18" i="20" s="1"/>
  <c r="M20" i="20" s="1"/>
  <c r="E218" i="19"/>
  <c r="I218" i="19" s="1"/>
  <c r="M153" i="19"/>
  <c r="M154" i="19" s="1"/>
  <c r="M253" i="19" s="1"/>
  <c r="H56" i="20"/>
  <c r="H57" i="20" s="1"/>
  <c r="H18" i="20" s="1"/>
  <c r="H20" i="20" s="1"/>
  <c r="Q34" i="19"/>
  <c r="W81" i="19"/>
  <c r="L100" i="19"/>
  <c r="I157" i="19"/>
  <c r="I162" i="19" s="1"/>
  <c r="I254" i="19" s="1"/>
  <c r="I114" i="19"/>
  <c r="I115" i="19" s="1"/>
  <c r="W82" i="19"/>
  <c r="T11" i="19"/>
  <c r="I34" i="19"/>
  <c r="Q157" i="19"/>
  <c r="Q162" i="19" s="1"/>
  <c r="Q254" i="19" s="1"/>
  <c r="R241" i="19"/>
  <c r="C272" i="19" s="1"/>
  <c r="D272" i="19" s="1"/>
  <c r="R152" i="19"/>
  <c r="T152" i="19" s="1"/>
  <c r="F100" i="19"/>
  <c r="Q244" i="19"/>
  <c r="I64" i="19"/>
  <c r="I245" i="19" s="1"/>
  <c r="R72" i="19"/>
  <c r="T72" i="19" s="1"/>
  <c r="N100" i="19"/>
  <c r="R62" i="19"/>
  <c r="C302" i="19" s="1"/>
  <c r="Q64" i="19"/>
  <c r="Q245" i="19" s="1"/>
  <c r="G100" i="19"/>
  <c r="J165" i="19"/>
  <c r="F165" i="19"/>
  <c r="I165" i="19"/>
  <c r="C171" i="19"/>
  <c r="H165" i="19"/>
  <c r="G165" i="19"/>
  <c r="M165" i="19"/>
  <c r="T103" i="19"/>
  <c r="L165" i="19"/>
  <c r="K165" i="19"/>
  <c r="T90" i="19"/>
  <c r="P34" i="19"/>
  <c r="P162" i="19"/>
  <c r="P254" i="19" s="1"/>
  <c r="R148" i="19"/>
  <c r="V148" i="19" s="1"/>
  <c r="N157" i="19"/>
  <c r="N162" i="19" s="1"/>
  <c r="N254" i="19" s="1"/>
  <c r="R110" i="19"/>
  <c r="T110" i="19" s="1"/>
  <c r="L57" i="20"/>
  <c r="L18" i="20" s="1"/>
  <c r="L20" i="20" s="1"/>
  <c r="M158" i="19"/>
  <c r="M162" i="19" s="1"/>
  <c r="M254" i="19" s="1"/>
  <c r="M64" i="19"/>
  <c r="M245" i="19" s="1"/>
  <c r="K158" i="19"/>
  <c r="J64" i="20"/>
  <c r="J66" i="20" s="1"/>
  <c r="J38" i="20" s="1"/>
  <c r="R151" i="19"/>
  <c r="V151" i="19" s="1"/>
  <c r="R150" i="19"/>
  <c r="T150" i="19" s="1"/>
  <c r="Q153" i="19"/>
  <c r="R147" i="19"/>
  <c r="T147" i="19" s="1"/>
  <c r="N153" i="19"/>
  <c r="N154" i="19" s="1"/>
  <c r="N253" i="19" s="1"/>
  <c r="G84" i="19"/>
  <c r="H84" i="19"/>
  <c r="I84" i="19"/>
  <c r="J84" i="19"/>
  <c r="H100" i="19"/>
  <c r="H93" i="19"/>
  <c r="I100" i="19"/>
  <c r="F102" i="19"/>
  <c r="L84" i="19"/>
  <c r="F84" i="19"/>
  <c r="J100" i="19"/>
  <c r="M84" i="19"/>
  <c r="N84" i="19"/>
  <c r="I93" i="19"/>
  <c r="G93" i="19"/>
  <c r="E93" i="19"/>
  <c r="N93" i="19"/>
  <c r="N102" i="19"/>
  <c r="J93" i="19"/>
  <c r="I102" i="19"/>
  <c r="H102" i="19"/>
  <c r="K93" i="19"/>
  <c r="J102" i="19"/>
  <c r="L93" i="19"/>
  <c r="K102" i="19"/>
  <c r="M100" i="19"/>
  <c r="E100" i="19"/>
  <c r="M93" i="19"/>
  <c r="E102" i="19"/>
  <c r="L102" i="19"/>
  <c r="G102" i="19"/>
  <c r="K64" i="19"/>
  <c r="K245" i="19" s="1"/>
  <c r="K157" i="19"/>
  <c r="R63" i="19"/>
  <c r="K153" i="19"/>
  <c r="K154" i="19" s="1"/>
  <c r="K253" i="19" s="1"/>
  <c r="J153" i="19"/>
  <c r="J154" i="19" s="1"/>
  <c r="J253" i="19" s="1"/>
  <c r="T111" i="19"/>
  <c r="R112" i="19"/>
  <c r="T112" i="19" s="1"/>
  <c r="H153" i="19"/>
  <c r="H154" i="19" s="1"/>
  <c r="H253" i="19" s="1"/>
  <c r="J114" i="19"/>
  <c r="J115" i="19" s="1"/>
  <c r="J251" i="19" s="1"/>
  <c r="R140" i="19"/>
  <c r="H114" i="19"/>
  <c r="H115" i="19" s="1"/>
  <c r="H251" i="19" s="1"/>
  <c r="X109" i="19"/>
  <c r="R145" i="19"/>
  <c r="T145" i="19" s="1"/>
  <c r="D269" i="19"/>
  <c r="T109" i="19"/>
  <c r="G66" i="20"/>
  <c r="G38" i="20" s="1"/>
  <c r="G65" i="20"/>
  <c r="G32" i="20" s="1"/>
  <c r="G34" i="20" s="1"/>
  <c r="F62" i="20"/>
  <c r="Q26" i="20"/>
  <c r="Q28" i="20" s="1"/>
  <c r="Q65" i="20"/>
  <c r="Q32" i="20" s="1"/>
  <c r="Q34" i="20" s="1"/>
  <c r="Q66" i="20"/>
  <c r="Q38" i="20" s="1"/>
  <c r="O26" i="20"/>
  <c r="O28" i="20" s="1"/>
  <c r="O66" i="20"/>
  <c r="O38" i="20" s="1"/>
  <c r="O65" i="20"/>
  <c r="O32" i="20" s="1"/>
  <c r="O34" i="20" s="1"/>
  <c r="L158" i="19"/>
  <c r="G114" i="19"/>
  <c r="R108" i="19"/>
  <c r="T108" i="19" s="1"/>
  <c r="K114" i="19"/>
  <c r="K115" i="19" s="1"/>
  <c r="H88" i="19"/>
  <c r="G88" i="19"/>
  <c r="N88" i="19"/>
  <c r="F88" i="19"/>
  <c r="M88" i="19"/>
  <c r="E88" i="19"/>
  <c r="L88" i="19"/>
  <c r="K88" i="19"/>
  <c r="J88" i="19"/>
  <c r="I88" i="19"/>
  <c r="K34" i="19"/>
  <c r="I89" i="19"/>
  <c r="H89" i="19"/>
  <c r="G89" i="19"/>
  <c r="N89" i="19"/>
  <c r="F89" i="19"/>
  <c r="M89" i="19"/>
  <c r="E89" i="19"/>
  <c r="L89" i="19"/>
  <c r="K89" i="19"/>
  <c r="J89" i="19"/>
  <c r="M101" i="19"/>
  <c r="E101" i="19"/>
  <c r="L101" i="19"/>
  <c r="K101" i="19"/>
  <c r="J101" i="19"/>
  <c r="I101" i="19"/>
  <c r="H101" i="19"/>
  <c r="G101" i="19"/>
  <c r="N101" i="19"/>
  <c r="F101" i="19"/>
  <c r="N114" i="19"/>
  <c r="N115" i="19" s="1"/>
  <c r="M175" i="19" s="1"/>
  <c r="G188" i="19"/>
  <c r="R188" i="19" s="1"/>
  <c r="T55" i="19"/>
  <c r="T50" i="19"/>
  <c r="E210" i="19" s="1"/>
  <c r="P26" i="20"/>
  <c r="P28" i="20" s="1"/>
  <c r="P65" i="20"/>
  <c r="P32" i="20" s="1"/>
  <c r="P34" i="20" s="1"/>
  <c r="P66" i="20"/>
  <c r="P38" i="20" s="1"/>
  <c r="G56" i="20"/>
  <c r="L64" i="20"/>
  <c r="L26" i="20"/>
  <c r="L28" i="20" s="1"/>
  <c r="O153" i="19"/>
  <c r="O154" i="19" s="1"/>
  <c r="O253" i="19" s="1"/>
  <c r="J245" i="19"/>
  <c r="P176" i="19"/>
  <c r="G79" i="19"/>
  <c r="N79" i="19"/>
  <c r="F79" i="19"/>
  <c r="M79" i="19"/>
  <c r="E79" i="19"/>
  <c r="L79" i="19"/>
  <c r="K79" i="19"/>
  <c r="J79" i="19"/>
  <c r="I79" i="19"/>
  <c r="H79" i="19"/>
  <c r="T16" i="19"/>
  <c r="R31" i="19"/>
  <c r="Z31" i="19" s="1"/>
  <c r="I237" i="19"/>
  <c r="J46" i="20"/>
  <c r="J16" i="20" s="1"/>
  <c r="I247" i="19"/>
  <c r="J8" i="19"/>
  <c r="Q114" i="19"/>
  <c r="Q115" i="19" s="1"/>
  <c r="Q251" i="19" s="1"/>
  <c r="H28" i="20"/>
  <c r="F50" i="20"/>
  <c r="O114" i="19"/>
  <c r="O115" i="19" s="1"/>
  <c r="O251" i="19" s="1"/>
  <c r="O244" i="19"/>
  <c r="O157" i="19"/>
  <c r="O162" i="19" s="1"/>
  <c r="O64" i="19"/>
  <c r="O76" i="19" s="1"/>
  <c r="O34" i="19"/>
  <c r="H95" i="19"/>
  <c r="G95" i="19"/>
  <c r="N95" i="19"/>
  <c r="F95" i="19"/>
  <c r="M95" i="19"/>
  <c r="E95" i="19"/>
  <c r="L95" i="19"/>
  <c r="K95" i="19"/>
  <c r="J95" i="19"/>
  <c r="I95" i="19"/>
  <c r="I251" i="19"/>
  <c r="F245" i="19"/>
  <c r="G87" i="19"/>
  <c r="N87" i="19"/>
  <c r="F87" i="19"/>
  <c r="M87" i="19"/>
  <c r="E87" i="19"/>
  <c r="L87" i="19"/>
  <c r="K87" i="19"/>
  <c r="J87" i="19"/>
  <c r="I87" i="19"/>
  <c r="H87" i="19"/>
  <c r="P76" i="19"/>
  <c r="P249" i="19" s="1"/>
  <c r="I153" i="19"/>
  <c r="I154" i="19" s="1"/>
  <c r="I253" i="19" s="1"/>
  <c r="U54" i="20"/>
  <c r="H64" i="20"/>
  <c r="G186" i="19"/>
  <c r="T149" i="19"/>
  <c r="X149" i="19"/>
  <c r="V149" i="19"/>
  <c r="M34" i="19"/>
  <c r="H15" i="20"/>
  <c r="H7" i="19"/>
  <c r="C271" i="19"/>
  <c r="D271" i="19" s="1"/>
  <c r="E202" i="19"/>
  <c r="Z46" i="19"/>
  <c r="G94" i="19"/>
  <c r="N94" i="19"/>
  <c r="F94" i="19"/>
  <c r="M94" i="19"/>
  <c r="E94" i="19"/>
  <c r="L94" i="19"/>
  <c r="K94" i="19"/>
  <c r="J94" i="19"/>
  <c r="I94" i="19"/>
  <c r="H94" i="19"/>
  <c r="P114" i="19"/>
  <c r="P115" i="19" s="1"/>
  <c r="P251" i="19" s="1"/>
  <c r="R139" i="19"/>
  <c r="N66" i="20"/>
  <c r="N38" i="20" s="1"/>
  <c r="N26" i="20"/>
  <c r="N28" i="20" s="1"/>
  <c r="N65" i="20"/>
  <c r="N32" i="20" s="1"/>
  <c r="N34" i="20" s="1"/>
  <c r="F58" i="20"/>
  <c r="F57" i="20"/>
  <c r="M66" i="20"/>
  <c r="M38" i="20" s="1"/>
  <c r="M65" i="20"/>
  <c r="M32" i="20" s="1"/>
  <c r="M34" i="20" s="1"/>
  <c r="M26" i="20"/>
  <c r="M28" i="20" s="1"/>
  <c r="E245" i="19"/>
  <c r="R142" i="19"/>
  <c r="E258" i="19"/>
  <c r="L114" i="19"/>
  <c r="L115" i="19" s="1"/>
  <c r="N86" i="19"/>
  <c r="F86" i="19"/>
  <c r="M86" i="19"/>
  <c r="E86" i="19"/>
  <c r="L86" i="19"/>
  <c r="K86" i="19"/>
  <c r="J86" i="19"/>
  <c r="I86" i="19"/>
  <c r="H86" i="19"/>
  <c r="G86" i="19"/>
  <c r="H80" i="19"/>
  <c r="G80" i="19"/>
  <c r="N80" i="19"/>
  <c r="F80" i="19"/>
  <c r="M80" i="19"/>
  <c r="E80" i="19"/>
  <c r="L80" i="19"/>
  <c r="K80" i="19"/>
  <c r="J80" i="19"/>
  <c r="I80" i="19"/>
  <c r="Q170" i="19"/>
  <c r="Q176" i="19" s="1"/>
  <c r="Q256" i="19" s="1"/>
  <c r="T137" i="19"/>
  <c r="T113" i="19"/>
  <c r="O176" i="19"/>
  <c r="O256" i="19" s="1"/>
  <c r="L153" i="19"/>
  <c r="L154" i="19" s="1"/>
  <c r="L253" i="19" s="1"/>
  <c r="M85" i="19"/>
  <c r="E85" i="19"/>
  <c r="L85" i="19"/>
  <c r="K85" i="19"/>
  <c r="J85" i="19"/>
  <c r="I85" i="19"/>
  <c r="H85" i="19"/>
  <c r="G85" i="19"/>
  <c r="N85" i="19"/>
  <c r="F85" i="19"/>
  <c r="R146" i="19"/>
  <c r="K83" i="19"/>
  <c r="J83" i="19"/>
  <c r="I83" i="19"/>
  <c r="H83" i="19"/>
  <c r="G83" i="19"/>
  <c r="N83" i="19"/>
  <c r="F83" i="19"/>
  <c r="M83" i="19"/>
  <c r="E83" i="19"/>
  <c r="L83" i="19"/>
  <c r="I96" i="19"/>
  <c r="H96" i="19"/>
  <c r="G96" i="19"/>
  <c r="N96" i="19"/>
  <c r="F96" i="19"/>
  <c r="M96" i="19"/>
  <c r="E96" i="19"/>
  <c r="L96" i="19"/>
  <c r="K96" i="19"/>
  <c r="J96" i="19"/>
  <c r="P153" i="19"/>
  <c r="P154" i="19" s="1"/>
  <c r="P253" i="19" s="1"/>
  <c r="K65" i="20"/>
  <c r="K32" i="20" s="1"/>
  <c r="K34" i="20" s="1"/>
  <c r="K66" i="20"/>
  <c r="K38" i="20" s="1"/>
  <c r="V152" i="19"/>
  <c r="G162" i="19"/>
  <c r="J97" i="19"/>
  <c r="I97" i="19"/>
  <c r="H97" i="19"/>
  <c r="G97" i="19"/>
  <c r="N97" i="19"/>
  <c r="F97" i="19"/>
  <c r="M97" i="19"/>
  <c r="E97" i="19"/>
  <c r="L97" i="19"/>
  <c r="K97" i="19"/>
  <c r="O40" i="20"/>
  <c r="N244" i="19"/>
  <c r="N64" i="19"/>
  <c r="N34" i="19"/>
  <c r="G153" i="19"/>
  <c r="G154" i="19" s="1"/>
  <c r="G253" i="19" s="1"/>
  <c r="L34" i="19"/>
  <c r="L91" i="19"/>
  <c r="K91" i="19"/>
  <c r="J91" i="19"/>
  <c r="I91" i="19"/>
  <c r="H91" i="19"/>
  <c r="G91" i="19"/>
  <c r="N91" i="19"/>
  <c r="F91" i="19"/>
  <c r="M91" i="19"/>
  <c r="E91" i="19"/>
  <c r="M92" i="19"/>
  <c r="E92" i="19"/>
  <c r="L92" i="19"/>
  <c r="K92" i="19"/>
  <c r="J92" i="19"/>
  <c r="I92" i="19"/>
  <c r="H92" i="19"/>
  <c r="G92" i="19"/>
  <c r="N92" i="19"/>
  <c r="F92" i="19"/>
  <c r="L64" i="19"/>
  <c r="P245" i="19"/>
  <c r="G245" i="19"/>
  <c r="I64" i="20"/>
  <c r="I26" i="20"/>
  <c r="I28" i="20" s="1"/>
  <c r="J82" i="19"/>
  <c r="I82" i="19"/>
  <c r="H82" i="19"/>
  <c r="G82" i="19"/>
  <c r="N82" i="19"/>
  <c r="F82" i="19"/>
  <c r="M82" i="19"/>
  <c r="E82" i="19"/>
  <c r="L82" i="19"/>
  <c r="K82" i="19"/>
  <c r="E154" i="19"/>
  <c r="F153" i="19"/>
  <c r="I81" i="19"/>
  <c r="H81" i="19"/>
  <c r="G81" i="19"/>
  <c r="N81" i="19"/>
  <c r="F81" i="19"/>
  <c r="M81" i="19"/>
  <c r="E81" i="19"/>
  <c r="L81" i="19"/>
  <c r="K81" i="19"/>
  <c r="J81" i="19"/>
  <c r="E99" i="19"/>
  <c r="H99" i="19"/>
  <c r="G99" i="19"/>
  <c r="F99" i="19"/>
  <c r="M251" i="19"/>
  <c r="J162" i="19" l="1"/>
  <c r="J254" i="19" s="1"/>
  <c r="D302" i="19"/>
  <c r="T148" i="19"/>
  <c r="K162" i="19"/>
  <c r="K254" i="19" s="1"/>
  <c r="R181" i="19"/>
  <c r="R244" i="19"/>
  <c r="C275" i="19" s="1"/>
  <c r="D275" i="19" s="1"/>
  <c r="R248" i="19"/>
  <c r="C279" i="19" s="1"/>
  <c r="M180" i="19"/>
  <c r="N40" i="20" s="1"/>
  <c r="N41" i="20"/>
  <c r="J180" i="19"/>
  <c r="K40" i="20" s="1"/>
  <c r="K41" i="20"/>
  <c r="L180" i="19"/>
  <c r="M40" i="20" s="1"/>
  <c r="M41" i="20"/>
  <c r="K180" i="19"/>
  <c r="L40" i="20" s="1"/>
  <c r="L41" i="20"/>
  <c r="I180" i="19"/>
  <c r="J40" i="20" s="1"/>
  <c r="J41" i="20"/>
  <c r="H180" i="19"/>
  <c r="I40" i="20" s="1"/>
  <c r="I41" i="20"/>
  <c r="C303" i="19"/>
  <c r="H58" i="20"/>
  <c r="I175" i="19"/>
  <c r="T63" i="19"/>
  <c r="T65" i="19"/>
  <c r="U65" i="19" s="1"/>
  <c r="C305" i="19"/>
  <c r="D305" i="19" s="1"/>
  <c r="D279" i="19"/>
  <c r="J65" i="20"/>
  <c r="J32" i="20" s="1"/>
  <c r="J34" i="20" s="1"/>
  <c r="T34" i="19"/>
  <c r="T151" i="19"/>
  <c r="R158" i="19"/>
  <c r="V147" i="19"/>
  <c r="V150" i="19"/>
  <c r="D28" i="20"/>
  <c r="R84" i="19"/>
  <c r="T84" i="19" s="1"/>
  <c r="R89" i="19"/>
  <c r="T89" i="19" s="1"/>
  <c r="R93" i="19"/>
  <c r="T93" i="19" s="1"/>
  <c r="R100" i="19"/>
  <c r="T100" i="19" s="1"/>
  <c r="R102" i="19"/>
  <c r="T102" i="19" s="1"/>
  <c r="R95" i="19"/>
  <c r="T95" i="19" s="1"/>
  <c r="R82" i="19"/>
  <c r="T82" i="19" s="1"/>
  <c r="R88" i="19"/>
  <c r="T88" i="19" s="1"/>
  <c r="R64" i="19"/>
  <c r="R245" i="19" s="1"/>
  <c r="C276" i="19" s="1"/>
  <c r="V145" i="19"/>
  <c r="R153" i="19"/>
  <c r="T153" i="19" s="1"/>
  <c r="O249" i="19"/>
  <c r="R76" i="19"/>
  <c r="R165" i="19"/>
  <c r="R92" i="19"/>
  <c r="T92" i="19" s="1"/>
  <c r="K128" i="19"/>
  <c r="L129" i="19"/>
  <c r="N127" i="19"/>
  <c r="M126" i="19"/>
  <c r="I15" i="20"/>
  <c r="I7" i="19"/>
  <c r="L104" i="19"/>
  <c r="L105" i="19" s="1"/>
  <c r="R96" i="19"/>
  <c r="T96" i="19" s="1"/>
  <c r="E129" i="19"/>
  <c r="R83" i="19"/>
  <c r="T83" i="19" s="1"/>
  <c r="R85" i="19"/>
  <c r="T85" i="19" s="1"/>
  <c r="H126" i="19"/>
  <c r="I127" i="19"/>
  <c r="G127" i="19"/>
  <c r="F126" i="19"/>
  <c r="R86" i="19"/>
  <c r="T86" i="19" s="1"/>
  <c r="G187" i="19"/>
  <c r="H186" i="19"/>
  <c r="R79" i="19"/>
  <c r="T79" i="19" s="1"/>
  <c r="E104" i="19"/>
  <c r="L162" i="19"/>
  <c r="L254" i="19" s="1"/>
  <c r="L245" i="19"/>
  <c r="F154" i="19"/>
  <c r="F253" i="19" s="1"/>
  <c r="R99" i="19"/>
  <c r="T99" i="19" s="1"/>
  <c r="R91" i="19"/>
  <c r="T91" i="19" s="1"/>
  <c r="L128" i="19"/>
  <c r="M129" i="19"/>
  <c r="I126" i="19"/>
  <c r="J127" i="19"/>
  <c r="H127" i="19"/>
  <c r="G126" i="19"/>
  <c r="M104" i="19"/>
  <c r="M105" i="19" s="1"/>
  <c r="E128" i="19"/>
  <c r="F129" i="19"/>
  <c r="J126" i="19"/>
  <c r="K127" i="19"/>
  <c r="H65" i="20"/>
  <c r="H32" i="20" s="1"/>
  <c r="H34" i="20" s="1"/>
  <c r="H66" i="20"/>
  <c r="H38" i="20" s="1"/>
  <c r="R87" i="19"/>
  <c r="T87" i="19" s="1"/>
  <c r="T19" i="19"/>
  <c r="X19" i="19"/>
  <c r="F104" i="19"/>
  <c r="F105" i="19" s="1"/>
  <c r="K251" i="19"/>
  <c r="K175" i="19"/>
  <c r="R81" i="19"/>
  <c r="T81" i="19" s="1"/>
  <c r="R97" i="19"/>
  <c r="T97" i="19" s="1"/>
  <c r="M128" i="19"/>
  <c r="N129" i="19"/>
  <c r="N251" i="19"/>
  <c r="K126" i="19"/>
  <c r="L127" i="19"/>
  <c r="N104" i="19"/>
  <c r="N105" i="19" s="1"/>
  <c r="N167" i="19" s="1"/>
  <c r="N255" i="19" s="1"/>
  <c r="C172" i="19"/>
  <c r="E172" i="19" s="1"/>
  <c r="R172" i="19" s="1"/>
  <c r="E171" i="19"/>
  <c r="R157" i="19"/>
  <c r="K202" i="19" s="1"/>
  <c r="F128" i="19"/>
  <c r="G129" i="19"/>
  <c r="R80" i="19"/>
  <c r="T80" i="19" s="1"/>
  <c r="L251" i="19"/>
  <c r="F18" i="20"/>
  <c r="I104" i="19"/>
  <c r="I105" i="19" s="1"/>
  <c r="G104" i="19"/>
  <c r="G105" i="19" s="1"/>
  <c r="G115" i="19"/>
  <c r="R114" i="19"/>
  <c r="T114" i="19" s="1"/>
  <c r="F64" i="20"/>
  <c r="E253" i="19"/>
  <c r="N245" i="19"/>
  <c r="R94" i="19"/>
  <c r="T94" i="19" s="1"/>
  <c r="H104" i="19"/>
  <c r="H105" i="19" s="1"/>
  <c r="G254" i="19"/>
  <c r="J129" i="19"/>
  <c r="I128" i="19"/>
  <c r="H129" i="19"/>
  <c r="G128" i="19"/>
  <c r="L126" i="19"/>
  <c r="M127" i="19"/>
  <c r="F30" i="20"/>
  <c r="J237" i="19"/>
  <c r="J247" i="19"/>
  <c r="K46" i="20"/>
  <c r="J104" i="19"/>
  <c r="J105" i="19" s="1"/>
  <c r="P256" i="19"/>
  <c r="P179" i="19"/>
  <c r="L65" i="20"/>
  <c r="L32" i="20" s="1"/>
  <c r="L34" i="20" s="1"/>
  <c r="L66" i="20"/>
  <c r="L38" i="20" s="1"/>
  <c r="R170" i="19"/>
  <c r="K129" i="19"/>
  <c r="J128" i="19"/>
  <c r="T146" i="19"/>
  <c r="V146" i="19"/>
  <c r="F127" i="19"/>
  <c r="E126" i="19"/>
  <c r="O245" i="19"/>
  <c r="D26" i="20"/>
  <c r="K104" i="19"/>
  <c r="K105" i="19" s="1"/>
  <c r="G58" i="20"/>
  <c r="G57" i="20"/>
  <c r="G18" i="20" s="1"/>
  <c r="G20" i="20" s="1"/>
  <c r="R101" i="19"/>
  <c r="T101" i="19" s="1"/>
  <c r="Q179" i="19"/>
  <c r="I129" i="19"/>
  <c r="H128" i="19"/>
  <c r="I65" i="20"/>
  <c r="I32" i="20" s="1"/>
  <c r="I34" i="20" s="1"/>
  <c r="I66" i="20"/>
  <c r="I38" i="20" s="1"/>
  <c r="O254" i="19"/>
  <c r="O179" i="19"/>
  <c r="D41" i="20" l="1"/>
  <c r="D303" i="19"/>
  <c r="R180" i="19"/>
  <c r="T77" i="19"/>
  <c r="D40" i="20"/>
  <c r="U58" i="20"/>
  <c r="U63" i="19"/>
  <c r="V63" i="19"/>
  <c r="E273" i="19"/>
  <c r="D276" i="19"/>
  <c r="E272" i="19"/>
  <c r="E271" i="19"/>
  <c r="E276" i="19"/>
  <c r="E274" i="19"/>
  <c r="E275" i="19"/>
  <c r="T66" i="19"/>
  <c r="R162" i="19"/>
  <c r="R254" i="19" s="1"/>
  <c r="C285" i="19" s="1"/>
  <c r="C308" i="19" s="1"/>
  <c r="D308" i="19" s="1"/>
  <c r="V153" i="19"/>
  <c r="L250" i="19"/>
  <c r="L174" i="19"/>
  <c r="L176" i="19" s="1"/>
  <c r="L256" i="19" s="1"/>
  <c r="L167" i="19"/>
  <c r="L255" i="19" s="1"/>
  <c r="H250" i="19"/>
  <c r="H174" i="19"/>
  <c r="H176" i="19" s="1"/>
  <c r="H256" i="19" s="1"/>
  <c r="H167" i="19"/>
  <c r="H255" i="19" s="1"/>
  <c r="K16" i="20"/>
  <c r="R126" i="19"/>
  <c r="E133" i="19"/>
  <c r="E134" i="19"/>
  <c r="E270" i="19"/>
  <c r="R127" i="19"/>
  <c r="Q39" i="20"/>
  <c r="Q42" i="20" s="1"/>
  <c r="P183" i="19"/>
  <c r="E269" i="19"/>
  <c r="R171" i="19"/>
  <c r="E176" i="19"/>
  <c r="F250" i="19"/>
  <c r="F174" i="19"/>
  <c r="F167" i="19"/>
  <c r="F255" i="19" s="1"/>
  <c r="U57" i="20"/>
  <c r="H187" i="19"/>
  <c r="H190" i="19" s="1"/>
  <c r="H258" i="19" s="1"/>
  <c r="I186" i="19"/>
  <c r="I189" i="19" s="1"/>
  <c r="H133" i="19"/>
  <c r="H134" i="19" s="1"/>
  <c r="H252" i="19" s="1"/>
  <c r="P39" i="20"/>
  <c r="P42" i="20" s="1"/>
  <c r="O183" i="19"/>
  <c r="K133" i="19"/>
  <c r="K134" i="19" s="1"/>
  <c r="K252" i="19" s="1"/>
  <c r="R128" i="19"/>
  <c r="E105" i="19"/>
  <c r="R104" i="19"/>
  <c r="T104" i="19" s="1"/>
  <c r="G251" i="19"/>
  <c r="G175" i="19"/>
  <c r="R175" i="19" s="1"/>
  <c r="G167" i="19"/>
  <c r="G255" i="19" s="1"/>
  <c r="R115" i="19"/>
  <c r="M250" i="19"/>
  <c r="M174" i="19"/>
  <c r="M176" i="19" s="1"/>
  <c r="M256" i="19" s="1"/>
  <c r="M167" i="19"/>
  <c r="M255" i="19" s="1"/>
  <c r="K250" i="19"/>
  <c r="K174" i="19"/>
  <c r="K176" i="19" s="1"/>
  <c r="K256" i="19" s="1"/>
  <c r="R154" i="19"/>
  <c r="G250" i="19"/>
  <c r="G174" i="19"/>
  <c r="G190" i="19"/>
  <c r="J15" i="20"/>
  <c r="J7" i="19"/>
  <c r="J250" i="19"/>
  <c r="J174" i="19"/>
  <c r="J176" i="19" s="1"/>
  <c r="J256" i="19" s="1"/>
  <c r="J167" i="19"/>
  <c r="J255" i="19" s="1"/>
  <c r="I250" i="19"/>
  <c r="I174" i="19"/>
  <c r="I176" i="19" s="1"/>
  <c r="I256" i="19" s="1"/>
  <c r="I167" i="19"/>
  <c r="I255" i="19" s="1"/>
  <c r="T20" i="19"/>
  <c r="W34" i="19" s="1"/>
  <c r="D18" i="20"/>
  <c r="F20" i="20"/>
  <c r="L133" i="19"/>
  <c r="L134" i="19" s="1"/>
  <c r="F66" i="20"/>
  <c r="F65" i="20"/>
  <c r="F32" i="20" s="1"/>
  <c r="K167" i="19"/>
  <c r="K255" i="19" s="1"/>
  <c r="N134" i="19"/>
  <c r="N252" i="19" s="1"/>
  <c r="R249" i="19"/>
  <c r="C280" i="19" s="1"/>
  <c r="N250" i="19"/>
  <c r="N174" i="19"/>
  <c r="N176" i="19" s="1"/>
  <c r="N256" i="19" s="1"/>
  <c r="J133" i="19"/>
  <c r="J134" i="19" s="1"/>
  <c r="G133" i="19"/>
  <c r="G134" i="19" s="1"/>
  <c r="G252" i="19" s="1"/>
  <c r="M133" i="19"/>
  <c r="M134" i="19" s="1"/>
  <c r="R39" i="20"/>
  <c r="R42" i="20" s="1"/>
  <c r="Q183" i="19"/>
  <c r="K237" i="19"/>
  <c r="K247" i="19"/>
  <c r="L46" i="20"/>
  <c r="L16" i="20" s="1"/>
  <c r="R129" i="19"/>
  <c r="I133" i="19"/>
  <c r="I134" i="19" s="1"/>
  <c r="F133" i="19"/>
  <c r="F134" i="19" s="1"/>
  <c r="D285" i="19" l="1"/>
  <c r="D280" i="19"/>
  <c r="T162" i="19"/>
  <c r="H179" i="19"/>
  <c r="I39" i="20" s="1"/>
  <c r="I42" i="20" s="1"/>
  <c r="L252" i="19"/>
  <c r="L179" i="19"/>
  <c r="J252" i="19"/>
  <c r="J179" i="19"/>
  <c r="F252" i="19"/>
  <c r="I252" i="19"/>
  <c r="I179" i="19"/>
  <c r="M252" i="19"/>
  <c r="M179" i="19"/>
  <c r="L247" i="19"/>
  <c r="M46" i="20"/>
  <c r="L237" i="19"/>
  <c r="M8" i="19"/>
  <c r="E252" i="19"/>
  <c r="R134" i="19"/>
  <c r="T134" i="19" s="1"/>
  <c r="F23" i="20"/>
  <c r="D20" i="20"/>
  <c r="F22" i="20"/>
  <c r="G258" i="19"/>
  <c r="K179" i="19"/>
  <c r="R251" i="19"/>
  <c r="C282" i="19" s="1"/>
  <c r="T116" i="19"/>
  <c r="X115" i="19"/>
  <c r="T115" i="19"/>
  <c r="P257" i="19"/>
  <c r="R133" i="19"/>
  <c r="I187" i="19"/>
  <c r="J186" i="19"/>
  <c r="F176" i="19"/>
  <c r="F256" i="19" s="1"/>
  <c r="R174" i="19"/>
  <c r="Q257" i="19"/>
  <c r="G176" i="19"/>
  <c r="D32" i="20"/>
  <c r="F34" i="20"/>
  <c r="O257" i="19"/>
  <c r="N179" i="19"/>
  <c r="U66" i="20"/>
  <c r="F38" i="20"/>
  <c r="K15" i="20"/>
  <c r="K7" i="19"/>
  <c r="R253" i="19"/>
  <c r="C284" i="19" s="1"/>
  <c r="T155" i="19"/>
  <c r="V154" i="19"/>
  <c r="T154" i="19"/>
  <c r="E250" i="19"/>
  <c r="R105" i="19"/>
  <c r="E256" i="19"/>
  <c r="T105" i="19" l="1"/>
  <c r="T106" i="19"/>
  <c r="D284" i="19"/>
  <c r="D282" i="19"/>
  <c r="R176" i="19"/>
  <c r="T176" i="19" s="1"/>
  <c r="H183" i="19"/>
  <c r="H194" i="19" s="1"/>
  <c r="F179" i="19"/>
  <c r="G39" i="20" s="1"/>
  <c r="G42" i="20" s="1"/>
  <c r="L183" i="19"/>
  <c r="M39" i="20"/>
  <c r="M42" i="20" s="1"/>
  <c r="J39" i="20"/>
  <c r="J42" i="20" s="1"/>
  <c r="I183" i="19"/>
  <c r="N39" i="20"/>
  <c r="N42" i="20" s="1"/>
  <c r="M183" i="19"/>
  <c r="R166" i="19"/>
  <c r="E167" i="19"/>
  <c r="L15" i="20"/>
  <c r="L7" i="19"/>
  <c r="R250" i="19"/>
  <c r="C281" i="19" s="1"/>
  <c r="C306" i="19" s="1"/>
  <c r="D306" i="19" s="1"/>
  <c r="D34" i="20"/>
  <c r="F36" i="20"/>
  <c r="AC3" i="19"/>
  <c r="AC2" i="19" s="1"/>
  <c r="G23" i="20"/>
  <c r="M247" i="19"/>
  <c r="N46" i="20"/>
  <c r="M237" i="19"/>
  <c r="N8" i="19"/>
  <c r="D38" i="20"/>
  <c r="J187" i="19"/>
  <c r="J189" i="19"/>
  <c r="K186" i="19" s="1"/>
  <c r="G256" i="19"/>
  <c r="G179" i="19"/>
  <c r="I190" i="19"/>
  <c r="L39" i="20"/>
  <c r="L42" i="20" s="1"/>
  <c r="K183" i="19"/>
  <c r="M16" i="20"/>
  <c r="K39" i="20"/>
  <c r="K42" i="20" s="1"/>
  <c r="J183" i="19"/>
  <c r="O39" i="20"/>
  <c r="O42" i="20" s="1"/>
  <c r="N183" i="19"/>
  <c r="R252" i="19"/>
  <c r="C283" i="19" s="1"/>
  <c r="C307" i="19" s="1"/>
  <c r="D307" i="19" s="1"/>
  <c r="T135" i="19"/>
  <c r="D281" i="19" l="1"/>
  <c r="D283" i="19"/>
  <c r="J190" i="19"/>
  <c r="J258" i="19" s="1"/>
  <c r="H257" i="19"/>
  <c r="R256" i="19"/>
  <c r="C287" i="19" s="1"/>
  <c r="C310" i="19" s="1"/>
  <c r="D310" i="19" s="1"/>
  <c r="F183" i="19"/>
  <c r="F194" i="19" s="1"/>
  <c r="H39" i="20"/>
  <c r="H42" i="20" s="1"/>
  <c r="G183" i="19"/>
  <c r="M257" i="19"/>
  <c r="O46" i="20"/>
  <c r="O16" i="20" s="1"/>
  <c r="N247" i="19"/>
  <c r="N237" i="19"/>
  <c r="M15" i="20"/>
  <c r="M7" i="19"/>
  <c r="I257" i="19"/>
  <c r="I194" i="19"/>
  <c r="H260" i="19"/>
  <c r="K257" i="19"/>
  <c r="N16" i="20"/>
  <c r="K187" i="19"/>
  <c r="K189" i="19"/>
  <c r="L186" i="19" s="1"/>
  <c r="AD3" i="19"/>
  <c r="AD2" i="19" s="1"/>
  <c r="H23" i="20"/>
  <c r="J257" i="19"/>
  <c r="L257" i="19"/>
  <c r="N257" i="19"/>
  <c r="E255" i="19"/>
  <c r="R167" i="19"/>
  <c r="E179" i="19"/>
  <c r="I258" i="19"/>
  <c r="J194" i="19" l="1"/>
  <c r="J260" i="19" s="1"/>
  <c r="D287" i="19"/>
  <c r="F257" i="19"/>
  <c r="L187" i="19"/>
  <c r="L189" i="19"/>
  <c r="M186" i="19" s="1"/>
  <c r="P46" i="20"/>
  <c r="P16" i="20" s="1"/>
  <c r="O247" i="19"/>
  <c r="O237" i="19"/>
  <c r="K190" i="19"/>
  <c r="I260" i="19"/>
  <c r="F39" i="20"/>
  <c r="R179" i="19"/>
  <c r="E183" i="19"/>
  <c r="AE3" i="19"/>
  <c r="AE2" i="19" s="1"/>
  <c r="I23" i="20"/>
  <c r="F260" i="19"/>
  <c r="T167" i="19"/>
  <c r="R255" i="19"/>
  <c r="C286" i="19" s="1"/>
  <c r="C309" i="19" s="1"/>
  <c r="D309" i="19" s="1"/>
  <c r="T179" i="19"/>
  <c r="U179" i="19" s="1"/>
  <c r="V179" i="19" s="1"/>
  <c r="N15" i="20"/>
  <c r="N7" i="19"/>
  <c r="G257" i="19"/>
  <c r="G194" i="19"/>
  <c r="D286" i="19" l="1"/>
  <c r="N187" i="19"/>
  <c r="M189" i="19"/>
  <c r="N186" i="19" s="1"/>
  <c r="M187" i="19"/>
  <c r="D39" i="20"/>
  <c r="F42" i="20"/>
  <c r="D42" i="20" s="1"/>
  <c r="F43" i="20" s="1"/>
  <c r="Q46" i="20"/>
  <c r="Q16" i="20" s="1"/>
  <c r="P237" i="19"/>
  <c r="P247" i="19"/>
  <c r="Q8" i="19"/>
  <c r="O15" i="20"/>
  <c r="O7" i="19"/>
  <c r="G260" i="19"/>
  <c r="L190" i="19"/>
  <c r="AF3" i="19"/>
  <c r="AF2" i="19" s="1"/>
  <c r="J23" i="20"/>
  <c r="E257" i="19"/>
  <c r="R183" i="19"/>
  <c r="E194" i="19"/>
  <c r="K258" i="19"/>
  <c r="K194" i="19"/>
  <c r="O187" i="19" l="1"/>
  <c r="N189" i="19"/>
  <c r="N190" i="19" s="1"/>
  <c r="E260" i="19"/>
  <c r="E196" i="19"/>
  <c r="F196" i="19" s="1"/>
  <c r="G196" i="19" s="1"/>
  <c r="H196" i="19" s="1"/>
  <c r="I196" i="19" s="1"/>
  <c r="J196" i="19" s="1"/>
  <c r="K196" i="19" s="1"/>
  <c r="P15" i="20"/>
  <c r="P7" i="19"/>
  <c r="K260" i="19"/>
  <c r="R257" i="19"/>
  <c r="C288" i="19" s="1"/>
  <c r="C311" i="19" s="1"/>
  <c r="D311" i="19" s="1"/>
  <c r="T183" i="19"/>
  <c r="AG3" i="19"/>
  <c r="AG2" i="19" s="1"/>
  <c r="K23" i="20"/>
  <c r="M190" i="19"/>
  <c r="Q237" i="19"/>
  <c r="R46" i="20"/>
  <c r="Q247" i="19"/>
  <c r="E222" i="19"/>
  <c r="L218" i="19" s="1"/>
  <c r="L258" i="19"/>
  <c r="L194" i="19"/>
  <c r="D288" i="19" l="1"/>
  <c r="O186" i="19"/>
  <c r="P187" i="19" s="1"/>
  <c r="N258" i="19"/>
  <c r="N194" i="19"/>
  <c r="M258" i="19"/>
  <c r="M194" i="19"/>
  <c r="L260" i="19"/>
  <c r="L196" i="19"/>
  <c r="Z196" i="19" s="1"/>
  <c r="AH3" i="19"/>
  <c r="AH2" i="19" s="1"/>
  <c r="L23" i="20"/>
  <c r="Q15" i="20"/>
  <c r="Q7" i="19"/>
  <c r="R15" i="20" s="1"/>
  <c r="R16" i="20"/>
  <c r="F55" i="20"/>
  <c r="Z198" i="19" s="1"/>
  <c r="F49" i="20"/>
  <c r="F63" i="20"/>
  <c r="O189" i="19" l="1"/>
  <c r="P186" i="19" s="1"/>
  <c r="P189" i="19" s="1"/>
  <c r="R189" i="19" s="1"/>
  <c r="F29" i="20"/>
  <c r="F21" i="20"/>
  <c r="F35" i="20"/>
  <c r="AI3" i="19"/>
  <c r="AI2" i="19" s="1"/>
  <c r="M23" i="20"/>
  <c r="M260" i="19"/>
  <c r="M196" i="19"/>
  <c r="N196" i="19" s="1"/>
  <c r="N260" i="19"/>
  <c r="O190" i="19" l="1"/>
  <c r="O258" i="19" s="1"/>
  <c r="Q187" i="19"/>
  <c r="R187" i="19" s="1"/>
  <c r="O194" i="19"/>
  <c r="O260" i="19" s="1"/>
  <c r="Q186" i="19"/>
  <c r="P190" i="19"/>
  <c r="P258" i="19" s="1"/>
  <c r="AJ3" i="19"/>
  <c r="AJ2" i="19" s="1"/>
  <c r="Z181" i="19" s="1"/>
  <c r="N23" i="20"/>
  <c r="O23" i="20" s="1"/>
  <c r="P23" i="20" s="1"/>
  <c r="Q23" i="20" s="1"/>
  <c r="R23" i="20" s="1"/>
  <c r="Q190" i="19" l="1"/>
  <c r="O196" i="19"/>
  <c r="K204" i="19"/>
  <c r="K206" i="19" s="1"/>
  <c r="K208" i="19" s="1"/>
  <c r="C312" i="19"/>
  <c r="D312" i="19" s="1"/>
  <c r="P194" i="19"/>
  <c r="P260" i="19" s="1"/>
  <c r="Q258" i="19"/>
  <c r="Q194" i="19"/>
  <c r="R190" i="19"/>
  <c r="R258" i="19" s="1"/>
  <c r="C289" i="19" s="1"/>
  <c r="P196" i="19" l="1"/>
  <c r="Q196" i="19" s="1"/>
  <c r="K210" i="19"/>
  <c r="T210" i="19"/>
  <c r="D289" i="19"/>
  <c r="Q260" i="19"/>
  <c r="R194" i="19"/>
  <c r="C313" i="19" l="1"/>
  <c r="R260" i="19"/>
  <c r="C291" i="19" s="1"/>
  <c r="Z194" i="19"/>
  <c r="AA6" i="19" s="1"/>
  <c r="D313" i="19" l="1"/>
  <c r="C316" i="19"/>
  <c r="D316" i="19" s="1"/>
  <c r="E291" i="19"/>
  <c r="E290" i="19"/>
  <c r="E289" i="19"/>
  <c r="D291" i="19"/>
  <c r="E279" i="19"/>
  <c r="E286" i="19"/>
  <c r="E280" i="19"/>
  <c r="E285" i="19"/>
  <c r="E284" i="19"/>
  <c r="E282" i="19"/>
  <c r="E283" i="19"/>
  <c r="E281" i="19"/>
  <c r="E287" i="19"/>
  <c r="E288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<sst xmlns="http://schemas.openxmlformats.org/spreadsheetml/2006/main" count="382" uniqueCount="276">
  <si>
    <t>Asset Management Fee</t>
  </si>
  <si>
    <t>Cumulative PM (Equity) Cash Position</t>
  </si>
  <si>
    <t>PEREGRINE RANCH - LOT DEVELOPMENT</t>
  </si>
  <si>
    <t>Year 0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</si>
  <si>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</si>
  <si>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</si>
  <si>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</si>
  <si>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</si>
  <si>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</si>
  <si>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</si>
  <si>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</si>
  <si>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</si>
  <si>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</si>
  <si>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</si>
  <si>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Year 11</t>
  </si>
  <si>
    <t>Year 12</t>
  </si>
  <si>
    <t>Checks</t>
  </si>
  <si>
    <t>TOTALS</t>
  </si>
  <si>
    <t xml:space="preserve">Average </t>
  </si>
  <si>
    <t>Average</t>
  </si>
  <si>
    <t>Lot Buildout Schedule</t>
  </si>
  <si>
    <t>Sqft of Lots</t>
  </si>
  <si>
    <t>Lot Size</t>
  </si>
  <si>
    <t>1 Acre Lots (Valley Club Comps)</t>
  </si>
  <si>
    <t>Total starts</t>
  </si>
  <si>
    <t>Home Buildout schedule</t>
  </si>
  <si>
    <t>Unit Size</t>
  </si>
  <si>
    <t>Small Home Program</t>
  </si>
  <si>
    <t>Medium Home Program</t>
  </si>
  <si>
    <t>Large Home Program</t>
  </si>
  <si>
    <t>/sf</t>
  </si>
  <si>
    <t>Total Sellable SQFT</t>
  </si>
  <si>
    <t>Total Sellable ACRES</t>
  </si>
  <si>
    <t>Lot Sales Schedule</t>
  </si>
  <si>
    <t>No. of Units</t>
  </si>
  <si>
    <t>Selling Price (SF)</t>
  </si>
  <si>
    <t>/LOT</t>
  </si>
  <si>
    <t>Home Sales Schedule</t>
  </si>
  <si>
    <t>Starting Price Points</t>
  </si>
  <si>
    <t>/SF</t>
  </si>
  <si>
    <t>Total sales</t>
  </si>
  <si>
    <t>Check on Sales &amp; Build out</t>
  </si>
  <si>
    <t>Sales Price Escalation / Amenity RECAP Price</t>
  </si>
  <si>
    <t>Average Res Unit Sales Price</t>
  </si>
  <si>
    <t>Average Sales $ per Unit</t>
  </si>
  <si>
    <t>SOURCES</t>
  </si>
  <si>
    <t>PURSUIT / DUE DILIGENCE: GP DEVELOPER</t>
  </si>
  <si>
    <t>EQUITY (INVESTOR)</t>
  </si>
  <si>
    <t>VALUE OF SPEC DEV</t>
  </si>
  <si>
    <t>Amenity Equity</t>
  </si>
  <si>
    <t>Land &amp; Project Acquisition &amp; Inholding Acquisition or Resolution</t>
  </si>
  <si>
    <t>Infrastructure</t>
  </si>
  <si>
    <t>Soft Costs for Entitlment</t>
  </si>
  <si>
    <t>Equity</t>
  </si>
  <si>
    <t>Project Level Expenses</t>
  </si>
  <si>
    <t>Debt</t>
  </si>
  <si>
    <t>Home Construction &amp; Design</t>
  </si>
  <si>
    <t>Plug</t>
  </si>
  <si>
    <t>EQUITY / PROJECT ACQUISITION + ENTITLEMENT</t>
  </si>
  <si>
    <t>ETV</t>
  </si>
  <si>
    <t>Force to 25 mm per year</t>
  </si>
  <si>
    <t>DEBT</t>
  </si>
  <si>
    <t>LTC</t>
  </si>
  <si>
    <t>Net Operating Income from Amenity Operations (before tax)</t>
  </si>
  <si>
    <t>Membership Buy In</t>
  </si>
  <si>
    <t>Proceeds from Sale of Amenity</t>
  </si>
  <si>
    <t>NET INCOME FROM AMENITY OPERATIONS</t>
  </si>
  <si>
    <t>LTV</t>
  </si>
  <si>
    <t>Construction Start Draw + Foundation Complete</t>
  </si>
  <si>
    <t>Structure Complete Draw</t>
  </si>
  <si>
    <t>MEP 4-way + Finishes Start Draw</t>
  </si>
  <si>
    <t>PRESALE DRAWS</t>
  </si>
  <si>
    <t>TOTAL HOME SALES</t>
  </si>
  <si>
    <t>LOT SALES</t>
  </si>
  <si>
    <t>UNIT SALES</t>
  </si>
  <si>
    <t>average $/sf</t>
  </si>
  <si>
    <t>TOTAL SOURCES</t>
  </si>
  <si>
    <t>TOTAL SALES</t>
  </si>
  <si>
    <t>USES</t>
  </si>
  <si>
    <t>LAND &amp; PROJECT ACQUISITION</t>
  </si>
  <si>
    <t>Land Acquisition</t>
  </si>
  <si>
    <t>Asset Acquisition Fee</t>
  </si>
  <si>
    <t>Closing Costs</t>
  </si>
  <si>
    <t>$/Lot</t>
  </si>
  <si>
    <t>AMENITY - USE OF EQUITY</t>
  </si>
  <si>
    <t>of Sales</t>
  </si>
  <si>
    <t>HARD COSTS - SITE, RESTORATION &amp; INFRASTRUCTURE</t>
  </si>
  <si>
    <t>Summer '21 COST ESTIMATE</t>
  </si>
  <si>
    <t>General Conditions, Supervision  &amp; Plans - per Lot</t>
  </si>
  <si>
    <t>/lot</t>
  </si>
  <si>
    <t>Surveying - per lot</t>
  </si>
  <si>
    <t>Construction Access - per lot</t>
  </si>
  <si>
    <t>SWPPP - per lot</t>
  </si>
  <si>
    <t>Clear &amp; Grub - per lot</t>
  </si>
  <si>
    <t>Topsoil Strip &amp; Stockpile - per lot</t>
  </si>
  <si>
    <t>Cut &amp; Fill - per lot</t>
  </si>
  <si>
    <t>Gas Lines - per lot</t>
  </si>
  <si>
    <t>Dry Utilities - per lot</t>
  </si>
  <si>
    <t>Water Lines - per lot</t>
  </si>
  <si>
    <t>Sewer Lines - per lot</t>
  </si>
  <si>
    <t>Sewer Treatment - per lot (DONE W/ PHASE 1)</t>
  </si>
  <si>
    <t>Storm Water System - per lot</t>
  </si>
  <si>
    <t>Asphalt Paving - per lot</t>
  </si>
  <si>
    <t>Road Subgrade - per lot</t>
  </si>
  <si>
    <t>Road Base - per lot</t>
  </si>
  <si>
    <t>Water Supply / Pump Houses - per lot</t>
  </si>
  <si>
    <t>Landscaping @ Roads + Open Spaces - per lot</t>
  </si>
  <si>
    <t>Sprinkler System @ Open Spaces - per lot</t>
  </si>
  <si>
    <r>
      <t xml:space="preserve">Traffic Lights - per lot (DONE W/ PHASE 1) - </t>
    </r>
    <r>
      <rPr>
        <sz val="11"/>
        <color rgb="FFFF0000"/>
        <rFont val="Calibri (Body)"/>
      </rPr>
      <t>1 EA</t>
    </r>
  </si>
  <si>
    <t>Sidewalk / Curb &amp; Gutter - per lot (EXCLUDED)</t>
  </si>
  <si>
    <t>Design Contingency - per lot</t>
  </si>
  <si>
    <t>Insurances - per lot</t>
  </si>
  <si>
    <t>Infra Contractor OH&amp;P - per lot</t>
  </si>
  <si>
    <t>Construction Cost Escalation / Escalation #</t>
  </si>
  <si>
    <t>Developer Construction Contingency</t>
  </si>
  <si>
    <t>HARD COSTS - HOMES</t>
  </si>
  <si>
    <t>Infrastructure (Driveways &amp; Utility Hookups)</t>
  </si>
  <si>
    <t>/EA</t>
  </si>
  <si>
    <t>Build Cost $/sf Check</t>
  </si>
  <si>
    <t>AVE / HOME</t>
  </si>
  <si>
    <t>Landscape / Hardscape</t>
  </si>
  <si>
    <t>Total Cost $/sf Check</t>
  </si>
  <si>
    <t>SOFT COSTS PROFESSIONALS - SITE, RESTORE, &amp; INFRA</t>
  </si>
  <si>
    <t>Environmental - EA/Wildlife &amp; Phase 1 Site Study</t>
  </si>
  <si>
    <t>Site Survey for Entitlements</t>
  </si>
  <si>
    <t>Land Planning &amp; Entitlements (no PUD)</t>
  </si>
  <si>
    <t>Civil Engineering &amp; Entitlements (no PUD)</t>
  </si>
  <si>
    <t>Traffic Study &amp; Entitlements (no PUD)</t>
  </si>
  <si>
    <t>FINAL DESIGN &amp; CONSTRUCTION PHASE</t>
  </si>
  <si>
    <t>GeoTech Soils Tests - per phase</t>
  </si>
  <si>
    <t>Civil Engineering - Final Plat &amp; Design</t>
  </si>
  <si>
    <t>Civil Engineering C/A</t>
  </si>
  <si>
    <t>Landscape Architecture - Final Design</t>
  </si>
  <si>
    <t>Landscape Architecture C/A</t>
  </si>
  <si>
    <t>Legal / Entitlement</t>
  </si>
  <si>
    <t>Accounting / Lot Bookkeeping costs</t>
  </si>
  <si>
    <t>Professionals Contingency</t>
  </si>
  <si>
    <t>SOFT COSTS PROFESSIONALS - HOMES</t>
  </si>
  <si>
    <t>20 Designs Assumed</t>
  </si>
  <si>
    <t>INITIAL DESIGN PHASE</t>
  </si>
  <si>
    <t>/HOME</t>
  </si>
  <si>
    <t>/DESIGN</t>
  </si>
  <si>
    <t>Individual Lot Survey for Design (post Infrastructure)</t>
  </si>
  <si>
    <t>Geotech Soils Tests - per lot per phase
(Included in Infrastructure Stage)</t>
  </si>
  <si>
    <t>Civil Eng. - Driveway, Utilities, Drainage &amp; Sewer</t>
  </si>
  <si>
    <t>Arch. Design &amp; CDs (5 Designs +1 per phase)</t>
  </si>
  <si>
    <t>Landscape Architecture (5 Base Design + Revs)</t>
  </si>
  <si>
    <t>Structural Engineering - $/SF (5 Base + Revs)</t>
  </si>
  <si>
    <t>Lighting Design - $/SF</t>
  </si>
  <si>
    <t>Environmental - HERS Model</t>
  </si>
  <si>
    <t>CONSTRUCTION ADMINISTRATION PHASE</t>
  </si>
  <si>
    <t>Architectural C/A /mo</t>
  </si>
  <si>
    <t>Landscape Architecture - Site Specific Update &amp; C/A</t>
  </si>
  <si>
    <t>Structural Engineering C/A /mo</t>
  </si>
  <si>
    <t>MEP Engineering C/A /mo</t>
  </si>
  <si>
    <t>Legal (Sales Contracts, HOA Setup, etc.)</t>
  </si>
  <si>
    <t>Accounting / Home Bookkeeping costs</t>
  </si>
  <si>
    <t>SOFT COSTS - SALES</t>
  </si>
  <si>
    <t>Cost of Sale (2.0% Seller + 3.0% Buyer)</t>
  </si>
  <si>
    <t>Seller paid Closing Costs - N/A</t>
  </si>
  <si>
    <t>Hard Marketing Costs (Design + Renderings + Ads)</t>
  </si>
  <si>
    <t>Home Furnishings (Model Home Staging)</t>
  </si>
  <si>
    <t>SOFT COSTS - TAXES AND INSURANCE</t>
  </si>
  <si>
    <t>Real Estate Taxes (Annual)</t>
  </si>
  <si>
    <t>Liability Insurance + Builder's Risk</t>
  </si>
  <si>
    <t>SOFT COSTS - MUNICIPALITY FEES</t>
  </si>
  <si>
    <t>Building Permit/City Impact Fees</t>
  </si>
  <si>
    <t>Regular Plat or PUD - Planning Fees</t>
  </si>
  <si>
    <t>Fire Department - Plan Review Fees (40% of above)</t>
  </si>
  <si>
    <t>City Engineer Review + Misc Fees</t>
  </si>
  <si>
    <t>Grading &amp; Infrastructure - City Engineer Inspections</t>
  </si>
  <si>
    <t>Building Permit - Blaine County</t>
  </si>
  <si>
    <t>DEVELOPMENT FEES</t>
  </si>
  <si>
    <t>Developer Overhead (% of COSTS less LAND &amp; RE Fees)</t>
  </si>
  <si>
    <t>Disposition Fees</t>
  </si>
  <si>
    <t>Asset Management Fees</t>
  </si>
  <si>
    <t>Add Row to that shows princpal to outstanding investors</t>
  </si>
  <si>
    <t>AMU</t>
  </si>
  <si>
    <t xml:space="preserve">DEVELOPMENT FEES </t>
  </si>
  <si>
    <t>FINANCING COSTS</t>
  </si>
  <si>
    <t xml:space="preserve">Balance </t>
  </si>
  <si>
    <t>Interest</t>
  </si>
  <si>
    <t>Cost of Loan</t>
  </si>
  <si>
    <t>Balance Repayment</t>
  </si>
  <si>
    <t>FINANCING COSTS &amp; REPAYMENT</t>
  </si>
  <si>
    <t>DISTRIBUTIONS</t>
  </si>
  <si>
    <t>TOTAL USES</t>
  </si>
  <si>
    <t>Sources equal Uses</t>
  </si>
  <si>
    <t>Ending Cash Position</t>
  </si>
  <si>
    <t>Between Between 1 &amp; 1.5 mm</t>
  </si>
  <si>
    <t>L78 must equal zero</t>
  </si>
  <si>
    <t>PROJECT Cash Flows</t>
  </si>
  <si>
    <t>IRR Check</t>
  </si>
  <si>
    <t>PROJECT FINANCING ANALYSIS</t>
  </si>
  <si>
    <t xml:space="preserve"> BUSINESS CASE ANALYSIS</t>
  </si>
  <si>
    <t>TOTAL PROJECT CAPITAL NEEDS:</t>
  </si>
  <si>
    <t>TOTAL PROJECT REVENUE (less brokers fees):</t>
  </si>
  <si>
    <t>TOTAL PROJECT VALUE (PV of FINAL BUILD OUT):</t>
  </si>
  <si>
    <t>- TOTAL PROJECT COST:</t>
  </si>
  <si>
    <t>STARTING SPEC DEVELOPMENT VALUE:</t>
  </si>
  <si>
    <t>= NET PROFIT</t>
  </si>
  <si>
    <t>EQUITY to SPEC DEV VALUE (ETV):</t>
  </si>
  <si>
    <t>NET PROFIT %:</t>
  </si>
  <si>
    <t>LOAN to COST (LTC):</t>
  </si>
  <si>
    <t>RETURN on EQUITY/CAPTIAL (ROE):</t>
  </si>
  <si>
    <t>LOAN to VALUE (LTV):</t>
  </si>
  <si>
    <t>PROJECT RETURNS ANALYSIS</t>
  </si>
  <si>
    <t>LOT SALES SCENARIO ANALYSIS</t>
  </si>
  <si>
    <t>PROJECT NET CASH FLOWS:</t>
  </si>
  <si>
    <t>Project Equity Multiple</t>
  </si>
  <si>
    <t>Project IRR</t>
  </si>
  <si>
    <t>EQUITY MULTIPLE:</t>
  </si>
  <si>
    <t>MODELED ROI:</t>
  </si>
  <si>
    <t>PROJECT IRR :</t>
  </si>
  <si>
    <t>DISCOUNT RATE ANNALYSIS:</t>
  </si>
  <si>
    <t>LAND VALUE</t>
  </si>
  <si>
    <t>ROI %</t>
  </si>
  <si>
    <t>$</t>
  </si>
  <si>
    <t>$/SF</t>
  </si>
  <si>
    <t>% Total</t>
  </si>
  <si>
    <t>%</t>
  </si>
  <si>
    <t>TOTAL INCOME</t>
  </si>
  <si>
    <t>TOTAL EXPENSES</t>
  </si>
  <si>
    <t>NET INCOME</t>
  </si>
  <si>
    <t>Equity Source</t>
  </si>
  <si>
    <t>PREFERRED RETURN TO EQUITY</t>
  </si>
  <si>
    <t>Debt Source</t>
  </si>
  <si>
    <t>Operator</t>
  </si>
  <si>
    <t>POST PREFERRED RETURNS PROFIT SPLIT</t>
  </si>
  <si>
    <t>SUMMARY OF RETURNS</t>
  </si>
  <si>
    <t>CALCULATION OF RETURNS</t>
  </si>
  <si>
    <t>Net Cash Flow For Distributions - TOTAL PROJECT RETURNS</t>
  </si>
  <si>
    <t>Net Levered Before Tax Cash Flow</t>
  </si>
  <si>
    <t>Levered IRR</t>
  </si>
  <si>
    <t>Equity Multiple</t>
  </si>
  <si>
    <t>Preferred returns</t>
  </si>
  <si>
    <t>IRR Check - preferred returns</t>
  </si>
  <si>
    <t>Remaining Cash Flow for Split</t>
  </si>
  <si>
    <t>Proposed Sponsor Split</t>
  </si>
  <si>
    <t>Cost of Contributed Capital (e.g. Cash Multiple for Pursuit Dollars, 10% Pref for Equity, etc.)</t>
  </si>
  <si>
    <t>Equal split of Sponsor Distribution (e.g. 3 ways, 4 ways or 5 ways depending on head count of Sponsor Principals)</t>
  </si>
  <si>
    <t>Sales Price Escalation per Phase</t>
  </si>
  <si>
    <t>ENTITLEMENTS PHASE</t>
  </si>
  <si>
    <t>Starting Unit Sales $</t>
  </si>
  <si>
    <t>BUILD &amp; SALES PROFORMA - LOT ONLY</t>
  </si>
  <si>
    <t>RETURNS ANALYSIS - LOT ONLY</t>
  </si>
  <si>
    <t>LP RETURN STRUCTURE = IRR HURDLES + BACKEND PROFIT SPLIT</t>
  </si>
  <si>
    <t>EQUITY: Preferred Members (LP)</t>
  </si>
  <si>
    <t>Preferred Members (LP) Returns</t>
  </si>
  <si>
    <t>Total LP Distributions</t>
  </si>
  <si>
    <t>Total LP Contributions</t>
  </si>
  <si>
    <t>LP Net Profit / Cash Flows</t>
  </si>
  <si>
    <t>LP IRR</t>
  </si>
  <si>
    <t>LP Equity Multiple</t>
  </si>
  <si>
    <t>Cumulative LP (Equity) Cash Position</t>
  </si>
  <si>
    <t>Return of LP EQUITY &amp; Hurdle 1 (Preferred Return)</t>
  </si>
  <si>
    <t>GP SPONSOR SHARE</t>
  </si>
  <si>
    <t>GP 100%</t>
  </si>
  <si>
    <t>GP Total Net Profit / Cash Flows</t>
  </si>
  <si>
    <t>GP SPONSOR Distributions</t>
  </si>
  <si>
    <t>GP SPONSOR Contributions</t>
  </si>
  <si>
    <t>GP SPONSOR Net Profit / Cash Flows</t>
  </si>
  <si>
    <t>GP SPONSOR IRR</t>
  </si>
  <si>
    <t>GP SPONSOR Equity Multiple</t>
  </si>
  <si>
    <t>GP Distributions</t>
  </si>
  <si>
    <t>GP Total Cash Flows</t>
  </si>
  <si>
    <t>Sponsors Distribution as % of Sales</t>
  </si>
  <si>
    <t>GP Sponsors SHARE</t>
  </si>
  <si>
    <t>GP Sponsors MANAGER SHARE</t>
  </si>
  <si>
    <t>Market rate Overhead &amp; Fees Paid to Working Sponsors (e.g. Design Fees, Sales Commision, Asset Management, Sponsors Fees, etc.)</t>
  </si>
  <si>
    <t>Sponsors (GP)</t>
  </si>
  <si>
    <t>Sponsors (GP) Returns</t>
  </si>
  <si>
    <t>Total Sponsors / SPONSOR GP Distributions</t>
  </si>
  <si>
    <t>Total Sponsors / SPONSOR GP Contributions</t>
  </si>
  <si>
    <t>Combined Sponsors / SPONSOR: IRR</t>
  </si>
  <si>
    <t>Combined Sponsors / SPONSOR: Equity Multiple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</si>
</sst>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0.00&quot;X&quot;"/>
    <numFmt numFmtId="167" formatCode="_(* #,##0.0_);_(* \(#,##0.0\);_(* &quot;-&quot;??_);_(@_)"/>
    <numFmt numFmtId="168" formatCode="&quot;$&quot;#,##0"/>
    <numFmt numFmtId="169" formatCode="&quot;$&quot;#,##0.00"/>
    <numFmt numFmtId="170" formatCode="_(&quot;$&quot;* #,##0_);_(&quot;$&quot;* \(#,##0\);_(&quot;$&quot;* &quot;-&quot;??_);_(@_)"/>
    <numFmt numFmtId="171" formatCode="0.00&quot;x&quot;"/>
  </numFmts>
  <fonts count="4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theme="4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28"/>
      <color rgb="FFFF000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222222"/>
      <name val="Helvetica"/>
      <family val="2"/>
    </font>
    <font>
      <sz val="10"/>
      <color rgb="FF000000"/>
      <name val="Times New Roman"/>
      <family val="1"/>
    </font>
    <font>
      <b/>
      <sz val="12"/>
      <color theme="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u/>
      <sz val="14"/>
      <color rgb="FF000000"/>
      <name val="Calibri"/>
      <family val="2"/>
      <scheme val="minor"/>
    </font>
    <font>
      <u/>
      <sz val="12"/>
      <color theme="1"/>
      <name val="Calibri"/>
      <family val="2"/>
      <scheme val="minor"/>
    </font>
    <font>
      <u/>
      <sz val="12"/>
      <color rgb="FF00000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u/>
      <sz val="1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rgb="FFFF0000"/>
      <name val="Calibri (Body)"/>
    </font>
    <font>
      <i/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8">
    <xf numFmtId="0" fontId="0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6" fillId="6" borderId="4" applyNumberFormat="0" applyAlignment="0" applyProtection="0"/>
    <xf numFmtId="44" fontId="7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92">
    <xf numFmtId="0" fontId="0" fillId="0" borderId="0" xfId="0"/>
    <xf numFmtId="0" fontId="0" fillId="2" borderId="0" xfId="0" applyFill="1"/>
    <xf numFmtId="0" fontId="2" fillId="3" borderId="1" xfId="0" applyFont="1" applyFill="1" applyBorder="1"/>
    <xf numFmtId="0" fontId="3" fillId="0" borderId="0" xfId="0" applyFont="1"/>
    <xf numFmtId="0" fontId="5" fillId="3" borderId="1" xfId="0" applyFont="1" applyFill="1" applyBorder="1"/>
    <xf numFmtId="0" fontId="4" fillId="0" borderId="0" xfId="0" applyFont="1"/>
    <xf numFmtId="0" fontId="6" fillId="4" borderId="0" xfId="0" applyFont="1" applyFill="1"/>
    <xf numFmtId="0" fontId="0" fillId="4" borderId="0" xfId="0" applyFill="1"/>
    <xf numFmtId="0" fontId="8" fillId="0" borderId="0" xfId="0" applyFont="1"/>
    <xf numFmtId="0" fontId="9" fillId="0" borderId="0" xfId="0" applyFont="1"/>
    <xf numFmtId="0" fontId="0" fillId="0" borderId="2" xfId="0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/>
    <xf numFmtId="0" fontId="11" fillId="0" borderId="0" xfId="0" applyFont="1" applyAlignment="1">
      <alignment horizontal="center"/>
    </xf>
    <xf numFmtId="0" fontId="11" fillId="0" borderId="0" xfId="0" applyFont="1"/>
    <xf numFmtId="164" fontId="11" fillId="0" borderId="0" xfId="1" applyNumberFormat="1" applyFont="1"/>
    <xf numFmtId="164" fontId="0" fillId="0" borderId="0" xfId="0" applyNumberFormat="1"/>
    <xf numFmtId="0" fontId="12" fillId="0" borderId="0" xfId="0" applyFont="1" applyAlignment="1">
      <alignment horizontal="left" indent="2"/>
    </xf>
    <xf numFmtId="0" fontId="10" fillId="0" borderId="3" xfId="0" applyFont="1" applyBorder="1"/>
    <xf numFmtId="164" fontId="0" fillId="0" borderId="0" xfId="1" applyNumberFormat="1" applyFont="1"/>
    <xf numFmtId="164" fontId="14" fillId="0" borderId="0" xfId="1" applyNumberFormat="1" applyFont="1"/>
    <xf numFmtId="10" fontId="14" fillId="0" borderId="0" xfId="0" applyNumberFormat="1" applyFont="1"/>
    <xf numFmtId="0" fontId="8" fillId="2" borderId="0" xfId="0" applyFont="1" applyFill="1"/>
    <xf numFmtId="9" fontId="13" fillId="0" borderId="0" xfId="0" applyNumberFormat="1" applyFont="1"/>
    <xf numFmtId="164" fontId="11" fillId="0" borderId="0" xfId="0" applyNumberFormat="1" applyFont="1"/>
    <xf numFmtId="10" fontId="0" fillId="0" borderId="0" xfId="2" applyNumberFormat="1" applyFont="1"/>
    <xf numFmtId="8" fontId="0" fillId="0" borderId="0" xfId="0" applyNumberFormat="1"/>
    <xf numFmtId="9" fontId="11" fillId="0" borderId="0" xfId="0" applyNumberFormat="1" applyFont="1"/>
    <xf numFmtId="165" fontId="0" fillId="0" borderId="0" xfId="2" applyNumberFormat="1" applyFont="1"/>
    <xf numFmtId="0" fontId="15" fillId="0" borderId="0" xfId="0" applyFont="1"/>
    <xf numFmtId="3" fontId="0" fillId="0" borderId="0" xfId="0" applyNumberFormat="1"/>
    <xf numFmtId="6" fontId="0" fillId="0" borderId="0" xfId="0" applyNumberFormat="1"/>
    <xf numFmtId="6" fontId="11" fillId="0" borderId="0" xfId="0" applyNumberFormat="1" applyFont="1"/>
    <xf numFmtId="14" fontId="0" fillId="0" borderId="0" xfId="0" applyNumberFormat="1" applyAlignment="1">
      <alignment horizontal="center"/>
    </xf>
    <xf numFmtId="0" fontId="18" fillId="0" borderId="0" xfId="0" applyFont="1"/>
    <xf numFmtId="0" fontId="17" fillId="0" borderId="0" xfId="0" applyFont="1"/>
    <xf numFmtId="0" fontId="12" fillId="0" borderId="0" xfId="0" applyFont="1" applyAlignment="1">
      <alignment horizontal="left" indent="1"/>
    </xf>
    <xf numFmtId="0" fontId="12" fillId="0" borderId="1" xfId="0" applyFont="1" applyBorder="1" applyAlignment="1">
      <alignment horizontal="left" indent="2"/>
    </xf>
    <xf numFmtId="0" fontId="0" fillId="0" borderId="1" xfId="0" applyBorder="1"/>
    <xf numFmtId="164" fontId="0" fillId="0" borderId="1" xfId="1" applyNumberFormat="1" applyFont="1" applyBorder="1"/>
    <xf numFmtId="9" fontId="14" fillId="0" borderId="1" xfId="0" applyNumberFormat="1" applyFont="1" applyBorder="1"/>
    <xf numFmtId="164" fontId="0" fillId="0" borderId="1" xfId="0" applyNumberFormat="1" applyBorder="1"/>
    <xf numFmtId="164" fontId="8" fillId="0" borderId="0" xfId="1" applyNumberFormat="1" applyFont="1"/>
    <xf numFmtId="164" fontId="8" fillId="0" borderId="0" xfId="0" applyNumberFormat="1" applyFont="1"/>
    <xf numFmtId="164" fontId="11" fillId="0" borderId="0" xfId="1" applyNumberFormat="1" applyFont="1" applyFill="1"/>
    <xf numFmtId="0" fontId="20" fillId="0" borderId="0" xfId="0" applyFont="1" applyAlignment="1">
      <alignment horizontal="left"/>
    </xf>
    <xf numFmtId="164" fontId="7" fillId="0" borderId="0" xfId="1" applyNumberFormat="1" applyFont="1"/>
    <xf numFmtId="164" fontId="11" fillId="0" borderId="1" xfId="1" applyNumberFormat="1" applyFont="1" applyBorder="1"/>
    <xf numFmtId="10" fontId="14" fillId="0" borderId="3" xfId="0" applyNumberFormat="1" applyFont="1" applyBorder="1"/>
    <xf numFmtId="0" fontId="0" fillId="0" borderId="3" xfId="0" applyBorder="1"/>
    <xf numFmtId="164" fontId="0" fillId="0" borderId="3" xfId="1" applyNumberFormat="1" applyFont="1" applyBorder="1"/>
    <xf numFmtId="0" fontId="20" fillId="0" borderId="0" xfId="0" applyFont="1"/>
    <xf numFmtId="10" fontId="21" fillId="0" borderId="0" xfId="0" applyNumberFormat="1" applyFont="1"/>
    <xf numFmtId="10" fontId="14" fillId="0" borderId="1" xfId="0" applyNumberFormat="1" applyFont="1" applyBorder="1"/>
    <xf numFmtId="164" fontId="11" fillId="0" borderId="1" xfId="0" applyNumberFormat="1" applyFont="1" applyBorder="1"/>
    <xf numFmtId="164" fontId="13" fillId="0" borderId="0" xfId="1" applyNumberFormat="1" applyFont="1"/>
    <xf numFmtId="9" fontId="0" fillId="0" borderId="0" xfId="2" applyFont="1"/>
    <xf numFmtId="165" fontId="16" fillId="6" borderId="4" xfId="3" applyNumberFormat="1"/>
    <xf numFmtId="0" fontId="9" fillId="5" borderId="0" xfId="0" applyFont="1" applyFill="1"/>
    <xf numFmtId="0" fontId="0" fillId="5" borderId="0" xfId="0" applyFill="1"/>
    <xf numFmtId="164" fontId="0" fillId="5" borderId="0" xfId="1" applyNumberFormat="1" applyFont="1" applyFill="1"/>
    <xf numFmtId="9" fontId="0" fillId="2" borderId="0" xfId="0" applyNumberFormat="1" applyFill="1"/>
    <xf numFmtId="0" fontId="8" fillId="4" borderId="1" xfId="0" applyFont="1" applyFill="1" applyBorder="1"/>
    <xf numFmtId="0" fontId="0" fillId="4" borderId="1" xfId="0" applyFill="1" applyBorder="1"/>
    <xf numFmtId="0" fontId="22" fillId="4" borderId="0" xfId="0" applyFont="1" applyFill="1" applyAlignment="1">
      <alignment horizontal="center"/>
    </xf>
    <xf numFmtId="0" fontId="22" fillId="4" borderId="0" xfId="0" applyFont="1" applyFill="1" applyAlignment="1">
      <alignment horizontal="right"/>
    </xf>
    <xf numFmtId="0" fontId="0" fillId="4" borderId="0" xfId="0" applyFill="1" applyAlignment="1">
      <alignment horizontal="left" indent="1"/>
    </xf>
    <xf numFmtId="166" fontId="0" fillId="4" borderId="0" xfId="0" applyNumberFormat="1" applyFill="1" applyAlignment="1">
      <alignment horizontal="right"/>
    </xf>
    <xf numFmtId="8" fontId="0" fillId="2" borderId="0" xfId="0" applyNumberFormat="1" applyFill="1"/>
    <xf numFmtId="164" fontId="2" fillId="3" borderId="0" xfId="1" applyNumberFormat="1" applyFont="1" applyFill="1"/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6" fillId="4" borderId="0" xfId="1" applyNumberFormat="1" applyFont="1" applyFill="1" applyBorder="1"/>
    <xf numFmtId="165" fontId="0" fillId="0" borderId="1" xfId="2" applyNumberFormat="1" applyFont="1" applyBorder="1"/>
    <xf numFmtId="165" fontId="0" fillId="0" borderId="0" xfId="0" applyNumberFormat="1"/>
    <xf numFmtId="165" fontId="2" fillId="3" borderId="0" xfId="0" applyNumberFormat="1" applyFont="1" applyFill="1" applyAlignment="1">
      <alignment horizontal="center"/>
    </xf>
    <xf numFmtId="165" fontId="0" fillId="4" borderId="0" xfId="2" applyNumberFormat="1" applyFont="1" applyFill="1" applyBorder="1"/>
    <xf numFmtId="0" fontId="23" fillId="2" borderId="0" xfId="0" applyFont="1" applyFill="1"/>
    <xf numFmtId="0" fontId="24" fillId="3" borderId="0" xfId="0" applyFont="1" applyFill="1"/>
    <xf numFmtId="14" fontId="24" fillId="3" borderId="0" xfId="0" applyNumberFormat="1" applyFont="1" applyFill="1" applyAlignment="1">
      <alignment horizontal="center"/>
    </xf>
    <xf numFmtId="0" fontId="23" fillId="0" borderId="0" xfId="0" applyFont="1"/>
    <xf numFmtId="164" fontId="23" fillId="0" borderId="0" xfId="1" applyNumberFormat="1" applyFont="1"/>
    <xf numFmtId="164" fontId="23" fillId="0" borderId="0" xfId="1" applyNumberFormat="1" applyFont="1" applyAlignment="1">
      <alignment horizontal="left"/>
    </xf>
    <xf numFmtId="0" fontId="25" fillId="0" borderId="0" xfId="0" applyFont="1"/>
    <xf numFmtId="164" fontId="25" fillId="0" borderId="0" xfId="1" applyNumberFormat="1" applyFont="1"/>
    <xf numFmtId="164" fontId="25" fillId="0" borderId="0" xfId="1" applyNumberFormat="1" applyFont="1" applyAlignment="1">
      <alignment horizontal="left"/>
    </xf>
    <xf numFmtId="164" fontId="23" fillId="0" borderId="0" xfId="1" applyNumberFormat="1" applyFont="1" applyAlignment="1">
      <alignment horizontal="center"/>
    </xf>
    <xf numFmtId="164" fontId="24" fillId="3" borderId="0" xfId="1" applyNumberFormat="1" applyFont="1" applyFill="1"/>
    <xf numFmtId="14" fontId="24" fillId="3" borderId="0" xfId="1" applyNumberFormat="1" applyFont="1" applyFill="1" applyAlignment="1">
      <alignment horizontal="center"/>
    </xf>
    <xf numFmtId="165" fontId="11" fillId="0" borderId="0" xfId="0" applyNumberFormat="1" applyFont="1"/>
    <xf numFmtId="0" fontId="11" fillId="0" borderId="1" xfId="0" applyFont="1" applyBorder="1"/>
    <xf numFmtId="9" fontId="26" fillId="0" borderId="0" xfId="2" applyFont="1"/>
    <xf numFmtId="164" fontId="26" fillId="0" borderId="0" xfId="0" applyNumberFormat="1" applyFont="1"/>
    <xf numFmtId="164" fontId="26" fillId="0" borderId="0" xfId="1" applyNumberFormat="1" applyFont="1"/>
    <xf numFmtId="0" fontId="27" fillId="0" borderId="0" xfId="0" applyFont="1" applyAlignment="1">
      <alignment horizontal="left" indent="1"/>
    </xf>
    <xf numFmtId="164" fontId="11" fillId="0" borderId="0" xfId="1" applyNumberFormat="1" applyFont="1" applyBorder="1"/>
    <xf numFmtId="164" fontId="0" fillId="0" borderId="0" xfId="1" applyNumberFormat="1" applyFont="1" applyBorder="1"/>
    <xf numFmtId="6" fontId="14" fillId="0" borderId="0" xfId="0" applyNumberFormat="1" applyFont="1"/>
    <xf numFmtId="0" fontId="8" fillId="0" borderId="6" xfId="0" applyFont="1" applyBorder="1"/>
    <xf numFmtId="10" fontId="21" fillId="0" borderId="6" xfId="0" applyNumberFormat="1" applyFont="1" applyBorder="1"/>
    <xf numFmtId="164" fontId="8" fillId="0" borderId="6" xfId="0" applyNumberFormat="1" applyFont="1" applyBorder="1"/>
    <xf numFmtId="164" fontId="8" fillId="0" borderId="6" xfId="1" applyNumberFormat="1" applyFont="1" applyBorder="1"/>
    <xf numFmtId="167" fontId="14" fillId="0" borderId="0" xfId="1" applyNumberFormat="1" applyFont="1"/>
    <xf numFmtId="10" fontId="0" fillId="2" borderId="0" xfId="2" applyNumberFormat="1" applyFont="1" applyFill="1"/>
    <xf numFmtId="165" fontId="14" fillId="0" borderId="1" xfId="0" applyNumberFormat="1" applyFont="1" applyBorder="1"/>
    <xf numFmtId="0" fontId="8" fillId="4" borderId="0" xfId="0" applyFont="1" applyFill="1"/>
    <xf numFmtId="0" fontId="23" fillId="4" borderId="0" xfId="0" applyFont="1" applyFill="1"/>
    <xf numFmtId="164" fontId="14" fillId="0" borderId="0" xfId="1" applyNumberFormat="1" applyFont="1" applyAlignment="1">
      <alignment horizontal="center"/>
    </xf>
    <xf numFmtId="164" fontId="0" fillId="2" borderId="0" xfId="0" applyNumberFormat="1" applyFill="1"/>
    <xf numFmtId="43" fontId="0" fillId="2" borderId="0" xfId="0" applyNumberFormat="1" applyFill="1"/>
    <xf numFmtId="0" fontId="0" fillId="0" borderId="6" xfId="0" applyBorder="1"/>
    <xf numFmtId="168" fontId="0" fillId="0" borderId="0" xfId="0" applyNumberFormat="1" applyAlignment="1">
      <alignment horizontal="center"/>
    </xf>
    <xf numFmtId="0" fontId="13" fillId="0" borderId="6" xfId="0" applyFont="1" applyBorder="1" applyAlignment="1">
      <alignment horizontal="center"/>
    </xf>
    <xf numFmtId="164" fontId="0" fillId="0" borderId="6" xfId="1" applyNumberFormat="1" applyFont="1" applyBorder="1"/>
    <xf numFmtId="10" fontId="11" fillId="0" borderId="1" xfId="2" applyNumberFormat="1" applyFont="1" applyBorder="1"/>
    <xf numFmtId="0" fontId="27" fillId="0" borderId="0" xfId="0" applyFont="1" applyAlignment="1">
      <alignment horizontal="right"/>
    </xf>
    <xf numFmtId="168" fontId="11" fillId="0" borderId="0" xfId="0" applyNumberFormat="1" applyFont="1" applyAlignment="1">
      <alignment horizontal="center"/>
    </xf>
    <xf numFmtId="168" fontId="27" fillId="0" borderId="0" xfId="0" applyNumberFormat="1" applyFont="1" applyAlignment="1">
      <alignment horizontal="center"/>
    </xf>
    <xf numFmtId="9" fontId="0" fillId="2" borderId="0" xfId="2" applyFont="1" applyFill="1"/>
    <xf numFmtId="164" fontId="0" fillId="2" borderId="0" xfId="1" applyNumberFormat="1" applyFont="1" applyFill="1"/>
    <xf numFmtId="164" fontId="0" fillId="2" borderId="6" xfId="0" applyNumberFormat="1" applyFill="1" applyBorder="1"/>
    <xf numFmtId="164" fontId="0" fillId="0" borderId="0" xfId="1" applyNumberFormat="1" applyFont="1" applyFill="1"/>
    <xf numFmtId="169" fontId="0" fillId="0" borderId="0" xfId="0" applyNumberFormat="1" applyAlignment="1">
      <alignment horizontal="center"/>
    </xf>
    <xf numFmtId="165" fontId="14" fillId="0" borderId="0" xfId="2" applyNumberFormat="1" applyFont="1"/>
    <xf numFmtId="0" fontId="0" fillId="0" borderId="0" xfId="0" applyAlignment="1">
      <alignment horizontal="left" indent="1"/>
    </xf>
    <xf numFmtId="165" fontId="8" fillId="0" borderId="0" xfId="0" applyNumberFormat="1" applyFont="1"/>
    <xf numFmtId="43" fontId="11" fillId="0" borderId="0" xfId="1" applyFont="1"/>
    <xf numFmtId="165" fontId="11" fillId="0" borderId="0" xfId="2" applyNumberFormat="1" applyFont="1"/>
    <xf numFmtId="164" fontId="8" fillId="0" borderId="0" xfId="1" applyNumberFormat="1" applyFont="1" applyBorder="1"/>
    <xf numFmtId="164" fontId="13" fillId="0" borderId="0" xfId="1" applyNumberFormat="1" applyFont="1" applyFill="1"/>
    <xf numFmtId="164" fontId="0" fillId="0" borderId="6" xfId="0" applyNumberFormat="1" applyBorder="1"/>
    <xf numFmtId="0" fontId="1" fillId="0" borderId="0" xfId="0" applyFont="1" applyAlignment="1">
      <alignment horizontal="left" indent="2"/>
    </xf>
    <xf numFmtId="165" fontId="8" fillId="0" borderId="0" xfId="2" applyNumberFormat="1" applyFont="1" applyBorder="1"/>
    <xf numFmtId="164" fontId="11" fillId="0" borderId="0" xfId="1" applyNumberFormat="1" applyFont="1" applyFill="1" applyBorder="1"/>
    <xf numFmtId="0" fontId="0" fillId="2" borderId="0" xfId="0" quotePrefix="1" applyFill="1"/>
    <xf numFmtId="2" fontId="0" fillId="2" borderId="0" xfId="0" applyNumberFormat="1" applyFill="1"/>
    <xf numFmtId="10" fontId="11" fillId="0" borderId="0" xfId="2" applyNumberFormat="1" applyFont="1"/>
    <xf numFmtId="0" fontId="6" fillId="0" borderId="0" xfId="0" applyFont="1" applyAlignment="1">
      <alignment horizontal="left" indent="1"/>
    </xf>
    <xf numFmtId="0" fontId="28" fillId="0" borderId="0" xfId="0" applyFont="1"/>
    <xf numFmtId="0" fontId="0" fillId="2" borderId="0" xfId="0" applyFill="1" applyAlignment="1">
      <alignment horizontal="center"/>
    </xf>
    <xf numFmtId="43" fontId="0" fillId="0" borderId="0" xfId="0" applyNumberFormat="1"/>
    <xf numFmtId="164" fontId="14" fillId="0" borderId="0" xfId="1" applyNumberFormat="1" applyFont="1" applyFill="1"/>
    <xf numFmtId="164" fontId="14" fillId="0" borderId="0" xfId="1" applyNumberFormat="1" applyFont="1" applyFill="1" applyAlignment="1">
      <alignment horizontal="right"/>
    </xf>
    <xf numFmtId="43" fontId="0" fillId="0" borderId="0" xfId="1" applyFont="1"/>
    <xf numFmtId="0" fontId="9" fillId="4" borderId="0" xfId="0" applyFont="1" applyFill="1" applyAlignment="1">
      <alignment horizontal="right"/>
    </xf>
    <xf numFmtId="164" fontId="8" fillId="0" borderId="11" xfId="0" applyNumberFormat="1" applyFont="1" applyBorder="1" applyAlignment="1">
      <alignment horizontal="left"/>
    </xf>
    <xf numFmtId="166" fontId="8" fillId="4" borderId="0" xfId="0" applyNumberFormat="1" applyFont="1" applyFill="1" applyAlignment="1">
      <alignment horizontal="right"/>
    </xf>
    <xf numFmtId="0" fontId="9" fillId="0" borderId="0" xfId="0" applyFont="1" applyAlignment="1">
      <alignment horizontal="right"/>
    </xf>
    <xf numFmtId="164" fontId="29" fillId="0" borderId="0" xfId="0" applyNumberFormat="1" applyFont="1"/>
    <xf numFmtId="0" fontId="9" fillId="0" borderId="12" xfId="0" applyFont="1" applyBorder="1" applyAlignment="1">
      <alignment horizontal="right"/>
    </xf>
    <xf numFmtId="0" fontId="9" fillId="0" borderId="13" xfId="0" applyFont="1" applyBorder="1" applyAlignment="1">
      <alignment horizontal="right"/>
    </xf>
    <xf numFmtId="0" fontId="9" fillId="0" borderId="14" xfId="0" applyFont="1" applyBorder="1" applyAlignment="1">
      <alignment horizontal="right"/>
    </xf>
    <xf numFmtId="165" fontId="0" fillId="0" borderId="15" xfId="2" applyNumberFormat="1" applyFont="1" applyBorder="1" applyAlignment="1">
      <alignment horizontal="right" indent="2"/>
    </xf>
    <xf numFmtId="164" fontId="0" fillId="0" borderId="16" xfId="0" applyNumberFormat="1" applyBorder="1" applyAlignment="1">
      <alignment horizontal="center"/>
    </xf>
    <xf numFmtId="10" fontId="0" fillId="0" borderId="17" xfId="2" applyNumberFormat="1" applyFont="1" applyBorder="1"/>
    <xf numFmtId="165" fontId="0" fillId="0" borderId="18" xfId="2" applyNumberFormat="1" applyFont="1" applyBorder="1" applyAlignment="1">
      <alignment horizontal="right" indent="2"/>
    </xf>
    <xf numFmtId="164" fontId="0" fillId="0" borderId="19" xfId="0" applyNumberFormat="1" applyBorder="1" applyAlignment="1">
      <alignment horizontal="center"/>
    </xf>
    <xf numFmtId="10" fontId="0" fillId="0" borderId="20" xfId="2" applyNumberFormat="1" applyFont="1" applyBorder="1"/>
    <xf numFmtId="164" fontId="0" fillId="0" borderId="0" xfId="0" applyNumberFormat="1" applyAlignment="1">
      <alignment horizontal="center"/>
    </xf>
    <xf numFmtId="165" fontId="8" fillId="0" borderId="11" xfId="2" applyNumberFormat="1" applyFont="1" applyBorder="1"/>
    <xf numFmtId="165" fontId="8" fillId="4" borderId="0" xfId="0" applyNumberFormat="1" applyFont="1" applyFill="1" applyAlignment="1">
      <alignment horizontal="right"/>
    </xf>
    <xf numFmtId="0" fontId="0" fillId="8" borderId="0" xfId="0" applyFill="1"/>
    <xf numFmtId="0" fontId="9" fillId="4" borderId="0" xfId="0" quotePrefix="1" applyFont="1" applyFill="1" applyAlignment="1">
      <alignment horizontal="right"/>
    </xf>
    <xf numFmtId="0" fontId="9" fillId="0" borderId="0" xfId="0" quotePrefix="1" applyFont="1" applyAlignment="1">
      <alignment horizontal="right"/>
    </xf>
    <xf numFmtId="14" fontId="0" fillId="4" borderId="0" xfId="0" applyNumberFormat="1" applyFill="1" applyAlignment="1">
      <alignment horizontal="center"/>
    </xf>
    <xf numFmtId="165" fontId="8" fillId="0" borderId="0" xfId="2" applyNumberFormat="1" applyFont="1"/>
    <xf numFmtId="9" fontId="8" fillId="0" borderId="0" xfId="0" applyNumberFormat="1" applyFont="1"/>
    <xf numFmtId="0" fontId="0" fillId="4" borderId="0" xfId="0" applyFill="1" applyAlignment="1">
      <alignment horizontal="right"/>
    </xf>
    <xf numFmtId="14" fontId="0" fillId="4" borderId="0" xfId="0" applyNumberFormat="1" applyFill="1"/>
    <xf numFmtId="0" fontId="6" fillId="4" borderId="0" xfId="0" applyFont="1" applyFill="1" applyAlignment="1">
      <alignment horizontal="left" indent="1"/>
    </xf>
    <xf numFmtId="3" fontId="8" fillId="4" borderId="0" xfId="0" applyNumberFormat="1" applyFont="1" applyFill="1"/>
    <xf numFmtId="3" fontId="8" fillId="4" borderId="7" xfId="0" applyNumberFormat="1" applyFont="1" applyFill="1" applyBorder="1"/>
    <xf numFmtId="0" fontId="30" fillId="0" borderId="0" xfId="0" applyFont="1"/>
    <xf numFmtId="0" fontId="6" fillId="4" borderId="6" xfId="0" applyFont="1" applyFill="1" applyBorder="1" applyAlignment="1">
      <alignment horizontal="left" indent="1"/>
    </xf>
    <xf numFmtId="9" fontId="0" fillId="0" borderId="6" xfId="0" applyNumberFormat="1" applyBorder="1"/>
    <xf numFmtId="164" fontId="7" fillId="8" borderId="0" xfId="1" applyNumberFormat="1" applyFont="1" applyFill="1"/>
    <xf numFmtId="164" fontId="13" fillId="0" borderId="1" xfId="1" applyNumberFormat="1" applyFont="1" applyFill="1" applyBorder="1"/>
    <xf numFmtId="0" fontId="0" fillId="2" borderId="0" xfId="0" applyFill="1" applyAlignment="1">
      <alignment horizontal="left" indent="1"/>
    </xf>
    <xf numFmtId="170" fontId="27" fillId="2" borderId="0" xfId="4" applyNumberFormat="1" applyFont="1" applyFill="1"/>
    <xf numFmtId="164" fontId="0" fillId="2" borderId="0" xfId="2" applyNumberFormat="1" applyFont="1" applyFill="1"/>
    <xf numFmtId="165" fontId="14" fillId="0" borderId="0" xfId="2" applyNumberFormat="1" applyFont="1" applyFill="1"/>
    <xf numFmtId="171" fontId="0" fillId="4" borderId="0" xfId="0" applyNumberFormat="1" applyFill="1" applyAlignment="1">
      <alignment horizontal="right"/>
    </xf>
    <xf numFmtId="171" fontId="8" fillId="4" borderId="11" xfId="0" applyNumberFormat="1" applyFont="1" applyFill="1" applyBorder="1" applyAlignment="1">
      <alignment horizontal="right"/>
    </xf>
    <xf numFmtId="0" fontId="0" fillId="2" borderId="0" xfId="0" applyFill="1" applyAlignment="1">
      <alignment horizontal="right"/>
    </xf>
    <xf numFmtId="164" fontId="27" fillId="0" borderId="0" xfId="1" applyNumberFormat="1" applyFont="1"/>
    <xf numFmtId="164" fontId="8" fillId="9" borderId="11" xfId="0" applyNumberFormat="1" applyFont="1" applyFill="1" applyBorder="1" applyAlignment="1">
      <alignment horizontal="left"/>
    </xf>
    <xf numFmtId="164" fontId="11" fillId="0" borderId="0" xfId="1" quotePrefix="1" applyNumberFormat="1" applyFont="1" applyFill="1" applyAlignment="1">
      <alignment horizontal="center"/>
    </xf>
    <xf numFmtId="170" fontId="8" fillId="0" borderId="0" xfId="0" applyNumberFormat="1" applyFont="1"/>
    <xf numFmtId="171" fontId="8" fillId="0" borderId="0" xfId="0" applyNumberFormat="1" applyFont="1"/>
    <xf numFmtId="10" fontId="8" fillId="0" borderId="0" xfId="2" applyNumberFormat="1" applyFont="1"/>
    <xf numFmtId="170" fontId="0" fillId="0" borderId="0" xfId="0" applyNumberFormat="1"/>
    <xf numFmtId="0" fontId="31" fillId="0" borderId="0" xfId="0" applyFont="1"/>
    <xf numFmtId="0" fontId="31" fillId="0" borderId="0" xfId="0" applyFont="1" applyAlignment="1">
      <alignment horizontal="right"/>
    </xf>
    <xf numFmtId="164" fontId="27" fillId="2" borderId="0" xfId="0" applyNumberFormat="1" applyFont="1" applyFill="1"/>
    <xf numFmtId="0" fontId="27" fillId="2" borderId="0" xfId="0" applyFont="1" applyFill="1"/>
    <xf numFmtId="165" fontId="0" fillId="2" borderId="0" xfId="2" applyNumberFormat="1" applyFont="1" applyFill="1"/>
    <xf numFmtId="164" fontId="0" fillId="0" borderId="0" xfId="0" quotePrefix="1" applyNumberFormat="1"/>
    <xf numFmtId="168" fontId="27" fillId="0" borderId="0" xfId="1" applyNumberFormat="1" applyFont="1"/>
    <xf numFmtId="165" fontId="14" fillId="0" borderId="0" xfId="0" applyNumberFormat="1" applyFont="1"/>
    <xf numFmtId="0" fontId="20" fillId="0" borderId="6" xfId="0" applyFont="1" applyBorder="1" applyAlignment="1">
      <alignment horizontal="left"/>
    </xf>
    <xf numFmtId="6" fontId="11" fillId="0" borderId="6" xfId="0" applyNumberFormat="1" applyFont="1" applyBorder="1"/>
    <xf numFmtId="164" fontId="0" fillId="2" borderId="0" xfId="1" applyNumberFormat="1" applyFont="1" applyFill="1" applyAlignment="1">
      <alignment horizontal="left"/>
    </xf>
    <xf numFmtId="0" fontId="32" fillId="0" borderId="0" xfId="0" applyFont="1" applyAlignment="1">
      <alignment horizontal="left"/>
    </xf>
    <xf numFmtId="164" fontId="11" fillId="0" borderId="0" xfId="1" quotePrefix="1" applyNumberFormat="1" applyFont="1"/>
    <xf numFmtId="171" fontId="8" fillId="4" borderId="0" xfId="0" applyNumberFormat="1" applyFont="1" applyFill="1" applyAlignment="1">
      <alignment horizontal="right"/>
    </xf>
    <xf numFmtId="1" fontId="0" fillId="2" borderId="0" xfId="0" applyNumberFormat="1" applyFill="1"/>
    <xf numFmtId="43" fontId="0" fillId="0" borderId="6" xfId="0" applyNumberFormat="1" applyBorder="1"/>
    <xf numFmtId="0" fontId="0" fillId="0" borderId="0" xfId="0" applyAlignment="1">
      <alignment horizontal="right"/>
    </xf>
    <xf numFmtId="9" fontId="0" fillId="4" borderId="0" xfId="2" applyFont="1" applyFill="1" applyBorder="1"/>
    <xf numFmtId="164" fontId="0" fillId="0" borderId="0" xfId="0" applyNumberFormat="1" applyAlignment="1">
      <alignment horizontal="left"/>
    </xf>
    <xf numFmtId="43" fontId="0" fillId="2" borderId="0" xfId="1" applyFont="1" applyFill="1"/>
    <xf numFmtId="165" fontId="11" fillId="0" borderId="0" xfId="2" applyNumberFormat="1" applyFont="1" applyFill="1"/>
    <xf numFmtId="164" fontId="7" fillId="0" borderId="6" xfId="1" applyNumberFormat="1" applyFont="1" applyBorder="1"/>
    <xf numFmtId="164" fontId="7" fillId="0" borderId="6" xfId="1" applyNumberFormat="1" applyFont="1" applyFill="1" applyBorder="1"/>
    <xf numFmtId="9" fontId="13" fillId="0" borderId="6" xfId="0" applyNumberFormat="1" applyFont="1" applyBorder="1"/>
    <xf numFmtId="164" fontId="13" fillId="0" borderId="6" xfId="1" applyNumberFormat="1" applyFont="1" applyBorder="1"/>
    <xf numFmtId="9" fontId="11" fillId="2" borderId="0" xfId="0" applyNumberFormat="1" applyFont="1" applyFill="1"/>
    <xf numFmtId="164" fontId="13" fillId="0" borderId="0" xfId="1" applyNumberFormat="1" applyFont="1" applyBorder="1"/>
    <xf numFmtId="164" fontId="13" fillId="0" borderId="0" xfId="1" applyNumberFormat="1" applyFont="1" applyFill="1" applyBorder="1"/>
    <xf numFmtId="168" fontId="27" fillId="0" borderId="0" xfId="1" applyNumberFormat="1" applyFont="1" applyFill="1"/>
    <xf numFmtId="10" fontId="11" fillId="0" borderId="0" xfId="2" applyNumberFormat="1" applyFont="1" applyFill="1" applyBorder="1"/>
    <xf numFmtId="164" fontId="19" fillId="0" borderId="6" xfId="1" applyNumberFormat="1" applyFont="1" applyFill="1" applyBorder="1"/>
    <xf numFmtId="0" fontId="13" fillId="0" borderId="0" xfId="0" applyFont="1" applyAlignment="1">
      <alignment horizontal="left"/>
    </xf>
    <xf numFmtId="164" fontId="11" fillId="0" borderId="6" xfId="1" applyNumberFormat="1" applyFont="1" applyBorder="1"/>
    <xf numFmtId="168" fontId="27" fillId="0" borderId="0" xfId="1" applyNumberFormat="1" applyFont="1" applyBorder="1"/>
    <xf numFmtId="165" fontId="8" fillId="0" borderId="11" xfId="2" applyNumberFormat="1" applyFont="1" applyFill="1" applyBorder="1"/>
    <xf numFmtId="164" fontId="33" fillId="0" borderId="0" xfId="1" applyNumberFormat="1" applyFont="1" applyAlignment="1"/>
    <xf numFmtId="164" fontId="8" fillId="0" borderId="0" xfId="1" applyNumberFormat="1" applyFont="1" applyFill="1"/>
    <xf numFmtId="164" fontId="29" fillId="0" borderId="0" xfId="1" applyNumberFormat="1" applyFont="1"/>
    <xf numFmtId="168" fontId="29" fillId="0" borderId="0" xfId="1" applyNumberFormat="1" applyFont="1" applyAlignment="1">
      <alignment horizontal="right"/>
    </xf>
    <xf numFmtId="164" fontId="19" fillId="0" borderId="0" xfId="1" applyNumberFormat="1" applyFont="1" applyFill="1" applyBorder="1"/>
    <xf numFmtId="0" fontId="2" fillId="0" borderId="0" xfId="0" applyFont="1"/>
    <xf numFmtId="14" fontId="0" fillId="0" borderId="0" xfId="0" applyNumberFormat="1" applyAlignment="1">
      <alignment horizontal="left"/>
    </xf>
    <xf numFmtId="0" fontId="25" fillId="0" borderId="6" xfId="0" applyFont="1" applyBorder="1"/>
    <xf numFmtId="164" fontId="25" fillId="0" borderId="6" xfId="1" applyNumberFormat="1" applyFont="1" applyBorder="1"/>
    <xf numFmtId="164" fontId="25" fillId="0" borderId="6" xfId="1" applyNumberFormat="1" applyFont="1" applyBorder="1" applyAlignment="1">
      <alignment horizontal="left"/>
    </xf>
    <xf numFmtId="10" fontId="14" fillId="0" borderId="0" xfId="2" applyNumberFormat="1" applyFont="1"/>
    <xf numFmtId="9" fontId="0" fillId="7" borderId="0" xfId="0" applyNumberFormat="1" applyFill="1"/>
    <xf numFmtId="0" fontId="31" fillId="0" borderId="0" xfId="0" applyFont="1" applyAlignment="1">
      <alignment horizontal="left"/>
    </xf>
    <xf numFmtId="0" fontId="34" fillId="2" borderId="0" xfId="0" applyFont="1" applyFill="1"/>
    <xf numFmtId="168" fontId="27" fillId="0" borderId="1" xfId="1" applyNumberFormat="1" applyFont="1" applyFill="1" applyBorder="1"/>
    <xf numFmtId="0" fontId="34" fillId="0" borderId="16" xfId="0" applyFont="1" applyBorder="1"/>
    <xf numFmtId="43" fontId="34" fillId="0" borderId="16" xfId="1" applyFont="1" applyFill="1" applyBorder="1"/>
    <xf numFmtId="43" fontId="34" fillId="2" borderId="0" xfId="1" applyFont="1" applyFill="1"/>
    <xf numFmtId="164" fontId="11" fillId="0" borderId="6" xfId="1" applyNumberFormat="1" applyFont="1" applyFill="1" applyBorder="1"/>
    <xf numFmtId="167" fontId="14" fillId="0" borderId="0" xfId="1" applyNumberFormat="1" applyFont="1" applyFill="1"/>
    <xf numFmtId="164" fontId="25" fillId="0" borderId="6" xfId="1" applyNumberFormat="1" applyFont="1" applyFill="1" applyBorder="1" applyAlignment="1">
      <alignment horizontal="left"/>
    </xf>
    <xf numFmtId="0" fontId="0" fillId="10" borderId="0" xfId="0" applyFill="1"/>
    <xf numFmtId="44" fontId="0" fillId="10" borderId="0" xfId="4" applyFont="1" applyFill="1"/>
    <xf numFmtId="0" fontId="0" fillId="10" borderId="0" xfId="0" applyFill="1" applyAlignment="1">
      <alignment horizontal="left" indent="1"/>
    </xf>
    <xf numFmtId="0" fontId="0" fillId="2" borderId="0" xfId="0" applyFill="1" applyAlignment="1">
      <alignment horizontal="center" wrapText="1"/>
    </xf>
    <xf numFmtId="0" fontId="0" fillId="0" borderId="2" xfId="0" applyBorder="1" applyAlignment="1">
      <alignment horizontal="left"/>
    </xf>
    <xf numFmtId="164" fontId="35" fillId="0" borderId="2" xfId="1" applyNumberFormat="1" applyFont="1" applyFill="1" applyBorder="1"/>
    <xf numFmtId="164" fontId="35" fillId="0" borderId="5" xfId="1" applyNumberFormat="1" applyFont="1" applyFill="1" applyBorder="1"/>
    <xf numFmtId="0" fontId="11" fillId="0" borderId="0" xfId="0" quotePrefix="1" applyFont="1" applyAlignment="1">
      <alignment horizontal="left"/>
    </xf>
    <xf numFmtId="164" fontId="35" fillId="0" borderId="0" xfId="1" applyNumberFormat="1" applyFont="1"/>
    <xf numFmtId="0" fontId="36" fillId="0" borderId="0" xfId="0" applyFont="1" applyAlignment="1">
      <alignment horizontal="center"/>
    </xf>
    <xf numFmtId="164" fontId="29" fillId="0" borderId="0" xfId="1" applyNumberFormat="1" applyFont="1" applyAlignment="1"/>
    <xf numFmtId="169" fontId="37" fillId="0" borderId="0" xfId="0" applyNumberFormat="1" applyFont="1" applyAlignment="1">
      <alignment horizontal="center"/>
    </xf>
    <xf numFmtId="164" fontId="27" fillId="0" borderId="0" xfId="1" applyNumberFormat="1" applyFont="1" applyAlignment="1">
      <alignment horizontal="center"/>
    </xf>
    <xf numFmtId="164" fontId="13" fillId="0" borderId="2" xfId="1" applyNumberFormat="1" applyFont="1" applyFill="1" applyBorder="1"/>
    <xf numFmtId="164" fontId="14" fillId="0" borderId="1" xfId="1" applyNumberFormat="1" applyFont="1" applyFill="1" applyBorder="1"/>
    <xf numFmtId="0" fontId="31" fillId="2" borderId="0" xfId="0" quotePrefix="1" applyFont="1" applyFill="1" applyAlignment="1">
      <alignment horizontal="center"/>
    </xf>
    <xf numFmtId="164" fontId="0" fillId="7" borderId="0" xfId="1" applyNumberFormat="1" applyFont="1" applyFill="1"/>
    <xf numFmtId="165" fontId="14" fillId="0" borderId="1" xfId="2" applyNumberFormat="1" applyFont="1" applyFill="1" applyBorder="1"/>
    <xf numFmtId="0" fontId="13" fillId="0" borderId="0" xfId="0" applyFont="1" applyAlignment="1">
      <alignment horizontal="center"/>
    </xf>
    <xf numFmtId="0" fontId="31" fillId="0" borderId="0" xfId="0" applyFont="1" applyAlignment="1">
      <alignment horizontal="left" indent="1"/>
    </xf>
    <xf numFmtId="164" fontId="39" fillId="0" borderId="0" xfId="1" applyNumberFormat="1" applyFont="1" applyFill="1"/>
    <xf numFmtId="10" fontId="11" fillId="0" borderId="0" xfId="2" applyNumberFormat="1" applyFont="1" applyBorder="1"/>
    <xf numFmtId="164" fontId="8" fillId="0" borderId="6" xfId="1" applyNumberFormat="1" applyFont="1" applyFill="1" applyBorder="1"/>
    <xf numFmtId="164" fontId="0" fillId="0" borderId="1" xfId="1" applyNumberFormat="1" applyFont="1" applyFill="1" applyBorder="1"/>
    <xf numFmtId="164" fontId="0" fillId="0" borderId="0" xfId="1" applyNumberFormat="1" applyFont="1" applyFill="1" applyBorder="1"/>
    <xf numFmtId="0" fontId="12" fillId="0" borderId="0" xfId="0" applyFont="1" applyAlignment="1">
      <alignment horizontal="left" wrapText="1" indent="2"/>
    </xf>
    <xf numFmtId="0" fontId="0" fillId="0" borderId="0" xfId="0" applyAlignment="1">
      <alignment wrapText="1"/>
    </xf>
    <xf numFmtId="0" fontId="11" fillId="0" borderId="1" xfId="0" applyFont="1" applyBorder="1" applyAlignment="1">
      <alignment horizontal="center"/>
    </xf>
    <xf numFmtId="164" fontId="0" fillId="7" borderId="0" xfId="0" applyNumberFormat="1" applyFill="1" applyAlignment="1">
      <alignment horizontal="left" indent="1"/>
    </xf>
    <xf numFmtId="0" fontId="13" fillId="0" borderId="1" xfId="0" applyFont="1" applyBorder="1" applyAlignment="1">
      <alignment horizontal="center"/>
    </xf>
    <xf numFmtId="164" fontId="11" fillId="0" borderId="1" xfId="1" applyNumberFormat="1" applyFont="1" applyFill="1" applyBorder="1"/>
    <xf numFmtId="165" fontId="0" fillId="0" borderId="0" xfId="2" applyNumberFormat="1" applyFont="1" applyBorder="1"/>
    <xf numFmtId="165" fontId="0" fillId="0" borderId="0" xfId="2" applyNumberFormat="1" applyFont="1" applyFill="1" applyBorder="1"/>
    <xf numFmtId="164" fontId="8" fillId="0" borderId="11" xfId="2" applyNumberFormat="1" applyFont="1" applyFill="1" applyBorder="1"/>
    <xf numFmtId="0" fontId="0" fillId="0" borderId="0" xfId="0" applyAlignment="1">
      <alignment horizontal="center" wrapText="1"/>
    </xf>
    <xf numFmtId="171" fontId="0" fillId="0" borderId="0" xfId="0" applyNumberFormat="1"/>
    <xf numFmtId="10" fontId="7" fillId="0" borderId="0" xfId="2" applyNumberFormat="1" applyFont="1"/>
    <xf numFmtId="0" fontId="0" fillId="0" borderId="1" xfId="0" applyBorder="1" applyAlignment="1">
      <alignment horizontal="left"/>
    </xf>
    <xf numFmtId="164" fontId="35" fillId="0" borderId="1" xfId="1" applyNumberFormat="1" applyFont="1" applyFill="1" applyBorder="1"/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 wrapText="1"/>
    </xf>
    <xf numFmtId="0" fontId="25" fillId="0" borderId="8" xfId="0" applyFont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10" xfId="0" applyFont="1" applyBorder="1" applyAlignment="1">
      <alignment horizontal="center"/>
    </xf>
  </cellXfs>
  <cellStyles count="8">
    <cellStyle name="Calculation" xfId="3" builtinId="22"/>
    <cellStyle name="Comma" xfId="1" builtinId="3"/>
    <cellStyle name="Comma 2" xfId="6" xr:uid="{72EF9851-FE48-A245-9A52-5299BF1468DF}"/>
    <cellStyle name="Currency" xfId="4" builtinId="4"/>
    <cellStyle name="Normal" xfId="0" builtinId="0"/>
    <cellStyle name="Normal 2" xfId="5" xr:uid="{3BC7FE25-7BC2-A14C-9525-36F620412D6D}"/>
    <cellStyle name="Percent" xfId="2" builtinId="5"/>
    <cellStyle name="Percent 2" xfId="7" xr:uid="{86563EC1-B54F-CA49-8A5D-7D985A6D10EC}"/>
  </cellStyles>
  <dxfs count="11">
    <dxf>
      <font>
        <color theme="0"/>
      </font>
      <fill>
        <patternFill patternType="none">
          <bgColor auto="1"/>
        </patternFill>
      </fill>
    </dxf>
    <dxf>
      <font>
        <color theme="0"/>
      </font>
      <numFmt numFmtId="0" formatCode="General"/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LP (Equity) Cash Position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'Returns Lot Only'!$F$16:$O$16</c:f>
              <c:numCache>
                <c:formatCode>m/d/yy</c:formatCode>
                <c:ptCount val="10"/>
                <c:pt idx="0">
                  <c:v>46388</c:v>
                </c:pt>
                <c:pt idx="1">
                  <c:v>46753</c:v>
                </c:pt>
                <c:pt idx="2">
                  <c:v>47119</c:v>
                </c:pt>
                <c:pt idx="3">
                  <c:v>47484</c:v>
                </c:pt>
                <c:pt idx="4">
                  <c:v>47849</c:v>
                </c:pt>
                <c:pt idx="5">
                  <c:v>48214</c:v>
                </c:pt>
                <c:pt idx="6">
                  <c:v>48580</c:v>
                </c:pt>
                <c:pt idx="7">
                  <c:v>48945</c:v>
                </c:pt>
                <c:pt idx="8">
                  <c:v>49310</c:v>
                </c:pt>
                <c:pt idx="9">
                  <c:v>49675</c:v>
                </c:pt>
              </c:numCache>
            </c:numRef>
          </c:cat>
          <c:val>
            <c:numRef>
              <c:f>'Returns Lot Only'!$F$23:$O$23</c:f>
              <c:numCache>
                <c:formatCode>_(* #,##0_);_(* \(#,##0\);_(* "-"??_);_(@_)</c:formatCode>
                <c:ptCount val="10"/>
                <c:pt idx="0">
                  <c:v>-28500000</c:v>
                </c:pt>
                <c:pt idx="1">
                  <c:v>-28500000</c:v>
                </c:pt>
                <c:pt idx="2">
                  <c:v>-26000000</c:v>
                </c:pt>
                <c:pt idx="3">
                  <c:v>-26000000</c:v>
                </c:pt>
                <c:pt idx="4">
                  <c:v>-15750000</c:v>
                </c:pt>
                <c:pt idx="5">
                  <c:v>-9250000</c:v>
                </c:pt>
                <c:pt idx="6">
                  <c:v>1750000</c:v>
                </c:pt>
                <c:pt idx="7">
                  <c:v>8250000</c:v>
                </c:pt>
                <c:pt idx="8">
                  <c:v>18929223.914654326</c:v>
                </c:pt>
                <c:pt idx="9">
                  <c:v>28901381.414654326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8-4159-8736-6926CC770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887152"/>
        <c:axId val="1163205120"/>
      </c:lineChart>
      <c:dateAx>
        <c:axId val="1163887152"/>
        <c:scaling>
          <c:orientation val="minMax"/>
          <c:max val="47849"/>
        </c:scaling>
        <c:delete val="0"/>
        <c:axPos val="b"/>
        <c:numFmt formatCode="[$-409]mmm\-yy;@" sourceLinked="0"/>
        <c:majorTickMark val="cross"/>
        <c:minorTickMark val="none"/>
        <c:tickLblPos val="low"/>
        <c:spPr>
          <a:noFill/>
          <a:ln w="254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205120"/>
        <c:crosses val="autoZero"/>
        <c:auto val="1"/>
        <c:lblOffset val="100"/>
        <c:baseTimeUnit val="months"/>
        <c:majorUnit val="3"/>
        <c:majorTimeUnit val="months"/>
      </c:dateAx>
      <c:valAx>
        <c:axId val="116320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887152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/>
    </cs:fontRef>
    <cs:defRPr sz="1000" kern="1200"/>
  </cs:axisTitle>
  <cs:categoryAxis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9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/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/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/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/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/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709082</xdr:colOff>
      <xdr:row>1</xdr:row>
      <xdr:rowOff>63499</xdr:rowOff>
    </xdr:from>
    <xdr:to>
      <xdr:col>18</xdr:col>
      <xdr:colOff>912281</xdr:colOff>
      <xdr:row>3</xdr:row>
      <xdr:rowOff>220132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19307" y="66674"/>
          <a:ext cx="1385358" cy="1398058"/>
        </a:xfrm>
        <a:prstGeom prst="rect">
          <a:avLst/>
        </a:prstGeom>
      </xdr:spPr>
    </xdr:pic>
    <xdr:clientData/>
  </xdr:twoCellAnchor>
  <xdr:twoCellAnchor editAs="oneCell">
    <xdr:from>
      <xdr:col>12</xdr:col>
      <xdr:colOff>893329</xdr:colOff>
      <xdr:row>231</xdr:row>
      <xdr:rowOff>115454</xdr:rowOff>
    </xdr:from>
    <xdr:to>
      <xdr:col>13</xdr:col>
      <xdr:colOff>1131454</xdr:colOff>
      <xdr:row>235</xdr:row>
      <xdr:rowOff>145071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18420" y="29521727"/>
          <a:ext cx="1381125" cy="1403526"/>
        </a:xfrm>
        <a:prstGeom prst="rect">
          <a:avLst/>
        </a:prstGeom>
      </xdr:spPr>
    </xdr:pic>
    <xdr:clientData/>
  </xdr:twoCellAnchor>
  <xdr:twoCellAnchor editAs="oneCell">
    <xdr:from>
      <xdr:col>4</xdr:col>
      <xdr:colOff>283729</xdr:colOff>
      <xdr:row>262</xdr:row>
      <xdr:rowOff>151019</xdr:rowOff>
    </xdr:from>
    <xdr:to>
      <xdr:col>5</xdr:col>
      <xdr:colOff>46681</xdr:colOff>
      <xdr:row>266</xdr:row>
      <xdr:rowOff>159908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18638" y="38054746"/>
          <a:ext cx="855858" cy="881147"/>
        </a:xfrm>
        <a:prstGeom prst="rect">
          <a:avLst/>
        </a:prstGeom>
      </xdr:spPr>
    </xdr:pic>
    <xdr:clientData/>
  </xdr:twoCellAnchor>
  <xdr:twoCellAnchor editAs="oneCell">
    <xdr:from>
      <xdr:col>3</xdr:col>
      <xdr:colOff>249246</xdr:colOff>
      <xdr:row>295</xdr:row>
      <xdr:rowOff>146016</xdr:rowOff>
    </xdr:from>
    <xdr:to>
      <xdr:col>4</xdr:col>
      <xdr:colOff>856043</xdr:colOff>
      <xdr:row>299</xdr:row>
      <xdr:rowOff>133967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75791" y="43695471"/>
          <a:ext cx="855858" cy="876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192320</xdr:colOff>
      <xdr:row>66</xdr:row>
      <xdr:rowOff>141208</xdr:rowOff>
    </xdr:from>
    <xdr:to>
      <xdr:col>15</xdr:col>
      <xdr:colOff>69272</xdr:colOff>
      <xdr:row>81</xdr:row>
      <xdr:rowOff>147205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528377</xdr:colOff>
      <xdr:row>1</xdr:row>
      <xdr:rowOff>93382</xdr:rowOff>
    </xdr:from>
    <xdr:to>
      <xdr:col>13</xdr:col>
      <xdr:colOff>874060</xdr:colOff>
      <xdr:row>3</xdr:row>
      <xdr:rowOff>246840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691553" y="93382"/>
          <a:ext cx="1421448" cy="140851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393700</xdr:colOff>
          <xdr:row>52</xdr:row>
          <xdr:rowOff>190500</xdr:rowOff>
        </xdr:from>
        <xdr:to>
          <xdr:col>22</xdr:col>
          <xdr:colOff>495300</xdr:colOff>
          <xdr:row>55</xdr:row>
          <xdr:rowOff>127000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IRR Y6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965200</xdr:colOff>
          <xdr:row>53</xdr:row>
          <xdr:rowOff>0</xdr:rowOff>
        </xdr:from>
        <xdr:to>
          <xdr:col>25</xdr:col>
          <xdr:colOff>63500</xdr:colOff>
          <xdr:row>55</xdr:row>
          <xdr:rowOff>114300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IRR Y8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47F94-F822-42EE-B480-F91A27EB1DF4}">
  <sheetPr codeName="Sheet7">
    <tabColor theme="9" tint="0.59999389629810485"/>
  </sheetPr>
  <dimension ref="A1:AK1842"/>
  <sheetViews>
    <sheetView showGridLines="0" tabSelected="1" topLeftCell="A2" zoomScale="90" zoomScaleNormal="90" zoomScaleSheetLayoutView="90" zoomScalePageLayoutView="50" workbookViewId="0">
      <selection activeCell="H82" sqref="H82"/>
    </sheetView>
  </sheetViews>
  <sheetFormatPr baseColWidth="10" defaultColWidth="11" defaultRowHeight="16" outlineLevelCol="1" x14ac:dyDescent="0.2"/>
  <cols>
    <col min="1" max="1" width="4.33203125" style="7" customWidth="1"/>
    <col min="2" max="2" width="29.6640625" customWidth="1"/>
    <col min="3" max="3" width="9.83203125" customWidth="1"/>
    <col min="4" max="4" width="1.83203125" customWidth="1"/>
    <col min="5" max="5" width="14.1640625" bestFit="1" customWidth="1"/>
    <col min="6" max="6" width="15.6640625" customWidth="1"/>
    <col min="7" max="14" width="15" customWidth="1"/>
    <col min="15" max="17" width="15" hidden="1" customWidth="1" outlineLevel="1"/>
    <col min="18" max="18" width="15.5" bestFit="1" customWidth="1" collapsed="1"/>
    <col min="19" max="19" width="13.1640625" customWidth="1"/>
    <col min="20" max="20" width="18.1640625" style="1" bestFit="1" customWidth="1"/>
    <col min="21" max="21" width="14.6640625" style="1" bestFit="1" customWidth="1"/>
    <col min="22" max="22" width="14" style="1" bestFit="1" customWidth="1"/>
    <col min="23" max="23" width="11.5" style="1" bestFit="1" customWidth="1"/>
    <col min="24" max="24" width="24.33203125" style="1" bestFit="1" customWidth="1"/>
    <col min="25" max="25" width="24.33203125" style="1" customWidth="1"/>
    <col min="26" max="26" width="16" bestFit="1" customWidth="1"/>
    <col min="27" max="27" width="16.5" bestFit="1" customWidth="1"/>
    <col min="28" max="28" width="36.1640625" bestFit="1" customWidth="1"/>
    <col min="29" max="30" width="16.5" bestFit="1" customWidth="1"/>
    <col min="31" max="31" width="16.1640625" customWidth="1"/>
    <col min="32" max="32" width="16.5" bestFit="1" customWidth="1"/>
    <col min="33" max="33" width="15.83203125" bestFit="1" customWidth="1"/>
    <col min="34" max="34" width="17" bestFit="1" customWidth="1"/>
    <col min="35" max="35" width="15.83203125" bestFit="1" customWidth="1"/>
    <col min="36" max="36" width="17" bestFit="1" customWidth="1"/>
  </cols>
  <sheetData>
    <row r="1" spans="1:37" s="1" customFormat="1" ht="12" hidden="1" customHeight="1" x14ac:dyDescent="0.2">
      <c r="A1" s="7"/>
    </row>
    <row r="2" spans="1:37" s="248" customFormat="1" ht="62" customHeight="1" x14ac:dyDescent="0.45">
      <c r="A2" s="7"/>
      <c r="B2" s="5"/>
      <c r="C2" s="3"/>
      <c r="D2" s="3"/>
      <c r="E2"/>
      <c r="F2" s="30"/>
      <c r="G2"/>
      <c r="H2"/>
      <c r="I2"/>
      <c r="J2"/>
      <c r="K2"/>
      <c r="L2"/>
      <c r="M2"/>
      <c r="N2"/>
      <c r="O2"/>
      <c r="P2"/>
      <c r="Q2"/>
      <c r="R2"/>
      <c r="S2"/>
      <c r="T2" s="1"/>
      <c r="U2" s="1"/>
      <c r="V2" s="1"/>
      <c r="W2" s="1"/>
      <c r="X2" s="1"/>
      <c r="Y2" s="1"/>
      <c r="Z2" s="1"/>
      <c r="AA2" s="1"/>
      <c r="AB2" s="248" t="s">
        <v>0</v>
      </c>
      <c r="AC2" s="249">
        <f t="shared" ref="AC2:AJ2" si="0">+IF(AC3&lt;0,-$C$181*AC3,0)</f>
        <v>0</v>
      </c>
      <c r="AD2" s="249">
        <f t="shared" si="0"/>
        <v>0</v>
      </c>
      <c r="AE2" s="249">
        <f t="shared" si="0"/>
        <v>0</v>
      </c>
      <c r="AF2" s="249">
        <f t="shared" si="0"/>
        <v>0</v>
      </c>
      <c r="AG2" s="249">
        <f t="shared" si="0"/>
        <v>0</v>
      </c>
      <c r="AH2" s="249">
        <f t="shared" si="0"/>
        <v>0</v>
      </c>
      <c r="AI2" s="249">
        <f t="shared" si="0"/>
        <v>0</v>
      </c>
      <c r="AJ2" s="249">
        <f t="shared" si="0"/>
        <v>0</v>
      </c>
    </row>
    <row r="3" spans="1:37" s="248" customFormat="1" ht="36" customHeight="1" x14ac:dyDescent="0.25">
      <c r="A3" s="7"/>
      <c r="B3" s="5"/>
      <c r="C3" s="3"/>
      <c r="D3" s="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 s="1"/>
      <c r="U3" s="1"/>
      <c r="V3" s="1"/>
      <c r="W3" s="1"/>
      <c r="X3" s="1"/>
      <c r="Y3" s="1"/>
      <c r="Z3" s="1"/>
      <c r="AA3" s="1"/>
      <c r="AB3" s="250" t="s">
        <v>1</v>
      </c>
      <c r="AC3" s="249">
        <f>+'Returns Lot Only'!F23</f>
        <v>-28500000</v>
      </c>
      <c r="AD3" s="249">
        <f>+'Returns Lot Only'!G23</f>
        <v>-28500000</v>
      </c>
      <c r="AE3" s="249">
        <f>+'Returns Lot Only'!H23</f>
        <v>-26000000</v>
      </c>
      <c r="AF3" s="249">
        <f>+'Returns Lot Only'!I23</f>
        <v>-26000000</v>
      </c>
      <c r="AG3" s="249">
        <f>+'Returns Lot Only'!J23</f>
        <v>-15750000</v>
      </c>
      <c r="AH3" s="249">
        <f>+'Returns Lot Only'!K23</f>
        <v>-9250000</v>
      </c>
      <c r="AI3" s="249">
        <f>+'Returns Lot Only'!L23</f>
        <v>1750000</v>
      </c>
      <c r="AJ3" s="249">
        <f>+'Returns Lot Only'!M23</f>
        <v>8250000</v>
      </c>
    </row>
    <row r="4" spans="1:37" s="248" customFormat="1" ht="21" x14ac:dyDescent="0.25">
      <c r="A4" s="7"/>
      <c r="B4" s="5" t="s">
        <v>2</v>
      </c>
      <c r="C4" s="3"/>
      <c r="D4" s="3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 s="1"/>
      <c r="U4" s="1"/>
      <c r="V4" s="1"/>
      <c r="W4" s="1"/>
      <c r="X4" s="1"/>
      <c r="Y4" s="1"/>
      <c r="Z4" s="1"/>
      <c r="AA4" s="1"/>
      <c r="AC4" s="248" t="s">
        <v>3</v>
      </c>
      <c r="AD4" s="248" t="s">
        <v>4</v>
      </c>
      <c r="AE4" s="248" t="s">
        <v>5</v>
      </c>
      <c r="AF4" s="248" t="s">
        <v>6</v>
      </c>
      <c r="AG4" s="248" t="s">
        <v>7</v>
      </c>
      <c r="AH4" s="248" t="s">
        <v>8</v>
      </c>
      <c r="AI4" s="248" t="s">
        <v>9</v>
      </c>
      <c r="AJ4" s="248" t="s">
        <v>10</v>
      </c>
    </row>
    <row r="5" spans="1:37" s="248" customFormat="1" ht="21" x14ac:dyDescent="0.25">
      <c r="A5" s="7"/>
      <c r="B5" s="4" t="s">
        <v>244</v>
      </c>
      <c r="C5" s="4" t="str">
        <f>_xlfn.CONCAT(LEFT(D24,3),"K/LOT")</f>
        <v>750K/LOT</v>
      </c>
      <c r="D5" s="4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1"/>
      <c r="U5" s="1"/>
      <c r="V5" s="1"/>
      <c r="W5" s="1"/>
      <c r="X5" s="1"/>
      <c r="Y5" s="1"/>
      <c r="Z5" s="1"/>
      <c r="AA5" s="1"/>
    </row>
    <row r="6" spans="1:37" s="1" customFormat="1" x14ac:dyDescent="0.2">
      <c r="A6" s="7"/>
      <c r="E6" s="140" t="s">
        <v>3</v>
      </c>
      <c r="F6" s="140" t="s">
        <v>4</v>
      </c>
      <c r="G6" s="140" t="s">
        <v>5</v>
      </c>
      <c r="H6" s="140" t="s">
        <v>6</v>
      </c>
      <c r="I6" s="140" t="s">
        <v>7</v>
      </c>
      <c r="J6" s="140" t="s">
        <v>8</v>
      </c>
      <c r="K6" s="140" t="s">
        <v>9</v>
      </c>
      <c r="L6" s="140" t="s">
        <v>10</v>
      </c>
      <c r="M6" s="140" t="s">
        <v>11</v>
      </c>
      <c r="N6" s="140" t="s">
        <v>12</v>
      </c>
      <c r="O6" s="140" t="s">
        <v>13</v>
      </c>
      <c r="P6" s="140" t="s">
        <v>14</v>
      </c>
      <c r="Q6" s="140" t="s">
        <v>15</v>
      </c>
      <c r="V6" s="23"/>
      <c r="Z6" s="240" t="s">
        <v>16</v>
      </c>
      <c r="AA6" s="244">
        <f>SUM(Z7:Z198)</f>
        <v>47904923.000381224</v>
      </c>
      <c r="AB6" s="248"/>
      <c r="AC6" s="248"/>
      <c r="AD6" s="248"/>
      <c r="AE6" s="248"/>
      <c r="AF6" s="248"/>
      <c r="AG6" s="248"/>
      <c r="AH6" s="248"/>
      <c r="AI6" s="248"/>
      <c r="AJ6" s="248"/>
      <c r="AK6" s="248"/>
    </row>
    <row r="7" spans="1:37" s="8" customFormat="1" x14ac:dyDescent="0.2">
      <c r="A7" s="106"/>
      <c r="E7" s="11">
        <v>2027</v>
      </c>
      <c r="F7" s="11">
        <f>E7+1</f>
        <v>2028</v>
      </c>
      <c r="G7" s="11">
        <f t="shared" ref="G7:Q7" si="1">F7+1</f>
        <v>2029</v>
      </c>
      <c r="H7" s="11">
        <f t="shared" si="1"/>
        <v>2030</v>
      </c>
      <c r="I7" s="11">
        <f t="shared" si="1"/>
        <v>2031</v>
      </c>
      <c r="J7" s="11">
        <f t="shared" si="1"/>
        <v>2032</v>
      </c>
      <c r="K7" s="11">
        <f t="shared" si="1"/>
        <v>2033</v>
      </c>
      <c r="L7" s="11">
        <f t="shared" si="1"/>
        <v>2034</v>
      </c>
      <c r="M7" s="11">
        <f t="shared" si="1"/>
        <v>2035</v>
      </c>
      <c r="N7" s="11">
        <f t="shared" si="1"/>
        <v>2036</v>
      </c>
      <c r="O7" s="11">
        <f t="shared" si="1"/>
        <v>2037</v>
      </c>
      <c r="P7" s="11">
        <f t="shared" si="1"/>
        <v>2038</v>
      </c>
      <c r="Q7" s="11">
        <f t="shared" si="1"/>
        <v>2039</v>
      </c>
      <c r="R7" s="12" t="s">
        <v>17</v>
      </c>
      <c r="T7" s="23"/>
      <c r="U7" s="1"/>
      <c r="V7" s="178"/>
      <c r="W7" s="23"/>
      <c r="X7" s="23"/>
      <c r="Y7" s="23"/>
    </row>
    <row r="8" spans="1:37" ht="15.5" customHeight="1" x14ac:dyDescent="0.2">
      <c r="C8" s="282" t="s">
        <v>18</v>
      </c>
      <c r="D8" s="282"/>
      <c r="E8" s="34">
        <v>46388</v>
      </c>
      <c r="F8" s="34">
        <f>E8+365</f>
        <v>46753</v>
      </c>
      <c r="G8" s="34">
        <f>F8+366</f>
        <v>47119</v>
      </c>
      <c r="H8" s="34">
        <f>G8+365</f>
        <v>47484</v>
      </c>
      <c r="I8" s="34">
        <f>H8+365</f>
        <v>47849</v>
      </c>
      <c r="J8" s="34">
        <f>I8+365</f>
        <v>48214</v>
      </c>
      <c r="K8" s="34">
        <f>J8+366</f>
        <v>48580</v>
      </c>
      <c r="L8" s="34">
        <f>K8+365</f>
        <v>48945</v>
      </c>
      <c r="M8" s="34">
        <f>L8+365</f>
        <v>49310</v>
      </c>
      <c r="N8" s="34">
        <f>M8+365</f>
        <v>49675</v>
      </c>
      <c r="O8" s="34">
        <f>N8+366</f>
        <v>50041</v>
      </c>
      <c r="P8" s="34">
        <f>O8+365</f>
        <v>50406</v>
      </c>
      <c r="Q8" s="34">
        <f t="shared" ref="Q8" si="2">P8+365</f>
        <v>50771</v>
      </c>
      <c r="R8" s="12"/>
      <c r="S8" s="287"/>
    </row>
    <row r="9" spans="1:37" ht="19" x14ac:dyDescent="0.25">
      <c r="B9" s="173" t="s">
        <v>20</v>
      </c>
      <c r="C9" s="282" t="s">
        <v>21</v>
      </c>
      <c r="D9" s="282" t="s">
        <v>22</v>
      </c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12"/>
      <c r="S9" s="287"/>
    </row>
    <row r="10" spans="1:37" x14ac:dyDescent="0.2">
      <c r="B10" s="10" t="s">
        <v>23</v>
      </c>
      <c r="C10" s="253">
        <v>43560</v>
      </c>
      <c r="D10" s="286">
        <v>43560</v>
      </c>
      <c r="E10" s="223"/>
      <c r="F10" s="14">
        <v>30</v>
      </c>
      <c r="G10" s="14">
        <v>0</v>
      </c>
      <c r="H10" s="14">
        <v>30</v>
      </c>
      <c r="I10" s="14">
        <v>0</v>
      </c>
      <c r="J10" s="14">
        <v>30</v>
      </c>
      <c r="K10" s="14">
        <v>0</v>
      </c>
      <c r="L10" s="14">
        <v>30</v>
      </c>
      <c r="M10" s="14">
        <v>0</v>
      </c>
      <c r="N10" s="14">
        <v>0</v>
      </c>
      <c r="O10" s="14"/>
      <c r="P10" s="14"/>
      <c r="Q10" s="14"/>
      <c r="R10">
        <f t="shared" ref="R10" si="3">SUM(F10:Q10)</f>
        <v>120</v>
      </c>
      <c r="S10" s="287"/>
      <c r="T10" s="109">
        <f>+R10*D24</f>
        <v>90000000</v>
      </c>
    </row>
    <row r="11" spans="1:37" x14ac:dyDescent="0.2">
      <c r="B11" s="99" t="s">
        <v>24</v>
      </c>
      <c r="C11" s="99"/>
      <c r="D11" s="8"/>
      <c r="E11" s="14"/>
      <c r="F11" s="113">
        <f>SUM(F10)</f>
        <v>30</v>
      </c>
      <c r="G11" s="113">
        <f>SUM(G10)</f>
        <v>0</v>
      </c>
      <c r="H11" s="113">
        <f t="shared" ref="H11:Q11" si="4">SUM(H10)</f>
        <v>30</v>
      </c>
      <c r="I11" s="113">
        <f t="shared" si="4"/>
        <v>0</v>
      </c>
      <c r="J11" s="113">
        <f t="shared" si="4"/>
        <v>30</v>
      </c>
      <c r="K11" s="113">
        <f t="shared" si="4"/>
        <v>0</v>
      </c>
      <c r="L11" s="113">
        <f t="shared" si="4"/>
        <v>30</v>
      </c>
      <c r="M11" s="113">
        <f t="shared" si="4"/>
        <v>0</v>
      </c>
      <c r="N11" s="113">
        <f t="shared" si="4"/>
        <v>0</v>
      </c>
      <c r="O11" s="113">
        <f t="shared" si="4"/>
        <v>0</v>
      </c>
      <c r="P11" s="113">
        <f t="shared" si="4"/>
        <v>0</v>
      </c>
      <c r="Q11" s="113">
        <f t="shared" si="4"/>
        <v>0</v>
      </c>
      <c r="R11" s="99">
        <f>SUM(R10)</f>
        <v>120</v>
      </c>
      <c r="S11" s="287"/>
      <c r="T11" s="121">
        <f>SUM(T10)</f>
        <v>90000000</v>
      </c>
    </row>
    <row r="12" spans="1:37" x14ac:dyDescent="0.2">
      <c r="C12" s="274"/>
      <c r="D12" s="27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12"/>
      <c r="S12" s="287"/>
    </row>
    <row r="13" spans="1:37" hidden="1" x14ac:dyDescent="0.2">
      <c r="C13" s="274"/>
      <c r="D13" s="27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12"/>
      <c r="S13" s="287"/>
    </row>
    <row r="14" spans="1:37" ht="17" hidden="1" x14ac:dyDescent="0.2">
      <c r="C14" s="274" t="s">
        <v>18</v>
      </c>
      <c r="D14" s="274" t="s">
        <v>19</v>
      </c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12"/>
      <c r="S14" s="287"/>
    </row>
    <row r="15" spans="1:37" ht="19" hidden="1" x14ac:dyDescent="0.25">
      <c r="A15" s="168"/>
      <c r="B15" s="173" t="s">
        <v>25</v>
      </c>
      <c r="C15" s="274" t="s">
        <v>21</v>
      </c>
      <c r="D15" s="274" t="s">
        <v>26</v>
      </c>
      <c r="S15" s="287"/>
    </row>
    <row r="16" spans="1:37" hidden="1" x14ac:dyDescent="0.2">
      <c r="A16" s="168"/>
      <c r="B16" s="10" t="s">
        <v>27</v>
      </c>
      <c r="C16" s="253">
        <v>43560</v>
      </c>
      <c r="D16" s="253">
        <v>2650</v>
      </c>
      <c r="E16" s="223"/>
      <c r="F16" s="14"/>
      <c r="G16" s="14">
        <v>0</v>
      </c>
      <c r="H16" s="14"/>
      <c r="I16" s="14">
        <v>0</v>
      </c>
      <c r="J16" s="14"/>
      <c r="K16" s="14">
        <v>0</v>
      </c>
      <c r="L16" s="14"/>
      <c r="M16" s="14">
        <v>0</v>
      </c>
      <c r="N16" s="14"/>
      <c r="O16" s="14"/>
      <c r="P16" s="14"/>
      <c r="Q16" s="14"/>
      <c r="R16">
        <f t="shared" ref="R16:R18" si="5">SUM(F16:Q16)</f>
        <v>0</v>
      </c>
      <c r="S16" s="17"/>
      <c r="T16" s="109">
        <f>F28*R28</f>
        <v>0</v>
      </c>
      <c r="V16" s="109" t="e">
        <f>#REF!*#REF!</f>
        <v>#REF!</v>
      </c>
    </row>
    <row r="17" spans="1:26" hidden="1" x14ac:dyDescent="0.2">
      <c r="A17" s="168"/>
      <c r="B17" s="10" t="s">
        <v>28</v>
      </c>
      <c r="C17" s="253">
        <v>43560</v>
      </c>
      <c r="D17" s="254">
        <v>3000</v>
      </c>
      <c r="E17" s="223"/>
      <c r="F17" s="14"/>
      <c r="G17" s="14">
        <v>0</v>
      </c>
      <c r="H17" s="14"/>
      <c r="I17" s="14">
        <v>0</v>
      </c>
      <c r="J17" s="14"/>
      <c r="K17" s="14">
        <v>0</v>
      </c>
      <c r="L17" s="14"/>
      <c r="M17" s="14">
        <v>0</v>
      </c>
      <c r="N17" s="14"/>
      <c r="O17" s="14"/>
      <c r="P17" s="14"/>
      <c r="Q17" s="14"/>
      <c r="R17">
        <f t="shared" si="5"/>
        <v>0</v>
      </c>
      <c r="S17" s="17"/>
      <c r="T17" s="109">
        <f>F29*R29</f>
        <v>0</v>
      </c>
      <c r="V17" s="109"/>
    </row>
    <row r="18" spans="1:26" hidden="1" x14ac:dyDescent="0.2">
      <c r="A18" s="168"/>
      <c r="B18" s="10" t="s">
        <v>29</v>
      </c>
      <c r="C18" s="253">
        <v>43560</v>
      </c>
      <c r="D18" s="254">
        <v>3650</v>
      </c>
      <c r="E18" s="14"/>
      <c r="F18" s="14"/>
      <c r="G18" s="14">
        <v>0</v>
      </c>
      <c r="H18" s="14"/>
      <c r="I18" s="14">
        <v>0</v>
      </c>
      <c r="J18" s="14"/>
      <c r="K18" s="14">
        <v>0</v>
      </c>
      <c r="L18" s="14"/>
      <c r="M18" s="14">
        <v>0</v>
      </c>
      <c r="N18" s="14"/>
      <c r="O18" s="14"/>
      <c r="P18" s="14"/>
      <c r="Q18" s="14"/>
      <c r="R18">
        <f t="shared" si="5"/>
        <v>0</v>
      </c>
      <c r="S18" s="17"/>
      <c r="T18" s="109">
        <f>F30*R30</f>
        <v>0</v>
      </c>
    </row>
    <row r="19" spans="1:26" hidden="1" x14ac:dyDescent="0.2">
      <c r="B19" s="99" t="s">
        <v>24</v>
      </c>
      <c r="C19" s="99"/>
      <c r="D19" s="8"/>
      <c r="E19" s="14"/>
      <c r="F19" s="113"/>
      <c r="G19" s="113">
        <f t="shared" ref="G19:R19" si="6">SUM(G16:G18)</f>
        <v>0</v>
      </c>
      <c r="H19" s="113">
        <f t="shared" si="6"/>
        <v>0</v>
      </c>
      <c r="I19" s="113">
        <f t="shared" si="6"/>
        <v>0</v>
      </c>
      <c r="J19" s="113">
        <f t="shared" si="6"/>
        <v>0</v>
      </c>
      <c r="K19" s="113">
        <f t="shared" si="6"/>
        <v>0</v>
      </c>
      <c r="L19" s="113">
        <f t="shared" si="6"/>
        <v>0</v>
      </c>
      <c r="M19" s="113">
        <f t="shared" si="6"/>
        <v>0</v>
      </c>
      <c r="N19" s="113">
        <f t="shared" si="6"/>
        <v>0</v>
      </c>
      <c r="O19" s="113">
        <f t="shared" si="6"/>
        <v>0</v>
      </c>
      <c r="P19" s="113">
        <f t="shared" si="6"/>
        <v>0</v>
      </c>
      <c r="Q19" s="113">
        <f t="shared" si="6"/>
        <v>0</v>
      </c>
      <c r="R19" s="99">
        <f t="shared" si="6"/>
        <v>0</v>
      </c>
      <c r="S19" s="12"/>
      <c r="T19" s="121">
        <f>SUM(T16:T18)</f>
        <v>0</v>
      </c>
      <c r="U19" s="251"/>
      <c r="V19" s="120">
        <f>SUMPRODUCT(D16:D18,R16:R18)</f>
        <v>0</v>
      </c>
      <c r="W19" s="135" t="s">
        <v>30</v>
      </c>
      <c r="X19" s="1" t="e">
        <f>SUM(T16:T18)/V19</f>
        <v>#DIV/0!</v>
      </c>
      <c r="Y19" s="1" t="s">
        <v>30</v>
      </c>
    </row>
    <row r="20" spans="1:26" hidden="1" x14ac:dyDescent="0.2">
      <c r="B20" t="s">
        <v>31</v>
      </c>
      <c r="C20" s="20">
        <f>SUMPRODUCT(C16:C18,R16:R18)</f>
        <v>0</v>
      </c>
      <c r="D20" s="276">
        <f>SUMPRODUCT(D16:D18,R16:R18)</f>
        <v>0</v>
      </c>
      <c r="E20" s="197"/>
      <c r="G20" s="14"/>
      <c r="H20" s="14"/>
      <c r="I20" s="14"/>
      <c r="J20" s="14"/>
      <c r="K20" s="14"/>
      <c r="L20" s="14"/>
      <c r="M20" s="14"/>
      <c r="N20" s="14"/>
      <c r="O20" s="14"/>
      <c r="P20" s="14"/>
      <c r="S20" s="12"/>
      <c r="T20" s="194" t="e">
        <f>T19/R19</f>
        <v>#DIV/0!</v>
      </c>
      <c r="U20" s="195" t="s">
        <v>19</v>
      </c>
    </row>
    <row r="21" spans="1:26" hidden="1" x14ac:dyDescent="0.2">
      <c r="B21" t="s">
        <v>32</v>
      </c>
      <c r="C21" s="20">
        <f>C20/43560</f>
        <v>0</v>
      </c>
      <c r="D21" s="14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</row>
    <row r="22" spans="1:26" hidden="1" x14ac:dyDescent="0.2">
      <c r="C22" s="20"/>
      <c r="D22" s="14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</row>
    <row r="23" spans="1:26" ht="19" x14ac:dyDescent="0.25">
      <c r="B23" s="173" t="s">
        <v>33</v>
      </c>
      <c r="C23" s="208" t="s">
        <v>34</v>
      </c>
      <c r="D23" t="s">
        <v>35</v>
      </c>
      <c r="E23" s="14"/>
      <c r="F23" s="257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</row>
    <row r="24" spans="1:26" x14ac:dyDescent="0.2">
      <c r="B24" s="285" t="s">
        <v>23</v>
      </c>
      <c r="C24" s="177">
        <f>R10</f>
        <v>120</v>
      </c>
      <c r="D24" s="286">
        <v>750000</v>
      </c>
      <c r="E24" s="255" t="s">
        <v>36</v>
      </c>
      <c r="F24" s="275"/>
      <c r="G24" s="277">
        <f>F10/2</f>
        <v>15</v>
      </c>
      <c r="H24" s="277">
        <f>G24</f>
        <v>15</v>
      </c>
      <c r="I24" s="277">
        <f t="shared" ref="I24" si="7">H10/2</f>
        <v>15</v>
      </c>
      <c r="J24" s="277">
        <f t="shared" ref="J24" si="8">I24</f>
        <v>15</v>
      </c>
      <c r="K24" s="277">
        <f t="shared" ref="K24:M24" si="9">J10/2</f>
        <v>15</v>
      </c>
      <c r="L24" s="277">
        <f t="shared" ref="L24:N24" si="10">K24</f>
        <v>15</v>
      </c>
      <c r="M24" s="277">
        <f t="shared" si="9"/>
        <v>15</v>
      </c>
      <c r="N24" s="277">
        <f t="shared" si="10"/>
        <v>15</v>
      </c>
      <c r="O24" s="275">
        <f>N9</f>
        <v>0</v>
      </c>
      <c r="P24" s="275">
        <f>O9</f>
        <v>0</v>
      </c>
      <c r="Q24" s="275">
        <f>P9</f>
        <v>0</v>
      </c>
      <c r="R24" s="39">
        <f>SUM(G24:N24)</f>
        <v>120</v>
      </c>
    </row>
    <row r="25" spans="1:26" x14ac:dyDescent="0.2">
      <c r="C25" s="8">
        <f>SUM(C24)</f>
        <v>120</v>
      </c>
      <c r="D25" s="144"/>
      <c r="E25" s="14"/>
      <c r="F25" s="266">
        <f>SUM(F24)</f>
        <v>0</v>
      </c>
      <c r="G25" s="266">
        <f>SUM(G24)</f>
        <v>15</v>
      </c>
      <c r="H25" s="266">
        <f t="shared" ref="H25:N25" si="11">SUM(H24)</f>
        <v>15</v>
      </c>
      <c r="I25" s="266">
        <f t="shared" si="11"/>
        <v>15</v>
      </c>
      <c r="J25" s="266">
        <f t="shared" si="11"/>
        <v>15</v>
      </c>
      <c r="K25" s="266">
        <f t="shared" si="11"/>
        <v>15</v>
      </c>
      <c r="L25" s="266">
        <f t="shared" si="11"/>
        <v>15</v>
      </c>
      <c r="M25" s="266">
        <f t="shared" si="11"/>
        <v>15</v>
      </c>
      <c r="N25" s="266">
        <f t="shared" si="11"/>
        <v>15</v>
      </c>
      <c r="O25" s="14"/>
      <c r="P25" s="14"/>
      <c r="Q25" s="14"/>
      <c r="R25">
        <f>SUM(F25:N25)</f>
        <v>120</v>
      </c>
    </row>
    <row r="26" spans="1:26" hidden="1" x14ac:dyDescent="0.2">
      <c r="C26" s="144"/>
      <c r="D26" s="14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</row>
    <row r="27" spans="1:26" ht="19" hidden="1" x14ac:dyDescent="0.25">
      <c r="B27" s="173" t="s">
        <v>37</v>
      </c>
      <c r="C27" s="208" t="s">
        <v>34</v>
      </c>
      <c r="D27" t="s">
        <v>35</v>
      </c>
      <c r="E27" s="14"/>
      <c r="F27" s="257" t="s">
        <v>38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</row>
    <row r="28" spans="1:26" hidden="1" x14ac:dyDescent="0.2">
      <c r="B28" s="252" t="str">
        <f>B16</f>
        <v>Small Home Program</v>
      </c>
      <c r="C28" s="261">
        <f>R16</f>
        <v>0</v>
      </c>
      <c r="D28" s="253">
        <v>1125</v>
      </c>
      <c r="E28" s="255" t="s">
        <v>39</v>
      </c>
      <c r="F28" s="258">
        <f>D16*D28</f>
        <v>2981250</v>
      </c>
      <c r="G28" s="12"/>
      <c r="H28" s="12">
        <f t="shared" ref="H28:Q28" si="12">G16</f>
        <v>0</v>
      </c>
      <c r="I28" s="12">
        <f t="shared" si="12"/>
        <v>0</v>
      </c>
      <c r="J28" s="12">
        <f t="shared" si="12"/>
        <v>0</v>
      </c>
      <c r="K28" s="12">
        <f t="shared" si="12"/>
        <v>0</v>
      </c>
      <c r="L28" s="12">
        <f t="shared" si="12"/>
        <v>0</v>
      </c>
      <c r="M28" s="12">
        <f t="shared" si="12"/>
        <v>0</v>
      </c>
      <c r="N28" s="12">
        <f t="shared" si="12"/>
        <v>0</v>
      </c>
      <c r="O28" s="12">
        <f t="shared" si="12"/>
        <v>0</v>
      </c>
      <c r="P28" s="12">
        <f t="shared" si="12"/>
        <v>0</v>
      </c>
      <c r="Q28" s="12">
        <f t="shared" si="12"/>
        <v>0</v>
      </c>
      <c r="R28">
        <f>SUM(G28:Q28)</f>
        <v>0</v>
      </c>
    </row>
    <row r="29" spans="1:26" hidden="1" x14ac:dyDescent="0.2">
      <c r="B29" s="252" t="str">
        <f>B17</f>
        <v>Medium Home Program</v>
      </c>
      <c r="C29" s="261">
        <f>R17</f>
        <v>0</v>
      </c>
      <c r="D29" s="253">
        <v>1100</v>
      </c>
      <c r="E29" s="255" t="s">
        <v>39</v>
      </c>
      <c r="F29" s="258">
        <f>D17*D29</f>
        <v>3300000</v>
      </c>
      <c r="G29" s="12"/>
      <c r="H29" s="12">
        <f t="shared" ref="H29:Q29" si="13">G17</f>
        <v>0</v>
      </c>
      <c r="I29" s="12">
        <f t="shared" si="13"/>
        <v>0</v>
      </c>
      <c r="J29" s="12">
        <f t="shared" si="13"/>
        <v>0</v>
      </c>
      <c r="K29" s="12">
        <f t="shared" si="13"/>
        <v>0</v>
      </c>
      <c r="L29" s="12">
        <f t="shared" si="13"/>
        <v>0</v>
      </c>
      <c r="M29" s="12">
        <f t="shared" si="13"/>
        <v>0</v>
      </c>
      <c r="N29" s="12">
        <f t="shared" si="13"/>
        <v>0</v>
      </c>
      <c r="O29" s="12">
        <f t="shared" si="13"/>
        <v>0</v>
      </c>
      <c r="P29" s="12">
        <f t="shared" si="13"/>
        <v>0</v>
      </c>
      <c r="Q29" s="12">
        <f t="shared" si="13"/>
        <v>0</v>
      </c>
      <c r="R29">
        <f t="shared" ref="R29:R30" si="14">SUM(G29:Q29)</f>
        <v>0</v>
      </c>
    </row>
    <row r="30" spans="1:26" hidden="1" x14ac:dyDescent="0.2">
      <c r="B30" s="252" t="str">
        <f>B18</f>
        <v>Large Home Program</v>
      </c>
      <c r="C30" s="261">
        <f>R18</f>
        <v>0</v>
      </c>
      <c r="D30" s="253">
        <v>1075</v>
      </c>
      <c r="E30" s="255" t="s">
        <v>39</v>
      </c>
      <c r="F30" s="258">
        <f>D18*D30</f>
        <v>3923750</v>
      </c>
      <c r="G30" s="12"/>
      <c r="H30" s="12">
        <f t="shared" ref="H30:Q30" si="15">G18</f>
        <v>0</v>
      </c>
      <c r="I30" s="12">
        <f t="shared" si="15"/>
        <v>0</v>
      </c>
      <c r="J30" s="12">
        <f t="shared" si="15"/>
        <v>0</v>
      </c>
      <c r="K30" s="12">
        <f t="shared" si="15"/>
        <v>0</v>
      </c>
      <c r="L30" s="12">
        <f t="shared" si="15"/>
        <v>0</v>
      </c>
      <c r="M30" s="12">
        <f t="shared" si="15"/>
        <v>0</v>
      </c>
      <c r="N30" s="12">
        <f t="shared" si="15"/>
        <v>0</v>
      </c>
      <c r="O30" s="12">
        <f t="shared" si="15"/>
        <v>0</v>
      </c>
      <c r="P30" s="12">
        <f t="shared" si="15"/>
        <v>0</v>
      </c>
      <c r="Q30" s="12">
        <f t="shared" si="15"/>
        <v>0</v>
      </c>
      <c r="R30">
        <f t="shared" si="14"/>
        <v>0</v>
      </c>
    </row>
    <row r="31" spans="1:26" hidden="1" x14ac:dyDescent="0.2">
      <c r="B31" s="99" t="s">
        <v>40</v>
      </c>
      <c r="C31" s="99">
        <f>SUM(C28:C30)</f>
        <v>0</v>
      </c>
      <c r="D31" s="8"/>
      <c r="E31" s="15"/>
      <c r="F31" s="113"/>
      <c r="G31" s="113">
        <f t="shared" ref="G31:R31" si="16">SUM(G28:G30)</f>
        <v>0</v>
      </c>
      <c r="H31" s="113">
        <f t="shared" si="16"/>
        <v>0</v>
      </c>
      <c r="I31" s="113">
        <f t="shared" si="16"/>
        <v>0</v>
      </c>
      <c r="J31" s="113">
        <f t="shared" si="16"/>
        <v>0</v>
      </c>
      <c r="K31" s="113">
        <f t="shared" si="16"/>
        <v>0</v>
      </c>
      <c r="L31" s="113">
        <f t="shared" si="16"/>
        <v>0</v>
      </c>
      <c r="M31" s="113">
        <f t="shared" si="16"/>
        <v>0</v>
      </c>
      <c r="N31" s="113">
        <f t="shared" si="16"/>
        <v>0</v>
      </c>
      <c r="O31" s="113">
        <f t="shared" si="16"/>
        <v>0</v>
      </c>
      <c r="P31" s="113">
        <f t="shared" si="16"/>
        <v>0</v>
      </c>
      <c r="Q31" s="113">
        <f t="shared" si="16"/>
        <v>0</v>
      </c>
      <c r="R31" s="99">
        <f t="shared" si="16"/>
        <v>0</v>
      </c>
      <c r="Y31" s="240" t="s">
        <v>41</v>
      </c>
      <c r="Z31" s="242">
        <f>+R19-R31</f>
        <v>0</v>
      </c>
    </row>
    <row r="32" spans="1:26" hidden="1" x14ac:dyDescent="0.2">
      <c r="B32" s="162" t="s">
        <v>42</v>
      </c>
      <c r="C32" s="28"/>
      <c r="D32" s="28"/>
      <c r="E32" s="117"/>
      <c r="F32" s="123">
        <f>E32</f>
        <v>0</v>
      </c>
      <c r="G32" s="123">
        <f>E32</f>
        <v>0</v>
      </c>
      <c r="H32" s="123">
        <f>G32*(1+$C$32)</f>
        <v>0</v>
      </c>
      <c r="I32" s="123">
        <f t="shared" ref="I32:N32" si="17">H32*(1+$C$32)</f>
        <v>0</v>
      </c>
      <c r="J32" s="123">
        <f t="shared" si="17"/>
        <v>0</v>
      </c>
      <c r="K32" s="123">
        <f t="shared" si="17"/>
        <v>0</v>
      </c>
      <c r="L32" s="123">
        <f t="shared" si="17"/>
        <v>0</v>
      </c>
      <c r="M32" s="123">
        <f t="shared" si="17"/>
        <v>0</v>
      </c>
      <c r="N32" s="123">
        <f t="shared" si="17"/>
        <v>0</v>
      </c>
      <c r="O32" s="123">
        <f>N32*(1+$C$33)</f>
        <v>0</v>
      </c>
      <c r="P32" s="123">
        <f>O32*(1+$C$33)</f>
        <v>0</v>
      </c>
      <c r="Q32" s="112">
        <f>P32*(1+$C$33)</f>
        <v>0</v>
      </c>
      <c r="U32" s="288" t="s">
        <v>43</v>
      </c>
    </row>
    <row r="33" spans="2:26" x14ac:dyDescent="0.2">
      <c r="B33" t="s">
        <v>241</v>
      </c>
      <c r="C33" s="28">
        <v>0.05</v>
      </c>
      <c r="D33" s="28"/>
      <c r="E33" s="117"/>
      <c r="F33" s="123"/>
      <c r="G33" s="259">
        <f>E33</f>
        <v>0</v>
      </c>
      <c r="H33" s="259">
        <f t="shared" ref="H33:Q33" si="18">G33*(1+$C$33)</f>
        <v>0</v>
      </c>
      <c r="I33" s="259">
        <f t="shared" si="18"/>
        <v>0</v>
      </c>
      <c r="J33" s="259">
        <f t="shared" si="18"/>
        <v>0</v>
      </c>
      <c r="K33" s="259">
        <f t="shared" si="18"/>
        <v>0</v>
      </c>
      <c r="L33" s="259">
        <f t="shared" si="18"/>
        <v>0</v>
      </c>
      <c r="M33" s="259">
        <f t="shared" si="18"/>
        <v>0</v>
      </c>
      <c r="N33" s="259">
        <f t="shared" si="18"/>
        <v>0</v>
      </c>
      <c r="O33" s="123">
        <f t="shared" si="18"/>
        <v>0</v>
      </c>
      <c r="P33" s="123">
        <f t="shared" si="18"/>
        <v>0</v>
      </c>
      <c r="Q33" s="112">
        <f t="shared" si="18"/>
        <v>0</v>
      </c>
      <c r="U33" s="288"/>
    </row>
    <row r="34" spans="2:26" hidden="1" x14ac:dyDescent="0.2">
      <c r="B34" s="116" t="s">
        <v>44</v>
      </c>
      <c r="C34" s="28"/>
      <c r="D34" s="28"/>
      <c r="E34" s="117"/>
      <c r="F34" s="118"/>
      <c r="G34" s="118"/>
      <c r="H34" s="260">
        <f>IFERROR(SUM(H60+H63)/H31,0)</f>
        <v>0</v>
      </c>
      <c r="I34" s="260">
        <f t="shared" ref="I34:N34" si="19">IFERROR(SUM(I60+I63)/I31,0)</f>
        <v>0</v>
      </c>
      <c r="J34" s="260">
        <f t="shared" si="19"/>
        <v>0</v>
      </c>
      <c r="K34" s="260">
        <f t="shared" si="19"/>
        <v>0</v>
      </c>
      <c r="L34" s="260">
        <f t="shared" si="19"/>
        <v>0</v>
      </c>
      <c r="M34" s="260">
        <f t="shared" si="19"/>
        <v>0</v>
      </c>
      <c r="N34" s="260">
        <f t="shared" si="19"/>
        <v>0</v>
      </c>
      <c r="O34" s="118" t="e">
        <f t="shared" ref="O34:Q34" si="20">SUM(O60+O63)/O31</f>
        <v>#DIV/0!</v>
      </c>
      <c r="P34" s="118" t="e">
        <f t="shared" si="20"/>
        <v>#DIV/0!</v>
      </c>
      <c r="Q34" s="118" t="e">
        <f t="shared" si="20"/>
        <v>#DIV/0!</v>
      </c>
      <c r="T34" s="179">
        <f>(R60+R62+R63)/R25</f>
        <v>806250</v>
      </c>
      <c r="U34" s="288"/>
      <c r="W34" s="196" t="e">
        <f>T34/T20</f>
        <v>#DIV/0!</v>
      </c>
    </row>
    <row r="35" spans="2:26" x14ac:dyDescent="0.2">
      <c r="B35" s="116"/>
      <c r="C35" s="28"/>
      <c r="D35" s="28"/>
      <c r="E35" s="117"/>
      <c r="F35" s="118"/>
      <c r="G35" s="118"/>
      <c r="H35" s="14">
        <v>0</v>
      </c>
      <c r="I35" s="14">
        <v>1</v>
      </c>
      <c r="J35" s="14">
        <v>1</v>
      </c>
      <c r="K35" s="14">
        <v>2</v>
      </c>
      <c r="L35" s="14">
        <v>2</v>
      </c>
      <c r="M35" s="14">
        <v>3</v>
      </c>
      <c r="N35" s="14">
        <v>3</v>
      </c>
      <c r="O35" s="118"/>
      <c r="P35" s="118"/>
      <c r="Q35" s="118"/>
      <c r="T35" s="179"/>
      <c r="U35" s="251"/>
      <c r="W35" s="196"/>
    </row>
    <row r="36" spans="2:26" x14ac:dyDescent="0.2">
      <c r="B36" s="59" t="s">
        <v>45</v>
      </c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60"/>
      <c r="Q36" s="60"/>
      <c r="R36" s="60"/>
    </row>
    <row r="37" spans="2:26" x14ac:dyDescent="0.2">
      <c r="B37" t="s">
        <v>46</v>
      </c>
      <c r="E37" s="16"/>
      <c r="F37" s="16"/>
      <c r="G37" s="16"/>
      <c r="H37" s="16"/>
      <c r="I37" s="16"/>
      <c r="J37" s="16"/>
      <c r="K37" s="16"/>
      <c r="L37" s="16">
        <v>0</v>
      </c>
      <c r="M37" s="16"/>
      <c r="N37" s="16"/>
      <c r="O37" s="16"/>
      <c r="P37" s="16"/>
      <c r="Q37" s="16"/>
      <c r="R37" s="20">
        <f t="shared" ref="R37:R43" si="21">SUM(E37:Q37)</f>
        <v>0</v>
      </c>
    </row>
    <row r="38" spans="2:26" ht="17" customHeight="1" x14ac:dyDescent="0.2">
      <c r="B38" s="95" t="s">
        <v>47</v>
      </c>
      <c r="E38" s="16">
        <v>28500000</v>
      </c>
      <c r="F38" s="45"/>
      <c r="G38" s="16"/>
      <c r="H38" s="16"/>
      <c r="I38" s="16"/>
      <c r="J38" s="16"/>
      <c r="K38" s="16"/>
      <c r="L38" s="16">
        <v>0</v>
      </c>
      <c r="M38" s="16"/>
      <c r="N38" s="16"/>
      <c r="O38" s="16"/>
      <c r="P38" s="16"/>
      <c r="Q38" s="16"/>
      <c r="R38" s="20">
        <f t="shared" si="21"/>
        <v>28500000</v>
      </c>
      <c r="T38" s="109"/>
      <c r="U38" s="1" t="s">
        <v>48</v>
      </c>
    </row>
    <row r="39" spans="2:26" hidden="1" x14ac:dyDescent="0.2">
      <c r="B39" s="95" t="s">
        <v>49</v>
      </c>
      <c r="E39" s="20"/>
      <c r="F39" s="20"/>
      <c r="G39" s="227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20">
        <f t="shared" si="21"/>
        <v>0</v>
      </c>
      <c r="T39" s="109"/>
    </row>
    <row r="40" spans="2:26" ht="17" hidden="1" customHeight="1" x14ac:dyDescent="0.2">
      <c r="B40" s="95" t="s">
        <v>50</v>
      </c>
      <c r="D40" s="198"/>
      <c r="E40" s="47"/>
      <c r="F40" s="47"/>
      <c r="G40" s="47"/>
      <c r="H40" s="198"/>
      <c r="I40" s="198"/>
      <c r="J40" s="198"/>
      <c r="K40" s="198"/>
      <c r="L40" s="198"/>
      <c r="M40" s="16"/>
      <c r="N40" s="16"/>
      <c r="O40" s="16"/>
      <c r="P40" s="16"/>
      <c r="Q40" s="16"/>
      <c r="R40" s="20">
        <f t="shared" si="21"/>
        <v>0</v>
      </c>
      <c r="T40" s="109"/>
    </row>
    <row r="41" spans="2:26" ht="17" hidden="1" customHeight="1" x14ac:dyDescent="0.2">
      <c r="B41" s="95" t="s">
        <v>51</v>
      </c>
      <c r="D41" s="198"/>
      <c r="E41" s="47"/>
      <c r="F41" s="47"/>
      <c r="G41" s="47"/>
      <c r="H41" s="198"/>
      <c r="I41" s="198"/>
      <c r="J41" s="198"/>
      <c r="K41" s="198"/>
      <c r="L41" s="198"/>
      <c r="M41" s="16"/>
      <c r="N41" s="16"/>
      <c r="O41" s="16"/>
      <c r="P41" s="16"/>
      <c r="Q41" s="16"/>
      <c r="R41" s="20">
        <f t="shared" si="21"/>
        <v>0</v>
      </c>
      <c r="T41" s="109"/>
    </row>
    <row r="42" spans="2:26" ht="17" hidden="1" customHeight="1" x14ac:dyDescent="0.2">
      <c r="B42" s="95" t="s">
        <v>52</v>
      </c>
      <c r="D42" s="198"/>
      <c r="E42" s="47"/>
      <c r="F42" s="47"/>
      <c r="G42" s="47"/>
      <c r="H42" s="198"/>
      <c r="I42" s="198"/>
      <c r="J42" s="198"/>
      <c r="K42" s="198"/>
      <c r="L42" s="198"/>
      <c r="M42" s="16"/>
      <c r="N42" s="16"/>
      <c r="O42" s="16"/>
      <c r="P42" s="16"/>
      <c r="Q42" s="16"/>
      <c r="R42" s="20">
        <f t="shared" si="21"/>
        <v>0</v>
      </c>
      <c r="T42" s="109"/>
      <c r="U42" s="217">
        <v>0</v>
      </c>
      <c r="V42" s="1" t="s">
        <v>53</v>
      </c>
    </row>
    <row r="43" spans="2:26" ht="17" hidden="1" customHeight="1" x14ac:dyDescent="0.2">
      <c r="B43" s="95" t="s">
        <v>54</v>
      </c>
      <c r="D43" s="198"/>
      <c r="E43" s="16"/>
      <c r="F43" s="16"/>
      <c r="G43" s="16"/>
      <c r="H43" s="225"/>
      <c r="I43" s="225"/>
      <c r="J43" s="198"/>
      <c r="K43" s="198"/>
      <c r="L43" s="198"/>
      <c r="M43" s="16"/>
      <c r="N43" s="16"/>
      <c r="O43" s="16"/>
      <c r="P43" s="16"/>
      <c r="Q43" s="16"/>
      <c r="R43" s="20">
        <f t="shared" si="21"/>
        <v>0</v>
      </c>
      <c r="T43" s="109"/>
      <c r="U43" s="62">
        <f>1-U42</f>
        <v>1</v>
      </c>
      <c r="V43" s="1" t="s">
        <v>55</v>
      </c>
    </row>
    <row r="44" spans="2:26" ht="17" hidden="1" customHeight="1" x14ac:dyDescent="0.2">
      <c r="B44" s="95" t="s">
        <v>56</v>
      </c>
      <c r="D44" s="198"/>
      <c r="E44" s="185"/>
      <c r="F44" s="185"/>
      <c r="G44" s="185"/>
      <c r="H44" s="225"/>
      <c r="I44" s="225"/>
      <c r="J44" s="198"/>
      <c r="K44" s="198"/>
      <c r="L44" s="198"/>
      <c r="M44" s="16"/>
      <c r="N44" s="16"/>
      <c r="O44" s="16"/>
      <c r="P44" s="16"/>
      <c r="Q44" s="16"/>
      <c r="R44" s="20"/>
      <c r="T44" s="109"/>
      <c r="U44" s="62"/>
    </row>
    <row r="45" spans="2:26" ht="17" hidden="1" customHeight="1" x14ac:dyDescent="0.2">
      <c r="B45" s="95" t="s">
        <v>57</v>
      </c>
      <c r="D45" s="198"/>
      <c r="E45" s="94"/>
      <c r="F45" s="94"/>
      <c r="G45" s="185"/>
      <c r="H45" s="225"/>
      <c r="I45" s="225"/>
      <c r="J45" s="198"/>
      <c r="K45" s="198"/>
      <c r="L45" s="198"/>
      <c r="M45" s="16"/>
      <c r="N45" s="16"/>
      <c r="O45" s="16"/>
      <c r="P45" s="16"/>
      <c r="Q45" s="16"/>
      <c r="R45" s="20"/>
      <c r="T45" s="109"/>
    </row>
    <row r="46" spans="2:26" ht="17" customHeight="1" x14ac:dyDescent="0.2">
      <c r="B46" s="111" t="s">
        <v>58</v>
      </c>
      <c r="C46" s="111"/>
      <c r="D46" s="111"/>
      <c r="E46" s="214">
        <f>SUM(E38:E44)</f>
        <v>28500000</v>
      </c>
      <c r="F46" s="245">
        <f t="shared" ref="F46:G46" si="22">SUM(F38:F44)</f>
        <v>0</v>
      </c>
      <c r="G46" s="245">
        <f t="shared" si="22"/>
        <v>0</v>
      </c>
      <c r="H46" s="214"/>
      <c r="I46" s="224"/>
      <c r="J46" s="224"/>
      <c r="K46" s="224"/>
      <c r="L46" s="224">
        <v>0</v>
      </c>
      <c r="M46" s="224"/>
      <c r="N46" s="224"/>
      <c r="O46" s="224"/>
      <c r="P46" s="224"/>
      <c r="Q46" s="224"/>
      <c r="R46" s="114">
        <f>SUM(E46:Q46)</f>
        <v>28500000</v>
      </c>
      <c r="T46" s="104"/>
      <c r="U46" s="1" t="s">
        <v>59</v>
      </c>
      <c r="V46" s="109">
        <f>25000000-E46</f>
        <v>-3500000</v>
      </c>
      <c r="W46" s="109">
        <f>25000000-F46</f>
        <v>25000000</v>
      </c>
      <c r="Y46" s="240" t="s">
        <v>60</v>
      </c>
      <c r="Z46" s="243">
        <f>ROUND(75000000-R46,0)</f>
        <v>46500000</v>
      </c>
    </row>
    <row r="47" spans="2:26" ht="8" customHeight="1" x14ac:dyDescent="0.2">
      <c r="B47" s="95"/>
      <c r="D47" s="198"/>
      <c r="E47" s="185"/>
      <c r="F47" s="185"/>
      <c r="G47" s="185"/>
      <c r="H47" s="225"/>
      <c r="I47" s="225"/>
      <c r="J47" s="198"/>
      <c r="K47" s="198"/>
      <c r="L47" s="230"/>
      <c r="M47" s="16"/>
      <c r="N47" s="16"/>
      <c r="O47" s="16"/>
      <c r="P47" s="16"/>
      <c r="Q47" s="16"/>
      <c r="R47" s="229"/>
      <c r="T47" s="104"/>
    </row>
    <row r="48" spans="2:26" ht="17" hidden="1" customHeight="1" x14ac:dyDescent="0.2">
      <c r="B48" s="95" t="s">
        <v>56</v>
      </c>
      <c r="D48" s="198"/>
      <c r="E48" s="185"/>
      <c r="F48" s="47"/>
      <c r="G48" s="16"/>
      <c r="I48" s="225"/>
      <c r="J48" s="198"/>
      <c r="K48" s="198"/>
      <c r="L48" s="198"/>
      <c r="M48" s="16"/>
      <c r="N48" s="16"/>
      <c r="O48" s="16"/>
      <c r="P48" s="16"/>
      <c r="Q48" s="16"/>
      <c r="R48" s="20">
        <f t="shared" ref="R48" si="23">SUM(E48:Q48)</f>
        <v>0</v>
      </c>
      <c r="T48" s="104"/>
    </row>
    <row r="49" spans="2:23" ht="17" customHeight="1" x14ac:dyDescent="0.2">
      <c r="B49" s="95"/>
      <c r="D49" s="198"/>
      <c r="E49" s="198"/>
      <c r="F49" s="45">
        <v>12000000</v>
      </c>
      <c r="G49" s="198"/>
      <c r="H49" s="225"/>
      <c r="I49" s="225"/>
      <c r="J49" s="198"/>
      <c r="K49" s="198"/>
      <c r="L49" s="198"/>
      <c r="M49" s="16"/>
      <c r="N49" s="16"/>
      <c r="O49" s="16"/>
      <c r="P49" s="16"/>
      <c r="Q49" s="16"/>
      <c r="R49" s="20"/>
      <c r="T49" s="104"/>
    </row>
    <row r="50" spans="2:23" ht="17" customHeight="1" x14ac:dyDescent="0.2">
      <c r="B50" s="111" t="s">
        <v>61</v>
      </c>
      <c r="C50" s="215"/>
      <c r="D50" s="215"/>
      <c r="E50" s="216"/>
      <c r="F50" s="213">
        <f>SUM(F48:F49)</f>
        <v>12000000</v>
      </c>
      <c r="G50" s="213">
        <f>SUM(G48:G49)</f>
        <v>0</v>
      </c>
      <c r="H50" s="213"/>
      <c r="I50" s="213"/>
      <c r="J50" s="224"/>
      <c r="K50" s="224"/>
      <c r="L50" s="224">
        <f>L38</f>
        <v>0</v>
      </c>
      <c r="M50" s="224">
        <f>M38</f>
        <v>0</v>
      </c>
      <c r="N50" s="224"/>
      <c r="O50" s="224"/>
      <c r="P50" s="224"/>
      <c r="Q50" s="224"/>
      <c r="R50" s="114">
        <f>SUM(E50:Q50)</f>
        <v>12000000</v>
      </c>
      <c r="T50" s="104">
        <f>R50/(R50+R46)</f>
        <v>0.29629629629629628</v>
      </c>
      <c r="U50" s="1" t="s">
        <v>62</v>
      </c>
    </row>
    <row r="51" spans="2:23" ht="4" customHeight="1" x14ac:dyDescent="0.2">
      <c r="B51" s="95"/>
      <c r="C51" s="24"/>
      <c r="D51" s="198"/>
      <c r="E51" s="198"/>
      <c r="F51" s="198"/>
      <c r="G51" s="198"/>
      <c r="H51" s="198"/>
      <c r="I51" s="198"/>
      <c r="J51" s="198"/>
      <c r="K51" s="198">
        <v>-4.2534788807143958E+27</v>
      </c>
      <c r="L51" s="198"/>
      <c r="M51" s="16"/>
      <c r="N51" s="16"/>
      <c r="O51" s="16"/>
      <c r="P51" s="16"/>
      <c r="Q51" s="16"/>
      <c r="R51" s="20"/>
      <c r="T51" s="104"/>
    </row>
    <row r="52" spans="2:23" hidden="1" x14ac:dyDescent="0.2">
      <c r="B52" s="95" t="s">
        <v>63</v>
      </c>
      <c r="C52" s="24"/>
      <c r="D52" s="198"/>
      <c r="E52" s="219"/>
      <c r="F52" s="219"/>
      <c r="G52" s="219"/>
      <c r="H52" s="219"/>
      <c r="I52" s="219"/>
      <c r="J52" s="219"/>
      <c r="K52" s="219"/>
      <c r="L52" s="219"/>
      <c r="M52" s="219"/>
      <c r="N52" s="219"/>
      <c r="O52" s="219"/>
      <c r="P52" s="219"/>
      <c r="Q52" s="219" t="e">
        <f>#REF!</f>
        <v>#REF!</v>
      </c>
      <c r="R52" s="97" t="e">
        <f>SUM(E52:Q52)</f>
        <v>#REF!</v>
      </c>
      <c r="T52" s="104"/>
    </row>
    <row r="53" spans="2:23" hidden="1" x14ac:dyDescent="0.2">
      <c r="B53" s="95" t="s">
        <v>64</v>
      </c>
      <c r="C53" s="16"/>
      <c r="D53" s="198"/>
      <c r="E53" s="219"/>
      <c r="F53" s="219"/>
      <c r="G53" s="219"/>
      <c r="H53" s="219"/>
      <c r="I53" s="219"/>
      <c r="J53" s="219"/>
      <c r="K53" s="219"/>
      <c r="L53" s="219"/>
      <c r="M53" s="219"/>
      <c r="N53" s="219"/>
      <c r="O53" s="219"/>
      <c r="P53" s="219"/>
      <c r="Q53" s="219"/>
      <c r="R53" s="97">
        <f>SUM(E53:Q53)</f>
        <v>0</v>
      </c>
      <c r="T53" s="104"/>
    </row>
    <row r="54" spans="2:23" ht="17" hidden="1" customHeight="1" x14ac:dyDescent="0.2">
      <c r="B54" s="95" t="s">
        <v>65</v>
      </c>
      <c r="C54" s="24"/>
      <c r="D54" s="220"/>
      <c r="E54" s="241"/>
      <c r="F54" s="241"/>
      <c r="G54" s="241"/>
      <c r="H54" s="241"/>
      <c r="I54" s="241"/>
      <c r="J54" s="241"/>
      <c r="K54" s="241"/>
      <c r="L54" s="177"/>
      <c r="M54" s="241"/>
      <c r="N54" s="241"/>
      <c r="O54" s="241"/>
      <c r="P54" s="241"/>
      <c r="Q54" s="241"/>
      <c r="R54" s="40">
        <f>SUM(E54:Q54)</f>
        <v>0</v>
      </c>
      <c r="T54" s="104"/>
    </row>
    <row r="55" spans="2:23" hidden="1" x14ac:dyDescent="0.2">
      <c r="B55" s="111" t="s">
        <v>66</v>
      </c>
      <c r="C55" s="215"/>
      <c r="D55" s="215"/>
      <c r="E55" s="17">
        <f t="shared" ref="E55:L55" si="24">SUM(E52:E54)</f>
        <v>0</v>
      </c>
      <c r="F55" s="17">
        <f t="shared" si="24"/>
        <v>0</v>
      </c>
      <c r="G55" s="17">
        <f t="shared" si="24"/>
        <v>0</v>
      </c>
      <c r="H55" s="17">
        <f t="shared" si="24"/>
        <v>0</v>
      </c>
      <c r="I55" s="17">
        <f t="shared" si="24"/>
        <v>0</v>
      </c>
      <c r="J55" s="17">
        <f t="shared" si="24"/>
        <v>0</v>
      </c>
      <c r="K55" s="17">
        <f t="shared" si="24"/>
        <v>0</v>
      </c>
      <c r="L55" s="17">
        <f t="shared" si="24"/>
        <v>0</v>
      </c>
      <c r="M55" s="17"/>
      <c r="N55" s="17"/>
      <c r="O55" s="17"/>
      <c r="P55" s="17"/>
      <c r="Q55" s="17" t="e">
        <f>SUM(Q52:Q54)</f>
        <v>#REF!</v>
      </c>
      <c r="R55" s="17">
        <f>SUM(E55:L55)</f>
        <v>0</v>
      </c>
      <c r="T55" s="104" t="e">
        <f>R50/(((SUMPRODUCT(D16:D18,F16:F18))*(G33*0.6))+(SUMPRODUCT(D16:D18,G16:G18)*(H33*0.6)))</f>
        <v>#DIV/0!</v>
      </c>
      <c r="U55" s="1" t="s">
        <v>67</v>
      </c>
    </row>
    <row r="56" spans="2:23" ht="8.5" hidden="1" customHeight="1" x14ac:dyDescent="0.2">
      <c r="C56" s="24"/>
      <c r="D56" s="24"/>
      <c r="E56" s="25"/>
      <c r="F56" s="218"/>
      <c r="G56" s="219"/>
      <c r="H56" s="219"/>
      <c r="I56" s="219"/>
      <c r="J56" s="56"/>
      <c r="K56" s="56"/>
      <c r="L56" s="56"/>
      <c r="M56" s="56"/>
      <c r="N56" s="56"/>
      <c r="O56" s="56"/>
      <c r="P56" s="56"/>
      <c r="Q56" s="56"/>
      <c r="R56" s="20"/>
      <c r="T56" s="104"/>
    </row>
    <row r="57" spans="2:23" hidden="1" x14ac:dyDescent="0.2">
      <c r="B57" s="95" t="s">
        <v>68</v>
      </c>
      <c r="C57" s="92">
        <v>0</v>
      </c>
      <c r="D57" s="92"/>
      <c r="E57" s="93"/>
      <c r="F57" s="94"/>
      <c r="G57" s="198"/>
      <c r="H57" s="198"/>
      <c r="I57" s="198"/>
      <c r="J57" s="198"/>
      <c r="K57" s="198"/>
      <c r="L57" s="198"/>
      <c r="M57" s="198"/>
      <c r="N57" s="198"/>
      <c r="O57" s="198"/>
      <c r="P57" s="198"/>
      <c r="Q57" s="198"/>
      <c r="R57" s="20"/>
      <c r="T57" s="104"/>
    </row>
    <row r="58" spans="2:23" hidden="1" x14ac:dyDescent="0.2">
      <c r="B58" s="95" t="s">
        <v>69</v>
      </c>
      <c r="C58" s="92">
        <v>0</v>
      </c>
      <c r="D58" s="92"/>
      <c r="E58" s="93"/>
      <c r="F58" s="93"/>
      <c r="G58" s="198"/>
      <c r="H58" s="198"/>
      <c r="I58" s="198"/>
      <c r="J58" s="198"/>
      <c r="K58" s="198"/>
      <c r="L58" s="198"/>
      <c r="M58" s="198"/>
      <c r="N58" s="198"/>
      <c r="O58" s="198"/>
      <c r="P58" s="198"/>
      <c r="Q58" s="198"/>
      <c r="R58" s="20"/>
      <c r="T58" s="104"/>
    </row>
    <row r="59" spans="2:23" hidden="1" x14ac:dyDescent="0.2">
      <c r="B59" s="95" t="s">
        <v>70</v>
      </c>
      <c r="C59" s="92">
        <v>0</v>
      </c>
      <c r="D59" s="92"/>
      <c r="E59" s="93"/>
      <c r="F59" s="93"/>
      <c r="G59" s="185"/>
      <c r="H59" s="198"/>
      <c r="I59" s="198"/>
      <c r="J59" s="198"/>
      <c r="K59" s="198"/>
      <c r="L59" s="198"/>
      <c r="M59" s="198"/>
      <c r="N59" s="198"/>
      <c r="O59" s="198"/>
      <c r="P59" s="198"/>
      <c r="Q59" s="198"/>
      <c r="R59" s="20"/>
      <c r="T59" s="104"/>
    </row>
    <row r="60" spans="2:23" hidden="1" x14ac:dyDescent="0.2">
      <c r="B60" t="s">
        <v>71</v>
      </c>
      <c r="C60" s="24">
        <f>SUM(C57:C59)</f>
        <v>0</v>
      </c>
      <c r="D60" s="24"/>
      <c r="E60" s="25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20">
        <f>SUM(E60:Q60)</f>
        <v>0</v>
      </c>
      <c r="T60" s="119" t="s">
        <v>72</v>
      </c>
    </row>
    <row r="61" spans="2:23" ht="8.5" customHeight="1" x14ac:dyDescent="0.2">
      <c r="C61" s="24"/>
      <c r="D61" s="24"/>
      <c r="E61" s="25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20"/>
      <c r="T61" s="119"/>
    </row>
    <row r="62" spans="2:23" x14ac:dyDescent="0.2">
      <c r="B62" t="s">
        <v>73</v>
      </c>
      <c r="C62" s="24"/>
      <c r="D62" s="24"/>
      <c r="E62" s="25"/>
      <c r="F62" s="56"/>
      <c r="G62" s="56">
        <f>(SUMPRODUCT(G$24,$D$24))*(1+($C$33*G$35))</f>
        <v>11250000</v>
      </c>
      <c r="H62" s="56">
        <f t="shared" ref="H62:N62" si="25">(SUMPRODUCT(H$24,$D$24))*(1+($C$33*H$35))</f>
        <v>11250000</v>
      </c>
      <c r="I62" s="56">
        <f t="shared" si="25"/>
        <v>11812500</v>
      </c>
      <c r="J62" s="56">
        <f t="shared" si="25"/>
        <v>11812500</v>
      </c>
      <c r="K62" s="56">
        <f t="shared" si="25"/>
        <v>12375000.000000002</v>
      </c>
      <c r="L62" s="56">
        <f t="shared" si="25"/>
        <v>12375000.000000002</v>
      </c>
      <c r="M62" s="56">
        <f t="shared" si="25"/>
        <v>12937499.999999998</v>
      </c>
      <c r="N62" s="56">
        <f t="shared" si="25"/>
        <v>12937499.999999998</v>
      </c>
      <c r="O62" s="56"/>
      <c r="P62" s="56"/>
      <c r="Q62" s="56"/>
      <c r="R62" s="97">
        <f>SUM(E62:Q62)</f>
        <v>96750000</v>
      </c>
      <c r="T62" s="119"/>
    </row>
    <row r="63" spans="2:23" x14ac:dyDescent="0.2">
      <c r="B63" s="39" t="s">
        <v>74</v>
      </c>
      <c r="C63" s="91"/>
      <c r="D63" s="91"/>
      <c r="E63" s="177"/>
      <c r="F63" s="177"/>
      <c r="G63" s="177">
        <f t="shared" ref="G63:Q63" si="26">(SUMPRODUCT(G28:G30,$D$16:$D$18,$D$28:$D$30))*(1+($C$33*G$35))</f>
        <v>0</v>
      </c>
      <c r="H63" s="177">
        <f t="shared" si="26"/>
        <v>0</v>
      </c>
      <c r="I63" s="177">
        <f t="shared" si="26"/>
        <v>0</v>
      </c>
      <c r="J63" s="177">
        <f t="shared" si="26"/>
        <v>0</v>
      </c>
      <c r="K63" s="177">
        <f t="shared" si="26"/>
        <v>0</v>
      </c>
      <c r="L63" s="177">
        <f t="shared" si="26"/>
        <v>0</v>
      </c>
      <c r="M63" s="177">
        <f t="shared" si="26"/>
        <v>0</v>
      </c>
      <c r="N63" s="177">
        <f t="shared" si="26"/>
        <v>0</v>
      </c>
      <c r="O63" s="177">
        <f t="shared" si="26"/>
        <v>0</v>
      </c>
      <c r="P63" s="177">
        <f t="shared" si="26"/>
        <v>0</v>
      </c>
      <c r="Q63" s="177">
        <f t="shared" si="26"/>
        <v>0</v>
      </c>
      <c r="R63" s="40">
        <f>SUM(H63:Q63)</f>
        <v>0</v>
      </c>
      <c r="T63" s="120">
        <f>R63+R60+R62</f>
        <v>96750000</v>
      </c>
      <c r="U63" s="202">
        <f>T63/R10</f>
        <v>806250</v>
      </c>
      <c r="V63" s="206">
        <f>T63/(R11*D10)</f>
        <v>18.508953168044076</v>
      </c>
      <c r="W63" s="109" t="s">
        <v>75</v>
      </c>
    </row>
    <row r="64" spans="2:23" x14ac:dyDescent="0.2">
      <c r="B64" s="52" t="s">
        <v>76</v>
      </c>
      <c r="C64" s="8"/>
      <c r="D64" s="8"/>
      <c r="E64" s="44">
        <f>E46+E50++E55+E60+E63+E62</f>
        <v>28500000</v>
      </c>
      <c r="F64" s="44">
        <f t="shared" ref="F64:R64" si="27">F46+F50++F55+F60+F63+F62</f>
        <v>12000000</v>
      </c>
      <c r="G64" s="44">
        <f t="shared" si="27"/>
        <v>11250000</v>
      </c>
      <c r="H64" s="44">
        <f t="shared" si="27"/>
        <v>11250000</v>
      </c>
      <c r="I64" s="44">
        <f t="shared" si="27"/>
        <v>11812500</v>
      </c>
      <c r="J64" s="44">
        <f t="shared" si="27"/>
        <v>11812500</v>
      </c>
      <c r="K64" s="44">
        <f t="shared" si="27"/>
        <v>12375000.000000002</v>
      </c>
      <c r="L64" s="44">
        <f t="shared" si="27"/>
        <v>12375000.000000002</v>
      </c>
      <c r="M64" s="44">
        <f t="shared" si="27"/>
        <v>12937499.999999998</v>
      </c>
      <c r="N64" s="44">
        <f t="shared" si="27"/>
        <v>12937499.999999998</v>
      </c>
      <c r="O64" s="44">
        <f t="shared" si="27"/>
        <v>0</v>
      </c>
      <c r="P64" s="44">
        <f t="shared" si="27"/>
        <v>0</v>
      </c>
      <c r="Q64" s="44" t="e">
        <f t="shared" si="27"/>
        <v>#REF!</v>
      </c>
      <c r="R64" s="44">
        <f t="shared" si="27"/>
        <v>137250000</v>
      </c>
      <c r="T64" s="1" t="s">
        <v>77</v>
      </c>
    </row>
    <row r="65" spans="2:23" x14ac:dyDescent="0.2">
      <c r="E65" s="116"/>
      <c r="R65" s="20"/>
      <c r="T65" s="109">
        <f>R60+R63+R62</f>
        <v>96750000</v>
      </c>
      <c r="U65" s="206">
        <f>T65/(R11*D10)</f>
        <v>18.508953168044076</v>
      </c>
      <c r="V65" s="109" t="s">
        <v>75</v>
      </c>
    </row>
    <row r="66" spans="2:23" x14ac:dyDescent="0.2">
      <c r="B66" s="59" t="s">
        <v>78</v>
      </c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  <c r="P66" s="60"/>
      <c r="Q66" s="60"/>
      <c r="R66" s="61"/>
      <c r="T66" s="109">
        <f>T65*0.02</f>
        <v>1935000</v>
      </c>
    </row>
    <row r="67" spans="2:23" x14ac:dyDescent="0.2">
      <c r="B67" s="203" t="s">
        <v>79</v>
      </c>
      <c r="R67" s="20"/>
      <c r="V67" s="110">
        <f>E68*0.65</f>
        <v>17550000</v>
      </c>
      <c r="W67" s="119">
        <v>0.65</v>
      </c>
    </row>
    <row r="68" spans="2:23" x14ac:dyDescent="0.2">
      <c r="B68" s="18" t="s">
        <v>80</v>
      </c>
      <c r="C68" s="45"/>
      <c r="D68" s="45"/>
      <c r="E68" s="256">
        <v>27000000</v>
      </c>
      <c r="F68" s="20">
        <v>0</v>
      </c>
      <c r="G68" s="20">
        <v>0</v>
      </c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/>
      <c r="N68" s="20"/>
      <c r="O68" s="20"/>
      <c r="P68" s="20"/>
      <c r="Q68" s="20"/>
      <c r="R68" s="20">
        <f>SUM(E68:N68)</f>
        <v>27000000</v>
      </c>
      <c r="V68" s="110">
        <f>E68*0.85</f>
        <v>22950000</v>
      </c>
      <c r="W68" s="119">
        <v>0.85</v>
      </c>
    </row>
    <row r="69" spans="2:23" hidden="1" x14ac:dyDescent="0.2">
      <c r="B69" s="18"/>
      <c r="C69" s="45"/>
      <c r="D69" s="45"/>
      <c r="E69" s="122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>
        <f>SUM(E69:L69)</f>
        <v>0</v>
      </c>
      <c r="V69" s="110">
        <f>E68*0.95</f>
        <v>25650000</v>
      </c>
      <c r="W69" s="119">
        <v>0.95</v>
      </c>
    </row>
    <row r="70" spans="2:23" x14ac:dyDescent="0.2">
      <c r="B70" s="18" t="s">
        <v>81</v>
      </c>
      <c r="C70" s="212">
        <v>0.01</v>
      </c>
      <c r="D70" s="45"/>
      <c r="E70" s="122">
        <f>SUM(E68:E69)*C70</f>
        <v>270000</v>
      </c>
      <c r="F70" s="20">
        <v>0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/>
      <c r="N70" s="20"/>
      <c r="O70" s="20"/>
      <c r="P70" s="20"/>
      <c r="Q70" s="20"/>
      <c r="R70" s="20">
        <f>SUM(E70:N70)</f>
        <v>270000</v>
      </c>
      <c r="V70" s="110"/>
      <c r="W70" s="119"/>
    </row>
    <row r="71" spans="2:23" x14ac:dyDescent="0.2">
      <c r="B71" s="18" t="s">
        <v>82</v>
      </c>
      <c r="C71" s="221">
        <v>1.5E-3</v>
      </c>
      <c r="D71" s="221"/>
      <c r="E71" s="97">
        <f>E68*$C$71</f>
        <v>40500</v>
      </c>
      <c r="F71" s="20">
        <v>0</v>
      </c>
      <c r="G71" s="20"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97">
        <f>M68*$C$71</f>
        <v>0</v>
      </c>
      <c r="N71" s="97">
        <f>N68*$C$71</f>
        <v>0</v>
      </c>
      <c r="O71" s="97">
        <f>O68*$C$71</f>
        <v>0</v>
      </c>
      <c r="P71" s="97">
        <f>P68*$C$71</f>
        <v>0</v>
      </c>
      <c r="Q71" s="97">
        <f>Q68*$C$71</f>
        <v>0</v>
      </c>
      <c r="R71" s="97">
        <f>SUM(E71:Q71)</f>
        <v>40500</v>
      </c>
      <c r="V71" s="211">
        <v>18423158</v>
      </c>
      <c r="W71" s="119">
        <v>1</v>
      </c>
    </row>
    <row r="72" spans="2:23" x14ac:dyDescent="0.2">
      <c r="B72" s="200" t="s">
        <v>79</v>
      </c>
      <c r="C72" s="222"/>
      <c r="D72" s="222"/>
      <c r="E72" s="270">
        <f>SUM(E68:E71)</f>
        <v>27310500</v>
      </c>
      <c r="F72" s="102">
        <f t="shared" ref="F72:Q72" si="28">SUM(F68:F71)</f>
        <v>0</v>
      </c>
      <c r="G72" s="102">
        <f t="shared" si="28"/>
        <v>0</v>
      </c>
      <c r="H72" s="102">
        <f t="shared" si="28"/>
        <v>0</v>
      </c>
      <c r="I72" s="102">
        <f t="shared" si="28"/>
        <v>0</v>
      </c>
      <c r="J72" s="102">
        <f t="shared" si="28"/>
        <v>0</v>
      </c>
      <c r="K72" s="102">
        <f t="shared" si="28"/>
        <v>0</v>
      </c>
      <c r="L72" s="102">
        <f t="shared" si="28"/>
        <v>0</v>
      </c>
      <c r="M72" s="102">
        <f t="shared" si="28"/>
        <v>0</v>
      </c>
      <c r="N72" s="102">
        <f t="shared" si="28"/>
        <v>0</v>
      </c>
      <c r="O72" s="102">
        <f t="shared" si="28"/>
        <v>0</v>
      </c>
      <c r="P72" s="102">
        <f t="shared" si="28"/>
        <v>0</v>
      </c>
      <c r="Q72" s="102">
        <f t="shared" si="28"/>
        <v>0</v>
      </c>
      <c r="R72" s="102">
        <f>SUM(E72:Q72)</f>
        <v>27310500</v>
      </c>
      <c r="T72" s="110">
        <f>R72/R10</f>
        <v>227587.5</v>
      </c>
      <c r="U72" s="135" t="s">
        <v>83</v>
      </c>
    </row>
    <row r="73" spans="2:23" hidden="1" x14ac:dyDescent="0.2">
      <c r="B73" s="46"/>
      <c r="C73" s="231"/>
      <c r="D73" s="231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T73" s="110"/>
      <c r="U73" s="135"/>
    </row>
    <row r="74" spans="2:23" hidden="1" x14ac:dyDescent="0.2">
      <c r="B74" s="203" t="s">
        <v>84</v>
      </c>
      <c r="C74" s="231"/>
      <c r="D74" s="231"/>
      <c r="E74" s="129"/>
      <c r="F74" s="129"/>
      <c r="G74" s="129"/>
      <c r="H74" s="129"/>
      <c r="I74" s="129"/>
      <c r="J74" s="129"/>
      <c r="K74" s="129"/>
      <c r="L74" s="129"/>
      <c r="M74" s="129"/>
      <c r="N74" s="129"/>
      <c r="O74" s="129"/>
      <c r="P74" s="129"/>
      <c r="Q74" s="129"/>
      <c r="R74" s="129"/>
      <c r="T74" s="110"/>
      <c r="U74" s="135"/>
    </row>
    <row r="75" spans="2:23" hidden="1" x14ac:dyDescent="0.2">
      <c r="B75" s="46"/>
      <c r="C75" s="231"/>
      <c r="D75" s="231"/>
      <c r="E75" s="20">
        <f>E39</f>
        <v>0</v>
      </c>
      <c r="F75" s="20">
        <f>F39</f>
        <v>0</v>
      </c>
      <c r="G75" s="129"/>
      <c r="H75" s="129"/>
      <c r="I75" s="129"/>
      <c r="J75" s="129"/>
      <c r="K75" s="129"/>
      <c r="L75" s="129"/>
      <c r="M75" s="129"/>
      <c r="N75" s="129"/>
      <c r="O75" s="129"/>
      <c r="P75" s="129"/>
      <c r="Q75" s="129"/>
      <c r="R75" s="20">
        <f>SUM(E75:L75)</f>
        <v>0</v>
      </c>
      <c r="T75" s="110"/>
      <c r="U75" s="135"/>
    </row>
    <row r="76" spans="2:23" hidden="1" x14ac:dyDescent="0.2">
      <c r="B76" s="200" t="str">
        <f>B74</f>
        <v>AMENITY - USE OF EQUITY</v>
      </c>
      <c r="C76" s="201"/>
      <c r="D76" s="201"/>
      <c r="E76" s="101">
        <f t="shared" ref="E76:M76" si="29">SUM(E75)</f>
        <v>0</v>
      </c>
      <c r="F76" s="101">
        <f t="shared" si="29"/>
        <v>0</v>
      </c>
      <c r="G76" s="101">
        <f t="shared" si="29"/>
        <v>0</v>
      </c>
      <c r="H76" s="101">
        <f t="shared" si="29"/>
        <v>0</v>
      </c>
      <c r="I76" s="101">
        <f t="shared" si="29"/>
        <v>0</v>
      </c>
      <c r="J76" s="101">
        <f t="shared" si="29"/>
        <v>0</v>
      </c>
      <c r="K76" s="101">
        <f t="shared" si="29"/>
        <v>0</v>
      </c>
      <c r="L76" s="101">
        <f t="shared" si="29"/>
        <v>0</v>
      </c>
      <c r="M76" s="101">
        <f t="shared" si="29"/>
        <v>0</v>
      </c>
      <c r="N76" s="101">
        <f>SUM(N75)</f>
        <v>0</v>
      </c>
      <c r="O76" s="101">
        <f>SUM(O43:O75)</f>
        <v>0</v>
      </c>
      <c r="P76" s="101">
        <f>SUM(P43:P75)</f>
        <v>0</v>
      </c>
      <c r="Q76" s="101"/>
      <c r="R76" s="102">
        <f>SUM(E76:Q76)</f>
        <v>0</v>
      </c>
      <c r="T76" s="110"/>
      <c r="U76" s="135"/>
    </row>
    <row r="77" spans="2:23" x14ac:dyDescent="0.2">
      <c r="B77" s="37"/>
      <c r="C77" s="33"/>
      <c r="D77" s="33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20"/>
      <c r="T77" s="104">
        <f>R72/$T$65</f>
        <v>0.28227906976744188</v>
      </c>
      <c r="U77" s="1" t="s">
        <v>85</v>
      </c>
    </row>
    <row r="78" spans="2:23" x14ac:dyDescent="0.2">
      <c r="B78" s="203" t="s">
        <v>86</v>
      </c>
      <c r="C78" s="33"/>
      <c r="D78" s="33"/>
      <c r="E78" s="32"/>
      <c r="F78" s="57"/>
      <c r="G78" s="32"/>
      <c r="H78" s="32"/>
      <c r="I78" s="57"/>
      <c r="J78" s="32"/>
      <c r="K78" s="32"/>
      <c r="L78" s="32"/>
      <c r="M78" s="32"/>
      <c r="N78" s="32"/>
      <c r="O78" s="32"/>
      <c r="P78" s="32"/>
      <c r="Q78" s="32"/>
      <c r="R78" s="20"/>
      <c r="V78" s="263" t="s">
        <v>87</v>
      </c>
    </row>
    <row r="79" spans="2:23" x14ac:dyDescent="0.2">
      <c r="B79" s="18" t="s">
        <v>88</v>
      </c>
      <c r="C79" s="47">
        <f>V79/$R$10</f>
        <v>3850</v>
      </c>
      <c r="D79" s="21"/>
      <c r="E79" s="20">
        <f t="shared" ref="E79:N89" si="30">($C79*E$11)*(1+($C$103*E$103))</f>
        <v>0</v>
      </c>
      <c r="F79" s="20">
        <f t="shared" si="30"/>
        <v>115500</v>
      </c>
      <c r="G79" s="20">
        <f t="shared" si="30"/>
        <v>0</v>
      </c>
      <c r="H79" s="20">
        <f t="shared" si="30"/>
        <v>121275</v>
      </c>
      <c r="I79" s="20">
        <f t="shared" si="30"/>
        <v>0</v>
      </c>
      <c r="J79" s="20">
        <f t="shared" si="30"/>
        <v>127050.00000000001</v>
      </c>
      <c r="K79" s="20">
        <f t="shared" si="30"/>
        <v>0</v>
      </c>
      <c r="L79" s="20">
        <f t="shared" si="30"/>
        <v>132825</v>
      </c>
      <c r="M79" s="20">
        <f t="shared" si="30"/>
        <v>0</v>
      </c>
      <c r="N79" s="20">
        <f t="shared" si="30"/>
        <v>0</v>
      </c>
      <c r="O79" s="20"/>
      <c r="P79" s="20"/>
      <c r="Q79" s="20"/>
      <c r="R79" s="20">
        <f t="shared" ref="R79:R104" si="31">SUM(E79:P79)</f>
        <v>496650</v>
      </c>
      <c r="T79" s="120">
        <f>R79/$C$25</f>
        <v>4138.75</v>
      </c>
      <c r="U79" s="135" t="s">
        <v>89</v>
      </c>
      <c r="V79" s="120">
        <f>(4600+365000)*1.25</f>
        <v>462000</v>
      </c>
      <c r="W79" s="196">
        <f t="shared" ref="W79:W105" si="32">+V79/$V$105</f>
        <v>2.0617406535539368E-2</v>
      </c>
    </row>
    <row r="80" spans="2:23" x14ac:dyDescent="0.2">
      <c r="B80" s="18" t="s">
        <v>90</v>
      </c>
      <c r="C80" s="47">
        <f t="shared" ref="C80:C102" si="33">V80/$R$10</f>
        <v>1354.1666666666667</v>
      </c>
      <c r="D80" s="142"/>
      <c r="E80" s="20">
        <f t="shared" si="30"/>
        <v>0</v>
      </c>
      <c r="F80" s="20">
        <f t="shared" si="30"/>
        <v>40625</v>
      </c>
      <c r="G80" s="20">
        <f t="shared" si="30"/>
        <v>0</v>
      </c>
      <c r="H80" s="20">
        <f t="shared" si="30"/>
        <v>42656.25</v>
      </c>
      <c r="I80" s="20">
        <f t="shared" si="30"/>
        <v>0</v>
      </c>
      <c r="J80" s="20">
        <f t="shared" si="30"/>
        <v>44687.5</v>
      </c>
      <c r="K80" s="20">
        <f t="shared" si="30"/>
        <v>0</v>
      </c>
      <c r="L80" s="20">
        <f t="shared" si="30"/>
        <v>46718.75</v>
      </c>
      <c r="M80" s="20">
        <f t="shared" si="30"/>
        <v>0</v>
      </c>
      <c r="N80" s="20">
        <f t="shared" si="30"/>
        <v>0</v>
      </c>
      <c r="O80" s="20">
        <v>0</v>
      </c>
      <c r="P80" s="20">
        <v>0</v>
      </c>
      <c r="Q80" s="20"/>
      <c r="R80" s="20">
        <f t="shared" si="31"/>
        <v>174687.5</v>
      </c>
      <c r="T80" s="120">
        <f t="shared" ref="T80:T105" si="34">R80/$C$25</f>
        <v>1455.7291666666667</v>
      </c>
      <c r="U80" s="135" t="s">
        <v>89</v>
      </c>
      <c r="V80" s="120">
        <f>130000*1.25</f>
        <v>162500</v>
      </c>
      <c r="W80" s="196">
        <f t="shared" si="32"/>
        <v>7.2517934242968549E-3</v>
      </c>
    </row>
    <row r="81" spans="2:23" x14ac:dyDescent="0.2">
      <c r="B81" s="18" t="s">
        <v>91</v>
      </c>
      <c r="C81" s="47">
        <f t="shared" si="33"/>
        <v>312.5</v>
      </c>
      <c r="D81" s="142"/>
      <c r="E81" s="20">
        <f t="shared" si="30"/>
        <v>0</v>
      </c>
      <c r="F81" s="20">
        <f t="shared" si="30"/>
        <v>9375</v>
      </c>
      <c r="G81" s="20">
        <f t="shared" si="30"/>
        <v>0</v>
      </c>
      <c r="H81" s="20">
        <f t="shared" si="30"/>
        <v>9843.75</v>
      </c>
      <c r="I81" s="20">
        <f t="shared" si="30"/>
        <v>0</v>
      </c>
      <c r="J81" s="20">
        <f t="shared" si="30"/>
        <v>10312.5</v>
      </c>
      <c r="K81" s="20">
        <f t="shared" si="30"/>
        <v>0</v>
      </c>
      <c r="L81" s="20">
        <f t="shared" si="30"/>
        <v>10781.25</v>
      </c>
      <c r="M81" s="20">
        <f t="shared" si="30"/>
        <v>0</v>
      </c>
      <c r="N81" s="20">
        <f t="shared" si="30"/>
        <v>0</v>
      </c>
      <c r="O81" s="20">
        <v>0</v>
      </c>
      <c r="P81" s="20">
        <v>0</v>
      </c>
      <c r="Q81" s="20"/>
      <c r="R81" s="20">
        <f t="shared" si="31"/>
        <v>40312.5</v>
      </c>
      <c r="T81" s="120">
        <f t="shared" si="34"/>
        <v>335.9375</v>
      </c>
      <c r="U81" s="135" t="s">
        <v>89</v>
      </c>
      <c r="V81" s="120">
        <f>30000*1.25</f>
        <v>37500</v>
      </c>
      <c r="W81" s="196">
        <f t="shared" si="32"/>
        <v>1.6734907902223512E-3</v>
      </c>
    </row>
    <row r="82" spans="2:23" x14ac:dyDescent="0.2">
      <c r="B82" s="18" t="s">
        <v>92</v>
      </c>
      <c r="C82" s="47">
        <f t="shared" si="33"/>
        <v>364.58333333333331</v>
      </c>
      <c r="D82" s="142"/>
      <c r="E82" s="20">
        <f t="shared" si="30"/>
        <v>0</v>
      </c>
      <c r="F82" s="20">
        <f t="shared" si="30"/>
        <v>10937.5</v>
      </c>
      <c r="G82" s="20">
        <f t="shared" si="30"/>
        <v>0</v>
      </c>
      <c r="H82" s="20">
        <f t="shared" si="30"/>
        <v>11484.375</v>
      </c>
      <c r="I82" s="20">
        <f t="shared" si="30"/>
        <v>0</v>
      </c>
      <c r="J82" s="20">
        <f t="shared" si="30"/>
        <v>12031.250000000002</v>
      </c>
      <c r="K82" s="20">
        <f t="shared" si="30"/>
        <v>0</v>
      </c>
      <c r="L82" s="20">
        <f t="shared" si="30"/>
        <v>12578.124999999998</v>
      </c>
      <c r="M82" s="20">
        <f t="shared" si="30"/>
        <v>0</v>
      </c>
      <c r="N82" s="20">
        <f t="shared" si="30"/>
        <v>0</v>
      </c>
      <c r="O82" s="20">
        <v>0</v>
      </c>
      <c r="P82" s="20">
        <v>0</v>
      </c>
      <c r="Q82" s="20"/>
      <c r="R82" s="20">
        <f t="shared" si="31"/>
        <v>47031.25</v>
      </c>
      <c r="T82" s="120">
        <f t="shared" si="34"/>
        <v>391.92708333333331</v>
      </c>
      <c r="U82" s="135" t="s">
        <v>89</v>
      </c>
      <c r="V82" s="120">
        <f>35000*1.25</f>
        <v>43750</v>
      </c>
      <c r="W82" s="196">
        <f t="shared" si="32"/>
        <v>1.9524059219260764E-3</v>
      </c>
    </row>
    <row r="83" spans="2:23" x14ac:dyDescent="0.2">
      <c r="B83" s="18" t="s">
        <v>93</v>
      </c>
      <c r="C83" s="47">
        <f t="shared" si="33"/>
        <v>2083.3333333333335</v>
      </c>
      <c r="D83" s="142"/>
      <c r="E83" s="20">
        <f t="shared" si="30"/>
        <v>0</v>
      </c>
      <c r="F83" s="20">
        <f t="shared" si="30"/>
        <v>62500.000000000007</v>
      </c>
      <c r="G83" s="20">
        <f t="shared" si="30"/>
        <v>0</v>
      </c>
      <c r="H83" s="20">
        <f t="shared" si="30"/>
        <v>65625.000000000015</v>
      </c>
      <c r="I83" s="20">
        <f t="shared" si="30"/>
        <v>0</v>
      </c>
      <c r="J83" s="20">
        <f t="shared" si="30"/>
        <v>68750.000000000015</v>
      </c>
      <c r="K83" s="20">
        <f t="shared" si="30"/>
        <v>0</v>
      </c>
      <c r="L83" s="20">
        <f t="shared" si="30"/>
        <v>71875</v>
      </c>
      <c r="M83" s="20">
        <f t="shared" si="30"/>
        <v>0</v>
      </c>
      <c r="N83" s="20">
        <f t="shared" si="30"/>
        <v>0</v>
      </c>
      <c r="O83" s="20">
        <v>0</v>
      </c>
      <c r="P83" s="20">
        <v>0</v>
      </c>
      <c r="Q83" s="20"/>
      <c r="R83" s="20">
        <f t="shared" si="31"/>
        <v>268750.00000000006</v>
      </c>
      <c r="T83" s="120">
        <f t="shared" si="34"/>
        <v>2239.5833333333339</v>
      </c>
      <c r="U83" s="135" t="s">
        <v>89</v>
      </c>
      <c r="V83" s="120">
        <f>200000*1.25</f>
        <v>250000</v>
      </c>
      <c r="W83" s="196">
        <f t="shared" si="32"/>
        <v>1.1156605268149008E-2</v>
      </c>
    </row>
    <row r="84" spans="2:23" x14ac:dyDescent="0.2">
      <c r="B84" s="18" t="s">
        <v>94</v>
      </c>
      <c r="C84" s="47">
        <f t="shared" si="33"/>
        <v>2083.3333333333335</v>
      </c>
      <c r="D84" s="143"/>
      <c r="E84" s="20">
        <f t="shared" si="30"/>
        <v>0</v>
      </c>
      <c r="F84" s="20">
        <f t="shared" si="30"/>
        <v>62500.000000000007</v>
      </c>
      <c r="G84" s="20">
        <f t="shared" si="30"/>
        <v>0</v>
      </c>
      <c r="H84" s="20">
        <f t="shared" si="30"/>
        <v>65625.000000000015</v>
      </c>
      <c r="I84" s="20">
        <f t="shared" si="30"/>
        <v>0</v>
      </c>
      <c r="J84" s="20">
        <f t="shared" si="30"/>
        <v>68750.000000000015</v>
      </c>
      <c r="K84" s="20">
        <f t="shared" si="30"/>
        <v>0</v>
      </c>
      <c r="L84" s="20">
        <f t="shared" si="30"/>
        <v>71875</v>
      </c>
      <c r="M84" s="20">
        <f t="shared" si="30"/>
        <v>0</v>
      </c>
      <c r="N84" s="20">
        <f t="shared" si="30"/>
        <v>0</v>
      </c>
      <c r="O84" s="20">
        <v>0</v>
      </c>
      <c r="P84" s="20">
        <v>0</v>
      </c>
      <c r="Q84" s="20"/>
      <c r="R84" s="20">
        <f t="shared" si="31"/>
        <v>268750.00000000006</v>
      </c>
      <c r="T84" s="120">
        <f t="shared" si="34"/>
        <v>2239.5833333333339</v>
      </c>
      <c r="U84" s="135" t="s">
        <v>89</v>
      </c>
      <c r="V84" s="120">
        <f>200000*1.25</f>
        <v>250000</v>
      </c>
      <c r="W84" s="196">
        <f t="shared" si="32"/>
        <v>1.1156605268149008E-2</v>
      </c>
    </row>
    <row r="85" spans="2:23" x14ac:dyDescent="0.2">
      <c r="B85" s="18" t="s">
        <v>95</v>
      </c>
      <c r="C85" s="47">
        <f t="shared" si="33"/>
        <v>3489.5833333333335</v>
      </c>
      <c r="D85" s="143"/>
      <c r="E85" s="20">
        <f t="shared" si="30"/>
        <v>0</v>
      </c>
      <c r="F85" s="20">
        <f t="shared" si="30"/>
        <v>104687.5</v>
      </c>
      <c r="G85" s="20">
        <f t="shared" si="30"/>
        <v>0</v>
      </c>
      <c r="H85" s="20">
        <f t="shared" si="30"/>
        <v>109921.875</v>
      </c>
      <c r="I85" s="20">
        <f t="shared" si="30"/>
        <v>0</v>
      </c>
      <c r="J85" s="20">
        <f t="shared" si="30"/>
        <v>115156.25000000001</v>
      </c>
      <c r="K85" s="20">
        <f t="shared" si="30"/>
        <v>0</v>
      </c>
      <c r="L85" s="20">
        <f t="shared" si="30"/>
        <v>120390.62499999999</v>
      </c>
      <c r="M85" s="20">
        <f t="shared" si="30"/>
        <v>0</v>
      </c>
      <c r="N85" s="20">
        <f t="shared" si="30"/>
        <v>0</v>
      </c>
      <c r="O85" s="20">
        <v>0</v>
      </c>
      <c r="P85" s="20">
        <v>0</v>
      </c>
      <c r="Q85" s="20"/>
      <c r="R85" s="20">
        <f t="shared" si="31"/>
        <v>450156.25</v>
      </c>
      <c r="T85" s="120">
        <f t="shared" si="34"/>
        <v>3751.3020833333335</v>
      </c>
      <c r="U85" s="135" t="s">
        <v>89</v>
      </c>
      <c r="V85" s="120">
        <f>335000*1.25</f>
        <v>418750</v>
      </c>
      <c r="W85" s="196">
        <f t="shared" si="32"/>
        <v>1.8687313824149589E-2</v>
      </c>
    </row>
    <row r="86" spans="2:23" x14ac:dyDescent="0.2">
      <c r="B86" s="18" t="s">
        <v>96</v>
      </c>
      <c r="C86" s="47">
        <f t="shared" si="33"/>
        <v>5208.333333333333</v>
      </c>
      <c r="D86" s="142"/>
      <c r="E86" s="20">
        <f t="shared" si="30"/>
        <v>0</v>
      </c>
      <c r="F86" s="20">
        <f t="shared" si="30"/>
        <v>156250</v>
      </c>
      <c r="G86" s="20">
        <f t="shared" si="30"/>
        <v>0</v>
      </c>
      <c r="H86" s="20">
        <f t="shared" si="30"/>
        <v>164062.5</v>
      </c>
      <c r="I86" s="20">
        <f t="shared" si="30"/>
        <v>0</v>
      </c>
      <c r="J86" s="20">
        <f t="shared" si="30"/>
        <v>171875</v>
      </c>
      <c r="K86" s="20">
        <f t="shared" si="30"/>
        <v>0</v>
      </c>
      <c r="L86" s="20">
        <f t="shared" si="30"/>
        <v>179687.5</v>
      </c>
      <c r="M86" s="20">
        <f t="shared" si="30"/>
        <v>0</v>
      </c>
      <c r="N86" s="20">
        <f t="shared" si="30"/>
        <v>0</v>
      </c>
      <c r="O86" s="20">
        <v>0</v>
      </c>
      <c r="P86" s="20">
        <v>0</v>
      </c>
      <c r="Q86" s="20"/>
      <c r="R86" s="20">
        <f t="shared" si="31"/>
        <v>671875</v>
      </c>
      <c r="T86" s="120">
        <f t="shared" si="34"/>
        <v>5598.958333333333</v>
      </c>
      <c r="U86" s="135" t="s">
        <v>89</v>
      </c>
      <c r="V86" s="120">
        <f>500000*1.25</f>
        <v>625000</v>
      </c>
      <c r="W86" s="196">
        <f t="shared" si="32"/>
        <v>2.7891513170372518E-2</v>
      </c>
    </row>
    <row r="87" spans="2:23" x14ac:dyDescent="0.2">
      <c r="B87" s="18" t="s">
        <v>97</v>
      </c>
      <c r="C87" s="47">
        <f t="shared" si="33"/>
        <v>3229.1666666666665</v>
      </c>
      <c r="D87" s="143"/>
      <c r="E87" s="20">
        <f t="shared" si="30"/>
        <v>0</v>
      </c>
      <c r="F87" s="20">
        <f t="shared" si="30"/>
        <v>96875</v>
      </c>
      <c r="G87" s="20">
        <f t="shared" si="30"/>
        <v>0</v>
      </c>
      <c r="H87" s="20">
        <f t="shared" si="30"/>
        <v>101718.75</v>
      </c>
      <c r="I87" s="20">
        <f t="shared" si="30"/>
        <v>0</v>
      </c>
      <c r="J87" s="20">
        <f t="shared" si="30"/>
        <v>106562.50000000001</v>
      </c>
      <c r="K87" s="20">
        <f t="shared" si="30"/>
        <v>0</v>
      </c>
      <c r="L87" s="20">
        <f t="shared" si="30"/>
        <v>111406.24999999999</v>
      </c>
      <c r="M87" s="20">
        <f t="shared" si="30"/>
        <v>0</v>
      </c>
      <c r="N87" s="20">
        <f t="shared" si="30"/>
        <v>0</v>
      </c>
      <c r="O87" s="20">
        <v>0</v>
      </c>
      <c r="P87" s="20">
        <v>0</v>
      </c>
      <c r="Q87" s="20"/>
      <c r="R87" s="20">
        <f t="shared" si="31"/>
        <v>416562.5</v>
      </c>
      <c r="T87" s="120">
        <f t="shared" si="34"/>
        <v>3471.3541666666665</v>
      </c>
      <c r="U87" s="135" t="s">
        <v>89</v>
      </c>
      <c r="V87" s="120">
        <f>310000*1.25</f>
        <v>387500</v>
      </c>
      <c r="W87" s="196">
        <f t="shared" si="32"/>
        <v>1.7292738165630962E-2</v>
      </c>
    </row>
    <row r="88" spans="2:23" x14ac:dyDescent="0.2">
      <c r="B88" s="18" t="s">
        <v>98</v>
      </c>
      <c r="C88" s="47">
        <f t="shared" si="33"/>
        <v>7604.166666666667</v>
      </c>
      <c r="D88" s="142"/>
      <c r="E88" s="20">
        <f t="shared" si="30"/>
        <v>0</v>
      </c>
      <c r="F88" s="20">
        <f t="shared" si="30"/>
        <v>228125</v>
      </c>
      <c r="G88" s="20">
        <f t="shared" si="30"/>
        <v>0</v>
      </c>
      <c r="H88" s="20">
        <f t="shared" si="30"/>
        <v>239531.25</v>
      </c>
      <c r="I88" s="20">
        <f t="shared" si="30"/>
        <v>0</v>
      </c>
      <c r="J88" s="20">
        <f t="shared" si="30"/>
        <v>250937.50000000003</v>
      </c>
      <c r="K88" s="20">
        <f t="shared" si="30"/>
        <v>0</v>
      </c>
      <c r="L88" s="20">
        <f t="shared" si="30"/>
        <v>262343.75</v>
      </c>
      <c r="M88" s="20">
        <f t="shared" si="30"/>
        <v>0</v>
      </c>
      <c r="N88" s="20">
        <f t="shared" si="30"/>
        <v>0</v>
      </c>
      <c r="O88" s="20">
        <v>0</v>
      </c>
      <c r="P88" s="20">
        <v>0</v>
      </c>
      <c r="Q88" s="20"/>
      <c r="R88" s="20">
        <f t="shared" si="31"/>
        <v>980937.5</v>
      </c>
      <c r="T88" s="120">
        <f t="shared" si="34"/>
        <v>8174.479166666667</v>
      </c>
      <c r="U88" s="135" t="s">
        <v>89</v>
      </c>
      <c r="V88" s="120">
        <f>730000*1.25</f>
        <v>912500</v>
      </c>
      <c r="W88" s="196">
        <f t="shared" si="32"/>
        <v>4.0721609228743877E-2</v>
      </c>
    </row>
    <row r="89" spans="2:23" x14ac:dyDescent="0.2">
      <c r="B89" s="18" t="s">
        <v>99</v>
      </c>
      <c r="C89" s="47">
        <f t="shared" si="33"/>
        <v>7395.833333333333</v>
      </c>
      <c r="D89" s="142"/>
      <c r="E89" s="20">
        <f t="shared" si="30"/>
        <v>0</v>
      </c>
      <c r="F89" s="20">
        <f t="shared" si="30"/>
        <v>221875</v>
      </c>
      <c r="G89" s="20">
        <f t="shared" si="30"/>
        <v>0</v>
      </c>
      <c r="H89" s="20">
        <f t="shared" si="30"/>
        <v>232968.75</v>
      </c>
      <c r="I89" s="20">
        <f t="shared" si="30"/>
        <v>0</v>
      </c>
      <c r="J89" s="20">
        <f t="shared" si="30"/>
        <v>244062.50000000003</v>
      </c>
      <c r="K89" s="20">
        <f t="shared" si="30"/>
        <v>0</v>
      </c>
      <c r="L89" s="20">
        <f t="shared" si="30"/>
        <v>255156.24999999997</v>
      </c>
      <c r="M89" s="20">
        <f t="shared" si="30"/>
        <v>0</v>
      </c>
      <c r="N89" s="20">
        <f t="shared" si="30"/>
        <v>0</v>
      </c>
      <c r="O89" s="20">
        <v>0</v>
      </c>
      <c r="P89" s="20">
        <v>0</v>
      </c>
      <c r="Q89" s="20"/>
      <c r="R89" s="20">
        <f t="shared" si="31"/>
        <v>954062.5</v>
      </c>
      <c r="T89" s="120">
        <f t="shared" si="34"/>
        <v>7950.520833333333</v>
      </c>
      <c r="U89" s="135" t="s">
        <v>89</v>
      </c>
      <c r="V89" s="120">
        <f>710000*1.25</f>
        <v>887500</v>
      </c>
      <c r="W89" s="196">
        <f t="shared" si="32"/>
        <v>3.9605948701928975E-2</v>
      </c>
    </row>
    <row r="90" spans="2:23" x14ac:dyDescent="0.2">
      <c r="B90" s="18" t="s">
        <v>100</v>
      </c>
      <c r="C90" s="47">
        <f t="shared" si="33"/>
        <v>48437.5</v>
      </c>
      <c r="D90" s="142"/>
      <c r="E90" s="20"/>
      <c r="F90" s="20">
        <f>V90</f>
        <v>5812500</v>
      </c>
      <c r="G90" s="20"/>
      <c r="H90" s="20"/>
      <c r="I90" s="20"/>
      <c r="J90" s="20"/>
      <c r="K90" s="20"/>
      <c r="L90" s="20"/>
      <c r="M90" s="20"/>
      <c r="N90" s="20"/>
      <c r="O90" s="20">
        <v>0</v>
      </c>
      <c r="P90" s="20">
        <v>0</v>
      </c>
      <c r="Q90" s="20"/>
      <c r="R90" s="20">
        <f t="shared" si="31"/>
        <v>5812500</v>
      </c>
      <c r="T90" s="120">
        <f t="shared" si="34"/>
        <v>48437.5</v>
      </c>
      <c r="U90" s="135" t="s">
        <v>89</v>
      </c>
      <c r="V90" s="120">
        <f>4650000*1.25</f>
        <v>5812500</v>
      </c>
      <c r="W90" s="196">
        <f t="shared" si="32"/>
        <v>0.25939107248446441</v>
      </c>
    </row>
    <row r="91" spans="2:23" x14ac:dyDescent="0.2">
      <c r="B91" s="18" t="s">
        <v>101</v>
      </c>
      <c r="C91" s="47">
        <f t="shared" si="33"/>
        <v>4791.666666666667</v>
      </c>
      <c r="D91" s="142"/>
      <c r="E91" s="20">
        <f t="shared" ref="E91:N97" si="35">($C91*E$11)*(1+($C$103*E$103))</f>
        <v>0</v>
      </c>
      <c r="F91" s="20">
        <f t="shared" si="35"/>
        <v>143750</v>
      </c>
      <c r="G91" s="20">
        <f t="shared" si="35"/>
        <v>0</v>
      </c>
      <c r="H91" s="20">
        <f t="shared" si="35"/>
        <v>150937.5</v>
      </c>
      <c r="I91" s="20">
        <f t="shared" si="35"/>
        <v>0</v>
      </c>
      <c r="J91" s="20">
        <f t="shared" si="35"/>
        <v>158125</v>
      </c>
      <c r="K91" s="20">
        <f t="shared" si="35"/>
        <v>0</v>
      </c>
      <c r="L91" s="20">
        <f t="shared" si="35"/>
        <v>165312.5</v>
      </c>
      <c r="M91" s="20">
        <f t="shared" si="35"/>
        <v>0</v>
      </c>
      <c r="N91" s="20">
        <f t="shared" si="35"/>
        <v>0</v>
      </c>
      <c r="O91" s="20">
        <v>0</v>
      </c>
      <c r="P91" s="20">
        <v>0</v>
      </c>
      <c r="Q91" s="20"/>
      <c r="R91" s="20">
        <f t="shared" si="31"/>
        <v>618125</v>
      </c>
      <c r="T91" s="120">
        <f t="shared" si="34"/>
        <v>5151.041666666667</v>
      </c>
      <c r="U91" s="135" t="s">
        <v>89</v>
      </c>
      <c r="V91" s="120">
        <f>460000*1.25</f>
        <v>575000</v>
      </c>
      <c r="W91" s="196">
        <f t="shared" si="32"/>
        <v>2.5660192116742718E-2</v>
      </c>
    </row>
    <row r="92" spans="2:23" x14ac:dyDescent="0.2">
      <c r="B92" s="18" t="s">
        <v>102</v>
      </c>
      <c r="C92" s="47">
        <f t="shared" si="33"/>
        <v>15052.083333333334</v>
      </c>
      <c r="D92" s="142"/>
      <c r="E92" s="20">
        <f t="shared" si="35"/>
        <v>0</v>
      </c>
      <c r="F92" s="20">
        <f t="shared" si="35"/>
        <v>451562.5</v>
      </c>
      <c r="G92" s="20">
        <f t="shared" si="35"/>
        <v>0</v>
      </c>
      <c r="H92" s="20">
        <f t="shared" si="35"/>
        <v>474140.625</v>
      </c>
      <c r="I92" s="20">
        <f t="shared" si="35"/>
        <v>0</v>
      </c>
      <c r="J92" s="20">
        <f t="shared" si="35"/>
        <v>496718.75000000006</v>
      </c>
      <c r="K92" s="20">
        <f t="shared" si="35"/>
        <v>0</v>
      </c>
      <c r="L92" s="20">
        <f t="shared" si="35"/>
        <v>519296.87499999994</v>
      </c>
      <c r="M92" s="20">
        <f t="shared" si="35"/>
        <v>0</v>
      </c>
      <c r="N92" s="20">
        <f t="shared" si="35"/>
        <v>0</v>
      </c>
      <c r="O92" s="20">
        <v>0</v>
      </c>
      <c r="P92" s="20">
        <v>0</v>
      </c>
      <c r="Q92" s="20"/>
      <c r="R92" s="20">
        <f t="shared" si="31"/>
        <v>1941718.75</v>
      </c>
      <c r="T92" s="120">
        <f t="shared" si="34"/>
        <v>16180.989583333334</v>
      </c>
      <c r="U92" s="135" t="s">
        <v>89</v>
      </c>
      <c r="V92" s="120">
        <f>1445000*1.25</f>
        <v>1806250</v>
      </c>
      <c r="W92" s="196">
        <f t="shared" si="32"/>
        <v>8.0606473062376574E-2</v>
      </c>
    </row>
    <row r="93" spans="2:23" x14ac:dyDescent="0.2">
      <c r="B93" s="18" t="s">
        <v>103</v>
      </c>
      <c r="C93" s="47">
        <f t="shared" si="33"/>
        <v>7968.75</v>
      </c>
      <c r="D93" s="142"/>
      <c r="E93" s="20">
        <f t="shared" si="35"/>
        <v>0</v>
      </c>
      <c r="F93" s="20">
        <f t="shared" si="35"/>
        <v>239062.5</v>
      </c>
      <c r="G93" s="20">
        <f t="shared" si="35"/>
        <v>0</v>
      </c>
      <c r="H93" s="20">
        <f t="shared" si="35"/>
        <v>251015.625</v>
      </c>
      <c r="I93" s="20">
        <f t="shared" si="35"/>
        <v>0</v>
      </c>
      <c r="J93" s="20">
        <f t="shared" si="35"/>
        <v>262968.75</v>
      </c>
      <c r="K93" s="20">
        <f t="shared" si="35"/>
        <v>0</v>
      </c>
      <c r="L93" s="20">
        <f t="shared" si="35"/>
        <v>274921.875</v>
      </c>
      <c r="M93" s="20">
        <f t="shared" si="35"/>
        <v>0</v>
      </c>
      <c r="N93" s="20">
        <f t="shared" si="35"/>
        <v>0</v>
      </c>
      <c r="O93" s="20">
        <v>0</v>
      </c>
      <c r="P93" s="20">
        <v>0</v>
      </c>
      <c r="Q93" s="20"/>
      <c r="R93" s="20">
        <f t="shared" si="31"/>
        <v>1027968.75</v>
      </c>
      <c r="T93" s="120">
        <f t="shared" si="34"/>
        <v>8566.40625</v>
      </c>
      <c r="U93" s="135" t="s">
        <v>89</v>
      </c>
      <c r="V93" s="120">
        <f>765000*1.25</f>
        <v>956250</v>
      </c>
      <c r="W93" s="196">
        <f t="shared" si="32"/>
        <v>4.2674015150669951E-2</v>
      </c>
    </row>
    <row r="94" spans="2:23" x14ac:dyDescent="0.2">
      <c r="B94" s="18" t="s">
        <v>104</v>
      </c>
      <c r="C94" s="47">
        <f t="shared" si="33"/>
        <v>7552.083333333333</v>
      </c>
      <c r="D94" s="142"/>
      <c r="E94" s="20">
        <f t="shared" si="35"/>
        <v>0</v>
      </c>
      <c r="F94" s="20">
        <f t="shared" si="35"/>
        <v>226562.5</v>
      </c>
      <c r="G94" s="20">
        <f t="shared" si="35"/>
        <v>0</v>
      </c>
      <c r="H94" s="20">
        <f t="shared" si="35"/>
        <v>237890.625</v>
      </c>
      <c r="I94" s="20">
        <f t="shared" si="35"/>
        <v>0</v>
      </c>
      <c r="J94" s="20">
        <f t="shared" si="35"/>
        <v>249218.75000000003</v>
      </c>
      <c r="K94" s="20">
        <f t="shared" si="35"/>
        <v>0</v>
      </c>
      <c r="L94" s="20">
        <f t="shared" si="35"/>
        <v>260546.87499999997</v>
      </c>
      <c r="M94" s="20">
        <f t="shared" si="35"/>
        <v>0</v>
      </c>
      <c r="N94" s="20">
        <f t="shared" si="35"/>
        <v>0</v>
      </c>
      <c r="O94" s="20">
        <v>0</v>
      </c>
      <c r="P94" s="20">
        <v>0</v>
      </c>
      <c r="Q94" s="20"/>
      <c r="R94" s="20">
        <f t="shared" si="31"/>
        <v>974218.75</v>
      </c>
      <c r="T94" s="120">
        <f t="shared" si="34"/>
        <v>8118.489583333333</v>
      </c>
      <c r="U94" s="135" t="s">
        <v>89</v>
      </c>
      <c r="V94" s="120">
        <f>725000*1.25</f>
        <v>906250</v>
      </c>
      <c r="W94" s="196">
        <f t="shared" si="32"/>
        <v>4.0442694097040155E-2</v>
      </c>
    </row>
    <row r="95" spans="2:23" x14ac:dyDescent="0.2">
      <c r="B95" s="18" t="s">
        <v>105</v>
      </c>
      <c r="C95" s="47">
        <f t="shared" si="33"/>
        <v>3750</v>
      </c>
      <c r="D95" s="142"/>
      <c r="E95" s="20">
        <f t="shared" si="35"/>
        <v>0</v>
      </c>
      <c r="F95" s="20">
        <f t="shared" si="35"/>
        <v>112500</v>
      </c>
      <c r="G95" s="20">
        <f t="shared" si="35"/>
        <v>0</v>
      </c>
      <c r="H95" s="20">
        <f t="shared" si="35"/>
        <v>118125</v>
      </c>
      <c r="I95" s="20">
        <f t="shared" si="35"/>
        <v>0</v>
      </c>
      <c r="J95" s="20">
        <f t="shared" si="35"/>
        <v>123750.00000000001</v>
      </c>
      <c r="K95" s="20">
        <f t="shared" si="35"/>
        <v>0</v>
      </c>
      <c r="L95" s="20">
        <f t="shared" si="35"/>
        <v>129374.99999999999</v>
      </c>
      <c r="M95" s="20">
        <f t="shared" si="35"/>
        <v>0</v>
      </c>
      <c r="N95" s="20">
        <f t="shared" si="35"/>
        <v>0</v>
      </c>
      <c r="O95" s="20">
        <v>0</v>
      </c>
      <c r="P95" s="20">
        <v>0</v>
      </c>
      <c r="Q95" s="20"/>
      <c r="R95" s="20">
        <f t="shared" si="31"/>
        <v>483750</v>
      </c>
      <c r="T95" s="120">
        <f t="shared" si="34"/>
        <v>4031.25</v>
      </c>
      <c r="U95" s="135" t="s">
        <v>89</v>
      </c>
      <c r="V95" s="120">
        <f>360000*1.25</f>
        <v>450000</v>
      </c>
      <c r="W95" s="196">
        <f t="shared" si="32"/>
        <v>2.0081889482668213E-2</v>
      </c>
    </row>
    <row r="96" spans="2:23" x14ac:dyDescent="0.2">
      <c r="B96" s="18" t="s">
        <v>106</v>
      </c>
      <c r="C96" s="47">
        <f t="shared" si="33"/>
        <v>26041.666666666668</v>
      </c>
      <c r="D96" s="142"/>
      <c r="E96" s="20">
        <f t="shared" si="35"/>
        <v>0</v>
      </c>
      <c r="F96" s="20">
        <f t="shared" si="35"/>
        <v>781250</v>
      </c>
      <c r="G96" s="20">
        <f t="shared" si="35"/>
        <v>0</v>
      </c>
      <c r="H96" s="20">
        <f t="shared" si="35"/>
        <v>820312.5</v>
      </c>
      <c r="I96" s="20">
        <f t="shared" si="35"/>
        <v>0</v>
      </c>
      <c r="J96" s="20">
        <f t="shared" si="35"/>
        <v>859375.00000000012</v>
      </c>
      <c r="K96" s="20">
        <f t="shared" si="35"/>
        <v>0</v>
      </c>
      <c r="L96" s="20">
        <f t="shared" si="35"/>
        <v>898437.49999999988</v>
      </c>
      <c r="M96" s="20">
        <f t="shared" si="35"/>
        <v>0</v>
      </c>
      <c r="N96" s="20">
        <f t="shared" si="35"/>
        <v>0</v>
      </c>
      <c r="O96" s="20">
        <v>0</v>
      </c>
      <c r="P96" s="20">
        <v>0</v>
      </c>
      <c r="Q96" s="20"/>
      <c r="R96" s="20">
        <f t="shared" si="31"/>
        <v>3359375</v>
      </c>
      <c r="T96" s="120">
        <f t="shared" si="34"/>
        <v>27994.791666666668</v>
      </c>
      <c r="U96" s="120" t="s">
        <v>89</v>
      </c>
      <c r="V96" s="264">
        <f>2500000*1.25</f>
        <v>3125000</v>
      </c>
      <c r="W96" s="196">
        <f t="shared" si="32"/>
        <v>0.13945756585186259</v>
      </c>
    </row>
    <row r="97" spans="2:24" x14ac:dyDescent="0.2">
      <c r="B97" s="18" t="s">
        <v>107</v>
      </c>
      <c r="C97" s="47">
        <f t="shared" si="33"/>
        <v>5208.333333333333</v>
      </c>
      <c r="D97" s="142"/>
      <c r="E97" s="20">
        <f t="shared" si="35"/>
        <v>0</v>
      </c>
      <c r="F97" s="20">
        <f t="shared" si="35"/>
        <v>156250</v>
      </c>
      <c r="G97" s="20">
        <f t="shared" si="35"/>
        <v>0</v>
      </c>
      <c r="H97" s="20">
        <f t="shared" si="35"/>
        <v>164062.5</v>
      </c>
      <c r="I97" s="20">
        <f t="shared" si="35"/>
        <v>0</v>
      </c>
      <c r="J97" s="20">
        <f t="shared" si="35"/>
        <v>171875</v>
      </c>
      <c r="K97" s="20">
        <f t="shared" si="35"/>
        <v>0</v>
      </c>
      <c r="L97" s="20">
        <f t="shared" si="35"/>
        <v>179687.5</v>
      </c>
      <c r="M97" s="20">
        <f t="shared" si="35"/>
        <v>0</v>
      </c>
      <c r="N97" s="20">
        <f t="shared" si="35"/>
        <v>0</v>
      </c>
      <c r="O97" s="20">
        <v>0</v>
      </c>
      <c r="P97" s="20">
        <v>0</v>
      </c>
      <c r="Q97" s="20"/>
      <c r="R97" s="20">
        <f t="shared" si="31"/>
        <v>671875</v>
      </c>
      <c r="T97" s="120">
        <f t="shared" si="34"/>
        <v>5598.958333333333</v>
      </c>
      <c r="U97" s="135" t="s">
        <v>89</v>
      </c>
      <c r="V97" s="264">
        <f>500000*1.25</f>
        <v>625000</v>
      </c>
      <c r="W97" s="196">
        <f t="shared" si="32"/>
        <v>2.7891513170372518E-2</v>
      </c>
    </row>
    <row r="98" spans="2:24" x14ac:dyDescent="0.2">
      <c r="B98" s="18" t="s">
        <v>108</v>
      </c>
      <c r="C98" s="47">
        <f t="shared" si="33"/>
        <v>2604.1666666666665</v>
      </c>
      <c r="D98" s="142"/>
      <c r="E98" s="20"/>
      <c r="F98" s="20">
        <f>V98</f>
        <v>312500</v>
      </c>
      <c r="G98" s="20"/>
      <c r="H98" s="20"/>
      <c r="I98" s="20"/>
      <c r="J98" s="20"/>
      <c r="K98" s="20"/>
      <c r="L98" s="20"/>
      <c r="M98" s="20"/>
      <c r="N98" s="20"/>
      <c r="O98" s="20">
        <v>0</v>
      </c>
      <c r="P98" s="20">
        <v>0</v>
      </c>
      <c r="Q98" s="20"/>
      <c r="R98" s="20">
        <f t="shared" si="31"/>
        <v>312500</v>
      </c>
      <c r="T98" s="120">
        <f t="shared" si="34"/>
        <v>2604.1666666666665</v>
      </c>
      <c r="U98" s="135" t="s">
        <v>89</v>
      </c>
      <c r="V98" s="264">
        <f>250000*1.25</f>
        <v>312500</v>
      </c>
      <c r="W98" s="196">
        <f t="shared" si="32"/>
        <v>1.3945756585186259E-2</v>
      </c>
    </row>
    <row r="99" spans="2:24" x14ac:dyDescent="0.2">
      <c r="B99" s="18" t="s">
        <v>109</v>
      </c>
      <c r="C99" s="47">
        <f t="shared" si="33"/>
        <v>0</v>
      </c>
      <c r="D99" s="142"/>
      <c r="E99" s="20">
        <f>$C99/2</f>
        <v>0</v>
      </c>
      <c r="F99" s="20">
        <f>$C99/2</f>
        <v>0</v>
      </c>
      <c r="G99" s="20">
        <f>$C99*I$78</f>
        <v>0</v>
      </c>
      <c r="H99" s="20">
        <f>$C99/2</f>
        <v>0</v>
      </c>
      <c r="I99" s="20">
        <v>0</v>
      </c>
      <c r="J99" s="20">
        <v>0</v>
      </c>
      <c r="K99" s="20">
        <v>0</v>
      </c>
      <c r="L99" s="20">
        <v>0</v>
      </c>
      <c r="M99" s="20">
        <v>0</v>
      </c>
      <c r="N99" s="20">
        <v>0</v>
      </c>
      <c r="O99" s="20">
        <v>0</v>
      </c>
      <c r="P99" s="20">
        <v>0</v>
      </c>
      <c r="Q99" s="20"/>
      <c r="R99" s="20">
        <f t="shared" si="31"/>
        <v>0</v>
      </c>
      <c r="T99" s="120">
        <f t="shared" si="34"/>
        <v>0</v>
      </c>
      <c r="U99" s="135" t="s">
        <v>89</v>
      </c>
      <c r="V99" s="120">
        <f>0*1.25</f>
        <v>0</v>
      </c>
      <c r="W99" s="196">
        <f t="shared" si="32"/>
        <v>0</v>
      </c>
    </row>
    <row r="100" spans="2:24" x14ac:dyDescent="0.2">
      <c r="B100" s="18" t="s">
        <v>110</v>
      </c>
      <c r="C100" s="47">
        <f t="shared" si="33"/>
        <v>4583.333333333333</v>
      </c>
      <c r="D100" s="142"/>
      <c r="E100" s="20">
        <f t="shared" ref="E100:N102" si="36">($C100*E$11)*(1+($C$103*E$103))</f>
        <v>0</v>
      </c>
      <c r="F100" s="20">
        <f t="shared" si="36"/>
        <v>137500</v>
      </c>
      <c r="G100" s="20">
        <f t="shared" si="36"/>
        <v>0</v>
      </c>
      <c r="H100" s="20">
        <f t="shared" si="36"/>
        <v>144375</v>
      </c>
      <c r="I100" s="20">
        <f t="shared" si="36"/>
        <v>0</v>
      </c>
      <c r="J100" s="20">
        <f t="shared" si="36"/>
        <v>151250</v>
      </c>
      <c r="K100" s="20">
        <f t="shared" si="36"/>
        <v>0</v>
      </c>
      <c r="L100" s="20">
        <f t="shared" si="36"/>
        <v>158125</v>
      </c>
      <c r="M100" s="20">
        <f t="shared" si="36"/>
        <v>0</v>
      </c>
      <c r="N100" s="20">
        <f t="shared" si="36"/>
        <v>0</v>
      </c>
      <c r="O100" s="20">
        <v>0</v>
      </c>
      <c r="P100" s="20">
        <v>0</v>
      </c>
      <c r="Q100" s="20"/>
      <c r="R100" s="20">
        <f t="shared" si="31"/>
        <v>591250</v>
      </c>
      <c r="T100" s="120">
        <f t="shared" si="34"/>
        <v>4927.083333333333</v>
      </c>
      <c r="U100" s="135" t="s">
        <v>89</v>
      </c>
      <c r="V100" s="120">
        <f>440000*1.25</f>
        <v>550000</v>
      </c>
      <c r="W100" s="196">
        <f t="shared" si="32"/>
        <v>2.4544531589927816E-2</v>
      </c>
    </row>
    <row r="101" spans="2:24" x14ac:dyDescent="0.2">
      <c r="B101" s="18" t="s">
        <v>111</v>
      </c>
      <c r="C101" s="47">
        <f t="shared" si="33"/>
        <v>781.25</v>
      </c>
      <c r="D101" s="142"/>
      <c r="E101" s="20">
        <f t="shared" si="36"/>
        <v>0</v>
      </c>
      <c r="F101" s="20">
        <f t="shared" si="36"/>
        <v>23437.5</v>
      </c>
      <c r="G101" s="20">
        <f t="shared" si="36"/>
        <v>0</v>
      </c>
      <c r="H101" s="20">
        <f t="shared" si="36"/>
        <v>24609.375</v>
      </c>
      <c r="I101" s="20">
        <f t="shared" si="36"/>
        <v>0</v>
      </c>
      <c r="J101" s="20">
        <f t="shared" si="36"/>
        <v>25781.250000000004</v>
      </c>
      <c r="K101" s="20">
        <f t="shared" si="36"/>
        <v>0</v>
      </c>
      <c r="L101" s="20">
        <f t="shared" si="36"/>
        <v>26953.124999999996</v>
      </c>
      <c r="M101" s="20">
        <f t="shared" si="36"/>
        <v>0</v>
      </c>
      <c r="N101" s="20">
        <f t="shared" si="36"/>
        <v>0</v>
      </c>
      <c r="O101" s="20">
        <v>0</v>
      </c>
      <c r="P101" s="20">
        <v>0</v>
      </c>
      <c r="Q101" s="20"/>
      <c r="R101" s="20">
        <f t="shared" si="31"/>
        <v>100781.25</v>
      </c>
      <c r="T101" s="120">
        <f t="shared" si="34"/>
        <v>839.84375</v>
      </c>
      <c r="U101" s="135" t="s">
        <v>89</v>
      </c>
      <c r="V101" s="120">
        <f>75000*1.25</f>
        <v>93750</v>
      </c>
      <c r="W101" s="196">
        <f t="shared" si="32"/>
        <v>4.1837269755558779E-3</v>
      </c>
    </row>
    <row r="102" spans="2:24" x14ac:dyDescent="0.2">
      <c r="B102" s="18" t="s">
        <v>112</v>
      </c>
      <c r="C102" s="47">
        <f t="shared" si="33"/>
        <v>11104.166666666666</v>
      </c>
      <c r="D102" s="142"/>
      <c r="E102" s="20">
        <f t="shared" si="36"/>
        <v>0</v>
      </c>
      <c r="F102" s="20">
        <f t="shared" si="36"/>
        <v>333125</v>
      </c>
      <c r="G102" s="20">
        <f t="shared" si="36"/>
        <v>0</v>
      </c>
      <c r="H102" s="20">
        <f t="shared" si="36"/>
        <v>349781.25</v>
      </c>
      <c r="I102" s="20">
        <f t="shared" si="36"/>
        <v>0</v>
      </c>
      <c r="J102" s="20">
        <f t="shared" si="36"/>
        <v>366437.50000000006</v>
      </c>
      <c r="K102" s="20">
        <f t="shared" si="36"/>
        <v>0</v>
      </c>
      <c r="L102" s="20">
        <f t="shared" si="36"/>
        <v>383093.74999999994</v>
      </c>
      <c r="M102" s="20">
        <f t="shared" si="36"/>
        <v>0</v>
      </c>
      <c r="N102" s="20">
        <f t="shared" si="36"/>
        <v>0</v>
      </c>
      <c r="O102" s="20">
        <v>0</v>
      </c>
      <c r="P102" s="20">
        <v>0</v>
      </c>
      <c r="Q102" s="20"/>
      <c r="R102" s="20">
        <f t="shared" si="31"/>
        <v>1432437.5</v>
      </c>
      <c r="T102" s="120">
        <f t="shared" si="34"/>
        <v>11936.979166666666</v>
      </c>
      <c r="U102" s="135" t="s">
        <v>89</v>
      </c>
      <c r="V102" s="120">
        <f>1066000*1.25</f>
        <v>1332500</v>
      </c>
      <c r="W102" s="196">
        <f t="shared" si="32"/>
        <v>5.9464706079234209E-2</v>
      </c>
    </row>
    <row r="103" spans="2:24" x14ac:dyDescent="0.2">
      <c r="B103" s="18" t="s">
        <v>113</v>
      </c>
      <c r="C103" s="181">
        <v>0.05</v>
      </c>
      <c r="D103" s="142"/>
      <c r="E103" s="20">
        <v>0</v>
      </c>
      <c r="F103" s="20">
        <v>0</v>
      </c>
      <c r="G103" s="20"/>
      <c r="H103" s="20">
        <v>1</v>
      </c>
      <c r="I103" s="20"/>
      <c r="J103" s="20">
        <v>2</v>
      </c>
      <c r="K103" s="20"/>
      <c r="L103" s="20">
        <v>3</v>
      </c>
      <c r="M103" s="20"/>
      <c r="N103" s="20">
        <v>0</v>
      </c>
      <c r="O103" s="20">
        <v>0</v>
      </c>
      <c r="P103" s="20">
        <v>0</v>
      </c>
      <c r="Q103" s="20"/>
      <c r="R103" s="20"/>
      <c r="T103" s="120">
        <f t="shared" si="34"/>
        <v>0</v>
      </c>
      <c r="U103" s="135"/>
      <c r="V103" s="120">
        <f t="shared" ref="V103" si="37">1066000*1.25</f>
        <v>1332500</v>
      </c>
      <c r="W103" s="196">
        <f t="shared" si="32"/>
        <v>5.9464706079234209E-2</v>
      </c>
    </row>
    <row r="104" spans="2:24" x14ac:dyDescent="0.2">
      <c r="B104" s="38" t="s">
        <v>114</v>
      </c>
      <c r="C104" s="265">
        <v>3.5000000000000003E-2</v>
      </c>
      <c r="D104" s="262"/>
      <c r="E104" s="40">
        <f t="shared" ref="E104:N104" si="38">SUM(E79:E102)*$C$104</f>
        <v>0</v>
      </c>
      <c r="F104" s="40">
        <f t="shared" si="38"/>
        <v>344373.75000000006</v>
      </c>
      <c r="G104" s="40">
        <f t="shared" si="38"/>
        <v>0</v>
      </c>
      <c r="H104" s="40">
        <f t="shared" si="38"/>
        <v>136498.6875</v>
      </c>
      <c r="I104" s="40">
        <f t="shared" si="38"/>
        <v>0</v>
      </c>
      <c r="J104" s="40">
        <f t="shared" si="38"/>
        <v>142998.625</v>
      </c>
      <c r="K104" s="40">
        <f t="shared" si="38"/>
        <v>0</v>
      </c>
      <c r="L104" s="40">
        <f t="shared" si="38"/>
        <v>149498.5625</v>
      </c>
      <c r="M104" s="40">
        <f t="shared" si="38"/>
        <v>0</v>
      </c>
      <c r="N104" s="40">
        <f t="shared" si="38"/>
        <v>0</v>
      </c>
      <c r="O104" s="40">
        <v>0</v>
      </c>
      <c r="P104" s="40">
        <v>0</v>
      </c>
      <c r="Q104" s="40"/>
      <c r="R104" s="40">
        <f t="shared" si="31"/>
        <v>773369.625</v>
      </c>
      <c r="T104" s="120">
        <f t="shared" si="34"/>
        <v>6444.7468749999998</v>
      </c>
      <c r="U104" s="135" t="s">
        <v>89</v>
      </c>
      <c r="V104" s="120">
        <f t="shared" ref="V104" si="39">75000*1.25</f>
        <v>93750</v>
      </c>
      <c r="W104" s="196">
        <f t="shared" si="32"/>
        <v>4.1837269755558779E-3</v>
      </c>
    </row>
    <row r="105" spans="2:24" x14ac:dyDescent="0.2">
      <c r="B105" s="46" t="str">
        <f>B78</f>
        <v>HARD COSTS - SITE, RESTORATION &amp; INFRASTRUCTURE</v>
      </c>
      <c r="C105" s="33"/>
      <c r="D105" s="33"/>
      <c r="E105" s="44">
        <f t="shared" ref="E105:N105" si="40">SUM(E79:E102)+E104</f>
        <v>0</v>
      </c>
      <c r="F105" s="44">
        <f t="shared" si="40"/>
        <v>10183623.75</v>
      </c>
      <c r="G105" s="44">
        <f t="shared" si="40"/>
        <v>0</v>
      </c>
      <c r="H105" s="44">
        <f t="shared" si="40"/>
        <v>4036461.1875</v>
      </c>
      <c r="I105" s="44">
        <f t="shared" si="40"/>
        <v>0</v>
      </c>
      <c r="J105" s="44">
        <f t="shared" si="40"/>
        <v>4228673.625</v>
      </c>
      <c r="K105" s="44">
        <f t="shared" si="40"/>
        <v>0</v>
      </c>
      <c r="L105" s="44">
        <f t="shared" si="40"/>
        <v>4420886.0625</v>
      </c>
      <c r="M105" s="44">
        <f t="shared" si="40"/>
        <v>0</v>
      </c>
      <c r="N105" s="44">
        <f t="shared" si="40"/>
        <v>0</v>
      </c>
      <c r="O105" s="44">
        <f>SUM(O79:O104)</f>
        <v>0</v>
      </c>
      <c r="P105" s="44">
        <f>SUM(P79:P104)</f>
        <v>0</v>
      </c>
      <c r="Q105" s="44"/>
      <c r="R105" s="228">
        <f>SUM(E105:Q105)</f>
        <v>22869644.625</v>
      </c>
      <c r="T105" s="120">
        <f t="shared" si="34"/>
        <v>190580.37187500001</v>
      </c>
      <c r="U105" s="135" t="s">
        <v>83</v>
      </c>
      <c r="V105" s="120">
        <f>SUM(V79:V104)</f>
        <v>22408250</v>
      </c>
      <c r="W105" s="196">
        <f t="shared" si="32"/>
        <v>1</v>
      </c>
    </row>
    <row r="106" spans="2:24" x14ac:dyDescent="0.2">
      <c r="B106" s="37"/>
      <c r="C106" s="33"/>
      <c r="D106" s="33"/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20"/>
      <c r="T106" s="104">
        <f>R105/($R$62+$R$63)</f>
        <v>0.23637875581395348</v>
      </c>
      <c r="U106" s="1" t="s">
        <v>85</v>
      </c>
      <c r="V106" s="109"/>
    </row>
    <row r="107" spans="2:24" hidden="1" x14ac:dyDescent="0.2">
      <c r="B107" s="203" t="s">
        <v>115</v>
      </c>
      <c r="C107" s="33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20"/>
    </row>
    <row r="108" spans="2:24" hidden="1" x14ac:dyDescent="0.2">
      <c r="B108" s="18" t="s">
        <v>116</v>
      </c>
      <c r="C108" s="21">
        <v>75000</v>
      </c>
      <c r="D108" s="20" t="s">
        <v>117</v>
      </c>
      <c r="E108" s="20"/>
      <c r="F108" s="20"/>
      <c r="G108" s="20">
        <f t="shared" ref="G108:N108" si="41">($C108*G$19)*(1+(G$113*$C$113))</f>
        <v>0</v>
      </c>
      <c r="H108" s="20">
        <f t="shared" si="41"/>
        <v>0</v>
      </c>
      <c r="I108" s="20">
        <f t="shared" si="41"/>
        <v>0</v>
      </c>
      <c r="J108" s="20">
        <f t="shared" si="41"/>
        <v>0</v>
      </c>
      <c r="K108" s="20">
        <f t="shared" si="41"/>
        <v>0</v>
      </c>
      <c r="L108" s="20">
        <f t="shared" si="41"/>
        <v>0</v>
      </c>
      <c r="M108" s="20">
        <f t="shared" si="41"/>
        <v>0</v>
      </c>
      <c r="N108" s="20">
        <f t="shared" si="41"/>
        <v>0</v>
      </c>
      <c r="O108" s="20">
        <f t="shared" ref="O108:Q108" si="42">((N$19*$C108)*0.25)+((O$19*$C108)*0.75)</f>
        <v>0</v>
      </c>
      <c r="P108" s="20">
        <f t="shared" si="42"/>
        <v>0</v>
      </c>
      <c r="Q108" s="20">
        <f t="shared" si="42"/>
        <v>0</v>
      </c>
      <c r="R108" s="20">
        <f t="shared" ref="R108:R115" si="43">SUM(E108:Q108)</f>
        <v>0</v>
      </c>
      <c r="T108" s="109">
        <f>R108/$R$11</f>
        <v>0</v>
      </c>
      <c r="U108" s="135" t="s">
        <v>36</v>
      </c>
      <c r="X108" s="1" t="s">
        <v>118</v>
      </c>
    </row>
    <row r="109" spans="2:24" hidden="1" x14ac:dyDescent="0.2">
      <c r="B109" s="18" t="s">
        <v>27</v>
      </c>
      <c r="C109" s="21">
        <v>562.5</v>
      </c>
      <c r="D109" s="20" t="s">
        <v>39</v>
      </c>
      <c r="E109" s="20"/>
      <c r="F109" s="20"/>
      <c r="G109" s="20">
        <f>(($C109*$D16*G16)*0.33*(1+($C$113*G$113)))</f>
        <v>0</v>
      </c>
      <c r="H109" s="20">
        <f>(($C109*$D16*G16)*0.67*(1+($C$113*G$113)))</f>
        <v>0</v>
      </c>
      <c r="I109" s="20">
        <f>(($C109*$D16*I16)*0.33*(1+($C$113*I$113)))</f>
        <v>0</v>
      </c>
      <c r="J109" s="20">
        <f>(($C109*$D16*I16)*0.67*(1+($C$113*I$113)))</f>
        <v>0</v>
      </c>
      <c r="K109" s="20">
        <f>(($C109*$D16*K16)*0.33*(1+($C$113*K$113)))</f>
        <v>0</v>
      </c>
      <c r="L109" s="20">
        <f>(($C109*$D16*K16)*0.67*(1+($C$113*K$113)))</f>
        <v>0</v>
      </c>
      <c r="M109" s="20">
        <f>(($C109*$D16*M16)*0.33*(1+($C$113*M$113)))</f>
        <v>0</v>
      </c>
      <c r="N109" s="20">
        <f>(($C109*$D16*M16)*0.67*(1+($C$113*M$113)))</f>
        <v>0</v>
      </c>
      <c r="O109" s="20">
        <f>(((SUMPRODUCT($D$16:$D$18,N16:N18))*$C109)*0.5)+(((SUMPRODUCT($D$16:$D$18,O16:O18))*$C109)*0.5)</f>
        <v>0</v>
      </c>
      <c r="P109" s="20">
        <f>(((SUMPRODUCT($D$16:$D$18,O16:O18))*$C109)*0.5)+(((SUMPRODUCT($D$16:$D$18,P16:P18))*$C109)*0.5)</f>
        <v>0</v>
      </c>
      <c r="Q109" s="20">
        <f>(((SUMPRODUCT($D$16:$D$18,P16:P18))*$C109)*0.5)+(((SUMPRODUCT($D$16:$D$18,Q16:Q18))*$C109)*0.5)</f>
        <v>0</v>
      </c>
      <c r="R109" s="122">
        <f t="shared" si="43"/>
        <v>0</v>
      </c>
      <c r="T109" s="109" t="e">
        <f>R109/$R$16</f>
        <v>#DIV/0!</v>
      </c>
      <c r="U109" s="1" t="s">
        <v>119</v>
      </c>
      <c r="X109" s="136" t="e">
        <f>R109/$V$19</f>
        <v>#DIV/0!</v>
      </c>
    </row>
    <row r="110" spans="2:24" hidden="1" x14ac:dyDescent="0.2">
      <c r="B110" s="18" t="s">
        <v>28</v>
      </c>
      <c r="C110" s="108">
        <v>550</v>
      </c>
      <c r="D110" s="20" t="s">
        <v>39</v>
      </c>
      <c r="E110" s="20"/>
      <c r="F110" s="20"/>
      <c r="G110" s="20">
        <f>(($C110*$D17*G17)*0.33*(1+($C$113*G$113)))</f>
        <v>0</v>
      </c>
      <c r="H110" s="20">
        <f>(($C110*$D17*G17)*0.67*(1+($C$113*G$113)))</f>
        <v>0</v>
      </c>
      <c r="I110" s="20">
        <f>(($C110*$D17*I17)*0.33*(1+($C$113*I$113)))</f>
        <v>0</v>
      </c>
      <c r="J110" s="20">
        <f>(($C110*$D17*I17)*0.67*(1+($C$113*I$113)))</f>
        <v>0</v>
      </c>
      <c r="K110" s="20">
        <f>(($C110*$D17*K17)*0.33*(1+($C$113*K$113)))</f>
        <v>0</v>
      </c>
      <c r="L110" s="20">
        <f>(($C110*$D17*K17)*0.67*(1+($C$113*K$113)))</f>
        <v>0</v>
      </c>
      <c r="M110" s="20">
        <f>(($C110*$D17*M17)*0.33*(1+($C$113*M$113)))</f>
        <v>0</v>
      </c>
      <c r="N110" s="20">
        <f>(($C110*$D17*M17)*0.67*(1+($C$113*M$113)))</f>
        <v>0</v>
      </c>
      <c r="O110" s="20">
        <f t="shared" ref="O110:Q110" si="44">N$19*$C110</f>
        <v>0</v>
      </c>
      <c r="P110" s="20">
        <f t="shared" si="44"/>
        <v>0</v>
      </c>
      <c r="Q110" s="20">
        <f t="shared" si="44"/>
        <v>0</v>
      </c>
      <c r="R110" s="122">
        <f t="shared" si="43"/>
        <v>0</v>
      </c>
      <c r="T110" s="109" t="e">
        <f t="shared" ref="T110:T115" si="45">R110/$R$19</f>
        <v>#DIV/0!</v>
      </c>
      <c r="U110" s="135" t="s">
        <v>36</v>
      </c>
    </row>
    <row r="111" spans="2:24" hidden="1" x14ac:dyDescent="0.2">
      <c r="B111" s="18" t="s">
        <v>29</v>
      </c>
      <c r="C111" s="108">
        <v>537.5</v>
      </c>
      <c r="D111" s="20" t="s">
        <v>39</v>
      </c>
      <c r="E111" s="20"/>
      <c r="F111" s="20"/>
      <c r="G111" s="20">
        <f>(($C111*$D18*G18)*0.33*(1+($C$113*G$113)))</f>
        <v>0</v>
      </c>
      <c r="H111" s="20">
        <f>(($C111*$D18*G18)*0.67*(1+($C$113*G$113)))</f>
        <v>0</v>
      </c>
      <c r="I111" s="20">
        <f>(($C111*$D18*I18)*0.33*(1+($C$113*I$113)))</f>
        <v>0</v>
      </c>
      <c r="J111" s="20">
        <f>(($C111*$D18*I18)*0.67*(1+($C$113*I$113)))</f>
        <v>0</v>
      </c>
      <c r="K111" s="20">
        <f>(($C111*$D18*K18)*0.33*(1+($C$113*K$113)))</f>
        <v>0</v>
      </c>
      <c r="L111" s="20">
        <f>(($C111*$D18*K18)*0.67*(1+($C$113*K$113)))</f>
        <v>0</v>
      </c>
      <c r="M111" s="20">
        <f>(($C111*$D18*M18)*0.33*(1+($C$113*M$113)))</f>
        <v>0</v>
      </c>
      <c r="N111" s="20">
        <f>(($C111*$D18*M18)*0.67*(1+($C$113*M$113)))</f>
        <v>0</v>
      </c>
      <c r="O111" s="20"/>
      <c r="P111" s="20"/>
      <c r="Q111" s="20"/>
      <c r="R111" s="122">
        <f t="shared" si="43"/>
        <v>0</v>
      </c>
      <c r="T111" s="109" t="e">
        <f t="shared" si="45"/>
        <v>#DIV/0!</v>
      </c>
      <c r="U111" s="135"/>
    </row>
    <row r="112" spans="2:24" hidden="1" x14ac:dyDescent="0.2">
      <c r="B112" s="18" t="s">
        <v>120</v>
      </c>
      <c r="C112" s="108">
        <v>100000</v>
      </c>
      <c r="D112" s="20" t="s">
        <v>117</v>
      </c>
      <c r="E112" s="20"/>
      <c r="F112" s="20"/>
      <c r="G112" s="20">
        <f t="shared" ref="G112:N112" si="46">($C112*F$19)*(1+(G$113*$C$113))</f>
        <v>0</v>
      </c>
      <c r="H112" s="20">
        <f t="shared" si="46"/>
        <v>0</v>
      </c>
      <c r="I112" s="20">
        <f t="shared" si="46"/>
        <v>0</v>
      </c>
      <c r="J112" s="20">
        <f t="shared" si="46"/>
        <v>0</v>
      </c>
      <c r="K112" s="20">
        <f t="shared" si="46"/>
        <v>0</v>
      </c>
      <c r="L112" s="20">
        <f t="shared" si="46"/>
        <v>0</v>
      </c>
      <c r="M112" s="20">
        <f t="shared" si="46"/>
        <v>0</v>
      </c>
      <c r="N112" s="20">
        <f t="shared" si="46"/>
        <v>0</v>
      </c>
      <c r="O112" s="20"/>
      <c r="P112" s="20"/>
      <c r="Q112" s="20"/>
      <c r="R112" s="20">
        <f t="shared" si="43"/>
        <v>0</v>
      </c>
      <c r="T112" s="109" t="e">
        <f t="shared" si="45"/>
        <v>#DIV/0!</v>
      </c>
      <c r="U112" s="135"/>
    </row>
    <row r="113" spans="2:24" hidden="1" x14ac:dyDescent="0.2">
      <c r="B113" s="18" t="s">
        <v>113</v>
      </c>
      <c r="C113" s="199">
        <v>0.05</v>
      </c>
      <c r="D113" s="20"/>
      <c r="E113" s="20"/>
      <c r="F113" s="20"/>
      <c r="G113" s="266">
        <v>0</v>
      </c>
      <c r="H113" s="266">
        <v>0</v>
      </c>
      <c r="I113" s="266">
        <v>1</v>
      </c>
      <c r="J113" s="266">
        <v>1</v>
      </c>
      <c r="K113" s="266">
        <v>2</v>
      </c>
      <c r="L113" s="266">
        <v>2</v>
      </c>
      <c r="M113" s="266">
        <v>3</v>
      </c>
      <c r="N113" s="266">
        <v>3</v>
      </c>
      <c r="O113" s="20"/>
      <c r="P113" s="20"/>
      <c r="Q113" s="20"/>
      <c r="R113" s="20"/>
      <c r="T113" s="109" t="e">
        <f t="shared" si="45"/>
        <v>#DIV/0!</v>
      </c>
      <c r="U113" s="1" t="s">
        <v>119</v>
      </c>
    </row>
    <row r="114" spans="2:24" hidden="1" x14ac:dyDescent="0.2">
      <c r="B114" s="18" t="s">
        <v>114</v>
      </c>
      <c r="C114" s="199">
        <v>3.5000000000000003E-2</v>
      </c>
      <c r="D114" s="17"/>
      <c r="E114" s="17">
        <f>SUM(E107:E110)*$C114</f>
        <v>0</v>
      </c>
      <c r="F114" s="17">
        <f t="shared" ref="F114:Q114" si="47">SUM(F107:F110)*$C114</f>
        <v>0</v>
      </c>
      <c r="G114" s="17">
        <f>SUM(G108:G112)*$C114</f>
        <v>0</v>
      </c>
      <c r="H114" s="17">
        <f t="shared" ref="H114:N114" si="48">SUM(H108:H112)*$C114</f>
        <v>0</v>
      </c>
      <c r="I114" s="17">
        <f t="shared" si="48"/>
        <v>0</v>
      </c>
      <c r="J114" s="17">
        <f t="shared" si="48"/>
        <v>0</v>
      </c>
      <c r="K114" s="17">
        <f t="shared" si="48"/>
        <v>0</v>
      </c>
      <c r="L114" s="17">
        <f t="shared" si="48"/>
        <v>0</v>
      </c>
      <c r="M114" s="17">
        <f t="shared" si="48"/>
        <v>0</v>
      </c>
      <c r="N114" s="17">
        <f t="shared" si="48"/>
        <v>0</v>
      </c>
      <c r="O114" s="17">
        <f t="shared" si="47"/>
        <v>0</v>
      </c>
      <c r="P114" s="17">
        <f t="shared" si="47"/>
        <v>0</v>
      </c>
      <c r="Q114" s="17">
        <f t="shared" si="47"/>
        <v>0</v>
      </c>
      <c r="R114" s="20">
        <f t="shared" si="43"/>
        <v>0</v>
      </c>
      <c r="T114" s="109" t="e">
        <f t="shared" si="45"/>
        <v>#DIV/0!</v>
      </c>
      <c r="U114" s="1" t="s">
        <v>119</v>
      </c>
      <c r="X114" s="1" t="s">
        <v>121</v>
      </c>
    </row>
    <row r="115" spans="2:24" hidden="1" x14ac:dyDescent="0.2">
      <c r="B115" s="200" t="str">
        <f>B107</f>
        <v>HARD COSTS - HOMES</v>
      </c>
      <c r="C115" s="201"/>
      <c r="D115" s="101"/>
      <c r="E115" s="101">
        <f t="shared" ref="E115:F115" si="49">SUM(E107:E114)</f>
        <v>0</v>
      </c>
      <c r="F115" s="101">
        <f t="shared" si="49"/>
        <v>0</v>
      </c>
      <c r="G115" s="101">
        <f>SUM(G107:G112)+G114</f>
        <v>0</v>
      </c>
      <c r="H115" s="101">
        <f t="shared" ref="H115:N115" si="50">SUM(H107:H112)+H114</f>
        <v>0</v>
      </c>
      <c r="I115" s="101">
        <f t="shared" si="50"/>
        <v>0</v>
      </c>
      <c r="J115" s="101">
        <f t="shared" si="50"/>
        <v>0</v>
      </c>
      <c r="K115" s="101">
        <f t="shared" si="50"/>
        <v>0</v>
      </c>
      <c r="L115" s="101">
        <f t="shared" si="50"/>
        <v>0</v>
      </c>
      <c r="M115" s="101">
        <f t="shared" si="50"/>
        <v>0</v>
      </c>
      <c r="N115" s="101">
        <f t="shared" si="50"/>
        <v>0</v>
      </c>
      <c r="O115" s="101">
        <f>SUM(O107:O114)</f>
        <v>0</v>
      </c>
      <c r="P115" s="101">
        <f>SUM(P107:P114)</f>
        <v>0</v>
      </c>
      <c r="Q115" s="101">
        <f>SUM(Q107:Q114)</f>
        <v>0</v>
      </c>
      <c r="R115" s="270">
        <f t="shared" si="43"/>
        <v>0</v>
      </c>
      <c r="T115" s="109" t="e">
        <f t="shared" si="45"/>
        <v>#DIV/0!</v>
      </c>
      <c r="U115" s="1" t="s">
        <v>119</v>
      </c>
      <c r="X115" s="136" t="e">
        <f>R115/$V$19</f>
        <v>#DIV/0!</v>
      </c>
    </row>
    <row r="116" spans="2:24" hidden="1" x14ac:dyDescent="0.2">
      <c r="B116" s="37"/>
      <c r="C116" s="33"/>
      <c r="D116" s="32"/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2"/>
      <c r="P116" s="32"/>
      <c r="Q116" s="20"/>
      <c r="T116" s="104">
        <f>R115/$T$65</f>
        <v>0</v>
      </c>
      <c r="U116" s="1" t="s">
        <v>85</v>
      </c>
    </row>
    <row r="117" spans="2:24" x14ac:dyDescent="0.2">
      <c r="B117" s="192" t="s">
        <v>122</v>
      </c>
      <c r="R117" s="20"/>
    </row>
    <row r="118" spans="2:24" x14ac:dyDescent="0.2">
      <c r="B118" s="267" t="s">
        <v>242</v>
      </c>
      <c r="C118" s="16"/>
      <c r="D118" s="16"/>
      <c r="E118" s="130"/>
      <c r="F118" s="130"/>
      <c r="G118" s="130"/>
      <c r="H118" s="130"/>
      <c r="I118" s="130"/>
      <c r="J118" s="130"/>
      <c r="K118" s="56"/>
      <c r="L118" s="56"/>
      <c r="M118" s="56"/>
      <c r="N118" s="56"/>
      <c r="O118" s="56"/>
      <c r="R118" s="20">
        <f t="shared" ref="R118:R134" si="51">SUM(E118:Q118)</f>
        <v>0</v>
      </c>
      <c r="T118" s="109">
        <f>C118-R118</f>
        <v>0</v>
      </c>
    </row>
    <row r="119" spans="2:24" x14ac:dyDescent="0.2">
      <c r="B119" s="18" t="s">
        <v>123</v>
      </c>
      <c r="C119" s="16">
        <v>25000</v>
      </c>
      <c r="D119" s="16"/>
      <c r="E119" s="130">
        <f>C119</f>
        <v>25000</v>
      </c>
      <c r="F119" s="130"/>
      <c r="G119" s="130"/>
      <c r="H119" s="130"/>
      <c r="I119" s="130"/>
      <c r="J119" s="130"/>
      <c r="K119" s="56"/>
      <c r="L119" s="56"/>
      <c r="M119" s="56"/>
      <c r="N119" s="56"/>
      <c r="O119" s="56"/>
      <c r="R119" s="20">
        <f t="shared" si="51"/>
        <v>25000</v>
      </c>
      <c r="T119" s="109"/>
    </row>
    <row r="120" spans="2:24" x14ac:dyDescent="0.2">
      <c r="B120" s="18" t="s">
        <v>124</v>
      </c>
      <c r="C120" s="16">
        <v>35000</v>
      </c>
      <c r="D120" s="16"/>
      <c r="E120" s="130">
        <f t="shared" ref="E120:E123" si="52">C120</f>
        <v>35000</v>
      </c>
      <c r="F120" s="130"/>
      <c r="G120" s="130"/>
      <c r="H120" s="130"/>
      <c r="I120" s="130"/>
      <c r="J120" s="130"/>
      <c r="K120" s="56"/>
      <c r="L120" s="56"/>
      <c r="M120" s="56"/>
      <c r="N120" s="56"/>
      <c r="O120" s="56"/>
      <c r="R120" s="20">
        <f t="shared" si="51"/>
        <v>35000</v>
      </c>
      <c r="T120" s="109"/>
    </row>
    <row r="121" spans="2:24" x14ac:dyDescent="0.2">
      <c r="B121" s="18" t="s">
        <v>125</v>
      </c>
      <c r="C121" s="268">
        <f>100000/2</f>
        <v>50000</v>
      </c>
      <c r="D121" s="16"/>
      <c r="E121" s="130">
        <f t="shared" si="52"/>
        <v>50000</v>
      </c>
      <c r="F121" s="130"/>
      <c r="G121" s="130"/>
      <c r="H121" s="130"/>
      <c r="I121" s="130"/>
      <c r="J121" s="130"/>
      <c r="K121" s="56"/>
      <c r="L121" s="56"/>
      <c r="M121" s="56"/>
      <c r="N121" s="56"/>
      <c r="O121" s="56"/>
      <c r="R121" s="20">
        <f t="shared" si="51"/>
        <v>50000</v>
      </c>
      <c r="T121" s="109"/>
    </row>
    <row r="122" spans="2:24" x14ac:dyDescent="0.2">
      <c r="B122" s="18" t="s">
        <v>126</v>
      </c>
      <c r="C122" s="268">
        <f>100000/2</f>
        <v>50000</v>
      </c>
      <c r="D122" s="16"/>
      <c r="E122" s="130">
        <f t="shared" si="52"/>
        <v>50000</v>
      </c>
      <c r="F122" s="130"/>
      <c r="G122" s="130"/>
      <c r="H122" s="130"/>
      <c r="I122" s="130"/>
      <c r="J122" s="130"/>
      <c r="K122" s="56"/>
      <c r="L122" s="56"/>
      <c r="M122" s="56"/>
      <c r="N122" s="56"/>
      <c r="O122" s="56"/>
      <c r="R122" s="20">
        <f t="shared" si="51"/>
        <v>50000</v>
      </c>
      <c r="T122" s="109"/>
    </row>
    <row r="123" spans="2:24" x14ac:dyDescent="0.2">
      <c r="B123" s="18" t="s">
        <v>127</v>
      </c>
      <c r="C123" s="268">
        <f>15000/2</f>
        <v>7500</v>
      </c>
      <c r="D123" s="16"/>
      <c r="E123" s="130">
        <f t="shared" si="52"/>
        <v>7500</v>
      </c>
      <c r="F123" s="130"/>
      <c r="G123" s="130"/>
      <c r="H123" s="130"/>
      <c r="I123" s="130"/>
      <c r="J123" s="130"/>
      <c r="K123" s="56"/>
      <c r="L123" s="56"/>
      <c r="M123" s="56"/>
      <c r="N123" s="56"/>
      <c r="O123" s="56"/>
      <c r="R123" s="20">
        <f t="shared" si="51"/>
        <v>7500</v>
      </c>
      <c r="T123" s="109"/>
    </row>
    <row r="124" spans="2:24" x14ac:dyDescent="0.2">
      <c r="B124" s="267" t="s">
        <v>128</v>
      </c>
      <c r="C124" s="16"/>
      <c r="D124" s="16"/>
      <c r="E124" s="130"/>
      <c r="F124" s="130"/>
      <c r="G124" s="130"/>
      <c r="H124" s="130"/>
      <c r="I124" s="130"/>
      <c r="J124" s="130"/>
      <c r="K124" s="56"/>
      <c r="L124" s="56"/>
      <c r="M124" s="56"/>
      <c r="N124" s="56"/>
      <c r="O124" s="56"/>
      <c r="R124" s="20">
        <f t="shared" si="51"/>
        <v>0</v>
      </c>
      <c r="T124" s="109"/>
    </row>
    <row r="125" spans="2:24" x14ac:dyDescent="0.2">
      <c r="B125" s="18" t="s">
        <v>129</v>
      </c>
      <c r="C125" s="16">
        <v>25000</v>
      </c>
      <c r="D125" s="16"/>
      <c r="E125" s="130"/>
      <c r="F125" s="130">
        <f>$C$125</f>
        <v>25000</v>
      </c>
      <c r="G125" s="130"/>
      <c r="H125" s="130">
        <f>$C$125</f>
        <v>25000</v>
      </c>
      <c r="I125" s="130"/>
      <c r="J125" s="130">
        <f>$C$125</f>
        <v>25000</v>
      </c>
      <c r="K125" s="56"/>
      <c r="L125" s="130">
        <f>$C$125</f>
        <v>25000</v>
      </c>
      <c r="M125" s="56"/>
      <c r="N125" s="56"/>
      <c r="O125" s="56"/>
      <c r="R125" s="20">
        <f t="shared" si="51"/>
        <v>100000</v>
      </c>
      <c r="T125" s="109"/>
    </row>
    <row r="126" spans="2:24" x14ac:dyDescent="0.2">
      <c r="B126" s="18" t="s">
        <v>130</v>
      </c>
      <c r="C126" s="199">
        <v>7.4999999999999997E-2</v>
      </c>
      <c r="D126" s="16"/>
      <c r="E126" s="130">
        <f t="shared" ref="E126:N126" si="53">$C126*SUM(F80:F95)</f>
        <v>598476.5625</v>
      </c>
      <c r="F126" s="130">
        <f t="shared" si="53"/>
        <v>0</v>
      </c>
      <c r="G126" s="130">
        <f t="shared" si="53"/>
        <v>170666.015625</v>
      </c>
      <c r="H126" s="130">
        <f t="shared" si="53"/>
        <v>0</v>
      </c>
      <c r="I126" s="130">
        <f t="shared" si="53"/>
        <v>178792.96875</v>
      </c>
      <c r="J126" s="130">
        <f t="shared" si="53"/>
        <v>0</v>
      </c>
      <c r="K126" s="130">
        <f t="shared" si="53"/>
        <v>186919.921875</v>
      </c>
      <c r="L126" s="130">
        <f t="shared" si="53"/>
        <v>0</v>
      </c>
      <c r="M126" s="130">
        <f t="shared" si="53"/>
        <v>0</v>
      </c>
      <c r="N126" s="130">
        <f t="shared" si="53"/>
        <v>0</v>
      </c>
      <c r="O126" s="56"/>
      <c r="R126" s="20">
        <f t="shared" si="51"/>
        <v>1134855.46875</v>
      </c>
      <c r="T126" s="109"/>
    </row>
    <row r="127" spans="2:24" x14ac:dyDescent="0.2">
      <c r="B127" s="18" t="s">
        <v>131</v>
      </c>
      <c r="C127" s="199">
        <v>1.4999999999999999E-2</v>
      </c>
      <c r="D127" s="16"/>
      <c r="E127" s="130"/>
      <c r="F127" s="130">
        <f t="shared" ref="F127:N127" si="54">$C127*SUM(F80:F95)</f>
        <v>119695.3125</v>
      </c>
      <c r="G127" s="130">
        <f t="shared" si="54"/>
        <v>0</v>
      </c>
      <c r="H127" s="130">
        <f t="shared" si="54"/>
        <v>34133.203125</v>
      </c>
      <c r="I127" s="130">
        <f t="shared" si="54"/>
        <v>0</v>
      </c>
      <c r="J127" s="130">
        <f t="shared" si="54"/>
        <v>35758.59375</v>
      </c>
      <c r="K127" s="130">
        <f t="shared" si="54"/>
        <v>0</v>
      </c>
      <c r="L127" s="130">
        <f t="shared" si="54"/>
        <v>37383.984375</v>
      </c>
      <c r="M127" s="130">
        <f t="shared" si="54"/>
        <v>0</v>
      </c>
      <c r="N127" s="130">
        <f t="shared" si="54"/>
        <v>0</v>
      </c>
      <c r="O127" s="56"/>
      <c r="R127" s="20">
        <f t="shared" si="51"/>
        <v>226971.09375</v>
      </c>
      <c r="T127" s="109"/>
    </row>
    <row r="128" spans="2:24" x14ac:dyDescent="0.2">
      <c r="B128" s="18" t="s">
        <v>132</v>
      </c>
      <c r="C128" s="199">
        <v>0.1</v>
      </c>
      <c r="D128" s="16"/>
      <c r="E128" s="130">
        <f t="shared" ref="E128:N128" si="55">$C128*SUM(F96:F97)</f>
        <v>93750</v>
      </c>
      <c r="F128" s="130">
        <f t="shared" si="55"/>
        <v>0</v>
      </c>
      <c r="G128" s="130">
        <f t="shared" si="55"/>
        <v>98437.5</v>
      </c>
      <c r="H128" s="130">
        <f t="shared" si="55"/>
        <v>0</v>
      </c>
      <c r="I128" s="130">
        <f t="shared" si="55"/>
        <v>103125.00000000001</v>
      </c>
      <c r="J128" s="130">
        <f t="shared" si="55"/>
        <v>0</v>
      </c>
      <c r="K128" s="130">
        <f t="shared" si="55"/>
        <v>107812.5</v>
      </c>
      <c r="L128" s="130">
        <f t="shared" si="55"/>
        <v>0</v>
      </c>
      <c r="M128" s="130">
        <f t="shared" si="55"/>
        <v>0</v>
      </c>
      <c r="N128" s="130">
        <f t="shared" si="55"/>
        <v>0</v>
      </c>
      <c r="R128" s="20">
        <f t="shared" si="51"/>
        <v>403125</v>
      </c>
      <c r="T128" s="109"/>
    </row>
    <row r="129" spans="2:23" x14ac:dyDescent="0.2">
      <c r="B129" s="18" t="s">
        <v>133</v>
      </c>
      <c r="C129" s="199">
        <v>0.03</v>
      </c>
      <c r="D129" s="187"/>
      <c r="E129" s="130">
        <f t="shared" ref="E129:N129" si="56">$C129*SUM(E96:E97)</f>
        <v>0</v>
      </c>
      <c r="F129" s="130">
        <f t="shared" si="56"/>
        <v>28125</v>
      </c>
      <c r="G129" s="130">
        <f t="shared" si="56"/>
        <v>0</v>
      </c>
      <c r="H129" s="130">
        <f t="shared" si="56"/>
        <v>29531.25</v>
      </c>
      <c r="I129" s="130">
        <f t="shared" si="56"/>
        <v>0</v>
      </c>
      <c r="J129" s="130">
        <f t="shared" si="56"/>
        <v>30937.500000000004</v>
      </c>
      <c r="K129" s="130">
        <f t="shared" si="56"/>
        <v>0</v>
      </c>
      <c r="L129" s="130">
        <f t="shared" si="56"/>
        <v>32343.75</v>
      </c>
      <c r="M129" s="130">
        <f t="shared" si="56"/>
        <v>0</v>
      </c>
      <c r="N129" s="130">
        <f t="shared" si="56"/>
        <v>0</v>
      </c>
      <c r="O129" s="56"/>
      <c r="R129" s="20">
        <f>SUM(F129:Q129)</f>
        <v>120937.5</v>
      </c>
      <c r="T129" s="109"/>
    </row>
    <row r="130" spans="2:23" hidden="1" x14ac:dyDescent="0.2">
      <c r="B130" s="18"/>
      <c r="C130" s="16"/>
      <c r="D130" s="16"/>
      <c r="E130" s="130"/>
      <c r="F130" s="130"/>
      <c r="G130" s="130"/>
      <c r="H130" s="56"/>
      <c r="I130" s="56"/>
      <c r="J130" s="56"/>
      <c r="K130" s="56"/>
      <c r="L130" s="56"/>
      <c r="M130" s="56"/>
      <c r="N130" s="56"/>
      <c r="O130" s="56"/>
      <c r="R130" s="20"/>
      <c r="T130" s="109">
        <f>C130-R130</f>
        <v>0</v>
      </c>
    </row>
    <row r="131" spans="2:23" x14ac:dyDescent="0.2">
      <c r="B131" s="18" t="s">
        <v>134</v>
      </c>
      <c r="C131" s="16">
        <v>100000</v>
      </c>
      <c r="D131" s="16"/>
      <c r="E131" s="130">
        <f>$C$131*0.5</f>
        <v>50000</v>
      </c>
      <c r="F131" s="130">
        <f>$C$131*0.1</f>
        <v>10000</v>
      </c>
      <c r="G131" s="130"/>
      <c r="H131" s="130">
        <f>$C$131*0.1</f>
        <v>10000</v>
      </c>
      <c r="I131" s="56"/>
      <c r="J131" s="130">
        <f>$C$131*0.1</f>
        <v>10000</v>
      </c>
      <c r="K131" s="56"/>
      <c r="L131" s="130">
        <f>$C$131*0.1</f>
        <v>10000</v>
      </c>
      <c r="M131" s="130">
        <f>$C$131*0.1</f>
        <v>10000</v>
      </c>
      <c r="N131" s="56"/>
      <c r="O131" s="56"/>
      <c r="R131" s="20">
        <f t="shared" si="51"/>
        <v>100000</v>
      </c>
      <c r="T131" s="109"/>
    </row>
    <row r="132" spans="2:23" x14ac:dyDescent="0.2">
      <c r="B132" s="18" t="s">
        <v>135</v>
      </c>
      <c r="C132" s="56">
        <f>Q132</f>
        <v>0</v>
      </c>
      <c r="D132" s="16"/>
      <c r="E132" s="122">
        <f>(150*4)*12+750</f>
        <v>7950</v>
      </c>
      <c r="F132" s="122">
        <f t="shared" ref="F132:N132" si="57">(150*4)*12+750</f>
        <v>7950</v>
      </c>
      <c r="G132" s="122">
        <f t="shared" si="57"/>
        <v>7950</v>
      </c>
      <c r="H132" s="122">
        <f t="shared" si="57"/>
        <v>7950</v>
      </c>
      <c r="I132" s="122">
        <f t="shared" si="57"/>
        <v>7950</v>
      </c>
      <c r="J132" s="122">
        <f t="shared" si="57"/>
        <v>7950</v>
      </c>
      <c r="K132" s="122">
        <f t="shared" si="57"/>
        <v>7950</v>
      </c>
      <c r="L132" s="122">
        <f t="shared" si="57"/>
        <v>7950</v>
      </c>
      <c r="M132" s="122">
        <f t="shared" si="57"/>
        <v>7950</v>
      </c>
      <c r="N132" s="122">
        <f t="shared" si="57"/>
        <v>7950</v>
      </c>
      <c r="O132" s="20"/>
      <c r="P132" s="20"/>
      <c r="Q132" s="20"/>
      <c r="R132" s="20">
        <f t="shared" si="51"/>
        <v>79500</v>
      </c>
      <c r="T132" s="109"/>
    </row>
    <row r="133" spans="2:23" x14ac:dyDescent="0.2">
      <c r="B133" s="38" t="s">
        <v>136</v>
      </c>
      <c r="C133" s="105">
        <v>0.05</v>
      </c>
      <c r="D133" s="41"/>
      <c r="E133" s="42">
        <f>SUM(E119:E132)*$C$133</f>
        <v>45883.828125</v>
      </c>
      <c r="F133" s="42">
        <f>SUM(F117:F132)*$C$133</f>
        <v>9538.515625</v>
      </c>
      <c r="G133" s="42">
        <f>SUM(G117:G132)*$C$133</f>
        <v>13852.67578125</v>
      </c>
      <c r="H133" s="42">
        <f>SUM(H117:H132)*$C$133</f>
        <v>5330.72265625</v>
      </c>
      <c r="I133" s="42">
        <f>SUM(I117:I132)*$C$133</f>
        <v>14493.3984375</v>
      </c>
      <c r="J133" s="42">
        <f t="shared" ref="J133:M133" si="58">SUM(J117:J132)*$C$133</f>
        <v>5482.3046875</v>
      </c>
      <c r="K133" s="42">
        <f t="shared" si="58"/>
        <v>15134.12109375</v>
      </c>
      <c r="L133" s="42">
        <f t="shared" si="58"/>
        <v>5633.88671875</v>
      </c>
      <c r="M133" s="42">
        <f t="shared" si="58"/>
        <v>897.5</v>
      </c>
      <c r="N133" s="42">
        <f t="shared" ref="N133" si="59">SUM(N117:N132)*$C$133</f>
        <v>397.5</v>
      </c>
      <c r="O133" s="42"/>
      <c r="P133" s="42"/>
      <c r="Q133" s="42">
        <f>SUM(Q128:Q132)*$C$133</f>
        <v>0</v>
      </c>
      <c r="R133" s="42">
        <f t="shared" si="51"/>
        <v>116644.453125</v>
      </c>
      <c r="T133" s="109"/>
    </row>
    <row r="134" spans="2:23" x14ac:dyDescent="0.2">
      <c r="B134" s="8" t="str">
        <f>B117</f>
        <v>SOFT COSTS PROFESSIONALS - SITE, RESTORE, &amp; INFRA</v>
      </c>
      <c r="E134" s="44">
        <f t="shared" ref="E134:Q134" si="60">SUM(E117:E133)</f>
        <v>963560.390625</v>
      </c>
      <c r="F134" s="44">
        <f t="shared" si="60"/>
        <v>200308.828125</v>
      </c>
      <c r="G134" s="44">
        <f t="shared" si="60"/>
        <v>290906.19140625</v>
      </c>
      <c r="H134" s="44">
        <f t="shared" si="60"/>
        <v>111945.17578125</v>
      </c>
      <c r="I134" s="44">
        <f t="shared" si="60"/>
        <v>304361.3671875</v>
      </c>
      <c r="J134" s="44">
        <f t="shared" si="60"/>
        <v>115128.3984375</v>
      </c>
      <c r="K134" s="44">
        <f t="shared" si="60"/>
        <v>317816.54296875</v>
      </c>
      <c r="L134" s="44">
        <f t="shared" si="60"/>
        <v>118311.62109375</v>
      </c>
      <c r="M134" s="44">
        <f t="shared" si="60"/>
        <v>18847.5</v>
      </c>
      <c r="N134" s="44">
        <f t="shared" si="60"/>
        <v>8347.5</v>
      </c>
      <c r="O134" s="44">
        <f t="shared" si="60"/>
        <v>0</v>
      </c>
      <c r="P134" s="44">
        <f t="shared" si="60"/>
        <v>0</v>
      </c>
      <c r="Q134" s="44">
        <f t="shared" si="60"/>
        <v>0</v>
      </c>
      <c r="R134" s="228">
        <f t="shared" si="51"/>
        <v>2449533.515625</v>
      </c>
      <c r="T134" s="110">
        <f>R134/$R$10</f>
        <v>20412.779296875</v>
      </c>
      <c r="U134" s="135" t="s">
        <v>83</v>
      </c>
    </row>
    <row r="135" spans="2:23" x14ac:dyDescent="0.2">
      <c r="B135" s="37"/>
      <c r="C135" s="33"/>
      <c r="D135" s="32"/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20"/>
      <c r="T135" s="104">
        <f>R134/$T$65</f>
        <v>2.5318175872093025E-2</v>
      </c>
      <c r="U135" s="1" t="s">
        <v>85</v>
      </c>
    </row>
    <row r="136" spans="2:23" hidden="1" x14ac:dyDescent="0.2">
      <c r="B136" s="192" t="s">
        <v>137</v>
      </c>
      <c r="R136" s="20"/>
      <c r="W136" s="1" t="s">
        <v>138</v>
      </c>
    </row>
    <row r="137" spans="2:23" hidden="1" x14ac:dyDescent="0.2">
      <c r="B137" s="267" t="s">
        <v>139</v>
      </c>
      <c r="C137" s="128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20"/>
      <c r="T137" s="109" t="e">
        <f t="shared" ref="T137:T154" si="61">R137/$R$19</f>
        <v>#DIV/0!</v>
      </c>
      <c r="U137" s="135" t="s">
        <v>140</v>
      </c>
      <c r="V137" s="109">
        <f>R137/20</f>
        <v>0</v>
      </c>
      <c r="W137" s="135" t="s">
        <v>141</v>
      </c>
    </row>
    <row r="138" spans="2:23" hidden="1" x14ac:dyDescent="0.2">
      <c r="B138" s="18" t="s">
        <v>142</v>
      </c>
      <c r="C138" s="16">
        <v>0</v>
      </c>
      <c r="D138" s="56"/>
      <c r="E138" s="56">
        <f>$C138*E$11</f>
        <v>0</v>
      </c>
      <c r="F138" s="56">
        <f t="shared" ref="F138:N138" si="62">$C138*F$11</f>
        <v>0</v>
      </c>
      <c r="G138" s="56">
        <f t="shared" si="62"/>
        <v>0</v>
      </c>
      <c r="H138" s="56">
        <f t="shared" si="62"/>
        <v>0</v>
      </c>
      <c r="I138" s="56">
        <f t="shared" si="62"/>
        <v>0</v>
      </c>
      <c r="J138" s="56">
        <f t="shared" si="62"/>
        <v>0</v>
      </c>
      <c r="K138" s="56">
        <f t="shared" si="62"/>
        <v>0</v>
      </c>
      <c r="L138" s="56">
        <f t="shared" si="62"/>
        <v>0</v>
      </c>
      <c r="M138" s="56">
        <f t="shared" si="62"/>
        <v>0</v>
      </c>
      <c r="N138" s="56">
        <f t="shared" si="62"/>
        <v>0</v>
      </c>
      <c r="O138" s="56"/>
      <c r="P138" s="56"/>
      <c r="Q138" s="56"/>
      <c r="R138" s="20">
        <f t="shared" ref="R138:R144" si="63">SUM(D138:Q138)</f>
        <v>0</v>
      </c>
      <c r="T138" s="109"/>
      <c r="U138" s="135"/>
      <c r="V138" s="109"/>
      <c r="W138" s="135"/>
    </row>
    <row r="139" spans="2:23" ht="32" hidden="1" x14ac:dyDescent="0.2">
      <c r="B139" s="273" t="s">
        <v>143</v>
      </c>
      <c r="C139" s="16">
        <v>0</v>
      </c>
      <c r="D139" s="56"/>
      <c r="E139" s="56">
        <f>$C139*E$11</f>
        <v>0</v>
      </c>
      <c r="F139" s="56">
        <f t="shared" ref="F139:N139" si="64">$C139*G$19</f>
        <v>0</v>
      </c>
      <c r="G139" s="56">
        <f t="shared" si="64"/>
        <v>0</v>
      </c>
      <c r="H139" s="56">
        <f t="shared" si="64"/>
        <v>0</v>
      </c>
      <c r="I139" s="56">
        <f t="shared" si="64"/>
        <v>0</v>
      </c>
      <c r="J139" s="56">
        <f t="shared" si="64"/>
        <v>0</v>
      </c>
      <c r="K139" s="56">
        <f t="shared" si="64"/>
        <v>0</v>
      </c>
      <c r="L139" s="56">
        <f t="shared" si="64"/>
        <v>0</v>
      </c>
      <c r="M139" s="56">
        <f t="shared" si="64"/>
        <v>0</v>
      </c>
      <c r="N139" s="56">
        <f t="shared" si="64"/>
        <v>0</v>
      </c>
      <c r="O139" s="56"/>
      <c r="P139" s="56"/>
      <c r="Q139" s="56"/>
      <c r="R139" s="20">
        <f t="shared" si="63"/>
        <v>0</v>
      </c>
      <c r="T139" s="109"/>
      <c r="U139" s="135"/>
      <c r="V139" s="109"/>
      <c r="W139" s="135"/>
    </row>
    <row r="140" spans="2:23" hidden="1" x14ac:dyDescent="0.2">
      <c r="B140" s="18" t="s">
        <v>144</v>
      </c>
      <c r="C140" s="16">
        <v>0</v>
      </c>
      <c r="D140" s="56"/>
      <c r="E140" s="56">
        <f>$C140*F$19</f>
        <v>0</v>
      </c>
      <c r="F140" s="56">
        <f t="shared" ref="F140:N140" si="65">$C140*G$19</f>
        <v>0</v>
      </c>
      <c r="G140" s="56">
        <f t="shared" si="65"/>
        <v>0</v>
      </c>
      <c r="H140" s="56">
        <f t="shared" si="65"/>
        <v>0</v>
      </c>
      <c r="I140" s="56">
        <f t="shared" si="65"/>
        <v>0</v>
      </c>
      <c r="J140" s="56">
        <f t="shared" si="65"/>
        <v>0</v>
      </c>
      <c r="K140" s="56">
        <f t="shared" si="65"/>
        <v>0</v>
      </c>
      <c r="L140" s="56">
        <f t="shared" si="65"/>
        <v>0</v>
      </c>
      <c r="M140" s="56">
        <f t="shared" si="65"/>
        <v>0</v>
      </c>
      <c r="N140" s="56">
        <f t="shared" si="65"/>
        <v>0</v>
      </c>
      <c r="O140" s="56"/>
      <c r="P140" s="56"/>
      <c r="Q140" s="56"/>
      <c r="R140" s="20">
        <f t="shared" si="63"/>
        <v>0</v>
      </c>
      <c r="T140" s="109"/>
      <c r="U140" s="135"/>
      <c r="V140" s="109"/>
      <c r="W140" s="135"/>
    </row>
    <row r="141" spans="2:23" hidden="1" x14ac:dyDescent="0.2">
      <c r="B141" s="18" t="s">
        <v>145</v>
      </c>
      <c r="C141" s="16">
        <v>0</v>
      </c>
      <c r="D141" s="56"/>
      <c r="E141" s="56"/>
      <c r="F141" s="56">
        <f>$C141*5</f>
        <v>0</v>
      </c>
      <c r="G141" s="56"/>
      <c r="H141" s="56">
        <f>$C$141*1</f>
        <v>0</v>
      </c>
      <c r="I141" s="56"/>
      <c r="J141" s="56">
        <f>$C$141*1</f>
        <v>0</v>
      </c>
      <c r="K141" s="56"/>
      <c r="L141" s="56">
        <f>$C$141*1</f>
        <v>0</v>
      </c>
      <c r="M141" s="56"/>
      <c r="N141" s="56"/>
      <c r="O141" s="56"/>
      <c r="P141" s="56"/>
      <c r="Q141" s="56"/>
      <c r="R141" s="20">
        <f t="shared" si="63"/>
        <v>0</v>
      </c>
      <c r="T141" s="109"/>
      <c r="U141" s="135"/>
      <c r="V141" s="109"/>
      <c r="W141" s="135"/>
    </row>
    <row r="142" spans="2:23" hidden="1" x14ac:dyDescent="0.2">
      <c r="B142" s="18" t="s">
        <v>146</v>
      </c>
      <c r="C142" s="16">
        <v>0</v>
      </c>
      <c r="D142" s="56"/>
      <c r="E142" s="56"/>
      <c r="F142" s="56">
        <f>$C142*5</f>
        <v>0</v>
      </c>
      <c r="G142" s="56"/>
      <c r="H142" s="56">
        <f>$C142*1.5</f>
        <v>0</v>
      </c>
      <c r="I142" s="56"/>
      <c r="J142" s="56">
        <f>$C142*1.5</f>
        <v>0</v>
      </c>
      <c r="K142" s="56"/>
      <c r="L142" s="56">
        <f>$C142*1.5</f>
        <v>0</v>
      </c>
      <c r="M142" s="56"/>
      <c r="N142" s="56"/>
      <c r="O142" s="56"/>
      <c r="P142" s="56"/>
      <c r="Q142" s="56"/>
      <c r="R142" s="20">
        <f t="shared" si="63"/>
        <v>0</v>
      </c>
      <c r="T142" s="109"/>
      <c r="U142" s="135"/>
      <c r="V142" s="109"/>
      <c r="W142" s="135"/>
    </row>
    <row r="143" spans="2:23" hidden="1" x14ac:dyDescent="0.2">
      <c r="B143" s="18" t="s">
        <v>147</v>
      </c>
      <c r="C143" s="127">
        <v>0</v>
      </c>
      <c r="D143" s="56"/>
      <c r="E143" s="56"/>
      <c r="F143" s="56">
        <f>(($D16+750)*1*$C143)+(($D17+850)*2*$C143)+(($D18+1000)*2*$C143)</f>
        <v>0</v>
      </c>
      <c r="G143" s="56"/>
      <c r="H143" s="56">
        <f>(($D16+750)*1*$C143)+(($D17+850)*1*$C143)+(($D18+1000)*1*$C143)</f>
        <v>0</v>
      </c>
      <c r="I143" s="56"/>
      <c r="J143" s="56">
        <f>(($D16+750)*1*$C143)+(($D17+850)*1*$C143)+(($D18+1000)*1*$C143)</f>
        <v>0</v>
      </c>
      <c r="K143" s="56"/>
      <c r="L143" s="56">
        <f>(($D16+750)*1*$C143)+(($D17+850)*1*$C143)+(($D18+1000)*1*$C143)</f>
        <v>0</v>
      </c>
      <c r="M143" s="56"/>
      <c r="N143" s="56"/>
      <c r="O143" s="56"/>
      <c r="P143" s="56"/>
      <c r="Q143" s="56"/>
      <c r="R143" s="20">
        <f t="shared" si="63"/>
        <v>0</v>
      </c>
      <c r="T143" s="109"/>
      <c r="U143" s="135"/>
      <c r="V143" s="109"/>
      <c r="W143" s="135"/>
    </row>
    <row r="144" spans="2:23" hidden="1" x14ac:dyDescent="0.2">
      <c r="B144" s="18" t="s">
        <v>148</v>
      </c>
      <c r="C144" s="127">
        <v>0</v>
      </c>
      <c r="D144" s="56"/>
      <c r="E144" s="56"/>
      <c r="F144" s="56">
        <f>(($D16+750)*1*$C144)+(($D17+850)*2*$C144)+(($D18+1000)*2*$C144)</f>
        <v>0</v>
      </c>
      <c r="G144" s="56"/>
      <c r="H144" s="56">
        <f>(($D16+750)*1*$C144)+(($D17+850)*1*$C144)+(($D18+1000)*1*$C144)</f>
        <v>0</v>
      </c>
      <c r="I144" s="56"/>
      <c r="J144" s="56">
        <f>(($D16+750)*1*$C144)+(($D17+850)*1*$C144)+(($D18+1000)*1*$C144)</f>
        <v>0</v>
      </c>
      <c r="K144" s="56"/>
      <c r="L144" s="56">
        <f>(($D16+750)*1*$C144)+(($D17+850)*1*$C144)+(($D18+1000)*1*$C144)</f>
        <v>0</v>
      </c>
      <c r="M144" s="56"/>
      <c r="N144" s="56"/>
      <c r="O144" s="56"/>
      <c r="P144" s="56"/>
      <c r="Q144" s="56"/>
      <c r="R144" s="20">
        <f t="shared" si="63"/>
        <v>0</v>
      </c>
      <c r="T144" s="109"/>
      <c r="U144" s="135"/>
      <c r="V144" s="109"/>
      <c r="W144" s="135"/>
    </row>
    <row r="145" spans="2:25" hidden="1" x14ac:dyDescent="0.2">
      <c r="B145" s="18" t="s">
        <v>149</v>
      </c>
      <c r="C145" s="16">
        <v>0</v>
      </c>
      <c r="D145" s="56"/>
      <c r="E145" s="56"/>
      <c r="F145" s="56">
        <f>$C145*F$19</f>
        <v>0</v>
      </c>
      <c r="G145" s="56">
        <f>$C145*G$19</f>
        <v>0</v>
      </c>
      <c r="H145" s="56">
        <f>$C145*H$19</f>
        <v>0</v>
      </c>
      <c r="I145" s="56">
        <f t="shared" ref="I145:N145" si="66">$C145*I$19</f>
        <v>0</v>
      </c>
      <c r="J145" s="56">
        <f t="shared" si="66"/>
        <v>0</v>
      </c>
      <c r="K145" s="56">
        <f t="shared" si="66"/>
        <v>0</v>
      </c>
      <c r="L145" s="56">
        <f t="shared" si="66"/>
        <v>0</v>
      </c>
      <c r="M145" s="56">
        <f t="shared" si="66"/>
        <v>0</v>
      </c>
      <c r="N145" s="56">
        <f t="shared" si="66"/>
        <v>0</v>
      </c>
      <c r="O145" s="56">
        <f>$C145*O$109</f>
        <v>0</v>
      </c>
      <c r="P145" s="56">
        <f>$C145*P$109</f>
        <v>0</v>
      </c>
      <c r="Q145" s="56">
        <f>$C145*Q$109</f>
        <v>0</v>
      </c>
      <c r="R145" s="20">
        <f>SUM(D145:Q145)</f>
        <v>0</v>
      </c>
      <c r="T145" s="109" t="e">
        <f t="shared" si="61"/>
        <v>#DIV/0!</v>
      </c>
      <c r="U145" s="135" t="s">
        <v>140</v>
      </c>
      <c r="V145" s="109">
        <f t="shared" ref="V145:V154" si="67">R145/20</f>
        <v>0</v>
      </c>
      <c r="W145" s="135" t="s">
        <v>141</v>
      </c>
    </row>
    <row r="146" spans="2:25" hidden="1" x14ac:dyDescent="0.2">
      <c r="B146" s="267" t="s">
        <v>150</v>
      </c>
      <c r="C146" s="16"/>
      <c r="D146" s="1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>
        <f t="shared" ref="O146:Q146" si="68">O$19*$C146</f>
        <v>0</v>
      </c>
      <c r="P146" s="56">
        <f t="shared" si="68"/>
        <v>0</v>
      </c>
      <c r="Q146" s="56">
        <f t="shared" si="68"/>
        <v>0</v>
      </c>
      <c r="R146" s="20">
        <f>SUM(D146:Q146)</f>
        <v>0</v>
      </c>
      <c r="T146" s="109" t="e">
        <f t="shared" si="61"/>
        <v>#DIV/0!</v>
      </c>
      <c r="U146" s="135" t="s">
        <v>140</v>
      </c>
      <c r="V146" s="109">
        <f t="shared" si="67"/>
        <v>0</v>
      </c>
      <c r="W146" s="135" t="s">
        <v>141</v>
      </c>
    </row>
    <row r="147" spans="2:25" hidden="1" x14ac:dyDescent="0.2">
      <c r="B147" s="18" t="s">
        <v>151</v>
      </c>
      <c r="C147" s="16">
        <v>0</v>
      </c>
      <c r="D147" s="56"/>
      <c r="E147" s="56"/>
      <c r="F147" s="56"/>
      <c r="G147" s="56">
        <f t="shared" ref="G147:N150" si="69">+$C147*12</f>
        <v>0</v>
      </c>
      <c r="H147" s="56">
        <f t="shared" si="69"/>
        <v>0</v>
      </c>
      <c r="I147" s="56">
        <f t="shared" si="69"/>
        <v>0</v>
      </c>
      <c r="J147" s="56">
        <f t="shared" si="69"/>
        <v>0</v>
      </c>
      <c r="K147" s="56">
        <f t="shared" si="69"/>
        <v>0</v>
      </c>
      <c r="L147" s="56">
        <f t="shared" si="69"/>
        <v>0</v>
      </c>
      <c r="M147" s="56">
        <f t="shared" si="69"/>
        <v>0</v>
      </c>
      <c r="N147" s="56">
        <f t="shared" si="69"/>
        <v>0</v>
      </c>
      <c r="O147" s="56">
        <f>$C147*O110</f>
        <v>0</v>
      </c>
      <c r="P147" s="56">
        <f>$C147*P110</f>
        <v>0</v>
      </c>
      <c r="Q147" s="56">
        <f>$C147*Q110</f>
        <v>0</v>
      </c>
      <c r="R147" s="20">
        <f>SUM(D147:Q147)</f>
        <v>0</v>
      </c>
      <c r="T147" s="109" t="e">
        <f t="shared" si="61"/>
        <v>#DIV/0!</v>
      </c>
      <c r="U147" s="135" t="s">
        <v>140</v>
      </c>
      <c r="V147" s="109">
        <f t="shared" si="67"/>
        <v>0</v>
      </c>
      <c r="W147" s="135" t="s">
        <v>141</v>
      </c>
    </row>
    <row r="148" spans="2:25" hidden="1" x14ac:dyDescent="0.2">
      <c r="B148" s="18" t="s">
        <v>152</v>
      </c>
      <c r="C148" s="16">
        <v>0</v>
      </c>
      <c r="D148" s="56"/>
      <c r="E148" s="56"/>
      <c r="F148" s="56"/>
      <c r="G148" s="56">
        <f t="shared" si="69"/>
        <v>0</v>
      </c>
      <c r="H148" s="56">
        <f t="shared" si="69"/>
        <v>0</v>
      </c>
      <c r="I148" s="56">
        <f t="shared" si="69"/>
        <v>0</v>
      </c>
      <c r="J148" s="56">
        <f t="shared" si="69"/>
        <v>0</v>
      </c>
      <c r="K148" s="56">
        <f t="shared" si="69"/>
        <v>0</v>
      </c>
      <c r="L148" s="56">
        <f t="shared" si="69"/>
        <v>0</v>
      </c>
      <c r="M148" s="56">
        <f t="shared" si="69"/>
        <v>0</v>
      </c>
      <c r="N148" s="56">
        <f t="shared" si="69"/>
        <v>0</v>
      </c>
      <c r="O148" s="56">
        <f t="shared" ref="O148:Q148" si="70">O$19*$C148</f>
        <v>0</v>
      </c>
      <c r="P148" s="56">
        <f t="shared" si="70"/>
        <v>0</v>
      </c>
      <c r="Q148" s="56">
        <f t="shared" si="70"/>
        <v>0</v>
      </c>
      <c r="R148" s="20">
        <f>SUM(D148:P148)</f>
        <v>0</v>
      </c>
      <c r="T148" s="109" t="e">
        <f t="shared" si="61"/>
        <v>#DIV/0!</v>
      </c>
      <c r="U148" s="135" t="s">
        <v>140</v>
      </c>
      <c r="V148" s="109">
        <f t="shared" si="67"/>
        <v>0</v>
      </c>
      <c r="W148" s="135" t="s">
        <v>141</v>
      </c>
    </row>
    <row r="149" spans="2:25" hidden="1" x14ac:dyDescent="0.2">
      <c r="B149" s="18" t="s">
        <v>153</v>
      </c>
      <c r="C149" s="16">
        <v>0</v>
      </c>
      <c r="D149" s="16"/>
      <c r="E149" s="20"/>
      <c r="F149" s="20"/>
      <c r="G149" s="56">
        <f t="shared" si="69"/>
        <v>0</v>
      </c>
      <c r="H149" s="56">
        <f t="shared" si="69"/>
        <v>0</v>
      </c>
      <c r="I149" s="56">
        <f t="shared" si="69"/>
        <v>0</v>
      </c>
      <c r="J149" s="56">
        <f t="shared" si="69"/>
        <v>0</v>
      </c>
      <c r="K149" s="56">
        <f t="shared" si="69"/>
        <v>0</v>
      </c>
      <c r="L149" s="56">
        <f t="shared" si="69"/>
        <v>0</v>
      </c>
      <c r="M149" s="56">
        <f t="shared" si="69"/>
        <v>0</v>
      </c>
      <c r="N149" s="56">
        <f t="shared" si="69"/>
        <v>0</v>
      </c>
      <c r="O149" s="20">
        <f>((SUMPRODUCT($D$16:$D$18,O16:O18))*$C149)</f>
        <v>0</v>
      </c>
      <c r="P149" s="20">
        <f>((SUMPRODUCT($D$16:$D$18,P16:P18))*$C149)</f>
        <v>0</v>
      </c>
      <c r="Q149" s="20">
        <f>((SUMPRODUCT($D$16:$D$18,Q16:Q18))*$C149)</f>
        <v>0</v>
      </c>
      <c r="R149" s="20">
        <f>SUM(D149:P149)</f>
        <v>0</v>
      </c>
      <c r="T149" s="109" t="e">
        <f t="shared" si="61"/>
        <v>#DIV/0!</v>
      </c>
      <c r="U149" s="135" t="s">
        <v>140</v>
      </c>
      <c r="V149" s="109">
        <f t="shared" si="67"/>
        <v>0</v>
      </c>
      <c r="W149" s="135" t="s">
        <v>141</v>
      </c>
      <c r="X149" s="136">
        <f>R149/C89</f>
        <v>0</v>
      </c>
      <c r="Y149" s="136"/>
    </row>
    <row r="150" spans="2:25" hidden="1" x14ac:dyDescent="0.2">
      <c r="B150" s="18" t="s">
        <v>154</v>
      </c>
      <c r="C150" s="16">
        <v>0</v>
      </c>
      <c r="D150" s="16"/>
      <c r="E150" s="56"/>
      <c r="F150" s="56"/>
      <c r="G150" s="56">
        <f t="shared" si="69"/>
        <v>0</v>
      </c>
      <c r="H150" s="56">
        <f t="shared" si="69"/>
        <v>0</v>
      </c>
      <c r="I150" s="56">
        <f t="shared" si="69"/>
        <v>0</v>
      </c>
      <c r="J150" s="56">
        <f t="shared" si="69"/>
        <v>0</v>
      </c>
      <c r="K150" s="56">
        <f t="shared" si="69"/>
        <v>0</v>
      </c>
      <c r="L150" s="56">
        <f t="shared" si="69"/>
        <v>0</v>
      </c>
      <c r="M150" s="56">
        <f t="shared" si="69"/>
        <v>0</v>
      </c>
      <c r="N150" s="56">
        <f t="shared" si="69"/>
        <v>0</v>
      </c>
      <c r="O150" s="56">
        <f t="shared" ref="O150:Q152" si="71">$C150*O$109</f>
        <v>0</v>
      </c>
      <c r="P150" s="56">
        <f t="shared" si="71"/>
        <v>0</v>
      </c>
      <c r="Q150" s="56">
        <f t="shared" si="71"/>
        <v>0</v>
      </c>
      <c r="R150" s="20">
        <f>SUM(D150:P150)</f>
        <v>0</v>
      </c>
      <c r="T150" s="109" t="e">
        <f t="shared" si="61"/>
        <v>#DIV/0!</v>
      </c>
      <c r="U150" s="135" t="s">
        <v>140</v>
      </c>
      <c r="V150" s="109">
        <f t="shared" si="67"/>
        <v>0</v>
      </c>
      <c r="W150" s="135" t="s">
        <v>141</v>
      </c>
    </row>
    <row r="151" spans="2:25" hidden="1" x14ac:dyDescent="0.2">
      <c r="B151" s="18" t="s">
        <v>155</v>
      </c>
      <c r="C151" s="16">
        <v>0</v>
      </c>
      <c r="D151" s="16"/>
      <c r="E151" s="56">
        <f>$C151*F$109</f>
        <v>0</v>
      </c>
      <c r="F151" s="56">
        <f>+$C151*0.5</f>
        <v>0</v>
      </c>
      <c r="G151" s="56">
        <f>+$C151*0.1</f>
        <v>0</v>
      </c>
      <c r="H151" s="56">
        <f>+$C151*0.1</f>
        <v>0</v>
      </c>
      <c r="I151" s="56"/>
      <c r="J151" s="56">
        <f>+$C151*0.1</f>
        <v>0</v>
      </c>
      <c r="K151" s="56"/>
      <c r="L151" s="56">
        <f>+$C151*0.1</f>
        <v>0</v>
      </c>
      <c r="M151" s="56">
        <f>+$C151*0.1</f>
        <v>0</v>
      </c>
      <c r="N151" s="56"/>
      <c r="O151" s="56">
        <f t="shared" si="71"/>
        <v>0</v>
      </c>
      <c r="P151" s="56">
        <f t="shared" si="71"/>
        <v>0</v>
      </c>
      <c r="Q151" s="56">
        <f t="shared" si="71"/>
        <v>0</v>
      </c>
      <c r="R151" s="20">
        <f>SUM(D151:P151)</f>
        <v>0</v>
      </c>
      <c r="T151" s="109" t="e">
        <f t="shared" si="61"/>
        <v>#DIV/0!</v>
      </c>
      <c r="U151" s="135" t="s">
        <v>140</v>
      </c>
      <c r="V151" s="109">
        <f>R151/20</f>
        <v>0</v>
      </c>
      <c r="W151" s="135" t="s">
        <v>141</v>
      </c>
    </row>
    <row r="152" spans="2:25" hidden="1" x14ac:dyDescent="0.2">
      <c r="B152" s="18" t="s">
        <v>156</v>
      </c>
      <c r="C152" s="137">
        <v>0</v>
      </c>
      <c r="D152" s="16"/>
      <c r="E152" s="56">
        <f>$C152*F$109</f>
        <v>0</v>
      </c>
      <c r="F152" s="56"/>
      <c r="G152" s="56"/>
      <c r="H152" s="56"/>
      <c r="I152" s="56"/>
      <c r="J152" s="56"/>
      <c r="K152" s="56"/>
      <c r="L152" s="56"/>
      <c r="M152" s="56"/>
      <c r="N152" s="56"/>
      <c r="O152" s="56">
        <f t="shared" si="71"/>
        <v>0</v>
      </c>
      <c r="P152" s="56">
        <f t="shared" si="71"/>
        <v>0</v>
      </c>
      <c r="Q152" s="56">
        <f t="shared" si="71"/>
        <v>0</v>
      </c>
      <c r="R152" s="20">
        <f>SUM(D152:P152)</f>
        <v>0</v>
      </c>
      <c r="T152" s="109" t="e">
        <f t="shared" si="61"/>
        <v>#DIV/0!</v>
      </c>
      <c r="U152" s="135" t="s">
        <v>140</v>
      </c>
      <c r="V152" s="109">
        <f t="shared" si="67"/>
        <v>0</v>
      </c>
      <c r="W152" s="135" t="s">
        <v>141</v>
      </c>
    </row>
    <row r="153" spans="2:25" hidden="1" x14ac:dyDescent="0.2">
      <c r="B153" s="38" t="s">
        <v>136</v>
      </c>
      <c r="C153" s="105">
        <v>0</v>
      </c>
      <c r="D153" s="42"/>
      <c r="E153" s="42">
        <f>SUM(E137:E152)*$C153</f>
        <v>0</v>
      </c>
      <c r="F153" s="42">
        <f>SUM(F138:F152)*$C153</f>
        <v>0</v>
      </c>
      <c r="G153" s="42">
        <f t="shared" ref="G153:N153" si="72">SUM(G138:G152)*$C153</f>
        <v>0</v>
      </c>
      <c r="H153" s="42">
        <f t="shared" si="72"/>
        <v>0</v>
      </c>
      <c r="I153" s="42">
        <f t="shared" si="72"/>
        <v>0</v>
      </c>
      <c r="J153" s="42">
        <f t="shared" si="72"/>
        <v>0</v>
      </c>
      <c r="K153" s="42">
        <f t="shared" si="72"/>
        <v>0</v>
      </c>
      <c r="L153" s="42">
        <f t="shared" si="72"/>
        <v>0</v>
      </c>
      <c r="M153" s="42">
        <f t="shared" si="72"/>
        <v>0</v>
      </c>
      <c r="N153" s="42">
        <f t="shared" si="72"/>
        <v>0</v>
      </c>
      <c r="O153" s="42">
        <f t="shared" ref="O153:Q153" si="73">SUM(O137:O152)*$C153</f>
        <v>0</v>
      </c>
      <c r="P153" s="42">
        <f t="shared" si="73"/>
        <v>0</v>
      </c>
      <c r="Q153" s="42">
        <f t="shared" si="73"/>
        <v>0</v>
      </c>
      <c r="R153" s="40">
        <f>SUM(D153:Q153)</f>
        <v>0</v>
      </c>
      <c r="T153" s="109" t="e">
        <f t="shared" si="61"/>
        <v>#DIV/0!</v>
      </c>
      <c r="U153" s="135" t="s">
        <v>140</v>
      </c>
      <c r="V153" s="109">
        <f t="shared" si="67"/>
        <v>0</v>
      </c>
      <c r="W153" s="135" t="s">
        <v>141</v>
      </c>
    </row>
    <row r="154" spans="2:25" hidden="1" x14ac:dyDescent="0.2">
      <c r="B154" s="8" t="str">
        <f>B136</f>
        <v>SOFT COSTS PROFESSIONALS - HOMES</v>
      </c>
      <c r="D154" s="44"/>
      <c r="E154" s="44">
        <f t="shared" ref="E154:P154" si="74">SUM(E136:E153)</f>
        <v>0</v>
      </c>
      <c r="F154" s="44">
        <f t="shared" si="74"/>
        <v>0</v>
      </c>
      <c r="G154" s="44">
        <f t="shared" si="74"/>
        <v>0</v>
      </c>
      <c r="H154" s="44">
        <f t="shared" si="74"/>
        <v>0</v>
      </c>
      <c r="I154" s="44">
        <f t="shared" si="74"/>
        <v>0</v>
      </c>
      <c r="J154" s="44">
        <f t="shared" si="74"/>
        <v>0</v>
      </c>
      <c r="K154" s="44">
        <f t="shared" si="74"/>
        <v>0</v>
      </c>
      <c r="L154" s="44">
        <f t="shared" si="74"/>
        <v>0</v>
      </c>
      <c r="M154" s="44">
        <f t="shared" si="74"/>
        <v>0</v>
      </c>
      <c r="N154" s="44">
        <f t="shared" si="74"/>
        <v>0</v>
      </c>
      <c r="O154" s="44">
        <f t="shared" si="74"/>
        <v>0</v>
      </c>
      <c r="P154" s="44">
        <f t="shared" si="74"/>
        <v>0</v>
      </c>
      <c r="Q154" s="44"/>
      <c r="R154" s="228">
        <f>SUM(D154:Q154)</f>
        <v>0</v>
      </c>
      <c r="T154" s="109" t="e">
        <f t="shared" si="61"/>
        <v>#DIV/0!</v>
      </c>
      <c r="U154" s="135" t="s">
        <v>140</v>
      </c>
      <c r="V154" s="109">
        <f t="shared" si="67"/>
        <v>0</v>
      </c>
      <c r="W154" s="135" t="s">
        <v>141</v>
      </c>
    </row>
    <row r="155" spans="2:25" hidden="1" x14ac:dyDescent="0.2">
      <c r="T155" s="104">
        <f>R154/$T$65</f>
        <v>0</v>
      </c>
      <c r="U155" s="1" t="s">
        <v>85</v>
      </c>
    </row>
    <row r="156" spans="2:25" x14ac:dyDescent="0.2">
      <c r="B156" s="192" t="s">
        <v>157</v>
      </c>
    </row>
    <row r="157" spans="2:25" x14ac:dyDescent="0.2">
      <c r="B157" s="18" t="s">
        <v>158</v>
      </c>
      <c r="C157" s="90">
        <v>0.05</v>
      </c>
      <c r="D157" s="90"/>
      <c r="E157" s="17">
        <f t="shared" ref="E157:N157" si="75">$C157*SUM(E60:E63)</f>
        <v>0</v>
      </c>
      <c r="F157" s="17">
        <f t="shared" si="75"/>
        <v>0</v>
      </c>
      <c r="G157" s="17">
        <f t="shared" si="75"/>
        <v>562500</v>
      </c>
      <c r="H157" s="17">
        <f t="shared" si="75"/>
        <v>562500</v>
      </c>
      <c r="I157" s="17">
        <f t="shared" si="75"/>
        <v>590625</v>
      </c>
      <c r="J157" s="17">
        <f t="shared" si="75"/>
        <v>590625</v>
      </c>
      <c r="K157" s="17">
        <f t="shared" si="75"/>
        <v>618750.00000000012</v>
      </c>
      <c r="L157" s="17">
        <f t="shared" si="75"/>
        <v>618750.00000000012</v>
      </c>
      <c r="M157" s="17">
        <f t="shared" si="75"/>
        <v>646875</v>
      </c>
      <c r="N157" s="17">
        <f t="shared" si="75"/>
        <v>646875</v>
      </c>
      <c r="O157" s="17">
        <f>SUM(O60:O63)*$C$157</f>
        <v>0</v>
      </c>
      <c r="P157" s="17">
        <f>SUM(P60:P63)*$C$157</f>
        <v>0</v>
      </c>
      <c r="Q157" s="17">
        <f>SUM(Q60:Q63)*$C$157</f>
        <v>0</v>
      </c>
      <c r="R157" s="20">
        <f>SUM(E157:Q157)</f>
        <v>4837500</v>
      </c>
    </row>
    <row r="158" spans="2:25" x14ac:dyDescent="0.2">
      <c r="B158" s="18" t="s">
        <v>159</v>
      </c>
      <c r="C158" s="90">
        <v>3.0000000000000001E-3</v>
      </c>
      <c r="D158" s="90"/>
      <c r="E158" s="17">
        <f t="shared" ref="E158:N158" si="76">$C158*SUM(E60:E63)</f>
        <v>0</v>
      </c>
      <c r="F158" s="17">
        <f t="shared" si="76"/>
        <v>0</v>
      </c>
      <c r="G158" s="17">
        <f t="shared" si="76"/>
        <v>33750</v>
      </c>
      <c r="H158" s="17">
        <f t="shared" si="76"/>
        <v>33750</v>
      </c>
      <c r="I158" s="17">
        <f t="shared" si="76"/>
        <v>35437.5</v>
      </c>
      <c r="J158" s="17">
        <f t="shared" si="76"/>
        <v>35437.5</v>
      </c>
      <c r="K158" s="17">
        <f t="shared" si="76"/>
        <v>37125.000000000007</v>
      </c>
      <c r="L158" s="17">
        <f t="shared" si="76"/>
        <v>37125.000000000007</v>
      </c>
      <c r="M158" s="17">
        <f t="shared" si="76"/>
        <v>38812.499999999993</v>
      </c>
      <c r="N158" s="17">
        <f t="shared" si="76"/>
        <v>38812.499999999993</v>
      </c>
      <c r="O158" s="17"/>
      <c r="P158" s="17"/>
      <c r="Q158" s="17"/>
      <c r="R158" s="20">
        <f>SUM(E158:Q158)</f>
        <v>290250</v>
      </c>
    </row>
    <row r="159" spans="2:25" hidden="1" x14ac:dyDescent="0.2">
      <c r="B159" s="18" t="s">
        <v>160</v>
      </c>
      <c r="C159" s="16"/>
      <c r="D159" s="204"/>
      <c r="E159" s="17">
        <f>$C$159/3</f>
        <v>0</v>
      </c>
      <c r="F159" s="17">
        <f t="shared" ref="F159:G159" si="77">$C$159/3</f>
        <v>0</v>
      </c>
      <c r="G159" s="17">
        <f t="shared" si="77"/>
        <v>0</v>
      </c>
      <c r="H159" s="17"/>
      <c r="I159" s="17"/>
      <c r="J159" s="17"/>
      <c r="K159" s="17"/>
      <c r="L159" s="17"/>
      <c r="M159" s="17"/>
      <c r="N159" s="17"/>
      <c r="O159" s="17">
        <f>$C$159*O31</f>
        <v>0</v>
      </c>
      <c r="P159" s="17">
        <f>$C$159*P31</f>
        <v>0</v>
      </c>
      <c r="Q159" s="17"/>
      <c r="R159" s="20">
        <f>SUM(E159:P159)</f>
        <v>0</v>
      </c>
    </row>
    <row r="160" spans="2:25" hidden="1" x14ac:dyDescent="0.2">
      <c r="B160" s="38" t="s">
        <v>161</v>
      </c>
      <c r="C160" s="16"/>
      <c r="E160" s="17"/>
      <c r="F160" s="17"/>
      <c r="G160" s="17"/>
      <c r="H160" s="17">
        <f>$C$160</f>
        <v>0</v>
      </c>
      <c r="I160" s="17"/>
      <c r="J160" s="17">
        <f>$C$160</f>
        <v>0</v>
      </c>
      <c r="K160" s="17"/>
      <c r="L160" s="17">
        <f>$C$160</f>
        <v>0</v>
      </c>
      <c r="M160" s="17"/>
      <c r="N160" s="17">
        <f>$C$160</f>
        <v>0</v>
      </c>
      <c r="O160" s="17"/>
      <c r="P160" s="17"/>
      <c r="Q160" s="17"/>
      <c r="R160" s="20">
        <f>SUM(E160:Q160)</f>
        <v>0</v>
      </c>
    </row>
    <row r="161" spans="2:21" hidden="1" x14ac:dyDescent="0.2">
      <c r="B161" s="38" t="s">
        <v>161</v>
      </c>
      <c r="C161" s="39"/>
      <c r="D161" s="39"/>
      <c r="E161" s="39"/>
      <c r="F161" s="39"/>
      <c r="G161" s="39"/>
      <c r="H161" s="39"/>
      <c r="I161" s="39"/>
      <c r="J161" s="40"/>
      <c r="K161" s="40"/>
      <c r="L161" s="39"/>
      <c r="M161" s="39"/>
      <c r="N161" s="42">
        <f>J161/-5</f>
        <v>0</v>
      </c>
      <c r="O161" s="42"/>
      <c r="P161" s="39"/>
      <c r="Q161" s="39"/>
      <c r="R161" s="40">
        <f>SUM(E161:P161)</f>
        <v>0</v>
      </c>
      <c r="S161" s="17"/>
    </row>
    <row r="162" spans="2:21" x14ac:dyDescent="0.2">
      <c r="B162" s="99" t="s">
        <v>157</v>
      </c>
      <c r="C162" s="111"/>
      <c r="D162" s="111"/>
      <c r="E162" s="270">
        <f>SUM(E157:E161)</f>
        <v>0</v>
      </c>
      <c r="F162" s="270">
        <f t="shared" ref="F162:Q162" si="78">SUM(F157:F161)</f>
        <v>0</v>
      </c>
      <c r="G162" s="270">
        <f t="shared" si="78"/>
        <v>596250</v>
      </c>
      <c r="H162" s="270">
        <f t="shared" si="78"/>
        <v>596250</v>
      </c>
      <c r="I162" s="270">
        <f t="shared" si="78"/>
        <v>626062.5</v>
      </c>
      <c r="J162" s="270">
        <f t="shared" si="78"/>
        <v>626062.5</v>
      </c>
      <c r="K162" s="270">
        <f t="shared" si="78"/>
        <v>655875.00000000012</v>
      </c>
      <c r="L162" s="270">
        <f t="shared" si="78"/>
        <v>655875.00000000012</v>
      </c>
      <c r="M162" s="270">
        <f t="shared" si="78"/>
        <v>685687.5</v>
      </c>
      <c r="N162" s="270">
        <f>SUM(N157:N161)</f>
        <v>685687.5</v>
      </c>
      <c r="O162" s="270">
        <f t="shared" si="78"/>
        <v>0</v>
      </c>
      <c r="P162" s="270">
        <f t="shared" si="78"/>
        <v>0</v>
      </c>
      <c r="Q162" s="270">
        <f t="shared" si="78"/>
        <v>0</v>
      </c>
      <c r="R162" s="270">
        <f>SUM(E162:Q162)</f>
        <v>5127750</v>
      </c>
      <c r="T162" s="104">
        <f>R162/$T$65</f>
        <v>5.2999999999999999E-2</v>
      </c>
      <c r="U162" s="1" t="s">
        <v>85</v>
      </c>
    </row>
    <row r="164" spans="2:21" x14ac:dyDescent="0.2">
      <c r="B164" s="192" t="s">
        <v>162</v>
      </c>
    </row>
    <row r="165" spans="2:21" x14ac:dyDescent="0.2">
      <c r="B165" s="18" t="s">
        <v>163</v>
      </c>
      <c r="C165" s="134">
        <v>50000</v>
      </c>
      <c r="D165" s="134"/>
      <c r="E165" s="20">
        <f>+C165/2</f>
        <v>25000</v>
      </c>
      <c r="F165" s="20">
        <f>IFERROR($C$165*(($C$25-SUM(E25:F25))/($C$25)),0)</f>
        <v>50000</v>
      </c>
      <c r="G165" s="20">
        <f>IFERROR($C$165*(($C$25-SUM(E25:G25))/($C$25)),0)</f>
        <v>43750</v>
      </c>
      <c r="H165" s="20">
        <f>IFERROR($C$165*(($C$25-SUM(E25:H25))/($C$25)),0)</f>
        <v>37500</v>
      </c>
      <c r="I165" s="20">
        <f>IFERROR($C$165*(($C$25-SUM(E25:I25))/($C$25)),0)</f>
        <v>31250</v>
      </c>
      <c r="J165" s="20">
        <f>IFERROR($C$165*(($C$25-SUM(E25:J25))/($C$25)),0)</f>
        <v>25000</v>
      </c>
      <c r="K165" s="20">
        <f>IFERROR($C$165*(($C$25-SUM(E25:K25))/($C$25)),0)</f>
        <v>18750</v>
      </c>
      <c r="L165" s="20">
        <f>IFERROR($C$165*(($C$25-SUM(E25:L25))/($C$25)),0)</f>
        <v>12500</v>
      </c>
      <c r="M165" s="20">
        <f>IFERROR($C$165*(($C$25-SUM(E25:M25))/($C$25)),0)</f>
        <v>6250</v>
      </c>
      <c r="N165" s="20">
        <f>IFERROR($C$165*(($C$25-SUM(E25:N25))/($C$25)),0)</f>
        <v>0</v>
      </c>
      <c r="O165" s="20">
        <v>0</v>
      </c>
      <c r="P165" s="20">
        <v>0</v>
      </c>
      <c r="Q165" s="20">
        <v>0</v>
      </c>
      <c r="R165" s="122">
        <f>SUM(E165:Q165)</f>
        <v>250000</v>
      </c>
    </row>
    <row r="166" spans="2:21" x14ac:dyDescent="0.2">
      <c r="B166" s="38" t="s">
        <v>164</v>
      </c>
      <c r="C166" s="278">
        <v>5000</v>
      </c>
      <c r="D166" s="115"/>
      <c r="E166" s="40">
        <f>$C$166</f>
        <v>5000</v>
      </c>
      <c r="F166" s="40">
        <f t="shared" ref="F166:M166" si="79">$C$166</f>
        <v>5000</v>
      </c>
      <c r="G166" s="40">
        <f t="shared" si="79"/>
        <v>5000</v>
      </c>
      <c r="H166" s="40">
        <f t="shared" si="79"/>
        <v>5000</v>
      </c>
      <c r="I166" s="40">
        <f t="shared" si="79"/>
        <v>5000</v>
      </c>
      <c r="J166" s="40">
        <f t="shared" si="79"/>
        <v>5000</v>
      </c>
      <c r="K166" s="40">
        <f t="shared" si="79"/>
        <v>5000</v>
      </c>
      <c r="L166" s="40">
        <f t="shared" si="79"/>
        <v>5000</v>
      </c>
      <c r="M166" s="40">
        <f t="shared" si="79"/>
        <v>5000</v>
      </c>
      <c r="N166" s="40"/>
      <c r="O166" s="40">
        <f>$C$166*O105</f>
        <v>0</v>
      </c>
      <c r="P166" s="40">
        <f>$C$166*P105</f>
        <v>0</v>
      </c>
      <c r="Q166" s="40">
        <f>$C$166*Q105</f>
        <v>0</v>
      </c>
      <c r="R166" s="271">
        <f>SUM(E166:Q166)</f>
        <v>45000</v>
      </c>
    </row>
    <row r="167" spans="2:21" x14ac:dyDescent="0.2">
      <c r="B167" s="8" t="s">
        <v>162</v>
      </c>
      <c r="E167" s="228">
        <f t="shared" ref="E167:Q167" si="80">SUM(E165:E166)</f>
        <v>30000</v>
      </c>
      <c r="F167" s="228">
        <f t="shared" si="80"/>
        <v>55000</v>
      </c>
      <c r="G167" s="228">
        <f t="shared" si="80"/>
        <v>48750</v>
      </c>
      <c r="H167" s="228">
        <f t="shared" si="80"/>
        <v>42500</v>
      </c>
      <c r="I167" s="228">
        <f t="shared" si="80"/>
        <v>36250</v>
      </c>
      <c r="J167" s="228">
        <f t="shared" si="80"/>
        <v>30000</v>
      </c>
      <c r="K167" s="228">
        <f t="shared" si="80"/>
        <v>23750</v>
      </c>
      <c r="L167" s="228">
        <f t="shared" si="80"/>
        <v>17500</v>
      </c>
      <c r="M167" s="228">
        <f t="shared" si="80"/>
        <v>11250</v>
      </c>
      <c r="N167" s="228">
        <f t="shared" si="80"/>
        <v>0</v>
      </c>
      <c r="O167" s="43">
        <f t="shared" si="80"/>
        <v>0</v>
      </c>
      <c r="P167" s="43">
        <f t="shared" si="80"/>
        <v>0</v>
      </c>
      <c r="Q167" s="43">
        <f t="shared" si="80"/>
        <v>0</v>
      </c>
      <c r="R167" s="228">
        <f>SUM(E167:Q167)</f>
        <v>295000</v>
      </c>
      <c r="T167" s="104">
        <f>R167/$T$65</f>
        <v>3.0490956072351423E-3</v>
      </c>
      <c r="U167" s="1" t="s">
        <v>85</v>
      </c>
    </row>
    <row r="169" spans="2:21" x14ac:dyDescent="0.2">
      <c r="B169" s="192" t="s">
        <v>165</v>
      </c>
    </row>
    <row r="170" spans="2:21" hidden="1" x14ac:dyDescent="0.2">
      <c r="B170" s="18" t="s">
        <v>166</v>
      </c>
      <c r="C170" s="96">
        <v>0</v>
      </c>
      <c r="D170" s="96"/>
      <c r="E170" s="97">
        <f t="shared" ref="E170:Q170" si="81">F19*$C$170</f>
        <v>0</v>
      </c>
      <c r="F170" s="97">
        <f t="shared" si="81"/>
        <v>0</v>
      </c>
      <c r="G170" s="97">
        <f t="shared" si="81"/>
        <v>0</v>
      </c>
      <c r="H170" s="97">
        <f t="shared" si="81"/>
        <v>0</v>
      </c>
      <c r="I170" s="97">
        <f t="shared" si="81"/>
        <v>0</v>
      </c>
      <c r="J170" s="97">
        <f t="shared" si="81"/>
        <v>0</v>
      </c>
      <c r="K170" s="97">
        <f t="shared" si="81"/>
        <v>0</v>
      </c>
      <c r="L170" s="97">
        <f t="shared" si="81"/>
        <v>0</v>
      </c>
      <c r="M170" s="97">
        <f t="shared" si="81"/>
        <v>0</v>
      </c>
      <c r="N170" s="97">
        <f t="shared" si="81"/>
        <v>0</v>
      </c>
      <c r="O170" s="97">
        <f t="shared" si="81"/>
        <v>0</v>
      </c>
      <c r="P170" s="97">
        <f t="shared" si="81"/>
        <v>0</v>
      </c>
      <c r="Q170" s="97">
        <f t="shared" si="81"/>
        <v>0</v>
      </c>
      <c r="R170" s="97">
        <f>SUM(E170:Q170)</f>
        <v>0</v>
      </c>
    </row>
    <row r="171" spans="2:21" x14ac:dyDescent="0.2">
      <c r="B171" s="18" t="s">
        <v>167</v>
      </c>
      <c r="C171" s="96">
        <f>(10*250)+(C25-10)*175</f>
        <v>21750</v>
      </c>
      <c r="D171" s="134"/>
      <c r="E171" s="97">
        <f>C171</f>
        <v>21750</v>
      </c>
      <c r="F171" s="97"/>
      <c r="G171" s="97"/>
      <c r="H171" s="97"/>
      <c r="I171" s="97"/>
      <c r="J171" s="97"/>
      <c r="K171" s="97"/>
      <c r="L171" s="97"/>
      <c r="M171" s="97"/>
      <c r="N171" s="97"/>
      <c r="O171" s="97"/>
      <c r="P171" s="97"/>
      <c r="Q171" s="97"/>
      <c r="R171" s="272">
        <f>SUM(E171:Q171)</f>
        <v>21750</v>
      </c>
    </row>
    <row r="172" spans="2:21" x14ac:dyDescent="0.2">
      <c r="B172" s="18" t="s">
        <v>168</v>
      </c>
      <c r="C172" s="134">
        <f>C171*0.4</f>
        <v>8700</v>
      </c>
      <c r="D172" s="134"/>
      <c r="E172" s="97">
        <f>C172</f>
        <v>8700</v>
      </c>
      <c r="F172" s="97"/>
      <c r="G172" s="97"/>
      <c r="H172" s="97"/>
      <c r="I172" s="97"/>
      <c r="J172" s="97"/>
      <c r="K172" s="97"/>
      <c r="L172" s="97"/>
      <c r="M172" s="97"/>
      <c r="N172" s="97"/>
      <c r="O172" s="97"/>
      <c r="P172" s="97"/>
      <c r="Q172" s="97"/>
      <c r="R172" s="272">
        <f t="shared" ref="R172:R174" si="82">SUM(E172:Q172)</f>
        <v>8700</v>
      </c>
    </row>
    <row r="173" spans="2:21" x14ac:dyDescent="0.2">
      <c r="B173" s="18" t="s">
        <v>169</v>
      </c>
      <c r="C173" s="134">
        <f>+(100*40)+(6*300)+5000</f>
        <v>10800</v>
      </c>
      <c r="D173" s="134"/>
      <c r="E173" s="97">
        <f>$C$173/2</f>
        <v>5400</v>
      </c>
      <c r="F173" s="97">
        <f>$C$173/2</f>
        <v>5400</v>
      </c>
      <c r="G173" s="97"/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272">
        <f t="shared" si="82"/>
        <v>10800</v>
      </c>
    </row>
    <row r="174" spans="2:21" x14ac:dyDescent="0.2">
      <c r="B174" s="18" t="s">
        <v>170</v>
      </c>
      <c r="C174" s="269">
        <v>1E-3</v>
      </c>
      <c r="D174" s="134"/>
      <c r="E174" s="97">
        <f>$C$174*F115</f>
        <v>0</v>
      </c>
      <c r="F174" s="97">
        <f>$C$174*F105</f>
        <v>10183.623750000001</v>
      </c>
      <c r="G174" s="97">
        <f t="shared" ref="G174:N174" si="83">$C$174*G105</f>
        <v>0</v>
      </c>
      <c r="H174" s="97">
        <f t="shared" si="83"/>
        <v>4036.4611875000001</v>
      </c>
      <c r="I174" s="97">
        <f t="shared" si="83"/>
        <v>0</v>
      </c>
      <c r="J174" s="97">
        <f t="shared" si="83"/>
        <v>4228.6736250000004</v>
      </c>
      <c r="K174" s="97">
        <f t="shared" si="83"/>
        <v>0</v>
      </c>
      <c r="L174" s="97">
        <f t="shared" si="83"/>
        <v>4420.8860624999998</v>
      </c>
      <c r="M174" s="97">
        <f t="shared" si="83"/>
        <v>0</v>
      </c>
      <c r="N174" s="97">
        <f t="shared" si="83"/>
        <v>0</v>
      </c>
      <c r="O174" s="97">
        <f>$C174*O19</f>
        <v>0</v>
      </c>
      <c r="P174" s="97">
        <f>$C174*P19</f>
        <v>0</v>
      </c>
      <c r="Q174" s="97">
        <f>$C174*Q19</f>
        <v>0</v>
      </c>
      <c r="R174" s="272">
        <f t="shared" si="82"/>
        <v>22869.644625000001</v>
      </c>
    </row>
    <row r="175" spans="2:21" hidden="1" x14ac:dyDescent="0.2">
      <c r="B175" s="18" t="s">
        <v>171</v>
      </c>
      <c r="C175" s="115">
        <v>0</v>
      </c>
      <c r="D175" s="48"/>
      <c r="E175" s="40"/>
      <c r="F175" s="40"/>
      <c r="G175" s="40">
        <f>$C$175*(G115+H115)</f>
        <v>0</v>
      </c>
      <c r="H175" s="40"/>
      <c r="I175" s="40">
        <f>$C$175*(I115+J115)</f>
        <v>0</v>
      </c>
      <c r="J175" s="40"/>
      <c r="K175" s="40">
        <f>$C$175*(K115+L115)</f>
        <v>0</v>
      </c>
      <c r="L175" s="40"/>
      <c r="M175" s="40">
        <f>$C$175*(M115+N115)</f>
        <v>0</v>
      </c>
      <c r="N175" s="40"/>
      <c r="O175" s="40"/>
      <c r="P175" s="40"/>
      <c r="Q175" s="40"/>
      <c r="R175" s="271">
        <f>SUM(E175:Q175)</f>
        <v>0</v>
      </c>
    </row>
    <row r="176" spans="2:21" x14ac:dyDescent="0.2">
      <c r="B176" s="99" t="s">
        <v>165</v>
      </c>
      <c r="C176" s="114"/>
      <c r="D176" s="114"/>
      <c r="E176" s="270">
        <f t="shared" ref="E176:Q176" si="84">SUM(E170:E175)</f>
        <v>35850</v>
      </c>
      <c r="F176" s="270">
        <f t="shared" si="84"/>
        <v>15583.623750000001</v>
      </c>
      <c r="G176" s="270">
        <f t="shared" si="84"/>
        <v>0</v>
      </c>
      <c r="H176" s="270">
        <f t="shared" si="84"/>
        <v>4036.4611875000001</v>
      </c>
      <c r="I176" s="270">
        <f t="shared" si="84"/>
        <v>0</v>
      </c>
      <c r="J176" s="270">
        <f t="shared" si="84"/>
        <v>4228.6736250000004</v>
      </c>
      <c r="K176" s="270">
        <f t="shared" si="84"/>
        <v>0</v>
      </c>
      <c r="L176" s="270">
        <f t="shared" si="84"/>
        <v>4420.8860624999998</v>
      </c>
      <c r="M176" s="270">
        <f t="shared" si="84"/>
        <v>0</v>
      </c>
      <c r="N176" s="270">
        <f t="shared" si="84"/>
        <v>0</v>
      </c>
      <c r="O176" s="270">
        <f t="shared" si="84"/>
        <v>0</v>
      </c>
      <c r="P176" s="270">
        <f t="shared" si="84"/>
        <v>0</v>
      </c>
      <c r="Q176" s="270">
        <f t="shared" si="84"/>
        <v>0</v>
      </c>
      <c r="R176" s="270">
        <f>SUM(E176:Q176)</f>
        <v>64119.644625000001</v>
      </c>
      <c r="T176" s="104">
        <f>R176/$T$65</f>
        <v>6.6273534496124036E-4</v>
      </c>
      <c r="U176" s="1" t="s">
        <v>85</v>
      </c>
    </row>
    <row r="178" spans="2:26" x14ac:dyDescent="0.2">
      <c r="B178" s="192" t="s">
        <v>172</v>
      </c>
    </row>
    <row r="179" spans="2:26" x14ac:dyDescent="0.2">
      <c r="B179" s="18" t="s">
        <v>173</v>
      </c>
      <c r="C179" s="181">
        <v>0.04</v>
      </c>
      <c r="D179" s="181"/>
      <c r="E179" s="17">
        <f>$C$179*(E105+E115+E134+E154+E162+E167+E176)</f>
        <v>41176.415625000001</v>
      </c>
      <c r="F179" s="17">
        <f t="shared" ref="F179:N179" si="85">$C$179*(F105+F115+F134+F154+F162+F167+F176)</f>
        <v>418180.64807499998</v>
      </c>
      <c r="G179" s="17">
        <f t="shared" si="85"/>
        <v>37436.247656250001</v>
      </c>
      <c r="H179" s="17">
        <f t="shared" si="85"/>
        <v>191647.71297874997</v>
      </c>
      <c r="I179" s="17">
        <f t="shared" si="85"/>
        <v>38666.954687500001</v>
      </c>
      <c r="J179" s="17">
        <f t="shared" si="85"/>
        <v>200163.72788250001</v>
      </c>
      <c r="K179" s="17">
        <f t="shared" si="85"/>
        <v>39897.661718750009</v>
      </c>
      <c r="L179" s="17">
        <f t="shared" si="85"/>
        <v>208679.74278625002</v>
      </c>
      <c r="M179" s="17">
        <f t="shared" si="85"/>
        <v>28631.4</v>
      </c>
      <c r="N179" s="17">
        <f t="shared" si="85"/>
        <v>27761.4</v>
      </c>
      <c r="O179" s="17">
        <f>(O105+O134+O162+O167+O176)*$C$179</f>
        <v>0</v>
      </c>
      <c r="P179" s="17">
        <f>(P105+P134+P162+P167+P176)*$C$179</f>
        <v>0</v>
      </c>
      <c r="Q179" s="17">
        <f>(Q105+Q134+Q162+Q167+Q176)*$C$179</f>
        <v>0</v>
      </c>
      <c r="R179" s="20">
        <f>SUM(E179:Q179)</f>
        <v>1232241.9114099999</v>
      </c>
      <c r="T179" s="180">
        <f>(R105+R115+R134+R154+R160+R167+R176)</f>
        <v>25678297.785250001</v>
      </c>
      <c r="U179" s="180">
        <f>+T179*C179</f>
        <v>1027131.9114100001</v>
      </c>
      <c r="V179" s="104">
        <f>U179/T179</f>
        <v>0.04</v>
      </c>
    </row>
    <row r="180" spans="2:26" x14ac:dyDescent="0.2">
      <c r="B180" s="18" t="s">
        <v>174</v>
      </c>
      <c r="C180" s="124">
        <v>0.02</v>
      </c>
      <c r="D180" s="103"/>
      <c r="E180" s="17" cm="1">
        <f t="array" ref="E180:E181">$C$180*(E60+E62:E63)</f>
        <v>0</v>
      </c>
      <c r="F180" s="17" cm="1">
        <f t="array" ref="F180:F181">$C$180*(F60+F62:F63)</f>
        <v>0</v>
      </c>
      <c r="G180" s="17" cm="1">
        <f t="array" ref="G180:G181">$C$180*(G60+G62:G63)</f>
        <v>225000</v>
      </c>
      <c r="H180" s="17" cm="1">
        <f t="array" ref="H180:H181">$C$180*(H60+H62:H63)</f>
        <v>225000</v>
      </c>
      <c r="I180" s="17" cm="1">
        <f t="array" ref="I180:I181">$C$180*(I60+I62:I63)</f>
        <v>236250</v>
      </c>
      <c r="J180" s="17" cm="1">
        <f t="array" ref="J180:J181">$C$180*(J60+J62:J63)</f>
        <v>236250</v>
      </c>
      <c r="K180" s="17" cm="1">
        <f t="array" ref="K180:K181">$C$180*(K60+K62:K63)</f>
        <v>247500.00000000003</v>
      </c>
      <c r="L180" s="17" cm="1">
        <f t="array" ref="L180:L181">$C$180*(L60+L62:L63)</f>
        <v>247500.00000000003</v>
      </c>
      <c r="M180" s="17" cm="1">
        <f t="array" ref="M180:M181">$C$180*(M60+M62:M63)</f>
        <v>258749.99999999997</v>
      </c>
      <c r="N180" s="17" cm="1">
        <f t="array" ref="N180:N181">$C$180*(N60+N62:N63)</f>
        <v>258749.99999999997</v>
      </c>
      <c r="O180" s="122"/>
      <c r="P180" s="20"/>
      <c r="Q180" s="20"/>
      <c r="R180" s="20">
        <f>SUM(E180:Q180)</f>
        <v>1935000</v>
      </c>
    </row>
    <row r="181" spans="2:26" hidden="1" x14ac:dyDescent="0.2">
      <c r="B181" s="18" t="s">
        <v>175</v>
      </c>
      <c r="C181" s="237">
        <v>0</v>
      </c>
      <c r="D181" s="246"/>
      <c r="E181" s="25">
        <v>0</v>
      </c>
      <c r="F181" s="25">
        <v>0</v>
      </c>
      <c r="G181" s="25">
        <v>0</v>
      </c>
      <c r="H181" s="25">
        <v>0</v>
      </c>
      <c r="I181" s="25">
        <v>0</v>
      </c>
      <c r="J181" s="25">
        <v>0</v>
      </c>
      <c r="K181" s="25">
        <v>0</v>
      </c>
      <c r="L181" s="25">
        <v>0</v>
      </c>
      <c r="M181" s="20">
        <v>0</v>
      </c>
      <c r="N181" s="20">
        <v>0</v>
      </c>
      <c r="O181" s="122"/>
      <c r="P181" s="20"/>
      <c r="Q181" s="20"/>
      <c r="R181" s="20">
        <f>SUM(E181:Q181)</f>
        <v>0</v>
      </c>
      <c r="U181" s="1" t="s">
        <v>176</v>
      </c>
      <c r="Y181" s="240" t="s">
        <v>177</v>
      </c>
      <c r="Z181" s="243">
        <f>+R181-SUM(AC2:AJ2)</f>
        <v>0</v>
      </c>
    </row>
    <row r="182" spans="2:26" hidden="1" x14ac:dyDescent="0.2">
      <c r="B182" s="18"/>
      <c r="C182" s="98"/>
      <c r="D182" s="98"/>
      <c r="E182" s="17"/>
      <c r="F182" s="17"/>
      <c r="G182" s="17"/>
      <c r="H182" s="17"/>
      <c r="I182" s="17"/>
      <c r="J182" s="17"/>
      <c r="K182" s="17"/>
      <c r="L182" s="17"/>
      <c r="M182" s="17">
        <f>$C$182</f>
        <v>0</v>
      </c>
      <c r="N182" s="17">
        <f>$C$182</f>
        <v>0</v>
      </c>
      <c r="O182" s="17">
        <f>$C$182</f>
        <v>0</v>
      </c>
      <c r="P182" s="17">
        <f>$C$182</f>
        <v>0</v>
      </c>
      <c r="Q182" s="17"/>
      <c r="R182" s="17">
        <f>SUM(E182:P182)</f>
        <v>0</v>
      </c>
    </row>
    <row r="183" spans="2:26" x14ac:dyDescent="0.2">
      <c r="B183" s="99" t="s">
        <v>178</v>
      </c>
      <c r="C183" s="100"/>
      <c r="D183" s="100"/>
      <c r="E183" s="101">
        <f>SUM(E179:E182)</f>
        <v>41176.415625000001</v>
      </c>
      <c r="F183" s="101">
        <f t="shared" ref="F183:P183" si="86">SUM(F179:F182)</f>
        <v>418180.64807499998</v>
      </c>
      <c r="G183" s="101">
        <f t="shared" si="86"/>
        <v>262436.24765625002</v>
      </c>
      <c r="H183" s="101">
        <f t="shared" si="86"/>
        <v>416647.71297875</v>
      </c>
      <c r="I183" s="101">
        <f t="shared" si="86"/>
        <v>274916.95468750002</v>
      </c>
      <c r="J183" s="101">
        <f t="shared" si="86"/>
        <v>436413.72788250004</v>
      </c>
      <c r="K183" s="101">
        <f t="shared" si="86"/>
        <v>287397.66171875002</v>
      </c>
      <c r="L183" s="101">
        <f t="shared" si="86"/>
        <v>456179.74278625008</v>
      </c>
      <c r="M183" s="101">
        <f t="shared" si="86"/>
        <v>287381.39999999997</v>
      </c>
      <c r="N183" s="101">
        <f t="shared" si="86"/>
        <v>286511.39999999997</v>
      </c>
      <c r="O183" s="101">
        <f t="shared" si="86"/>
        <v>0</v>
      </c>
      <c r="P183" s="101">
        <f t="shared" si="86"/>
        <v>0</v>
      </c>
      <c r="Q183" s="101">
        <f>SUM(Q179:Q182)</f>
        <v>0</v>
      </c>
      <c r="R183" s="102">
        <f>SUM(E183:Q183)</f>
        <v>3167241.9114100002</v>
      </c>
      <c r="T183" s="104">
        <f>R183/$T$65</f>
        <v>3.273635050552972E-2</v>
      </c>
      <c r="U183" s="1" t="s">
        <v>85</v>
      </c>
    </row>
    <row r="184" spans="2:26" x14ac:dyDescent="0.2">
      <c r="B184" s="8"/>
      <c r="C184" s="53"/>
      <c r="D184" s="53"/>
      <c r="E184" s="44"/>
      <c r="F184" s="44"/>
      <c r="G184" s="44"/>
      <c r="H184" s="44"/>
      <c r="I184" s="44"/>
      <c r="J184" s="44"/>
      <c r="K184" s="44"/>
      <c r="L184" s="44"/>
      <c r="M184" s="44"/>
      <c r="N184" s="44"/>
      <c r="O184" s="44"/>
      <c r="P184" s="44"/>
      <c r="Q184" s="44"/>
      <c r="R184" s="43"/>
    </row>
    <row r="185" spans="2:26" x14ac:dyDescent="0.2">
      <c r="B185" s="192" t="s">
        <v>179</v>
      </c>
      <c r="C185" s="53"/>
      <c r="D185" s="53"/>
      <c r="E185" s="44"/>
      <c r="F185" s="44"/>
      <c r="G185" s="44"/>
      <c r="H185" s="44"/>
      <c r="I185" s="44"/>
      <c r="J185" s="44"/>
      <c r="K185" s="44"/>
      <c r="L185" s="44"/>
      <c r="M185" s="44"/>
      <c r="N185" s="44"/>
      <c r="O185" s="44"/>
      <c r="P185" s="44"/>
      <c r="Q185" s="44"/>
      <c r="R185" s="43"/>
    </row>
    <row r="186" spans="2:26" x14ac:dyDescent="0.2">
      <c r="B186" s="132" t="s">
        <v>180</v>
      </c>
      <c r="C186" s="53"/>
      <c r="D186" s="53"/>
      <c r="E186" s="17">
        <f>E50+C186-C189</f>
        <v>0</v>
      </c>
      <c r="F186" s="17">
        <f t="shared" ref="F186:Q186" si="87">F50+E186-E189</f>
        <v>12000000</v>
      </c>
      <c r="G186" s="17">
        <f t="shared" si="87"/>
        <v>12000000</v>
      </c>
      <c r="H186" s="17">
        <f t="shared" si="87"/>
        <v>6000000</v>
      </c>
      <c r="I186" s="17">
        <f t="shared" si="87"/>
        <v>0</v>
      </c>
      <c r="J186" s="17">
        <f t="shared" si="87"/>
        <v>0</v>
      </c>
      <c r="K186" s="17">
        <f t="shared" si="87"/>
        <v>0</v>
      </c>
      <c r="L186" s="17">
        <f t="shared" si="87"/>
        <v>0</v>
      </c>
      <c r="M186" s="17">
        <f t="shared" si="87"/>
        <v>0</v>
      </c>
      <c r="N186" s="17">
        <f t="shared" si="87"/>
        <v>0</v>
      </c>
      <c r="O186" s="17">
        <f t="shared" si="87"/>
        <v>0</v>
      </c>
      <c r="P186" s="17">
        <f t="shared" si="87"/>
        <v>0</v>
      </c>
      <c r="Q186" s="17">
        <f t="shared" si="87"/>
        <v>0</v>
      </c>
      <c r="R186" s="47"/>
    </row>
    <row r="187" spans="2:26" x14ac:dyDescent="0.2">
      <c r="B187" s="18" t="s">
        <v>181</v>
      </c>
      <c r="C187" s="22">
        <v>0.06</v>
      </c>
      <c r="D187" s="22"/>
      <c r="E187" s="17">
        <f t="shared" ref="E187:M187" si="88">E186*$C$187</f>
        <v>0</v>
      </c>
      <c r="F187" s="17">
        <f t="shared" si="88"/>
        <v>720000</v>
      </c>
      <c r="G187" s="17">
        <f t="shared" si="88"/>
        <v>720000</v>
      </c>
      <c r="H187" s="17">
        <f t="shared" si="88"/>
        <v>360000</v>
      </c>
      <c r="I187" s="17">
        <f t="shared" si="88"/>
        <v>0</v>
      </c>
      <c r="J187" s="17">
        <f t="shared" si="88"/>
        <v>0</v>
      </c>
      <c r="K187" s="17">
        <f t="shared" si="88"/>
        <v>0</v>
      </c>
      <c r="L187" s="17">
        <f t="shared" si="88"/>
        <v>0</v>
      </c>
      <c r="M187" s="17">
        <f t="shared" si="88"/>
        <v>0</v>
      </c>
      <c r="N187" s="17">
        <f>M186*$C$187</f>
        <v>0</v>
      </c>
      <c r="O187" s="17">
        <f>N186*$C$187</f>
        <v>0</v>
      </c>
      <c r="P187" s="17">
        <f>O186*$C$187</f>
        <v>0</v>
      </c>
      <c r="Q187" s="17">
        <f>P186*$C$187</f>
        <v>0</v>
      </c>
      <c r="R187" s="47">
        <f>SUM(E187:Q187)</f>
        <v>1800000</v>
      </c>
    </row>
    <row r="188" spans="2:26" x14ac:dyDescent="0.2">
      <c r="B188" s="18" t="s">
        <v>182</v>
      </c>
      <c r="C188" s="22">
        <v>0.01</v>
      </c>
      <c r="D188" s="22"/>
      <c r="E188" s="17"/>
      <c r="G188" s="17">
        <f>R50*$C$188</f>
        <v>120000</v>
      </c>
      <c r="H188" s="17"/>
      <c r="I188" s="17"/>
      <c r="J188" s="17"/>
      <c r="K188" s="17"/>
      <c r="L188" s="17"/>
      <c r="M188" s="17"/>
      <c r="N188" s="17"/>
      <c r="O188" s="17">
        <f>O50*$C$188</f>
        <v>0</v>
      </c>
      <c r="P188" s="17">
        <f>P50*$C$188</f>
        <v>0</v>
      </c>
      <c r="Q188" s="17">
        <f>Q50*$C$188</f>
        <v>0</v>
      </c>
      <c r="R188" s="47">
        <f>SUM(E188:Q188)</f>
        <v>120000</v>
      </c>
    </row>
    <row r="189" spans="2:26" x14ac:dyDescent="0.2">
      <c r="B189" s="38" t="s">
        <v>183</v>
      </c>
      <c r="C189" s="54"/>
      <c r="D189" s="54"/>
      <c r="E189" s="42">
        <v>0</v>
      </c>
      <c r="F189" s="55"/>
      <c r="G189" s="42">
        <f>0.5*F186</f>
        <v>6000000</v>
      </c>
      <c r="H189" s="42">
        <f t="shared" ref="H189:P189" si="89">H186</f>
        <v>6000000</v>
      </c>
      <c r="I189" s="42">
        <f t="shared" si="89"/>
        <v>0</v>
      </c>
      <c r="J189" s="42">
        <f t="shared" si="89"/>
        <v>0</v>
      </c>
      <c r="K189" s="55">
        <f t="shared" si="89"/>
        <v>0</v>
      </c>
      <c r="L189" s="55">
        <f t="shared" si="89"/>
        <v>0</v>
      </c>
      <c r="M189" s="55">
        <f t="shared" si="89"/>
        <v>0</v>
      </c>
      <c r="N189" s="55">
        <f t="shared" si="89"/>
        <v>0</v>
      </c>
      <c r="O189" s="55">
        <f t="shared" si="89"/>
        <v>0</v>
      </c>
      <c r="P189" s="55">
        <f t="shared" si="89"/>
        <v>0</v>
      </c>
      <c r="Q189" s="55"/>
      <c r="R189" s="42">
        <f>SUM(E189:Q189)</f>
        <v>12000000</v>
      </c>
    </row>
    <row r="190" spans="2:26" x14ac:dyDescent="0.2">
      <c r="B190" s="8" t="s">
        <v>184</v>
      </c>
      <c r="C190" s="53"/>
      <c r="D190" s="53"/>
      <c r="E190" s="44">
        <f t="shared" ref="E190:Q190" si="90">SUM(E187:E189)</f>
        <v>0</v>
      </c>
      <c r="F190" s="44">
        <f t="shared" si="90"/>
        <v>720000</v>
      </c>
      <c r="G190" s="44">
        <f t="shared" si="90"/>
        <v>6840000</v>
      </c>
      <c r="H190" s="44">
        <f t="shared" si="90"/>
        <v>6360000</v>
      </c>
      <c r="I190" s="44">
        <f t="shared" si="90"/>
        <v>0</v>
      </c>
      <c r="J190" s="44">
        <f t="shared" si="90"/>
        <v>0</v>
      </c>
      <c r="K190" s="44">
        <f t="shared" si="90"/>
        <v>0</v>
      </c>
      <c r="L190" s="44">
        <f t="shared" si="90"/>
        <v>0</v>
      </c>
      <c r="M190" s="44">
        <f t="shared" si="90"/>
        <v>0</v>
      </c>
      <c r="N190" s="44">
        <f t="shared" si="90"/>
        <v>0</v>
      </c>
      <c r="O190" s="44">
        <f t="shared" si="90"/>
        <v>0</v>
      </c>
      <c r="P190" s="44">
        <f t="shared" si="90"/>
        <v>0</v>
      </c>
      <c r="Q190" s="44">
        <f t="shared" si="90"/>
        <v>0</v>
      </c>
      <c r="R190" s="43">
        <f>SUM(E190:Q190)</f>
        <v>13920000</v>
      </c>
    </row>
    <row r="191" spans="2:26" x14ac:dyDescent="0.2">
      <c r="B191" s="8"/>
      <c r="C191" s="53"/>
      <c r="D191" s="53"/>
      <c r="E191" s="44"/>
      <c r="F191" s="44"/>
      <c r="G191" s="44"/>
      <c r="H191" s="44"/>
      <c r="I191" s="44"/>
      <c r="J191" s="44"/>
      <c r="K191" s="44"/>
      <c r="L191" s="44"/>
      <c r="M191" s="44"/>
      <c r="N191" s="44"/>
      <c r="O191" s="44"/>
      <c r="P191" s="44"/>
      <c r="Q191" s="44"/>
      <c r="R191" s="43"/>
    </row>
    <row r="192" spans="2:26" x14ac:dyDescent="0.2">
      <c r="B192" s="99" t="s">
        <v>185</v>
      </c>
      <c r="C192" s="111"/>
      <c r="D192" s="111"/>
      <c r="E192" s="224">
        <v>0</v>
      </c>
      <c r="F192" s="224">
        <v>0</v>
      </c>
      <c r="G192" s="245">
        <v>2500000</v>
      </c>
      <c r="H192" s="245"/>
      <c r="I192" s="245">
        <v>10250000</v>
      </c>
      <c r="J192" s="245">
        <v>6500000</v>
      </c>
      <c r="K192" s="245">
        <v>11000000</v>
      </c>
      <c r="L192" s="245">
        <v>6500000</v>
      </c>
      <c r="M192" s="224">
        <v>12000000</v>
      </c>
      <c r="N192" s="224">
        <f>13319210-23000</f>
        <v>13296210</v>
      </c>
      <c r="O192" s="224"/>
      <c r="P192" s="224"/>
      <c r="Q192" s="224"/>
      <c r="R192" s="131">
        <f>SUM(E192:Q192)</f>
        <v>62046210</v>
      </c>
    </row>
    <row r="193" spans="1:26" ht="17" thickBot="1" x14ac:dyDescent="0.25">
      <c r="B193" s="19"/>
      <c r="C193" s="49"/>
      <c r="D193" s="49"/>
      <c r="E193" s="50"/>
      <c r="F193" s="51"/>
      <c r="G193" s="51"/>
      <c r="H193" s="51"/>
      <c r="I193" s="51"/>
      <c r="J193" s="51"/>
      <c r="K193" s="51"/>
      <c r="L193" s="51"/>
      <c r="M193" s="51"/>
      <c r="N193" s="51"/>
      <c r="O193" s="51"/>
      <c r="P193" s="51"/>
      <c r="Q193" s="51"/>
      <c r="R193" s="51"/>
    </row>
    <row r="194" spans="1:26" ht="17" thickTop="1" x14ac:dyDescent="0.2">
      <c r="B194" s="52" t="s">
        <v>186</v>
      </c>
      <c r="C194" s="8"/>
      <c r="D194" s="8"/>
      <c r="E194" s="44">
        <f t="shared" ref="E194:N194" si="91">SUM(E76,E183,E176,E167,E162,E154,E134,E115,E105,E72,E190,E192)</f>
        <v>28381086.806249999</v>
      </c>
      <c r="F194" s="44">
        <f t="shared" si="91"/>
        <v>11592696.849950001</v>
      </c>
      <c r="G194" s="44">
        <f t="shared" si="91"/>
        <v>10538342.4390625</v>
      </c>
      <c r="H194" s="44">
        <f t="shared" si="91"/>
        <v>11567840.537447501</v>
      </c>
      <c r="I194" s="44">
        <f t="shared" si="91"/>
        <v>11491590.821875</v>
      </c>
      <c r="J194" s="44">
        <f t="shared" si="91"/>
        <v>11940506.924945001</v>
      </c>
      <c r="K194" s="44">
        <f t="shared" si="91"/>
        <v>12284839.2046875</v>
      </c>
      <c r="L194" s="44">
        <f t="shared" si="91"/>
        <v>12173173.3124425</v>
      </c>
      <c r="M194" s="44">
        <f t="shared" si="91"/>
        <v>13003166.4</v>
      </c>
      <c r="N194" s="44">
        <f t="shared" si="91"/>
        <v>14276756.4</v>
      </c>
      <c r="O194" s="44">
        <f>SUM(O183,O176,O167,O162,O154,O134,O115,O105,O72,O190,O192)</f>
        <v>0</v>
      </c>
      <c r="P194" s="44">
        <f>SUM(P183,P176,P167,P162,P154,P134,P115,P105,P72,P190,P192)</f>
        <v>0</v>
      </c>
      <c r="Q194" s="44">
        <f>SUM(Q183,Q176,Q167,Q162,Q154,Q134,Q115,Q105,Q72,Q190,Q192)</f>
        <v>0</v>
      </c>
      <c r="R194" s="44">
        <f>SUM(E194:Q194)</f>
        <v>137249999.69666001</v>
      </c>
      <c r="X194" s="240"/>
      <c r="Y194" s="240" t="s">
        <v>187</v>
      </c>
      <c r="Z194" s="243">
        <f>+ROUND(R194-R64,0)</f>
        <v>0</v>
      </c>
    </row>
    <row r="196" spans="1:26" x14ac:dyDescent="0.2">
      <c r="B196" s="9" t="s">
        <v>188</v>
      </c>
      <c r="C196" s="31"/>
      <c r="D196" s="31"/>
      <c r="E196" s="17">
        <f>E64-E194</f>
        <v>118913.19375000149</v>
      </c>
      <c r="F196" s="17">
        <f t="shared" ref="F196:Q196" si="92">F64-F194+E196</f>
        <v>526216.34380000085</v>
      </c>
      <c r="G196" s="17">
        <f t="shared" si="92"/>
        <v>1237873.9047375005</v>
      </c>
      <c r="H196" s="17">
        <f t="shared" si="92"/>
        <v>920033.3672899995</v>
      </c>
      <c r="I196" s="17">
        <f t="shared" si="92"/>
        <v>1240942.5454149991</v>
      </c>
      <c r="J196" s="17">
        <f t="shared" si="92"/>
        <v>1112935.6204699986</v>
      </c>
      <c r="K196" s="17">
        <f t="shared" si="92"/>
        <v>1203096.4157825001</v>
      </c>
      <c r="L196" s="17">
        <f t="shared" si="92"/>
        <v>1404923.1033400018</v>
      </c>
      <c r="M196" s="17">
        <f t="shared" si="92"/>
        <v>1339256.7033399995</v>
      </c>
      <c r="N196" s="17">
        <f t="shared" si="92"/>
        <v>0.3033399973064661</v>
      </c>
      <c r="O196" s="17">
        <f t="shared" si="92"/>
        <v>0.3033399973064661</v>
      </c>
      <c r="P196" s="17">
        <f t="shared" si="92"/>
        <v>0.3033399973064661</v>
      </c>
      <c r="Q196" s="17" t="e">
        <f t="shared" si="92"/>
        <v>#REF!</v>
      </c>
      <c r="R196" s="17"/>
      <c r="U196" s="1" t="s">
        <v>189</v>
      </c>
      <c r="Y196" s="240" t="s">
        <v>190</v>
      </c>
      <c r="Z196" s="243">
        <f>ROUND(L196-0,0)</f>
        <v>1404923</v>
      </c>
    </row>
    <row r="197" spans="1:26" x14ac:dyDescent="0.2">
      <c r="B197" s="9"/>
    </row>
    <row r="198" spans="1:26" x14ac:dyDescent="0.2">
      <c r="B198" s="9" t="s">
        <v>191</v>
      </c>
      <c r="E198" s="17">
        <f>-SUM(E37:E45)+E192</f>
        <v>-28500000</v>
      </c>
      <c r="F198" s="17">
        <f>-SUM(F37:F45)+F192</f>
        <v>0</v>
      </c>
      <c r="G198" s="17">
        <f>-SUM(G37:G45)+G192</f>
        <v>2500000</v>
      </c>
      <c r="H198" s="17">
        <f>-SUM(H37:H43)+H192</f>
        <v>0</v>
      </c>
      <c r="I198" s="17">
        <f>-SUM(I37:I43)+I192</f>
        <v>10250000</v>
      </c>
      <c r="J198" s="17">
        <f>-SUM(J37:J43)+J192</f>
        <v>6500000</v>
      </c>
      <c r="K198" s="17">
        <f>-SUM(K37:K43)+K192</f>
        <v>11000000</v>
      </c>
      <c r="L198" s="17">
        <f>-SUM(L37:L43)+L192</f>
        <v>6500000</v>
      </c>
      <c r="M198" s="17">
        <f>-SUM(M37:M46)+M192</f>
        <v>12000000</v>
      </c>
      <c r="N198" s="17">
        <f>-SUM(N37:N46)+N192</f>
        <v>13296210</v>
      </c>
      <c r="O198" s="17">
        <f>-SUM(O38)+O192</f>
        <v>0</v>
      </c>
      <c r="P198" s="17">
        <f>-SUM(P38)+P192</f>
        <v>0</v>
      </c>
      <c r="Q198" s="17">
        <f>-SUM(Q38)+Q192</f>
        <v>0</v>
      </c>
      <c r="Y198" s="240" t="s">
        <v>192</v>
      </c>
      <c r="Z198" s="243">
        <f>0.08-'Returns Lot Only'!F55</f>
        <v>3.812271356582464E-4</v>
      </c>
    </row>
    <row r="199" spans="1:26" ht="17" thickBot="1" x14ac:dyDescent="0.25"/>
    <row r="200" spans="1:26" ht="20" thickBot="1" x14ac:dyDescent="0.3">
      <c r="A200"/>
      <c r="B200" s="289" t="s">
        <v>193</v>
      </c>
      <c r="C200" s="290"/>
      <c r="D200" s="290"/>
      <c r="E200" s="291"/>
      <c r="F200" s="17"/>
      <c r="G200" s="289" t="s">
        <v>194</v>
      </c>
      <c r="H200" s="290"/>
      <c r="I200" s="290"/>
      <c r="J200" s="290"/>
      <c r="K200" s="291"/>
      <c r="L200" s="17"/>
      <c r="M200" s="17"/>
      <c r="N200" s="17"/>
      <c r="O200" s="17"/>
      <c r="P200" s="17"/>
      <c r="Q200" s="17"/>
    </row>
    <row r="201" spans="1:26" ht="5" customHeight="1" thickBot="1" x14ac:dyDescent="0.25">
      <c r="A201"/>
      <c r="E201" s="26"/>
      <c r="K201" s="26"/>
    </row>
    <row r="202" spans="1:26" ht="17" thickBot="1" x14ac:dyDescent="0.25">
      <c r="A202"/>
      <c r="B202" s="148" t="s">
        <v>195</v>
      </c>
      <c r="E202" s="146">
        <f>SUM(R46,R50)</f>
        <v>40500000</v>
      </c>
      <c r="I202" s="148" t="s">
        <v>196</v>
      </c>
      <c r="K202" s="146">
        <f>(R55+R62+R63)-R157</f>
        <v>91912500</v>
      </c>
      <c r="M202" s="149"/>
    </row>
    <row r="203" spans="1:26" ht="5" customHeight="1" thickBot="1" x14ac:dyDescent="0.25">
      <c r="A203"/>
      <c r="B203" s="9"/>
      <c r="E203" s="17"/>
      <c r="F203" s="17"/>
      <c r="G203" s="17"/>
      <c r="H203" s="17"/>
      <c r="I203" s="9"/>
      <c r="K203" s="17"/>
      <c r="L203" s="17"/>
      <c r="M203" s="17"/>
      <c r="N203" s="17"/>
      <c r="O203" s="17"/>
      <c r="P203" s="17"/>
      <c r="Q203" s="17"/>
    </row>
    <row r="204" spans="1:26" ht="17" thickBot="1" x14ac:dyDescent="0.25">
      <c r="A204"/>
      <c r="B204" s="148" t="s">
        <v>197</v>
      </c>
      <c r="E204" s="146">
        <f>T10</f>
        <v>90000000</v>
      </c>
      <c r="I204" s="164" t="s">
        <v>198</v>
      </c>
      <c r="K204" s="146">
        <f>R72+R76+R105+R115+R134+R154+R159+R158+R160+R167+R176+R183+R187+R188</f>
        <v>58366289.696659997</v>
      </c>
      <c r="M204" s="149"/>
      <c r="S204" s="17"/>
    </row>
    <row r="205" spans="1:26" ht="5" customHeight="1" thickBot="1" x14ac:dyDescent="0.25">
      <c r="A205"/>
      <c r="B205" s="9"/>
      <c r="E205" s="17"/>
      <c r="F205" s="17"/>
      <c r="G205" s="17"/>
      <c r="H205" s="17"/>
      <c r="I205" s="9"/>
      <c r="K205" s="17"/>
      <c r="L205" s="17"/>
      <c r="M205" s="17"/>
      <c r="N205" s="17"/>
      <c r="O205" s="17"/>
      <c r="P205" s="17"/>
      <c r="Q205" s="17"/>
    </row>
    <row r="206" spans="1:26" ht="17" thickBot="1" x14ac:dyDescent="0.25">
      <c r="A206"/>
      <c r="B206" s="145" t="s">
        <v>199</v>
      </c>
      <c r="E206" s="281">
        <f>G62</f>
        <v>11250000</v>
      </c>
      <c r="I206" s="163" t="s">
        <v>200</v>
      </c>
      <c r="K206" s="186">
        <f>K202-K204</f>
        <v>33546210.303340003</v>
      </c>
      <c r="M206" s="17"/>
    </row>
    <row r="207" spans="1:26" ht="5" customHeight="1" thickBot="1" x14ac:dyDescent="0.25">
      <c r="A207"/>
      <c r="B207" s="145"/>
      <c r="E207" s="126"/>
      <c r="I207" s="145"/>
      <c r="K207" s="126"/>
      <c r="M207" s="17"/>
    </row>
    <row r="208" spans="1:26" ht="17" thickBot="1" x14ac:dyDescent="0.25">
      <c r="A208"/>
      <c r="B208" s="145" t="s">
        <v>201</v>
      </c>
      <c r="E208" s="226">
        <f>R46/E206</f>
        <v>2.5333333333333332</v>
      </c>
      <c r="I208" s="148" t="s">
        <v>202</v>
      </c>
      <c r="K208" s="160">
        <f>K206/K202</f>
        <v>0.36497984826155316</v>
      </c>
      <c r="M208" s="17"/>
    </row>
    <row r="209" spans="1:29" ht="5" customHeight="1" thickBot="1" x14ac:dyDescent="0.25">
      <c r="A209"/>
      <c r="B209" s="145"/>
      <c r="E209" s="126"/>
      <c r="K209" s="26"/>
      <c r="M209" s="17"/>
    </row>
    <row r="210" spans="1:29" ht="17" thickBot="1" x14ac:dyDescent="0.25">
      <c r="A210"/>
      <c r="B210" s="145" t="s">
        <v>203</v>
      </c>
      <c r="E210" s="160">
        <f>T50</f>
        <v>0.29629629629629628</v>
      </c>
      <c r="F210" s="17"/>
      <c r="I210" s="148" t="s">
        <v>204</v>
      </c>
      <c r="K210" s="183">
        <f>K206/SUM(R37:R45)</f>
        <v>1.177060010643509</v>
      </c>
      <c r="T210" s="109">
        <f>K206-E216</f>
        <v>0.30334000289440155</v>
      </c>
    </row>
    <row r="211" spans="1:29" ht="5" customHeight="1" thickBot="1" x14ac:dyDescent="0.25">
      <c r="A211"/>
      <c r="B211" s="145"/>
      <c r="E211" s="161"/>
      <c r="F211" s="17"/>
      <c r="I211" s="148"/>
      <c r="K211" s="205"/>
    </row>
    <row r="212" spans="1:29" ht="17" thickBot="1" x14ac:dyDescent="0.25">
      <c r="A212"/>
      <c r="B212" s="148" t="s">
        <v>205</v>
      </c>
      <c r="E212" s="226">
        <f>IFERROR(G48/(0.8*H63),0)</f>
        <v>0</v>
      </c>
      <c r="F212" s="17"/>
      <c r="I212" s="148"/>
      <c r="K212" s="205"/>
    </row>
    <row r="213" spans="1:29" ht="17" thickBot="1" x14ac:dyDescent="0.25">
      <c r="A213"/>
      <c r="B213" s="7"/>
    </row>
    <row r="214" spans="1:29" ht="20" thickBot="1" x14ac:dyDescent="0.3">
      <c r="A214"/>
      <c r="B214" s="289" t="s">
        <v>206</v>
      </c>
      <c r="C214" s="290"/>
      <c r="D214" s="290"/>
      <c r="E214" s="291"/>
      <c r="F214" s="17"/>
      <c r="G214" s="289" t="s">
        <v>207</v>
      </c>
      <c r="H214" s="290"/>
      <c r="I214" s="290"/>
      <c r="J214" s="290"/>
      <c r="K214" s="290"/>
      <c r="L214" s="291"/>
      <c r="M214" s="17"/>
      <c r="N214" s="17"/>
      <c r="O214" s="17"/>
      <c r="P214" s="17"/>
      <c r="Q214" s="17"/>
    </row>
    <row r="215" spans="1:29" ht="5" customHeight="1" thickBot="1" x14ac:dyDescent="0.25">
      <c r="A215"/>
      <c r="B215" s="9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</row>
    <row r="216" spans="1:29" ht="17" thickBot="1" x14ac:dyDescent="0.25">
      <c r="A216"/>
      <c r="B216" s="145" t="s">
        <v>208</v>
      </c>
      <c r="E216" s="146">
        <f>SUM(E198:Q198)</f>
        <v>33546210</v>
      </c>
      <c r="G216" s="239" t="s">
        <v>243</v>
      </c>
      <c r="I216" s="192" t="s">
        <v>209</v>
      </c>
      <c r="L216" s="193" t="s">
        <v>210</v>
      </c>
      <c r="M216" s="17"/>
    </row>
    <row r="217" spans="1:29" ht="5" customHeight="1" thickBot="1" x14ac:dyDescent="0.25">
      <c r="A217"/>
      <c r="B217" s="145"/>
      <c r="E217" s="44"/>
      <c r="M217" s="17"/>
    </row>
    <row r="218" spans="1:29" ht="17" thickBot="1" x14ac:dyDescent="0.25">
      <c r="A218"/>
      <c r="B218" s="145" t="s">
        <v>211</v>
      </c>
      <c r="E218" s="183">
        <f>R192/SUM(R46)</f>
        <v>2.17706</v>
      </c>
      <c r="G218" s="188">
        <v>750000</v>
      </c>
      <c r="I218" s="189">
        <f>E218</f>
        <v>2.17706</v>
      </c>
      <c r="L218" s="190">
        <f>E222</f>
        <v>0.13159216046333314</v>
      </c>
      <c r="M218" s="17"/>
    </row>
    <row r="219" spans="1:29" ht="5" customHeight="1" thickBot="1" x14ac:dyDescent="0.25">
      <c r="A219"/>
      <c r="B219" s="145"/>
      <c r="E219" s="147"/>
      <c r="M219" s="17"/>
    </row>
    <row r="220" spans="1:29" ht="17" thickBot="1" x14ac:dyDescent="0.25">
      <c r="A220"/>
      <c r="B220" s="148" t="s">
        <v>212</v>
      </c>
      <c r="E220" s="160">
        <f>E216/SUM(R37:R45)</f>
        <v>1.17706</v>
      </c>
      <c r="F220" s="17"/>
      <c r="G220" s="191">
        <v>700000</v>
      </c>
      <c r="I220" s="283">
        <v>2.12</v>
      </c>
      <c r="L220" s="284">
        <v>0.1222</v>
      </c>
    </row>
    <row r="221" spans="1:29" ht="5" customHeight="1" thickBot="1" x14ac:dyDescent="0.25">
      <c r="A221"/>
      <c r="E221" s="26"/>
      <c r="I221" s="189"/>
      <c r="L221" s="284"/>
    </row>
    <row r="222" spans="1:29" ht="17" thickBot="1" x14ac:dyDescent="0.25">
      <c r="A222"/>
      <c r="B222" s="148" t="s">
        <v>213</v>
      </c>
      <c r="E222" s="160">
        <f>XIRR(E198:Q198,E8:Q8)</f>
        <v>0.13159216046333314</v>
      </c>
      <c r="G222" s="191">
        <v>650000</v>
      </c>
      <c r="I222" s="283">
        <v>1.89</v>
      </c>
      <c r="L222" s="284">
        <v>0.10100000000000001</v>
      </c>
      <c r="M222" s="149"/>
    </row>
    <row r="223" spans="1:29" x14ac:dyDescent="0.2">
      <c r="A223"/>
      <c r="B223" s="7"/>
    </row>
    <row r="224" spans="1:29" hidden="1" x14ac:dyDescent="0.2">
      <c r="A224"/>
      <c r="B224" s="150" t="s">
        <v>214</v>
      </c>
      <c r="C224" s="151" t="s">
        <v>215</v>
      </c>
      <c r="D224" s="151"/>
      <c r="E224" s="152" t="s">
        <v>216</v>
      </c>
      <c r="Z224" s="1"/>
      <c r="AA224" s="1"/>
      <c r="AB224" s="1"/>
      <c r="AC224" s="1"/>
    </row>
    <row r="225" spans="1:29" hidden="1" x14ac:dyDescent="0.2">
      <c r="A225"/>
      <c r="B225" s="153">
        <v>0.05</v>
      </c>
      <c r="C225" s="154" t="e">
        <f>NPV(B225,#REF!)+(#REF!+$E$65)</f>
        <v>#REF!</v>
      </c>
      <c r="D225" s="154"/>
      <c r="E225" s="155" t="e">
        <f>(($E$221-C225)+$E$215)/$R$33</f>
        <v>#REF!</v>
      </c>
      <c r="Z225" s="1"/>
      <c r="AA225" s="1"/>
      <c r="AB225" s="1"/>
      <c r="AC225" s="1"/>
    </row>
    <row r="226" spans="1:29" hidden="1" x14ac:dyDescent="0.2">
      <c r="A226"/>
      <c r="B226" s="153">
        <v>7.4999999999999997E-2</v>
      </c>
      <c r="C226" s="154" t="e">
        <f>NPV(B226,#REF!)+(#REF!+$E$65)</f>
        <v>#REF!</v>
      </c>
      <c r="D226" s="154"/>
      <c r="E226" s="155" t="e">
        <f>(($E$221-C226)+$E$215)/$R$33</f>
        <v>#REF!</v>
      </c>
      <c r="Z226" s="1"/>
      <c r="AA226" s="1"/>
      <c r="AB226" s="1"/>
      <c r="AC226" s="1"/>
    </row>
    <row r="227" spans="1:29" hidden="1" x14ac:dyDescent="0.2">
      <c r="A227"/>
      <c r="B227" s="153">
        <v>0.1</v>
      </c>
      <c r="C227" s="154" t="e">
        <f>NPV(B227,#REF!)+(#REF!+$E$65)</f>
        <v>#REF!</v>
      </c>
      <c r="D227" s="154"/>
      <c r="E227" s="155" t="e">
        <f>(($E$221-C227)+$E$215)/$R$33</f>
        <v>#REF!</v>
      </c>
      <c r="Z227" s="1"/>
      <c r="AA227" s="1"/>
      <c r="AB227" s="1"/>
      <c r="AC227" s="1"/>
    </row>
    <row r="228" spans="1:29" s="1" customFormat="1" hidden="1" x14ac:dyDescent="0.2">
      <c r="A228"/>
      <c r="B228" s="153">
        <v>0.125</v>
      </c>
      <c r="C228" s="154" t="e">
        <f>NPV(B228,#REF!)+(#REF!+$E$65)</f>
        <v>#REF!</v>
      </c>
      <c r="D228" s="154"/>
      <c r="E228" s="155" t="e">
        <f>(($E$221-C228)+$E$215)/$R$33</f>
        <v>#REF!</v>
      </c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</row>
    <row r="229" spans="1:29" s="1" customFormat="1" ht="17" hidden="1" thickBot="1" x14ac:dyDescent="0.25">
      <c r="A229"/>
      <c r="B229" s="156">
        <v>0.15</v>
      </c>
      <c r="C229" s="157" t="e">
        <f>NPV(B229,#REF!)+(#REF!+$E$65)</f>
        <v>#REF!</v>
      </c>
      <c r="D229" s="157"/>
      <c r="E229" s="158" t="e">
        <f>(($E$221-C229)+$E$215)/$R$33</f>
        <v>#REF!</v>
      </c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</row>
    <row r="230" spans="1:29" s="1" customFormat="1" hidden="1" x14ac:dyDescent="0.2">
      <c r="A230"/>
      <c r="B230" s="29"/>
      <c r="C230" s="29"/>
      <c r="D230" s="29"/>
      <c r="E230" s="159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</row>
    <row r="231" spans="1:29" x14ac:dyDescent="0.2">
      <c r="Z231" s="1"/>
      <c r="AA231" s="1"/>
    </row>
    <row r="232" spans="1:29" ht="29" customHeight="1" x14ac:dyDescent="0.2">
      <c r="Z232" s="1"/>
      <c r="AA232" s="1"/>
    </row>
    <row r="233" spans="1:29" ht="29" customHeight="1" x14ac:dyDescent="0.2">
      <c r="Z233" s="1"/>
      <c r="AA233" s="1"/>
    </row>
    <row r="234" spans="1:29" ht="29" customHeight="1" x14ac:dyDescent="0.2">
      <c r="Z234" s="1"/>
      <c r="AA234" s="1"/>
    </row>
    <row r="235" spans="1:29" ht="21" x14ac:dyDescent="0.25">
      <c r="B235" s="5" t="str">
        <f>B4</f>
        <v>PEREGRINE RANCH - LOT DEVELOPMENT</v>
      </c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12"/>
      <c r="Z235" s="1"/>
      <c r="AA235" s="1"/>
    </row>
    <row r="236" spans="1:29" x14ac:dyDescent="0.2">
      <c r="B236" s="8" t="str">
        <f>CONCATENATE("PROFORMA - SOURCES &amp; USES ANNUAL SUMMARY: ",LEFT(D24,3),"K/LOT")</f>
        <v>PROFORMA - SOURCES &amp; USES ANNUAL SUMMARY: 750K/LOT</v>
      </c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12"/>
      <c r="Z236" s="1"/>
      <c r="AA236" s="1"/>
    </row>
    <row r="237" spans="1:29" s="81" customFormat="1" ht="32" customHeight="1" x14ac:dyDescent="0.25">
      <c r="A237" s="107"/>
      <c r="B237" s="79" t="str">
        <f>B36</f>
        <v>SOURCES</v>
      </c>
      <c r="C237" s="79"/>
      <c r="D237" s="79"/>
      <c r="E237" s="80">
        <f t="shared" ref="E237:Q237" si="93">E8</f>
        <v>46388</v>
      </c>
      <c r="F237" s="80">
        <f t="shared" si="93"/>
        <v>46753</v>
      </c>
      <c r="G237" s="80">
        <f t="shared" si="93"/>
        <v>47119</v>
      </c>
      <c r="H237" s="80">
        <f t="shared" si="93"/>
        <v>47484</v>
      </c>
      <c r="I237" s="80">
        <f t="shared" si="93"/>
        <v>47849</v>
      </c>
      <c r="J237" s="80">
        <f t="shared" si="93"/>
        <v>48214</v>
      </c>
      <c r="K237" s="80">
        <f t="shared" si="93"/>
        <v>48580</v>
      </c>
      <c r="L237" s="80">
        <f t="shared" si="93"/>
        <v>48945</v>
      </c>
      <c r="M237" s="80">
        <f t="shared" si="93"/>
        <v>49310</v>
      </c>
      <c r="N237" s="80">
        <f t="shared" si="93"/>
        <v>49675</v>
      </c>
      <c r="O237" s="80">
        <f t="shared" si="93"/>
        <v>50041</v>
      </c>
      <c r="P237" s="80">
        <f t="shared" si="93"/>
        <v>50406</v>
      </c>
      <c r="Q237" s="80">
        <f t="shared" si="93"/>
        <v>50771</v>
      </c>
      <c r="R237" s="80" t="s">
        <v>17</v>
      </c>
      <c r="T237" s="78"/>
      <c r="U237" s="78"/>
      <c r="V237" s="78"/>
      <c r="W237" s="78"/>
      <c r="X237" s="78"/>
      <c r="Y237" s="1"/>
      <c r="Z237" s="1"/>
      <c r="AA237" s="1"/>
    </row>
    <row r="238" spans="1:29" s="81" customFormat="1" ht="32" hidden="1" customHeight="1" x14ac:dyDescent="0.25">
      <c r="A238" s="107"/>
      <c r="B238" s="81" t="str">
        <f>B37</f>
        <v>PURSUIT / DUE DILIGENCE: GP DEVELOPER</v>
      </c>
      <c r="C238" s="82"/>
      <c r="D238" s="82"/>
      <c r="E238" s="83">
        <f t="shared" ref="E238:R238" si="94">E37</f>
        <v>0</v>
      </c>
      <c r="F238" s="83">
        <f t="shared" si="94"/>
        <v>0</v>
      </c>
      <c r="G238" s="83">
        <f t="shared" si="94"/>
        <v>0</v>
      </c>
      <c r="H238" s="83">
        <f t="shared" si="94"/>
        <v>0</v>
      </c>
      <c r="I238" s="83">
        <f t="shared" si="94"/>
        <v>0</v>
      </c>
      <c r="J238" s="83">
        <f t="shared" si="94"/>
        <v>0</v>
      </c>
      <c r="K238" s="83">
        <f t="shared" si="94"/>
        <v>0</v>
      </c>
      <c r="L238" s="83">
        <f t="shared" si="94"/>
        <v>0</v>
      </c>
      <c r="M238" s="83">
        <f t="shared" si="94"/>
        <v>0</v>
      </c>
      <c r="N238" s="83">
        <f t="shared" si="94"/>
        <v>0</v>
      </c>
      <c r="O238" s="83">
        <f t="shared" si="94"/>
        <v>0</v>
      </c>
      <c r="P238" s="83">
        <f t="shared" si="94"/>
        <v>0</v>
      </c>
      <c r="Q238" s="83">
        <f t="shared" si="94"/>
        <v>0</v>
      </c>
      <c r="R238" s="83">
        <f t="shared" si="94"/>
        <v>0</v>
      </c>
      <c r="T238" s="78"/>
      <c r="U238" s="78"/>
      <c r="V238" s="78"/>
      <c r="W238" s="78"/>
      <c r="X238" s="78"/>
      <c r="Y238" s="1"/>
      <c r="Z238" s="1"/>
      <c r="AA238" s="1"/>
    </row>
    <row r="239" spans="1:29" s="81" customFormat="1" ht="32" hidden="1" customHeight="1" x14ac:dyDescent="0.25">
      <c r="A239" s="107"/>
      <c r="B239" s="81" t="str">
        <f>B38</f>
        <v>EQUITY (INVESTOR)</v>
      </c>
      <c r="C239" s="82"/>
      <c r="D239" s="82"/>
      <c r="E239" s="83">
        <f t="shared" ref="E239:R239" si="95">E38</f>
        <v>28500000</v>
      </c>
      <c r="F239" s="83">
        <f t="shared" si="95"/>
        <v>0</v>
      </c>
      <c r="G239" s="83">
        <f t="shared" si="95"/>
        <v>0</v>
      </c>
      <c r="H239" s="83">
        <f t="shared" si="95"/>
        <v>0</v>
      </c>
      <c r="I239" s="83">
        <f t="shared" si="95"/>
        <v>0</v>
      </c>
      <c r="J239" s="83">
        <f t="shared" si="95"/>
        <v>0</v>
      </c>
      <c r="K239" s="83">
        <f t="shared" si="95"/>
        <v>0</v>
      </c>
      <c r="L239" s="83">
        <f t="shared" si="95"/>
        <v>0</v>
      </c>
      <c r="M239" s="83">
        <f t="shared" si="95"/>
        <v>0</v>
      </c>
      <c r="N239" s="83">
        <f t="shared" si="95"/>
        <v>0</v>
      </c>
      <c r="O239" s="83">
        <f t="shared" si="95"/>
        <v>0</v>
      </c>
      <c r="P239" s="83">
        <f t="shared" si="95"/>
        <v>0</v>
      </c>
      <c r="Q239" s="83">
        <f t="shared" si="95"/>
        <v>0</v>
      </c>
      <c r="R239" s="83">
        <f t="shared" si="95"/>
        <v>28500000</v>
      </c>
      <c r="T239" s="78"/>
      <c r="U239" s="78"/>
      <c r="V239" s="78"/>
      <c r="W239" s="78"/>
      <c r="X239" s="78"/>
      <c r="Y239" s="1"/>
      <c r="Z239" s="1"/>
      <c r="AA239" s="1"/>
    </row>
    <row r="240" spans="1:29" s="81" customFormat="1" ht="32" customHeight="1" x14ac:dyDescent="0.25">
      <c r="A240" s="107"/>
      <c r="B240" s="81" t="str">
        <f>B46</f>
        <v>EQUITY / PROJECT ACQUISITION + ENTITLEMENT</v>
      </c>
      <c r="C240" s="82"/>
      <c r="D240" s="82"/>
      <c r="E240" s="83">
        <f t="shared" ref="E240:Q240" si="96">E46</f>
        <v>28500000</v>
      </c>
      <c r="F240" s="83">
        <f t="shared" si="96"/>
        <v>0</v>
      </c>
      <c r="G240" s="83">
        <f t="shared" si="96"/>
        <v>0</v>
      </c>
      <c r="H240" s="83">
        <f t="shared" si="96"/>
        <v>0</v>
      </c>
      <c r="I240" s="83">
        <f t="shared" si="96"/>
        <v>0</v>
      </c>
      <c r="J240" s="83">
        <f t="shared" si="96"/>
        <v>0</v>
      </c>
      <c r="K240" s="83">
        <f t="shared" si="96"/>
        <v>0</v>
      </c>
      <c r="L240" s="83">
        <f t="shared" si="96"/>
        <v>0</v>
      </c>
      <c r="M240" s="83">
        <f t="shared" si="96"/>
        <v>0</v>
      </c>
      <c r="N240" s="83">
        <f t="shared" si="96"/>
        <v>0</v>
      </c>
      <c r="O240" s="83">
        <f t="shared" si="96"/>
        <v>0</v>
      </c>
      <c r="P240" s="83">
        <f t="shared" si="96"/>
        <v>0</v>
      </c>
      <c r="Q240" s="83">
        <f t="shared" si="96"/>
        <v>0</v>
      </c>
      <c r="R240" s="83">
        <f t="shared" ref="R240:R243" si="97">SUM(E240:M240)</f>
        <v>28500000</v>
      </c>
      <c r="T240" s="78"/>
      <c r="U240" s="78"/>
      <c r="V240" s="78"/>
      <c r="W240" s="78"/>
      <c r="X240" s="78"/>
      <c r="Y240" s="1"/>
      <c r="Z240" s="1"/>
      <c r="AA240" s="1"/>
    </row>
    <row r="241" spans="1:27" s="81" customFormat="1" ht="32" hidden="1" customHeight="1" x14ac:dyDescent="0.25">
      <c r="A241" s="107"/>
      <c r="B241" s="81" t="str">
        <f>B50</f>
        <v>DEBT</v>
      </c>
      <c r="C241" s="82"/>
      <c r="D241" s="82"/>
      <c r="E241" s="83">
        <f t="shared" ref="E241:Q241" si="98">E50</f>
        <v>0</v>
      </c>
      <c r="F241" s="83">
        <f t="shared" si="98"/>
        <v>12000000</v>
      </c>
      <c r="G241" s="83">
        <f t="shared" si="98"/>
        <v>0</v>
      </c>
      <c r="H241" s="83">
        <f t="shared" si="98"/>
        <v>0</v>
      </c>
      <c r="I241" s="83">
        <f t="shared" si="98"/>
        <v>0</v>
      </c>
      <c r="J241" s="83">
        <f t="shared" si="98"/>
        <v>0</v>
      </c>
      <c r="K241" s="83">
        <f t="shared" si="98"/>
        <v>0</v>
      </c>
      <c r="L241" s="83">
        <f t="shared" si="98"/>
        <v>0</v>
      </c>
      <c r="M241" s="83">
        <f t="shared" si="98"/>
        <v>0</v>
      </c>
      <c r="N241" s="83">
        <f t="shared" si="98"/>
        <v>0</v>
      </c>
      <c r="O241" s="83">
        <f t="shared" si="98"/>
        <v>0</v>
      </c>
      <c r="P241" s="83">
        <f t="shared" si="98"/>
        <v>0</v>
      </c>
      <c r="Q241" s="83">
        <f t="shared" si="98"/>
        <v>0</v>
      </c>
      <c r="R241" s="83">
        <f t="shared" si="97"/>
        <v>12000000</v>
      </c>
      <c r="T241" s="78"/>
      <c r="U241" s="78"/>
      <c r="V241" s="78"/>
      <c r="W241" s="78"/>
      <c r="X241" s="78"/>
      <c r="Y241" s="1"/>
      <c r="Z241" s="1"/>
      <c r="AA241" s="1"/>
    </row>
    <row r="242" spans="1:27" s="81" customFormat="1" ht="32" hidden="1" customHeight="1" x14ac:dyDescent="0.25">
      <c r="A242" s="107"/>
      <c r="B242" s="81" t="str">
        <f>B55</f>
        <v>NET INCOME FROM AMENITY OPERATIONS</v>
      </c>
      <c r="C242" s="82"/>
      <c r="D242" s="82"/>
      <c r="E242" s="83">
        <f t="shared" ref="E242:Q242" si="99">E52</f>
        <v>0</v>
      </c>
      <c r="F242" s="83">
        <f t="shared" si="99"/>
        <v>0</v>
      </c>
      <c r="G242" s="83">
        <f t="shared" si="99"/>
        <v>0</v>
      </c>
      <c r="H242" s="83">
        <f t="shared" si="99"/>
        <v>0</v>
      </c>
      <c r="I242" s="83">
        <f t="shared" si="99"/>
        <v>0</v>
      </c>
      <c r="J242" s="83">
        <f t="shared" si="99"/>
        <v>0</v>
      </c>
      <c r="K242" s="83">
        <f t="shared" si="99"/>
        <v>0</v>
      </c>
      <c r="L242" s="83">
        <f t="shared" si="99"/>
        <v>0</v>
      </c>
      <c r="M242" s="83">
        <f t="shared" si="99"/>
        <v>0</v>
      </c>
      <c r="N242" s="83">
        <f t="shared" si="99"/>
        <v>0</v>
      </c>
      <c r="O242" s="83">
        <f t="shared" si="99"/>
        <v>0</v>
      </c>
      <c r="P242" s="83">
        <f t="shared" si="99"/>
        <v>0</v>
      </c>
      <c r="Q242" s="83" t="e">
        <f t="shared" si="99"/>
        <v>#REF!</v>
      </c>
      <c r="R242" s="83">
        <f t="shared" si="97"/>
        <v>0</v>
      </c>
      <c r="T242" s="78"/>
      <c r="U242" s="78"/>
      <c r="V242" s="78"/>
      <c r="W242" s="78"/>
      <c r="X242" s="78"/>
      <c r="Y242" s="1"/>
      <c r="Z242" s="1"/>
      <c r="AA242" s="1"/>
    </row>
    <row r="243" spans="1:27" s="81" customFormat="1" ht="32" hidden="1" customHeight="1" x14ac:dyDescent="0.25">
      <c r="A243" s="107"/>
      <c r="B243" s="81" t="str">
        <f>B60</f>
        <v>PRESALE DRAWS</v>
      </c>
      <c r="C243" s="82"/>
      <c r="D243" s="82"/>
      <c r="E243" s="83">
        <f t="shared" ref="E243:Q243" si="100">E60</f>
        <v>0</v>
      </c>
      <c r="F243" s="83">
        <f t="shared" si="100"/>
        <v>0</v>
      </c>
      <c r="G243" s="83">
        <f t="shared" si="100"/>
        <v>0</v>
      </c>
      <c r="H243" s="83">
        <f t="shared" si="100"/>
        <v>0</v>
      </c>
      <c r="I243" s="83">
        <f t="shared" si="100"/>
        <v>0</v>
      </c>
      <c r="J243" s="83">
        <f t="shared" si="100"/>
        <v>0</v>
      </c>
      <c r="K243" s="83">
        <f t="shared" si="100"/>
        <v>0</v>
      </c>
      <c r="L243" s="83">
        <f t="shared" si="100"/>
        <v>0</v>
      </c>
      <c r="M243" s="83">
        <f t="shared" si="100"/>
        <v>0</v>
      </c>
      <c r="N243" s="83">
        <f t="shared" si="100"/>
        <v>0</v>
      </c>
      <c r="O243" s="83">
        <f t="shared" si="100"/>
        <v>0</v>
      </c>
      <c r="P243" s="83">
        <f t="shared" si="100"/>
        <v>0</v>
      </c>
      <c r="Q243" s="83">
        <f t="shared" si="100"/>
        <v>0</v>
      </c>
      <c r="R243" s="83">
        <f t="shared" si="97"/>
        <v>0</v>
      </c>
      <c r="T243" s="78"/>
      <c r="U243" s="78"/>
      <c r="V243" s="78"/>
      <c r="W243" s="78"/>
      <c r="X243" s="78"/>
      <c r="Y243" s="1"/>
      <c r="Z243" s="1"/>
      <c r="AA243" s="1"/>
    </row>
    <row r="244" spans="1:27" s="81" customFormat="1" ht="32" customHeight="1" x14ac:dyDescent="0.25">
      <c r="A244" s="107"/>
      <c r="B244" s="81" t="str">
        <f>B62</f>
        <v>LOT SALES</v>
      </c>
      <c r="C244" s="82"/>
      <c r="D244" s="82"/>
      <c r="E244" s="83">
        <f t="shared" ref="E244:M244" si="101">E62</f>
        <v>0</v>
      </c>
      <c r="F244" s="83">
        <f t="shared" si="101"/>
        <v>0</v>
      </c>
      <c r="G244" s="83">
        <f t="shared" si="101"/>
        <v>11250000</v>
      </c>
      <c r="H244" s="83">
        <f t="shared" si="101"/>
        <v>11250000</v>
      </c>
      <c r="I244" s="83">
        <f t="shared" si="101"/>
        <v>11812500</v>
      </c>
      <c r="J244" s="83">
        <f t="shared" si="101"/>
        <v>11812500</v>
      </c>
      <c r="K244" s="83">
        <f t="shared" si="101"/>
        <v>12375000.000000002</v>
      </c>
      <c r="L244" s="83">
        <f t="shared" si="101"/>
        <v>12375000.000000002</v>
      </c>
      <c r="M244" s="83">
        <f t="shared" si="101"/>
        <v>12937499.999999998</v>
      </c>
      <c r="N244" s="83">
        <f t="shared" ref="N244:Q245" si="102">N63</f>
        <v>0</v>
      </c>
      <c r="O244" s="83">
        <f t="shared" si="102"/>
        <v>0</v>
      </c>
      <c r="P244" s="83">
        <f t="shared" si="102"/>
        <v>0</v>
      </c>
      <c r="Q244" s="83">
        <f t="shared" si="102"/>
        <v>0</v>
      </c>
      <c r="R244" s="83">
        <f>SUM(E244:M244)</f>
        <v>83812500</v>
      </c>
      <c r="T244" s="78"/>
      <c r="U244" s="78"/>
      <c r="V244" s="78"/>
      <c r="W244" s="78"/>
      <c r="X244" s="78"/>
      <c r="Y244" s="1"/>
      <c r="Z244" s="1"/>
      <c r="AA244" s="1"/>
    </row>
    <row r="245" spans="1:27" s="81" customFormat="1" ht="32" customHeight="1" x14ac:dyDescent="0.25">
      <c r="A245" s="107"/>
      <c r="B245" s="234" t="str">
        <f>B64</f>
        <v>TOTAL SOURCES</v>
      </c>
      <c r="C245" s="235"/>
      <c r="D245" s="235"/>
      <c r="E245" s="236">
        <f t="shared" ref="E245:M245" si="103">E64</f>
        <v>28500000</v>
      </c>
      <c r="F245" s="236">
        <f t="shared" si="103"/>
        <v>12000000</v>
      </c>
      <c r="G245" s="236">
        <f t="shared" si="103"/>
        <v>11250000</v>
      </c>
      <c r="H245" s="236">
        <f t="shared" si="103"/>
        <v>11250000</v>
      </c>
      <c r="I245" s="236">
        <f t="shared" si="103"/>
        <v>11812500</v>
      </c>
      <c r="J245" s="236">
        <f t="shared" si="103"/>
        <v>11812500</v>
      </c>
      <c r="K245" s="236">
        <f t="shared" si="103"/>
        <v>12375000.000000002</v>
      </c>
      <c r="L245" s="236">
        <f t="shared" si="103"/>
        <v>12375000.000000002</v>
      </c>
      <c r="M245" s="236">
        <f t="shared" si="103"/>
        <v>12937499.999999998</v>
      </c>
      <c r="N245" s="236">
        <f t="shared" si="102"/>
        <v>12937499.999999998</v>
      </c>
      <c r="O245" s="236">
        <f t="shared" si="102"/>
        <v>0</v>
      </c>
      <c r="P245" s="236">
        <f t="shared" si="102"/>
        <v>0</v>
      </c>
      <c r="Q245" s="236" t="e">
        <f t="shared" si="102"/>
        <v>#REF!</v>
      </c>
      <c r="R245" s="247">
        <f>R64</f>
        <v>137250000</v>
      </c>
      <c r="T245" s="78"/>
      <c r="U245" s="78"/>
      <c r="V245" s="78"/>
      <c r="W245" s="78"/>
      <c r="X245" s="78"/>
      <c r="Y245" s="1"/>
      <c r="Z245" s="1"/>
      <c r="AA245" s="1"/>
    </row>
    <row r="246" spans="1:27" s="81" customFormat="1" ht="32" customHeight="1" x14ac:dyDescent="0.25">
      <c r="A246" s="107"/>
      <c r="C246" s="82"/>
      <c r="D246" s="82"/>
      <c r="E246" s="87"/>
      <c r="F246" s="87"/>
      <c r="G246" s="87"/>
      <c r="H246" s="87"/>
      <c r="I246" s="87"/>
      <c r="J246" s="87"/>
      <c r="K246" s="87"/>
      <c r="L246" s="87"/>
      <c r="M246" s="87"/>
      <c r="N246" s="87"/>
      <c r="O246" s="87"/>
      <c r="P246" s="87"/>
      <c r="Q246" s="87"/>
      <c r="R246" s="87"/>
      <c r="T246" s="78"/>
      <c r="U246" s="78"/>
      <c r="V246" s="78"/>
      <c r="W246" s="78"/>
      <c r="X246" s="78"/>
      <c r="Y246" s="1"/>
      <c r="Z246" s="1"/>
      <c r="AA246" s="1"/>
    </row>
    <row r="247" spans="1:27" s="81" customFormat="1" ht="32" customHeight="1" x14ac:dyDescent="0.25">
      <c r="A247" s="107"/>
      <c r="B247" s="79" t="str">
        <f>B66</f>
        <v>USES</v>
      </c>
      <c r="C247" s="88"/>
      <c r="D247" s="88"/>
      <c r="E247" s="89">
        <f t="shared" ref="E247:Q247" si="104">E8</f>
        <v>46388</v>
      </c>
      <c r="F247" s="89">
        <f t="shared" si="104"/>
        <v>46753</v>
      </c>
      <c r="G247" s="89">
        <f t="shared" si="104"/>
        <v>47119</v>
      </c>
      <c r="H247" s="89">
        <f t="shared" si="104"/>
        <v>47484</v>
      </c>
      <c r="I247" s="89">
        <f t="shared" si="104"/>
        <v>47849</v>
      </c>
      <c r="J247" s="89">
        <f t="shared" si="104"/>
        <v>48214</v>
      </c>
      <c r="K247" s="89">
        <f t="shared" si="104"/>
        <v>48580</v>
      </c>
      <c r="L247" s="89">
        <f t="shared" si="104"/>
        <v>48945</v>
      </c>
      <c r="M247" s="89">
        <f t="shared" si="104"/>
        <v>49310</v>
      </c>
      <c r="N247" s="89">
        <f t="shared" si="104"/>
        <v>49675</v>
      </c>
      <c r="O247" s="89">
        <f t="shared" si="104"/>
        <v>50041</v>
      </c>
      <c r="P247" s="89">
        <f t="shared" si="104"/>
        <v>50406</v>
      </c>
      <c r="Q247" s="89">
        <f t="shared" si="104"/>
        <v>50771</v>
      </c>
      <c r="R247" s="89" t="s">
        <v>17</v>
      </c>
      <c r="T247" s="78"/>
      <c r="U247" s="78"/>
      <c r="V247" s="78"/>
      <c r="W247" s="78"/>
      <c r="X247" s="78"/>
      <c r="Y247" s="1"/>
      <c r="Z247" s="1"/>
      <c r="AA247" s="1"/>
    </row>
    <row r="248" spans="1:27" s="81" customFormat="1" ht="32" customHeight="1" x14ac:dyDescent="0.25">
      <c r="A248" s="107"/>
      <c r="B248" s="81" t="str">
        <f>B72</f>
        <v>LAND &amp; PROJECT ACQUISITION</v>
      </c>
      <c r="C248" s="82"/>
      <c r="D248" s="82"/>
      <c r="E248" s="83">
        <f t="shared" ref="E248:R248" si="105">E72</f>
        <v>27310500</v>
      </c>
      <c r="F248" s="83">
        <f t="shared" si="105"/>
        <v>0</v>
      </c>
      <c r="G248" s="83">
        <f t="shared" si="105"/>
        <v>0</v>
      </c>
      <c r="H248" s="83">
        <f t="shared" si="105"/>
        <v>0</v>
      </c>
      <c r="I248" s="83">
        <f t="shared" si="105"/>
        <v>0</v>
      </c>
      <c r="J248" s="83">
        <f t="shared" si="105"/>
        <v>0</v>
      </c>
      <c r="K248" s="83">
        <f t="shared" si="105"/>
        <v>0</v>
      </c>
      <c r="L248" s="83">
        <f t="shared" si="105"/>
        <v>0</v>
      </c>
      <c r="M248" s="83">
        <f t="shared" si="105"/>
        <v>0</v>
      </c>
      <c r="N248" s="83">
        <f t="shared" si="105"/>
        <v>0</v>
      </c>
      <c r="O248" s="83">
        <f t="shared" si="105"/>
        <v>0</v>
      </c>
      <c r="P248" s="83">
        <f t="shared" si="105"/>
        <v>0</v>
      </c>
      <c r="Q248" s="83">
        <f t="shared" si="105"/>
        <v>0</v>
      </c>
      <c r="R248" s="83">
        <f t="shared" si="105"/>
        <v>27310500</v>
      </c>
      <c r="T248" s="78"/>
      <c r="U248" s="78"/>
      <c r="V248" s="78"/>
      <c r="W248" s="78"/>
      <c r="X248" s="78"/>
      <c r="Y248" s="1"/>
      <c r="Z248" s="1"/>
      <c r="AA248" s="1"/>
    </row>
    <row r="249" spans="1:27" s="81" customFormat="1" ht="32" customHeight="1" x14ac:dyDescent="0.25">
      <c r="A249" s="107"/>
      <c r="B249" s="81" t="str">
        <f>B76</f>
        <v>AMENITY - USE OF EQUITY</v>
      </c>
      <c r="C249" s="82"/>
      <c r="D249" s="82"/>
      <c r="E249" s="83">
        <f t="shared" ref="E249:R249" si="106">E76</f>
        <v>0</v>
      </c>
      <c r="F249" s="83">
        <f t="shared" si="106"/>
        <v>0</v>
      </c>
      <c r="G249" s="83">
        <f t="shared" si="106"/>
        <v>0</v>
      </c>
      <c r="H249" s="83">
        <f t="shared" si="106"/>
        <v>0</v>
      </c>
      <c r="I249" s="83">
        <f t="shared" si="106"/>
        <v>0</v>
      </c>
      <c r="J249" s="83">
        <f t="shared" si="106"/>
        <v>0</v>
      </c>
      <c r="K249" s="83">
        <f t="shared" si="106"/>
        <v>0</v>
      </c>
      <c r="L249" s="83">
        <f t="shared" si="106"/>
        <v>0</v>
      </c>
      <c r="M249" s="83">
        <f t="shared" si="106"/>
        <v>0</v>
      </c>
      <c r="N249" s="83">
        <f t="shared" si="106"/>
        <v>0</v>
      </c>
      <c r="O249" s="83">
        <f t="shared" si="106"/>
        <v>0</v>
      </c>
      <c r="P249" s="83">
        <f t="shared" si="106"/>
        <v>0</v>
      </c>
      <c r="Q249" s="83">
        <f t="shared" si="106"/>
        <v>0</v>
      </c>
      <c r="R249" s="83">
        <f t="shared" si="106"/>
        <v>0</v>
      </c>
      <c r="T249" s="78"/>
      <c r="U249" s="78"/>
      <c r="V249" s="78"/>
      <c r="W249" s="78"/>
      <c r="X249" s="78"/>
      <c r="Y249" s="1"/>
      <c r="Z249" s="1"/>
      <c r="AA249" s="1"/>
    </row>
    <row r="250" spans="1:27" s="81" customFormat="1" ht="32" customHeight="1" x14ac:dyDescent="0.25">
      <c r="A250" s="107"/>
      <c r="B250" s="81" t="str">
        <f>B105</f>
        <v>HARD COSTS - SITE, RESTORATION &amp; INFRASTRUCTURE</v>
      </c>
      <c r="C250" s="82"/>
      <c r="D250" s="82"/>
      <c r="E250" s="83">
        <f t="shared" ref="E250:R250" si="107">E105</f>
        <v>0</v>
      </c>
      <c r="F250" s="83">
        <f t="shared" si="107"/>
        <v>10183623.75</v>
      </c>
      <c r="G250" s="83">
        <f t="shared" si="107"/>
        <v>0</v>
      </c>
      <c r="H250" s="83">
        <f t="shared" si="107"/>
        <v>4036461.1875</v>
      </c>
      <c r="I250" s="83">
        <f t="shared" si="107"/>
        <v>0</v>
      </c>
      <c r="J250" s="83">
        <f t="shared" si="107"/>
        <v>4228673.625</v>
      </c>
      <c r="K250" s="83">
        <f t="shared" si="107"/>
        <v>0</v>
      </c>
      <c r="L250" s="83">
        <f t="shared" si="107"/>
        <v>4420886.0625</v>
      </c>
      <c r="M250" s="83">
        <f t="shared" si="107"/>
        <v>0</v>
      </c>
      <c r="N250" s="83">
        <f t="shared" si="107"/>
        <v>0</v>
      </c>
      <c r="O250" s="83">
        <f t="shared" si="107"/>
        <v>0</v>
      </c>
      <c r="P250" s="83">
        <f t="shared" si="107"/>
        <v>0</v>
      </c>
      <c r="Q250" s="83">
        <f t="shared" si="107"/>
        <v>0</v>
      </c>
      <c r="R250" s="83">
        <f t="shared" si="107"/>
        <v>22869644.625</v>
      </c>
      <c r="T250" s="78"/>
      <c r="U250" s="78"/>
      <c r="V250" s="78"/>
      <c r="W250" s="78"/>
      <c r="X250" s="78"/>
      <c r="Y250" s="1"/>
      <c r="Z250" s="1"/>
      <c r="AA250" s="1"/>
    </row>
    <row r="251" spans="1:27" s="81" customFormat="1" ht="32" hidden="1" customHeight="1" x14ac:dyDescent="0.25">
      <c r="A251" s="107"/>
      <c r="B251" s="81" t="str">
        <f>B115</f>
        <v>HARD COSTS - HOMES</v>
      </c>
      <c r="C251" s="82"/>
      <c r="D251" s="82"/>
      <c r="E251" s="83">
        <f t="shared" ref="E251:R251" si="108">E115</f>
        <v>0</v>
      </c>
      <c r="F251" s="83">
        <f t="shared" si="108"/>
        <v>0</v>
      </c>
      <c r="G251" s="83">
        <f t="shared" si="108"/>
        <v>0</v>
      </c>
      <c r="H251" s="83">
        <f t="shared" si="108"/>
        <v>0</v>
      </c>
      <c r="I251" s="83">
        <f t="shared" si="108"/>
        <v>0</v>
      </c>
      <c r="J251" s="83">
        <f t="shared" si="108"/>
        <v>0</v>
      </c>
      <c r="K251" s="83">
        <f t="shared" si="108"/>
        <v>0</v>
      </c>
      <c r="L251" s="83">
        <f t="shared" si="108"/>
        <v>0</v>
      </c>
      <c r="M251" s="83">
        <f t="shared" si="108"/>
        <v>0</v>
      </c>
      <c r="N251" s="83">
        <f t="shared" si="108"/>
        <v>0</v>
      </c>
      <c r="O251" s="83">
        <f t="shared" si="108"/>
        <v>0</v>
      </c>
      <c r="P251" s="83">
        <f t="shared" si="108"/>
        <v>0</v>
      </c>
      <c r="Q251" s="83">
        <f t="shared" si="108"/>
        <v>0</v>
      </c>
      <c r="R251" s="83">
        <f t="shared" si="108"/>
        <v>0</v>
      </c>
      <c r="T251" s="78"/>
      <c r="U251" s="78"/>
      <c r="V251" s="78"/>
      <c r="W251" s="78"/>
      <c r="X251" s="78"/>
      <c r="Y251" s="1"/>
      <c r="Z251" s="1"/>
      <c r="AA251" s="1"/>
    </row>
    <row r="252" spans="1:27" s="81" customFormat="1" ht="32" customHeight="1" x14ac:dyDescent="0.25">
      <c r="A252" s="107"/>
      <c r="B252" s="81" t="str">
        <f>B134</f>
        <v>SOFT COSTS PROFESSIONALS - SITE, RESTORE, &amp; INFRA</v>
      </c>
      <c r="C252" s="82"/>
      <c r="D252" s="82"/>
      <c r="E252" s="83">
        <f t="shared" ref="E252:R252" si="109">E134</f>
        <v>963560.390625</v>
      </c>
      <c r="F252" s="83">
        <f t="shared" si="109"/>
        <v>200308.828125</v>
      </c>
      <c r="G252" s="83">
        <f t="shared" si="109"/>
        <v>290906.19140625</v>
      </c>
      <c r="H252" s="83">
        <f t="shared" si="109"/>
        <v>111945.17578125</v>
      </c>
      <c r="I252" s="83">
        <f t="shared" si="109"/>
        <v>304361.3671875</v>
      </c>
      <c r="J252" s="83">
        <f t="shared" si="109"/>
        <v>115128.3984375</v>
      </c>
      <c r="K252" s="83">
        <f t="shared" si="109"/>
        <v>317816.54296875</v>
      </c>
      <c r="L252" s="83">
        <f t="shared" si="109"/>
        <v>118311.62109375</v>
      </c>
      <c r="M252" s="83">
        <f t="shared" si="109"/>
        <v>18847.5</v>
      </c>
      <c r="N252" s="83">
        <f t="shared" si="109"/>
        <v>8347.5</v>
      </c>
      <c r="O252" s="83">
        <f t="shared" si="109"/>
        <v>0</v>
      </c>
      <c r="P252" s="83">
        <f t="shared" si="109"/>
        <v>0</v>
      </c>
      <c r="Q252" s="83">
        <f t="shared" si="109"/>
        <v>0</v>
      </c>
      <c r="R252" s="83">
        <f t="shared" si="109"/>
        <v>2449533.515625</v>
      </c>
      <c r="T252" s="78"/>
      <c r="U252" s="78"/>
      <c r="V252" s="78"/>
      <c r="W252" s="78"/>
      <c r="X252" s="78"/>
      <c r="Y252" s="1"/>
      <c r="Z252" s="1"/>
      <c r="AA252" s="1"/>
    </row>
    <row r="253" spans="1:27" s="81" customFormat="1" ht="32" hidden="1" customHeight="1" x14ac:dyDescent="0.25">
      <c r="A253" s="107"/>
      <c r="B253" s="81" t="str">
        <f>B154</f>
        <v>SOFT COSTS PROFESSIONALS - HOMES</v>
      </c>
      <c r="C253" s="82"/>
      <c r="D253" s="82"/>
      <c r="E253" s="83">
        <f t="shared" ref="E253:R253" si="110">E154</f>
        <v>0</v>
      </c>
      <c r="F253" s="83">
        <f t="shared" si="110"/>
        <v>0</v>
      </c>
      <c r="G253" s="83">
        <f t="shared" si="110"/>
        <v>0</v>
      </c>
      <c r="H253" s="83">
        <f t="shared" si="110"/>
        <v>0</v>
      </c>
      <c r="I253" s="83">
        <f t="shared" si="110"/>
        <v>0</v>
      </c>
      <c r="J253" s="83">
        <f t="shared" si="110"/>
        <v>0</v>
      </c>
      <c r="K253" s="83">
        <f t="shared" si="110"/>
        <v>0</v>
      </c>
      <c r="L253" s="83">
        <f t="shared" si="110"/>
        <v>0</v>
      </c>
      <c r="M253" s="83">
        <f t="shared" si="110"/>
        <v>0</v>
      </c>
      <c r="N253" s="83">
        <f t="shared" si="110"/>
        <v>0</v>
      </c>
      <c r="O253" s="83">
        <f t="shared" si="110"/>
        <v>0</v>
      </c>
      <c r="P253" s="83">
        <f t="shared" si="110"/>
        <v>0</v>
      </c>
      <c r="Q253" s="83">
        <f t="shared" si="110"/>
        <v>0</v>
      </c>
      <c r="R253" s="83">
        <f t="shared" si="110"/>
        <v>0</v>
      </c>
      <c r="T253" s="78"/>
      <c r="U253" s="78"/>
      <c r="V253" s="78"/>
      <c r="W253" s="78"/>
      <c r="X253" s="78"/>
      <c r="Y253" s="1"/>
      <c r="Z253" s="1"/>
      <c r="AA253" s="1"/>
    </row>
    <row r="254" spans="1:27" s="81" customFormat="1" ht="32" customHeight="1" x14ac:dyDescent="0.25">
      <c r="A254" s="107"/>
      <c r="B254" s="81" t="str">
        <f>B162</f>
        <v>SOFT COSTS - SALES</v>
      </c>
      <c r="C254" s="82"/>
      <c r="D254" s="82"/>
      <c r="E254" s="83">
        <f t="shared" ref="E254:R254" si="111">E162</f>
        <v>0</v>
      </c>
      <c r="F254" s="83">
        <f t="shared" si="111"/>
        <v>0</v>
      </c>
      <c r="G254" s="83">
        <f t="shared" si="111"/>
        <v>596250</v>
      </c>
      <c r="H254" s="83">
        <f t="shared" si="111"/>
        <v>596250</v>
      </c>
      <c r="I254" s="83">
        <f t="shared" si="111"/>
        <v>626062.5</v>
      </c>
      <c r="J254" s="83">
        <f t="shared" si="111"/>
        <v>626062.5</v>
      </c>
      <c r="K254" s="83">
        <f t="shared" si="111"/>
        <v>655875.00000000012</v>
      </c>
      <c r="L254" s="83">
        <f t="shared" si="111"/>
        <v>655875.00000000012</v>
      </c>
      <c r="M254" s="83">
        <f t="shared" si="111"/>
        <v>685687.5</v>
      </c>
      <c r="N254" s="83">
        <f t="shared" si="111"/>
        <v>685687.5</v>
      </c>
      <c r="O254" s="83">
        <f t="shared" si="111"/>
        <v>0</v>
      </c>
      <c r="P254" s="83">
        <f t="shared" si="111"/>
        <v>0</v>
      </c>
      <c r="Q254" s="83">
        <f t="shared" si="111"/>
        <v>0</v>
      </c>
      <c r="R254" s="83">
        <f t="shared" si="111"/>
        <v>5127750</v>
      </c>
      <c r="T254" s="78"/>
      <c r="U254" s="78"/>
      <c r="V254" s="78"/>
      <c r="W254" s="78"/>
      <c r="X254" s="78"/>
      <c r="Y254" s="1"/>
      <c r="Z254" s="1"/>
      <c r="AA254" s="1"/>
    </row>
    <row r="255" spans="1:27" s="81" customFormat="1" ht="32" customHeight="1" x14ac:dyDescent="0.25">
      <c r="A255" s="107"/>
      <c r="B255" s="81" t="str">
        <f>B167</f>
        <v>SOFT COSTS - TAXES AND INSURANCE</v>
      </c>
      <c r="C255" s="82"/>
      <c r="D255" s="82"/>
      <c r="E255" s="83">
        <f t="shared" ref="E255:R255" si="112">E167</f>
        <v>30000</v>
      </c>
      <c r="F255" s="83">
        <f t="shared" si="112"/>
        <v>55000</v>
      </c>
      <c r="G255" s="83">
        <f t="shared" si="112"/>
        <v>48750</v>
      </c>
      <c r="H255" s="83">
        <f t="shared" si="112"/>
        <v>42500</v>
      </c>
      <c r="I255" s="83">
        <f t="shared" si="112"/>
        <v>36250</v>
      </c>
      <c r="J255" s="83">
        <f t="shared" si="112"/>
        <v>30000</v>
      </c>
      <c r="K255" s="83">
        <f t="shared" si="112"/>
        <v>23750</v>
      </c>
      <c r="L255" s="83">
        <f t="shared" si="112"/>
        <v>17500</v>
      </c>
      <c r="M255" s="83">
        <f t="shared" si="112"/>
        <v>11250</v>
      </c>
      <c r="N255" s="83">
        <f t="shared" si="112"/>
        <v>0</v>
      </c>
      <c r="O255" s="83">
        <f t="shared" si="112"/>
        <v>0</v>
      </c>
      <c r="P255" s="83">
        <f t="shared" si="112"/>
        <v>0</v>
      </c>
      <c r="Q255" s="83">
        <f t="shared" si="112"/>
        <v>0</v>
      </c>
      <c r="R255" s="83">
        <f t="shared" si="112"/>
        <v>295000</v>
      </c>
      <c r="T255" s="78"/>
      <c r="U255" s="78"/>
      <c r="V255" s="78"/>
      <c r="W255" s="78"/>
      <c r="X255" s="78"/>
      <c r="Y255" s="1"/>
      <c r="Z255" s="1"/>
      <c r="AA255" s="1"/>
    </row>
    <row r="256" spans="1:27" s="81" customFormat="1" ht="32" customHeight="1" x14ac:dyDescent="0.25">
      <c r="A256" s="107"/>
      <c r="B256" s="81" t="str">
        <f>B176</f>
        <v>SOFT COSTS - MUNICIPALITY FEES</v>
      </c>
      <c r="C256" s="82"/>
      <c r="D256" s="82"/>
      <c r="E256" s="83">
        <f t="shared" ref="E256:R256" si="113">E176</f>
        <v>35850</v>
      </c>
      <c r="F256" s="83">
        <f t="shared" si="113"/>
        <v>15583.623750000001</v>
      </c>
      <c r="G256" s="83">
        <f t="shared" si="113"/>
        <v>0</v>
      </c>
      <c r="H256" s="83">
        <f t="shared" si="113"/>
        <v>4036.4611875000001</v>
      </c>
      <c r="I256" s="83">
        <f t="shared" si="113"/>
        <v>0</v>
      </c>
      <c r="J256" s="83">
        <f t="shared" si="113"/>
        <v>4228.6736250000004</v>
      </c>
      <c r="K256" s="83">
        <f t="shared" si="113"/>
        <v>0</v>
      </c>
      <c r="L256" s="83">
        <f t="shared" si="113"/>
        <v>4420.8860624999998</v>
      </c>
      <c r="M256" s="83">
        <f t="shared" si="113"/>
        <v>0</v>
      </c>
      <c r="N256" s="83">
        <f t="shared" si="113"/>
        <v>0</v>
      </c>
      <c r="O256" s="83">
        <f t="shared" si="113"/>
        <v>0</v>
      </c>
      <c r="P256" s="83">
        <f t="shared" si="113"/>
        <v>0</v>
      </c>
      <c r="Q256" s="83">
        <f t="shared" si="113"/>
        <v>0</v>
      </c>
      <c r="R256" s="83">
        <f t="shared" si="113"/>
        <v>64119.644625000001</v>
      </c>
      <c r="T256" s="78"/>
      <c r="U256" s="78"/>
      <c r="V256" s="78"/>
      <c r="W256" s="78"/>
      <c r="X256" s="78"/>
      <c r="Y256" s="1"/>
      <c r="Z256" s="1"/>
      <c r="AA256" s="1"/>
    </row>
    <row r="257" spans="1:27" s="81" customFormat="1" ht="32" customHeight="1" x14ac:dyDescent="0.25">
      <c r="A257" s="107"/>
      <c r="B257" s="81" t="str">
        <f>B183</f>
        <v xml:space="preserve">DEVELOPMENT FEES </v>
      </c>
      <c r="C257" s="82"/>
      <c r="D257" s="82"/>
      <c r="E257" s="83">
        <f t="shared" ref="E257:R257" si="114">E183</f>
        <v>41176.415625000001</v>
      </c>
      <c r="F257" s="83">
        <f t="shared" si="114"/>
        <v>418180.64807499998</v>
      </c>
      <c r="G257" s="83">
        <f t="shared" si="114"/>
        <v>262436.24765625002</v>
      </c>
      <c r="H257" s="83">
        <f t="shared" si="114"/>
        <v>416647.71297875</v>
      </c>
      <c r="I257" s="83">
        <f t="shared" si="114"/>
        <v>274916.95468750002</v>
      </c>
      <c r="J257" s="83">
        <f t="shared" si="114"/>
        <v>436413.72788250004</v>
      </c>
      <c r="K257" s="83">
        <f t="shared" si="114"/>
        <v>287397.66171875002</v>
      </c>
      <c r="L257" s="83">
        <f t="shared" si="114"/>
        <v>456179.74278625008</v>
      </c>
      <c r="M257" s="83">
        <f t="shared" si="114"/>
        <v>287381.39999999997</v>
      </c>
      <c r="N257" s="83">
        <f t="shared" si="114"/>
        <v>286511.39999999997</v>
      </c>
      <c r="O257" s="83">
        <f t="shared" si="114"/>
        <v>0</v>
      </c>
      <c r="P257" s="83">
        <f t="shared" si="114"/>
        <v>0</v>
      </c>
      <c r="Q257" s="83">
        <f t="shared" si="114"/>
        <v>0</v>
      </c>
      <c r="R257" s="83">
        <f t="shared" si="114"/>
        <v>3167241.9114100002</v>
      </c>
      <c r="T257" s="78"/>
      <c r="U257" s="78"/>
      <c r="V257" s="78"/>
      <c r="W257" s="78"/>
      <c r="X257" s="78"/>
      <c r="Y257" s="1"/>
      <c r="Z257" s="1"/>
      <c r="AA257" s="1"/>
    </row>
    <row r="258" spans="1:27" s="81" customFormat="1" ht="32" hidden="1" customHeight="1" x14ac:dyDescent="0.25">
      <c r="A258" s="107"/>
      <c r="B258" s="81" t="str">
        <f>B190</f>
        <v>FINANCING COSTS &amp; REPAYMENT</v>
      </c>
      <c r="C258" s="82"/>
      <c r="D258" s="82"/>
      <c r="E258" s="83">
        <f t="shared" ref="E258:R258" si="115">E190</f>
        <v>0</v>
      </c>
      <c r="F258" s="83">
        <f t="shared" si="115"/>
        <v>720000</v>
      </c>
      <c r="G258" s="83">
        <f t="shared" si="115"/>
        <v>6840000</v>
      </c>
      <c r="H258" s="83">
        <f t="shared" si="115"/>
        <v>6360000</v>
      </c>
      <c r="I258" s="83">
        <f t="shared" si="115"/>
        <v>0</v>
      </c>
      <c r="J258" s="83">
        <f t="shared" si="115"/>
        <v>0</v>
      </c>
      <c r="K258" s="83">
        <f t="shared" si="115"/>
        <v>0</v>
      </c>
      <c r="L258" s="83">
        <f t="shared" si="115"/>
        <v>0</v>
      </c>
      <c r="M258" s="83">
        <f t="shared" si="115"/>
        <v>0</v>
      </c>
      <c r="N258" s="83">
        <f t="shared" si="115"/>
        <v>0</v>
      </c>
      <c r="O258" s="83">
        <f t="shared" si="115"/>
        <v>0</v>
      </c>
      <c r="P258" s="83">
        <f t="shared" si="115"/>
        <v>0</v>
      </c>
      <c r="Q258" s="83">
        <f t="shared" si="115"/>
        <v>0</v>
      </c>
      <c r="R258" s="83">
        <f t="shared" si="115"/>
        <v>13920000</v>
      </c>
      <c r="T258" s="78"/>
      <c r="U258" s="78"/>
      <c r="V258" s="78"/>
      <c r="W258" s="78"/>
      <c r="X258" s="78"/>
      <c r="Y258" s="1"/>
      <c r="Z258" s="1"/>
      <c r="AA258" s="1"/>
    </row>
    <row r="259" spans="1:27" s="81" customFormat="1" ht="32" customHeight="1" x14ac:dyDescent="0.25">
      <c r="A259" s="107"/>
      <c r="B259" s="81" t="str">
        <f>B192</f>
        <v>DISTRIBUTIONS</v>
      </c>
      <c r="C259" s="82"/>
      <c r="D259" s="82"/>
      <c r="E259" s="83">
        <f t="shared" ref="E259:R259" si="116">E192</f>
        <v>0</v>
      </c>
      <c r="F259" s="83">
        <f t="shared" si="116"/>
        <v>0</v>
      </c>
      <c r="G259" s="83">
        <f t="shared" si="116"/>
        <v>2500000</v>
      </c>
      <c r="H259" s="83">
        <f t="shared" si="116"/>
        <v>0</v>
      </c>
      <c r="I259" s="83">
        <f t="shared" si="116"/>
        <v>10250000</v>
      </c>
      <c r="J259" s="83">
        <f t="shared" si="116"/>
        <v>6500000</v>
      </c>
      <c r="K259" s="83">
        <f t="shared" si="116"/>
        <v>11000000</v>
      </c>
      <c r="L259" s="83">
        <f t="shared" si="116"/>
        <v>6500000</v>
      </c>
      <c r="M259" s="83">
        <f t="shared" si="116"/>
        <v>12000000</v>
      </c>
      <c r="N259" s="83">
        <f t="shared" si="116"/>
        <v>13296210</v>
      </c>
      <c r="O259" s="83">
        <f t="shared" si="116"/>
        <v>0</v>
      </c>
      <c r="P259" s="83">
        <f t="shared" si="116"/>
        <v>0</v>
      </c>
      <c r="Q259" s="83">
        <f t="shared" si="116"/>
        <v>0</v>
      </c>
      <c r="R259" s="83">
        <f t="shared" si="116"/>
        <v>62046210</v>
      </c>
      <c r="T259" s="78"/>
      <c r="U259" s="78"/>
      <c r="V259" s="78"/>
      <c r="W259" s="78"/>
      <c r="X259" s="78"/>
      <c r="Y259" s="1"/>
      <c r="Z259" s="1"/>
      <c r="AA259" s="1"/>
    </row>
    <row r="260" spans="1:27" s="81" customFormat="1" ht="32" customHeight="1" x14ac:dyDescent="0.25">
      <c r="A260" s="107"/>
      <c r="B260" s="234" t="str">
        <f>B194</f>
        <v>TOTAL USES</v>
      </c>
      <c r="C260" s="235"/>
      <c r="D260" s="235"/>
      <c r="E260" s="236">
        <f t="shared" ref="E260:R260" si="117">E194</f>
        <v>28381086.806249999</v>
      </c>
      <c r="F260" s="236">
        <f t="shared" si="117"/>
        <v>11592696.849950001</v>
      </c>
      <c r="G260" s="236">
        <f t="shared" si="117"/>
        <v>10538342.4390625</v>
      </c>
      <c r="H260" s="236">
        <f t="shared" si="117"/>
        <v>11567840.537447501</v>
      </c>
      <c r="I260" s="236">
        <f t="shared" si="117"/>
        <v>11491590.821875</v>
      </c>
      <c r="J260" s="236">
        <f t="shared" si="117"/>
        <v>11940506.924945001</v>
      </c>
      <c r="K260" s="236">
        <f t="shared" si="117"/>
        <v>12284839.2046875</v>
      </c>
      <c r="L260" s="236">
        <f t="shared" si="117"/>
        <v>12173173.3124425</v>
      </c>
      <c r="M260" s="236">
        <f t="shared" si="117"/>
        <v>13003166.4</v>
      </c>
      <c r="N260" s="236">
        <f t="shared" si="117"/>
        <v>14276756.4</v>
      </c>
      <c r="O260" s="236">
        <f t="shared" si="117"/>
        <v>0</v>
      </c>
      <c r="P260" s="236">
        <f t="shared" si="117"/>
        <v>0</v>
      </c>
      <c r="Q260" s="236">
        <f t="shared" si="117"/>
        <v>0</v>
      </c>
      <c r="R260" s="247">
        <f t="shared" si="117"/>
        <v>137249999.69666001</v>
      </c>
      <c r="T260" s="78"/>
      <c r="U260" s="78"/>
      <c r="V260" s="78"/>
      <c r="W260" s="78"/>
      <c r="X260" s="78"/>
      <c r="Y260" s="1"/>
      <c r="Z260" s="1"/>
      <c r="AA260" s="1"/>
    </row>
    <row r="261" spans="1:27" s="81" customFormat="1" ht="19" x14ac:dyDescent="0.25">
      <c r="A261" s="107"/>
      <c r="B261" s="84"/>
      <c r="C261" s="85"/>
      <c r="D261" s="85"/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  <c r="R261" s="86"/>
      <c r="T261" s="78"/>
      <c r="U261" s="78"/>
      <c r="V261" s="78"/>
      <c r="W261" s="78"/>
      <c r="X261" s="78"/>
      <c r="Y261" s="1"/>
      <c r="Z261" s="1"/>
      <c r="AA261" s="1"/>
    </row>
    <row r="262" spans="1:27" x14ac:dyDescent="0.2">
      <c r="B262" s="233"/>
      <c r="Z262" s="1"/>
      <c r="AA262" s="1"/>
    </row>
    <row r="263" spans="1:27" x14ac:dyDescent="0.2">
      <c r="Z263" s="1"/>
      <c r="AA263" s="1"/>
    </row>
    <row r="264" spans="1:27" x14ac:dyDescent="0.2">
      <c r="Z264" s="1"/>
      <c r="AA264" s="1"/>
    </row>
    <row r="265" spans="1:27" x14ac:dyDescent="0.2">
      <c r="Z265" s="1"/>
      <c r="AA265" s="1"/>
    </row>
    <row r="266" spans="1:27" ht="19" x14ac:dyDescent="0.25">
      <c r="B266" s="84" t="str">
        <f>B4</f>
        <v>PEREGRINE RANCH - LOT DEVELOPMENT</v>
      </c>
      <c r="Z266" s="1"/>
      <c r="AA266" s="1"/>
    </row>
    <row r="267" spans="1:27" x14ac:dyDescent="0.2">
      <c r="B267" s="8" t="str">
        <f>_xlfn.CONCAT("PROFORMA - SOURCES &amp; USES SUMMARY: ",LEFT(D24,3),"K/LOT")</f>
        <v>PROFORMA - SOURCES &amp; USES SUMMARY: 750K/LOT</v>
      </c>
      <c r="Z267" s="1"/>
      <c r="AA267" s="1"/>
    </row>
    <row r="268" spans="1:27" x14ac:dyDescent="0.2">
      <c r="B268" s="70" t="str">
        <f t="shared" ref="B268:B276" si="118">B237</f>
        <v>SOURCES</v>
      </c>
      <c r="C268" s="71" t="s">
        <v>217</v>
      </c>
      <c r="D268" s="71" t="s">
        <v>218</v>
      </c>
      <c r="E268" s="72" t="s">
        <v>219</v>
      </c>
      <c r="Z268" s="1"/>
      <c r="AA268" s="1"/>
    </row>
    <row r="269" spans="1:27" hidden="1" x14ac:dyDescent="0.2">
      <c r="B269" s="20" t="str">
        <f t="shared" si="118"/>
        <v>PURSUIT / DUE DILIGENCE: GP DEVELOPER</v>
      </c>
      <c r="C269" s="17">
        <f t="shared" ref="C269:C276" si="119">R238</f>
        <v>0</v>
      </c>
      <c r="D269" s="141" t="e">
        <f>C269/$C$20</f>
        <v>#DIV/0!</v>
      </c>
      <c r="E269" s="29" t="e">
        <f>#REF!/#REF!</f>
        <v>#REF!</v>
      </c>
      <c r="Z269" s="1"/>
      <c r="AA269" s="1"/>
    </row>
    <row r="270" spans="1:27" hidden="1" x14ac:dyDescent="0.2">
      <c r="B270" s="20" t="str">
        <f t="shared" si="118"/>
        <v>EQUITY (INVESTOR)</v>
      </c>
      <c r="C270" s="17">
        <f t="shared" si="119"/>
        <v>28500000</v>
      </c>
      <c r="D270" s="141" t="e">
        <f>C270/$D$20</f>
        <v>#DIV/0!</v>
      </c>
      <c r="E270" s="29" t="e">
        <f>#REF!/#REF!</f>
        <v>#REF!</v>
      </c>
      <c r="Z270" s="1"/>
      <c r="AA270" s="1"/>
    </row>
    <row r="271" spans="1:27" x14ac:dyDescent="0.2">
      <c r="B271" s="20" t="str">
        <f t="shared" si="118"/>
        <v>EQUITY / PROJECT ACQUISITION + ENTITLEMENT</v>
      </c>
      <c r="C271" s="17">
        <f t="shared" si="119"/>
        <v>28500000</v>
      </c>
      <c r="D271" s="141">
        <f>C271/$D$10</f>
        <v>654.26997245179064</v>
      </c>
      <c r="E271" s="29">
        <f t="shared" ref="E271:E276" si="120">C271/$C$276</f>
        <v>0.20765027322404372</v>
      </c>
      <c r="Z271" s="1"/>
      <c r="AA271" s="1"/>
    </row>
    <row r="272" spans="1:27" x14ac:dyDescent="0.2">
      <c r="B272" s="20" t="str">
        <f t="shared" si="118"/>
        <v>DEBT</v>
      </c>
      <c r="C272" s="17">
        <f t="shared" si="119"/>
        <v>12000000</v>
      </c>
      <c r="D272" s="141">
        <f t="shared" ref="D272:D275" si="121">C272/$D$10</f>
        <v>275.48209366391183</v>
      </c>
      <c r="E272" s="29">
        <f t="shared" si="120"/>
        <v>8.7431693989071038E-2</v>
      </c>
      <c r="Z272" s="1"/>
      <c r="AA272" s="1"/>
    </row>
    <row r="273" spans="2:27" x14ac:dyDescent="0.2">
      <c r="B273" s="20" t="str">
        <f t="shared" si="118"/>
        <v>NET INCOME FROM AMENITY OPERATIONS</v>
      </c>
      <c r="C273" s="17">
        <f t="shared" si="119"/>
        <v>0</v>
      </c>
      <c r="D273" s="141">
        <f t="shared" si="121"/>
        <v>0</v>
      </c>
      <c r="E273" s="29">
        <f t="shared" si="120"/>
        <v>0</v>
      </c>
      <c r="Z273" s="1"/>
      <c r="AA273" s="1"/>
    </row>
    <row r="274" spans="2:27" hidden="1" x14ac:dyDescent="0.2">
      <c r="B274" s="20" t="str">
        <f t="shared" si="118"/>
        <v>PRESALE DRAWS</v>
      </c>
      <c r="C274" s="17">
        <f t="shared" si="119"/>
        <v>0</v>
      </c>
      <c r="D274" s="141">
        <f t="shared" si="121"/>
        <v>0</v>
      </c>
      <c r="E274" s="29">
        <f t="shared" si="120"/>
        <v>0</v>
      </c>
      <c r="Z274" s="1"/>
      <c r="AA274" s="1"/>
    </row>
    <row r="275" spans="2:27" x14ac:dyDescent="0.2">
      <c r="B275" s="40" t="str">
        <f t="shared" si="118"/>
        <v>LOT SALES</v>
      </c>
      <c r="C275" s="42">
        <f t="shared" si="119"/>
        <v>83812500</v>
      </c>
      <c r="D275" s="141">
        <f t="shared" si="121"/>
        <v>1924.0702479338843</v>
      </c>
      <c r="E275" s="74">
        <f t="shared" si="120"/>
        <v>0.61065573770491799</v>
      </c>
      <c r="Z275" s="1"/>
      <c r="AA275" s="1"/>
    </row>
    <row r="276" spans="2:27" x14ac:dyDescent="0.2">
      <c r="B276" s="43" t="str">
        <f t="shared" si="118"/>
        <v>TOTAL SOURCES</v>
      </c>
      <c r="C276" s="44">
        <f t="shared" si="119"/>
        <v>137250000</v>
      </c>
      <c r="D276" s="207">
        <f>C276/$D$10</f>
        <v>3150.8264462809916</v>
      </c>
      <c r="E276" s="279">
        <f t="shared" si="120"/>
        <v>1</v>
      </c>
      <c r="Z276" s="1"/>
      <c r="AA276" s="1"/>
    </row>
    <row r="277" spans="2:27" x14ac:dyDescent="0.2">
      <c r="B277" s="20"/>
      <c r="C277" s="17"/>
      <c r="D277" s="17"/>
      <c r="E277" s="75"/>
      <c r="Z277" s="1"/>
      <c r="AA277" s="1"/>
    </row>
    <row r="278" spans="2:27" x14ac:dyDescent="0.2">
      <c r="B278" s="70" t="str">
        <f t="shared" ref="B278:B291" si="122">B247</f>
        <v>USES</v>
      </c>
      <c r="C278" s="71" t="s">
        <v>217</v>
      </c>
      <c r="D278" s="72" t="s">
        <v>218</v>
      </c>
      <c r="E278" s="76" t="s">
        <v>219</v>
      </c>
      <c r="Z278" s="1"/>
      <c r="AA278" s="1"/>
    </row>
    <row r="279" spans="2:27" x14ac:dyDescent="0.2">
      <c r="B279" s="20" t="str">
        <f t="shared" si="122"/>
        <v>LAND &amp; PROJECT ACQUISITION</v>
      </c>
      <c r="C279" s="17">
        <f t="shared" ref="C279:C291" si="123">R248</f>
        <v>27310500</v>
      </c>
      <c r="D279" s="141">
        <f>C279/$D$10</f>
        <v>626.96280991735534</v>
      </c>
      <c r="E279" s="29">
        <f t="shared" ref="E279:E291" si="124">C279/$C$291</f>
        <v>0.19898360699715617</v>
      </c>
      <c r="Z279" s="1"/>
      <c r="AA279" s="1"/>
    </row>
    <row r="280" spans="2:27" hidden="1" x14ac:dyDescent="0.2">
      <c r="B280" s="20" t="str">
        <f t="shared" si="122"/>
        <v>AMENITY - USE OF EQUITY</v>
      </c>
      <c r="C280" s="17">
        <f t="shared" si="123"/>
        <v>0</v>
      </c>
      <c r="D280" s="141">
        <f t="shared" ref="D280:D290" si="125">C280/$D$10</f>
        <v>0</v>
      </c>
      <c r="E280" s="29">
        <f t="shared" si="124"/>
        <v>0</v>
      </c>
      <c r="Z280" s="1"/>
      <c r="AA280" s="1"/>
    </row>
    <row r="281" spans="2:27" x14ac:dyDescent="0.2">
      <c r="B281" s="20" t="str">
        <f t="shared" si="122"/>
        <v>HARD COSTS - SITE, RESTORATION &amp; INFRASTRUCTURE</v>
      </c>
      <c r="C281" s="17">
        <f t="shared" si="123"/>
        <v>22869644.625</v>
      </c>
      <c r="D281" s="141">
        <f t="shared" si="125"/>
        <v>525.01479855371906</v>
      </c>
      <c r="E281" s="29">
        <f t="shared" si="124"/>
        <v>0.16662764790925194</v>
      </c>
      <c r="Z281" s="1"/>
      <c r="AA281" s="1"/>
    </row>
    <row r="282" spans="2:27" hidden="1" x14ac:dyDescent="0.2">
      <c r="B282" s="20" t="str">
        <f t="shared" si="122"/>
        <v>HARD COSTS - HOMES</v>
      </c>
      <c r="C282" s="17">
        <f t="shared" si="123"/>
        <v>0</v>
      </c>
      <c r="D282" s="141">
        <f t="shared" si="125"/>
        <v>0</v>
      </c>
      <c r="E282" s="29">
        <f t="shared" si="124"/>
        <v>0</v>
      </c>
      <c r="Z282" s="1"/>
      <c r="AA282" s="1"/>
    </row>
    <row r="283" spans="2:27" x14ac:dyDescent="0.2">
      <c r="B283" s="20" t="str">
        <f t="shared" si="122"/>
        <v>SOFT COSTS PROFESSIONALS - SITE, RESTORE, &amp; INFRA</v>
      </c>
      <c r="C283" s="17">
        <f t="shared" si="123"/>
        <v>2449533.515625</v>
      </c>
      <c r="D283" s="141">
        <f t="shared" si="125"/>
        <v>56.23355178202479</v>
      </c>
      <c r="E283" s="29">
        <f t="shared" si="124"/>
        <v>1.7847238768952868E-2</v>
      </c>
      <c r="Z283" s="1"/>
      <c r="AA283" s="1"/>
    </row>
    <row r="284" spans="2:27" hidden="1" x14ac:dyDescent="0.2">
      <c r="B284" s="20" t="str">
        <f t="shared" si="122"/>
        <v>SOFT COSTS PROFESSIONALS - HOMES</v>
      </c>
      <c r="C284" s="17">
        <f t="shared" si="123"/>
        <v>0</v>
      </c>
      <c r="D284" s="141">
        <f t="shared" si="125"/>
        <v>0</v>
      </c>
      <c r="E284" s="29">
        <f t="shared" si="124"/>
        <v>0</v>
      </c>
      <c r="Z284" s="1"/>
      <c r="AA284" s="1"/>
    </row>
    <row r="285" spans="2:27" x14ac:dyDescent="0.2">
      <c r="B285" s="20" t="str">
        <f t="shared" si="122"/>
        <v>SOFT COSTS - SALES</v>
      </c>
      <c r="C285" s="17">
        <f t="shared" si="123"/>
        <v>5127750</v>
      </c>
      <c r="D285" s="141">
        <f t="shared" si="125"/>
        <v>117.71694214876032</v>
      </c>
      <c r="E285" s="29">
        <f t="shared" si="124"/>
        <v>3.7360655820276728E-2</v>
      </c>
      <c r="Z285" s="1"/>
      <c r="AA285" s="1"/>
    </row>
    <row r="286" spans="2:27" x14ac:dyDescent="0.2">
      <c r="B286" s="20" t="str">
        <f t="shared" si="122"/>
        <v>SOFT COSTS - TAXES AND INSURANCE</v>
      </c>
      <c r="C286" s="17">
        <f t="shared" si="123"/>
        <v>295000</v>
      </c>
      <c r="D286" s="141">
        <f t="shared" si="125"/>
        <v>6.7722681359044996</v>
      </c>
      <c r="E286" s="29">
        <f t="shared" si="124"/>
        <v>2.1493624819816947E-3</v>
      </c>
      <c r="Z286" s="1"/>
      <c r="AA286" s="1"/>
    </row>
    <row r="287" spans="2:27" x14ac:dyDescent="0.2">
      <c r="B287" s="20" t="str">
        <f t="shared" si="122"/>
        <v>SOFT COSTS - MUNICIPALITY FEES</v>
      </c>
      <c r="C287" s="17">
        <f t="shared" si="123"/>
        <v>64119.644625000001</v>
      </c>
      <c r="D287" s="141">
        <f t="shared" si="125"/>
        <v>1.471984495523416</v>
      </c>
      <c r="E287" s="29">
        <f t="shared" si="124"/>
        <v>4.6717409666092958E-4</v>
      </c>
      <c r="Z287" s="1"/>
      <c r="AA287" s="1"/>
    </row>
    <row r="288" spans="2:27" x14ac:dyDescent="0.2">
      <c r="B288" s="20" t="str">
        <f t="shared" si="122"/>
        <v xml:space="preserve">DEVELOPMENT FEES </v>
      </c>
      <c r="C288" s="17">
        <f t="shared" si="123"/>
        <v>3167241.9114100002</v>
      </c>
      <c r="D288" s="141">
        <f t="shared" si="125"/>
        <v>72.709869407943074</v>
      </c>
      <c r="E288" s="29">
        <f t="shared" si="124"/>
        <v>2.3076443849981847E-2</v>
      </c>
      <c r="Z288" s="1"/>
      <c r="AA288" s="1"/>
    </row>
    <row r="289" spans="2:27" x14ac:dyDescent="0.2">
      <c r="B289" s="20" t="str">
        <f t="shared" si="122"/>
        <v>FINANCING COSTS &amp; REPAYMENT</v>
      </c>
      <c r="C289" s="17">
        <f t="shared" si="123"/>
        <v>13920000</v>
      </c>
      <c r="D289" s="141">
        <f t="shared" si="125"/>
        <v>319.55922865013775</v>
      </c>
      <c r="E289" s="29">
        <f t="shared" si="124"/>
        <v>0.10142076525147521</v>
      </c>
      <c r="Z289" s="1"/>
      <c r="AA289" s="1"/>
    </row>
    <row r="290" spans="2:27" x14ac:dyDescent="0.2">
      <c r="B290" s="40" t="str">
        <f t="shared" si="122"/>
        <v>DISTRIBUTIONS</v>
      </c>
      <c r="C290" s="42">
        <f t="shared" si="123"/>
        <v>62046210</v>
      </c>
      <c r="D290" s="141">
        <f t="shared" si="125"/>
        <v>1424.3849862258953</v>
      </c>
      <c r="E290" s="74">
        <f t="shared" si="124"/>
        <v>0.45206710482426249</v>
      </c>
      <c r="Z290" s="1"/>
      <c r="AA290" s="1"/>
    </row>
    <row r="291" spans="2:27" x14ac:dyDescent="0.2">
      <c r="B291" s="43" t="str">
        <f t="shared" si="122"/>
        <v>TOTAL USES</v>
      </c>
      <c r="C291" s="44">
        <f t="shared" si="123"/>
        <v>137249999.69666001</v>
      </c>
      <c r="D291" s="207">
        <f>C291/$D$10</f>
        <v>3150.826439317264</v>
      </c>
      <c r="E291" s="29">
        <f t="shared" si="124"/>
        <v>1</v>
      </c>
      <c r="Z291" s="1"/>
      <c r="AA291" s="1"/>
    </row>
    <row r="292" spans="2:27" x14ac:dyDescent="0.2">
      <c r="B292" s="43"/>
      <c r="C292" s="44"/>
      <c r="D292" s="141"/>
      <c r="E292" s="29"/>
      <c r="Z292" s="1"/>
      <c r="AA292" s="1"/>
    </row>
    <row r="293" spans="2:27" x14ac:dyDescent="0.2">
      <c r="B293" s="43"/>
      <c r="C293" s="44"/>
      <c r="D293" s="141"/>
      <c r="E293" s="29"/>
      <c r="Z293" s="1"/>
      <c r="AA293" s="1"/>
    </row>
    <row r="294" spans="2:27" x14ac:dyDescent="0.2">
      <c r="B294" s="43"/>
      <c r="C294" s="44"/>
      <c r="D294" s="141"/>
      <c r="E294" s="29"/>
      <c r="Z294" s="1"/>
      <c r="AA294" s="1"/>
    </row>
    <row r="295" spans="2:27" x14ac:dyDescent="0.2">
      <c r="B295" s="43"/>
      <c r="C295" s="44"/>
      <c r="D295" s="141"/>
      <c r="E295" s="29"/>
      <c r="Z295" s="1"/>
      <c r="AA295" s="1"/>
    </row>
    <row r="296" spans="2:27" x14ac:dyDescent="0.2">
      <c r="B296" s="43"/>
      <c r="C296" s="44"/>
      <c r="D296" s="141"/>
      <c r="E296" s="29"/>
      <c r="Z296" s="1"/>
      <c r="AA296" s="1"/>
    </row>
    <row r="297" spans="2:27" x14ac:dyDescent="0.2">
      <c r="B297" s="43"/>
      <c r="C297" s="44"/>
      <c r="D297" s="141"/>
      <c r="E297" s="29"/>
      <c r="Z297" s="1"/>
      <c r="AA297" s="1"/>
    </row>
    <row r="298" spans="2:27" x14ac:dyDescent="0.2">
      <c r="B298" s="43"/>
      <c r="C298" s="44"/>
      <c r="D298" s="141"/>
      <c r="E298" s="29"/>
      <c r="Z298" s="1"/>
      <c r="AA298" s="1"/>
    </row>
    <row r="299" spans="2:27" ht="21" x14ac:dyDescent="0.25">
      <c r="B299" s="5" t="str">
        <f>B4</f>
        <v>PEREGRINE RANCH - LOT DEVELOPMENT</v>
      </c>
      <c r="Z299" s="1"/>
      <c r="AA299" s="1"/>
    </row>
    <row r="300" spans="2:27" ht="19" x14ac:dyDescent="0.25">
      <c r="B300" s="84" t="str">
        <f>+B5</f>
        <v>BUILD &amp; SALES PROFORMA - LOT ONLY</v>
      </c>
      <c r="Z300" s="1"/>
      <c r="AA300" s="1"/>
    </row>
    <row r="301" spans="2:27" x14ac:dyDescent="0.2">
      <c r="B301" s="70" t="str">
        <f>_xlfn.CONCAT("BUSINESS PLAN: ",LEFT(D24,3),"K/LOT")</f>
        <v>BUSINESS PLAN: 750K/LOT</v>
      </c>
      <c r="C301" s="71" t="s">
        <v>217</v>
      </c>
      <c r="D301" s="72" t="s">
        <v>220</v>
      </c>
      <c r="Z301" s="1"/>
      <c r="AA301" s="1"/>
    </row>
    <row r="302" spans="2:27" x14ac:dyDescent="0.2">
      <c r="B302" s="40" t="str">
        <f>+B62</f>
        <v>LOT SALES</v>
      </c>
      <c r="C302" s="42">
        <f>+R62</f>
        <v>96750000</v>
      </c>
      <c r="D302" s="74">
        <f>+C302/$C$302</f>
        <v>1</v>
      </c>
      <c r="Z302" s="1"/>
      <c r="AA302" s="1"/>
    </row>
    <row r="303" spans="2:27" x14ac:dyDescent="0.2">
      <c r="B303" s="233" t="s">
        <v>221</v>
      </c>
      <c r="C303" s="17">
        <f>SUM(C302:C302)</f>
        <v>96750000</v>
      </c>
      <c r="D303" s="279">
        <f>+C303/$C$302</f>
        <v>1</v>
      </c>
      <c r="Z303" s="1"/>
      <c r="AA303" s="1"/>
    </row>
    <row r="304" spans="2:27" x14ac:dyDescent="0.2">
      <c r="C304" s="17"/>
      <c r="D304" s="279"/>
      <c r="Z304" s="1"/>
      <c r="AA304" s="1"/>
    </row>
    <row r="305" spans="2:27" x14ac:dyDescent="0.2">
      <c r="B305" s="17" t="str">
        <f>+B279</f>
        <v>LAND &amp; PROJECT ACQUISITION</v>
      </c>
      <c r="C305" s="17">
        <f>+C279</f>
        <v>27310500</v>
      </c>
      <c r="D305" s="279">
        <f t="shared" ref="D305:D313" si="126">+C305/$C$302</f>
        <v>0.28227906976744188</v>
      </c>
      <c r="Z305" s="1"/>
      <c r="AA305" s="1"/>
    </row>
    <row r="306" spans="2:27" x14ac:dyDescent="0.2">
      <c r="B306" s="17" t="str">
        <f>+B281</f>
        <v>HARD COSTS - SITE, RESTORATION &amp; INFRASTRUCTURE</v>
      </c>
      <c r="C306" s="17">
        <f>+C281</f>
        <v>22869644.625</v>
      </c>
      <c r="D306" s="279">
        <f t="shared" si="126"/>
        <v>0.23637875581395348</v>
      </c>
      <c r="Z306" s="1"/>
      <c r="AA306" s="1"/>
    </row>
    <row r="307" spans="2:27" x14ac:dyDescent="0.2">
      <c r="B307" s="17" t="str">
        <f>+B283</f>
        <v>SOFT COSTS PROFESSIONALS - SITE, RESTORE, &amp; INFRA</v>
      </c>
      <c r="C307" s="17">
        <f>+C283</f>
        <v>2449533.515625</v>
      </c>
      <c r="D307" s="279">
        <f t="shared" si="126"/>
        <v>2.5318175872093025E-2</v>
      </c>
      <c r="E307" s="8"/>
      <c r="F307" s="8"/>
      <c r="G307" s="8"/>
      <c r="H307" s="8"/>
      <c r="Z307" s="1"/>
      <c r="AA307" s="1"/>
    </row>
    <row r="308" spans="2:27" x14ac:dyDescent="0.2">
      <c r="B308" s="17" t="str">
        <f t="shared" ref="B308:C311" si="127">+B285</f>
        <v>SOFT COSTS - SALES</v>
      </c>
      <c r="C308" s="17">
        <f t="shared" si="127"/>
        <v>5127750</v>
      </c>
      <c r="D308" s="279">
        <f t="shared" si="126"/>
        <v>5.2999999999999999E-2</v>
      </c>
      <c r="Z308" s="1"/>
      <c r="AA308" s="1"/>
    </row>
    <row r="309" spans="2:27" x14ac:dyDescent="0.2">
      <c r="B309" s="17" t="str">
        <f t="shared" si="127"/>
        <v>SOFT COSTS - TAXES AND INSURANCE</v>
      </c>
      <c r="C309" s="17">
        <f t="shared" si="127"/>
        <v>295000</v>
      </c>
      <c r="D309" s="279">
        <f t="shared" si="126"/>
        <v>3.0490956072351423E-3</v>
      </c>
      <c r="Z309" s="1"/>
      <c r="AA309" s="1"/>
    </row>
    <row r="310" spans="2:27" x14ac:dyDescent="0.2">
      <c r="B310" s="17" t="str">
        <f t="shared" si="127"/>
        <v>SOFT COSTS - MUNICIPALITY FEES</v>
      </c>
      <c r="C310" s="17">
        <f t="shared" si="127"/>
        <v>64119.644625000001</v>
      </c>
      <c r="D310" s="279">
        <f t="shared" si="126"/>
        <v>6.6273534496124036E-4</v>
      </c>
      <c r="Z310" s="1"/>
      <c r="AA310" s="1"/>
    </row>
    <row r="311" spans="2:27" x14ac:dyDescent="0.2">
      <c r="B311" s="17" t="str">
        <f t="shared" si="127"/>
        <v xml:space="preserve">DEVELOPMENT FEES </v>
      </c>
      <c r="C311" s="17">
        <f t="shared" si="127"/>
        <v>3167241.9114100002</v>
      </c>
      <c r="D311" s="279">
        <f t="shared" si="126"/>
        <v>3.273635050552972E-2</v>
      </c>
      <c r="Z311" s="1"/>
      <c r="AA311" s="1"/>
    </row>
    <row r="312" spans="2:27" x14ac:dyDescent="0.2">
      <c r="B312" s="42" t="s">
        <v>179</v>
      </c>
      <c r="C312" s="42">
        <f>SUM(R187:R188)</f>
        <v>1920000</v>
      </c>
      <c r="D312" s="74">
        <f t="shared" si="126"/>
        <v>1.9844961240310079E-2</v>
      </c>
      <c r="Z312" s="1"/>
      <c r="AA312" s="1"/>
    </row>
    <row r="313" spans="2:27" x14ac:dyDescent="0.2">
      <c r="B313" t="s">
        <v>222</v>
      </c>
      <c r="C313" s="17">
        <f>SUM(C305:C312)</f>
        <v>63203789.696659997</v>
      </c>
      <c r="D313" s="279">
        <f t="shared" si="126"/>
        <v>0.65326914415152448</v>
      </c>
      <c r="Z313" s="1"/>
      <c r="AA313" s="1"/>
    </row>
    <row r="314" spans="2:27" x14ac:dyDescent="0.2">
      <c r="C314" s="17"/>
      <c r="D314" s="280"/>
      <c r="Z314" s="1"/>
      <c r="AA314" s="1"/>
    </row>
    <row r="315" spans="2:27" x14ac:dyDescent="0.2">
      <c r="D315" s="39"/>
      <c r="Z315" s="1"/>
      <c r="AA315" s="1"/>
    </row>
    <row r="316" spans="2:27" x14ac:dyDescent="0.2">
      <c r="B316" s="99" t="s">
        <v>223</v>
      </c>
      <c r="C316" s="101">
        <f>+C303-C313</f>
        <v>33546210.303340003</v>
      </c>
      <c r="D316" s="133">
        <f>+C316/$C$302</f>
        <v>0.34673085584847546</v>
      </c>
      <c r="Z316" s="1"/>
      <c r="AA316" s="1"/>
    </row>
    <row r="317" spans="2:27" x14ac:dyDescent="0.2">
      <c r="B317" s="35"/>
      <c r="Z317" s="1"/>
      <c r="AA317" s="1"/>
    </row>
    <row r="318" spans="2:27" x14ac:dyDescent="0.2">
      <c r="B318" s="35"/>
      <c r="Z318" s="1"/>
      <c r="AA318" s="1"/>
    </row>
    <row r="319" spans="2:27" x14ac:dyDescent="0.2">
      <c r="B319" s="35"/>
      <c r="Z319" s="1"/>
      <c r="AA319" s="1"/>
    </row>
    <row r="320" spans="2:27" x14ac:dyDescent="0.2">
      <c r="B320" s="35"/>
      <c r="Z320" s="1"/>
      <c r="AA320" s="1"/>
    </row>
    <row r="321" spans="2:27" x14ac:dyDescent="0.2">
      <c r="B321" s="35"/>
      <c r="Z321" s="1"/>
      <c r="AA321" s="1"/>
    </row>
    <row r="322" spans="2:27" x14ac:dyDescent="0.2">
      <c r="B322" s="35"/>
      <c r="Z322" s="1"/>
      <c r="AA322" s="1"/>
    </row>
    <row r="323" spans="2:27" x14ac:dyDescent="0.2">
      <c r="B323" s="35"/>
      <c r="Z323" s="1"/>
      <c r="AA323" s="1"/>
    </row>
    <row r="324" spans="2:27" x14ac:dyDescent="0.2">
      <c r="B324" s="35"/>
      <c r="Z324" s="1"/>
      <c r="AA324" s="1"/>
    </row>
    <row r="325" spans="2:27" x14ac:dyDescent="0.2">
      <c r="B325" s="35"/>
      <c r="Z325" s="1"/>
      <c r="AA325" s="1"/>
    </row>
    <row r="326" spans="2:27" x14ac:dyDescent="0.2">
      <c r="B326" s="35"/>
      <c r="Z326" s="1"/>
      <c r="AA326" s="1"/>
    </row>
    <row r="327" spans="2:27" x14ac:dyDescent="0.2">
      <c r="B327" s="35"/>
      <c r="Z327" s="1"/>
      <c r="AA327" s="1"/>
    </row>
    <row r="328" spans="2:27" x14ac:dyDescent="0.2">
      <c r="B328" s="35"/>
      <c r="Z328" s="1"/>
      <c r="AA328" s="1"/>
    </row>
    <row r="329" spans="2:27" x14ac:dyDescent="0.2">
      <c r="B329" s="35"/>
      <c r="Z329" s="1"/>
      <c r="AA329" s="1"/>
    </row>
    <row r="330" spans="2:27" x14ac:dyDescent="0.2">
      <c r="B330" s="35"/>
      <c r="Z330" s="1"/>
      <c r="AA330" s="1"/>
    </row>
    <row r="331" spans="2:27" x14ac:dyDescent="0.2">
      <c r="B331" s="35"/>
      <c r="Z331" s="1"/>
      <c r="AA331" s="1"/>
    </row>
    <row r="332" spans="2:27" x14ac:dyDescent="0.2">
      <c r="B332" s="35"/>
      <c r="Z332" s="1"/>
      <c r="AA332" s="1"/>
    </row>
    <row r="333" spans="2:27" x14ac:dyDescent="0.2">
      <c r="B333" s="35"/>
      <c r="Z333" s="1"/>
      <c r="AA333" s="1"/>
    </row>
    <row r="334" spans="2:27" x14ac:dyDescent="0.2">
      <c r="B334" s="35"/>
      <c r="Z334" s="1"/>
      <c r="AA334" s="1"/>
    </row>
    <row r="335" spans="2:27" x14ac:dyDescent="0.2">
      <c r="B335" s="35"/>
      <c r="Z335" s="1"/>
      <c r="AA335" s="1"/>
    </row>
    <row r="336" spans="2:27" x14ac:dyDescent="0.2">
      <c r="B336" s="35"/>
      <c r="Z336" s="1"/>
      <c r="AA336" s="1"/>
    </row>
    <row r="337" spans="2:27" x14ac:dyDescent="0.2">
      <c r="B337" s="35"/>
      <c r="Z337" s="1"/>
      <c r="AA337" s="1"/>
    </row>
    <row r="338" spans="2:27" x14ac:dyDescent="0.2">
      <c r="B338" s="35"/>
      <c r="Z338" s="1"/>
      <c r="AA338" s="1"/>
    </row>
    <row r="339" spans="2:27" x14ac:dyDescent="0.2">
      <c r="B339" s="35"/>
      <c r="Z339" s="1"/>
      <c r="AA339" s="1"/>
    </row>
    <row r="340" spans="2:27" x14ac:dyDescent="0.2">
      <c r="B340" s="35"/>
      <c r="Z340" s="1"/>
      <c r="AA340" s="1"/>
    </row>
    <row r="341" spans="2:27" x14ac:dyDescent="0.2">
      <c r="B341" s="35"/>
      <c r="Z341" s="1"/>
      <c r="AA341" s="1"/>
    </row>
    <row r="342" spans="2:27" x14ac:dyDescent="0.2">
      <c r="B342" s="35"/>
      <c r="Z342" s="1"/>
      <c r="AA342" s="1"/>
    </row>
    <row r="343" spans="2:27" x14ac:dyDescent="0.2">
      <c r="B343" s="35"/>
      <c r="Z343" s="1"/>
      <c r="AA343" s="1"/>
    </row>
    <row r="344" spans="2:27" x14ac:dyDescent="0.2">
      <c r="B344" s="35"/>
      <c r="Z344" s="1"/>
      <c r="AA344" s="1"/>
    </row>
    <row r="345" spans="2:27" x14ac:dyDescent="0.2">
      <c r="B345" s="35"/>
      <c r="Z345" s="1"/>
      <c r="AA345" s="1"/>
    </row>
    <row r="346" spans="2:27" x14ac:dyDescent="0.2">
      <c r="B346" s="35"/>
      <c r="Z346" s="1"/>
      <c r="AA346" s="1"/>
    </row>
    <row r="347" spans="2:27" x14ac:dyDescent="0.2">
      <c r="B347" s="35"/>
      <c r="Z347" s="1"/>
      <c r="AA347" s="1"/>
    </row>
    <row r="348" spans="2:27" x14ac:dyDescent="0.2">
      <c r="B348" s="35"/>
      <c r="Z348" s="1"/>
      <c r="AA348" s="1"/>
    </row>
    <row r="349" spans="2:27" x14ac:dyDescent="0.2">
      <c r="B349" s="35"/>
      <c r="Z349" s="1"/>
      <c r="AA349" s="1"/>
    </row>
    <row r="350" spans="2:27" x14ac:dyDescent="0.2">
      <c r="B350" s="35"/>
      <c r="Z350" s="1"/>
      <c r="AA350" s="1"/>
    </row>
    <row r="351" spans="2:27" x14ac:dyDescent="0.2">
      <c r="B351" s="36"/>
      <c r="Z351" s="1"/>
      <c r="AA351" s="1"/>
    </row>
    <row r="352" spans="2:27" x14ac:dyDescent="0.2">
      <c r="B352" s="35"/>
      <c r="Z352" s="1"/>
      <c r="AA352" s="1"/>
    </row>
    <row r="353" spans="2:27" x14ac:dyDescent="0.2">
      <c r="B353" s="35"/>
      <c r="Z353" s="1"/>
      <c r="AA353" s="1"/>
    </row>
    <row r="354" spans="2:27" x14ac:dyDescent="0.2">
      <c r="B354" s="35"/>
      <c r="Z354" s="1"/>
      <c r="AA354" s="1"/>
    </row>
    <row r="355" spans="2:27" x14ac:dyDescent="0.2">
      <c r="B355" s="35"/>
      <c r="Z355" s="1"/>
      <c r="AA355" s="1"/>
    </row>
    <row r="356" spans="2:27" x14ac:dyDescent="0.2">
      <c r="B356" s="35"/>
      <c r="Z356" s="1"/>
      <c r="AA356" s="1"/>
    </row>
    <row r="357" spans="2:27" x14ac:dyDescent="0.2">
      <c r="B357" s="36"/>
      <c r="Z357" s="1"/>
      <c r="AA357" s="1"/>
    </row>
    <row r="358" spans="2:27" x14ac:dyDescent="0.2">
      <c r="B358" s="35"/>
      <c r="Z358" s="1"/>
      <c r="AA358" s="1"/>
    </row>
    <row r="359" spans="2:27" x14ac:dyDescent="0.2">
      <c r="B359" s="35"/>
      <c r="Z359" s="1"/>
      <c r="AA359" s="1"/>
    </row>
    <row r="360" spans="2:27" x14ac:dyDescent="0.2">
      <c r="B360" s="35"/>
      <c r="Z360" s="1"/>
      <c r="AA360" s="1"/>
    </row>
    <row r="361" spans="2:27" x14ac:dyDescent="0.2">
      <c r="B361" s="35"/>
      <c r="Z361" s="1"/>
      <c r="AA361" s="1"/>
    </row>
    <row r="362" spans="2:27" x14ac:dyDescent="0.2">
      <c r="B362" s="35"/>
      <c r="Z362" s="1"/>
      <c r="AA362" s="1"/>
    </row>
    <row r="363" spans="2:27" x14ac:dyDescent="0.2">
      <c r="B363" s="35"/>
      <c r="Z363" s="1"/>
      <c r="AA363" s="1"/>
    </row>
    <row r="364" spans="2:27" x14ac:dyDescent="0.2">
      <c r="Z364" s="1"/>
      <c r="AA364" s="1"/>
    </row>
    <row r="365" spans="2:27" x14ac:dyDescent="0.2">
      <c r="Z365" s="1"/>
      <c r="AA365" s="1"/>
    </row>
    <row r="366" spans="2:27" x14ac:dyDescent="0.2">
      <c r="Z366" s="1"/>
      <c r="AA366" s="1"/>
    </row>
    <row r="367" spans="2:27" x14ac:dyDescent="0.2">
      <c r="Z367" s="1"/>
      <c r="AA367" s="1"/>
    </row>
    <row r="368" spans="2:27" x14ac:dyDescent="0.2">
      <c r="Z368" s="1"/>
      <c r="AA368" s="1"/>
    </row>
    <row r="369" spans="26:27" x14ac:dyDescent="0.2">
      <c r="Z369" s="1"/>
      <c r="AA369" s="1"/>
    </row>
    <row r="370" spans="26:27" x14ac:dyDescent="0.2">
      <c r="Z370" s="1"/>
      <c r="AA370" s="1"/>
    </row>
    <row r="371" spans="26:27" x14ac:dyDescent="0.2">
      <c r="Z371" s="1"/>
      <c r="AA371" s="1"/>
    </row>
    <row r="372" spans="26:27" x14ac:dyDescent="0.2">
      <c r="Z372" s="1"/>
      <c r="AA372" s="1"/>
    </row>
    <row r="373" spans="26:27" x14ac:dyDescent="0.2">
      <c r="Z373" s="1"/>
      <c r="AA373" s="1"/>
    </row>
    <row r="374" spans="26:27" x14ac:dyDescent="0.2">
      <c r="Z374" s="1"/>
      <c r="AA374" s="1"/>
    </row>
    <row r="375" spans="26:27" x14ac:dyDescent="0.2">
      <c r="Z375" s="1"/>
      <c r="AA375" s="1"/>
    </row>
    <row r="376" spans="26:27" x14ac:dyDescent="0.2">
      <c r="Z376" s="1"/>
      <c r="AA376" s="1"/>
    </row>
    <row r="377" spans="26:27" x14ac:dyDescent="0.2">
      <c r="Z377" s="1"/>
      <c r="AA377" s="1"/>
    </row>
    <row r="378" spans="26:27" x14ac:dyDescent="0.2">
      <c r="Z378" s="1"/>
      <c r="AA378" s="1"/>
    </row>
    <row r="379" spans="26:27" x14ac:dyDescent="0.2">
      <c r="Z379" s="1"/>
      <c r="AA379" s="1"/>
    </row>
    <row r="380" spans="26:27" x14ac:dyDescent="0.2">
      <c r="Z380" s="1"/>
      <c r="AA380" s="1"/>
    </row>
    <row r="381" spans="26:27" x14ac:dyDescent="0.2">
      <c r="Z381" s="1"/>
      <c r="AA381" s="1"/>
    </row>
    <row r="382" spans="26:27" x14ac:dyDescent="0.2">
      <c r="Z382" s="1"/>
      <c r="AA382" s="1"/>
    </row>
    <row r="383" spans="26:27" x14ac:dyDescent="0.2">
      <c r="Z383" s="1"/>
      <c r="AA383" s="1"/>
    </row>
    <row r="384" spans="26:27" x14ac:dyDescent="0.2">
      <c r="Z384" s="1"/>
      <c r="AA384" s="1"/>
    </row>
    <row r="385" spans="26:27" x14ac:dyDescent="0.2">
      <c r="Z385" s="1"/>
      <c r="AA385" s="1"/>
    </row>
    <row r="386" spans="26:27" x14ac:dyDescent="0.2">
      <c r="Z386" s="1"/>
      <c r="AA386" s="1"/>
    </row>
    <row r="387" spans="26:27" x14ac:dyDescent="0.2">
      <c r="Z387" s="1"/>
      <c r="AA387" s="1"/>
    </row>
    <row r="388" spans="26:27" x14ac:dyDescent="0.2">
      <c r="Z388" s="1"/>
      <c r="AA388" s="1"/>
    </row>
    <row r="389" spans="26:27" x14ac:dyDescent="0.2">
      <c r="Z389" s="1"/>
      <c r="AA389" s="1"/>
    </row>
    <row r="390" spans="26:27" x14ac:dyDescent="0.2">
      <c r="Z390" s="1"/>
      <c r="AA390" s="1"/>
    </row>
    <row r="391" spans="26:27" x14ac:dyDescent="0.2">
      <c r="Z391" s="1"/>
      <c r="AA391" s="1"/>
    </row>
    <row r="392" spans="26:27" x14ac:dyDescent="0.2">
      <c r="Z392" s="1"/>
      <c r="AA392" s="1"/>
    </row>
    <row r="393" spans="26:27" x14ac:dyDescent="0.2">
      <c r="Z393" s="1"/>
      <c r="AA393" s="1"/>
    </row>
    <row r="394" spans="26:27" x14ac:dyDescent="0.2">
      <c r="Z394" s="1"/>
      <c r="AA394" s="1"/>
    </row>
    <row r="395" spans="26:27" x14ac:dyDescent="0.2">
      <c r="Z395" s="1"/>
      <c r="AA395" s="1"/>
    </row>
    <row r="396" spans="26:27" x14ac:dyDescent="0.2">
      <c r="Z396" s="1"/>
      <c r="AA396" s="1"/>
    </row>
    <row r="397" spans="26:27" x14ac:dyDescent="0.2">
      <c r="Z397" s="1"/>
      <c r="AA397" s="1"/>
    </row>
    <row r="398" spans="26:27" x14ac:dyDescent="0.2">
      <c r="Z398" s="1"/>
      <c r="AA398" s="1"/>
    </row>
    <row r="399" spans="26:27" x14ac:dyDescent="0.2">
      <c r="Z399" s="1"/>
      <c r="AA399" s="1"/>
    </row>
    <row r="400" spans="26:27" x14ac:dyDescent="0.2">
      <c r="Z400" s="1"/>
      <c r="AA400" s="1"/>
    </row>
    <row r="401" spans="26:27" x14ac:dyDescent="0.2">
      <c r="Z401" s="1"/>
      <c r="AA401" s="1"/>
    </row>
    <row r="402" spans="26:27" x14ac:dyDescent="0.2">
      <c r="Z402" s="1"/>
      <c r="AA402" s="1"/>
    </row>
    <row r="403" spans="26:27" x14ac:dyDescent="0.2">
      <c r="Z403" s="1"/>
      <c r="AA403" s="1"/>
    </row>
    <row r="404" spans="26:27" x14ac:dyDescent="0.2">
      <c r="Z404" s="1"/>
      <c r="AA404" s="1"/>
    </row>
    <row r="405" spans="26:27" x14ac:dyDescent="0.2">
      <c r="Z405" s="1"/>
      <c r="AA405" s="1"/>
    </row>
    <row r="406" spans="26:27" x14ac:dyDescent="0.2">
      <c r="Z406" s="1"/>
      <c r="AA406" s="1"/>
    </row>
    <row r="407" spans="26:27" x14ac:dyDescent="0.2">
      <c r="Z407" s="1"/>
      <c r="AA407" s="1"/>
    </row>
    <row r="408" spans="26:27" x14ac:dyDescent="0.2">
      <c r="Z408" s="1"/>
      <c r="AA408" s="1"/>
    </row>
    <row r="409" spans="26:27" x14ac:dyDescent="0.2">
      <c r="Z409" s="1"/>
      <c r="AA409" s="1"/>
    </row>
    <row r="410" spans="26:27" x14ac:dyDescent="0.2">
      <c r="Z410" s="1"/>
      <c r="AA410" s="1"/>
    </row>
    <row r="411" spans="26:27" x14ac:dyDescent="0.2">
      <c r="Z411" s="1"/>
      <c r="AA411" s="1"/>
    </row>
    <row r="412" spans="26:27" x14ac:dyDescent="0.2">
      <c r="Z412" s="1"/>
      <c r="AA412" s="1"/>
    </row>
    <row r="413" spans="26:27" x14ac:dyDescent="0.2">
      <c r="Z413" s="1"/>
      <c r="AA413" s="1"/>
    </row>
    <row r="414" spans="26:27" x14ac:dyDescent="0.2">
      <c r="Z414" s="1"/>
      <c r="AA414" s="1"/>
    </row>
    <row r="415" spans="26:27" x14ac:dyDescent="0.2">
      <c r="Z415" s="1"/>
      <c r="AA415" s="1"/>
    </row>
    <row r="416" spans="26:27" x14ac:dyDescent="0.2">
      <c r="Z416" s="1"/>
      <c r="AA416" s="1"/>
    </row>
    <row r="417" spans="26:27" x14ac:dyDescent="0.2">
      <c r="Z417" s="1"/>
      <c r="AA417" s="1"/>
    </row>
    <row r="418" spans="26:27" x14ac:dyDescent="0.2">
      <c r="Z418" s="1"/>
      <c r="AA418" s="1"/>
    </row>
    <row r="419" spans="26:27" x14ac:dyDescent="0.2">
      <c r="Z419" s="1"/>
      <c r="AA419" s="1"/>
    </row>
    <row r="420" spans="26:27" x14ac:dyDescent="0.2">
      <c r="Z420" s="1"/>
      <c r="AA420" s="1"/>
    </row>
    <row r="421" spans="26:27" x14ac:dyDescent="0.2">
      <c r="Z421" s="1"/>
      <c r="AA421" s="1"/>
    </row>
    <row r="422" spans="26:27" x14ac:dyDescent="0.2">
      <c r="Z422" s="1"/>
      <c r="AA422" s="1"/>
    </row>
    <row r="423" spans="26:27" x14ac:dyDescent="0.2">
      <c r="Z423" s="1"/>
      <c r="AA423" s="1"/>
    </row>
    <row r="424" spans="26:27" x14ac:dyDescent="0.2">
      <c r="Z424" s="1"/>
      <c r="AA424" s="1"/>
    </row>
    <row r="425" spans="26:27" x14ac:dyDescent="0.2">
      <c r="Z425" s="1"/>
      <c r="AA425" s="1"/>
    </row>
    <row r="426" spans="26:27" x14ac:dyDescent="0.2">
      <c r="Z426" s="1"/>
      <c r="AA426" s="1"/>
    </row>
    <row r="427" spans="26:27" x14ac:dyDescent="0.2">
      <c r="Z427" s="1"/>
      <c r="AA427" s="1"/>
    </row>
    <row r="428" spans="26:27" x14ac:dyDescent="0.2">
      <c r="Z428" s="1"/>
      <c r="AA428" s="1"/>
    </row>
    <row r="429" spans="26:27" x14ac:dyDescent="0.2">
      <c r="Z429" s="1"/>
      <c r="AA429" s="1"/>
    </row>
    <row r="430" spans="26:27" x14ac:dyDescent="0.2">
      <c r="Z430" s="1"/>
      <c r="AA430" s="1"/>
    </row>
    <row r="431" spans="26:27" x14ac:dyDescent="0.2">
      <c r="Z431" s="1"/>
      <c r="AA431" s="1"/>
    </row>
    <row r="432" spans="26:27" x14ac:dyDescent="0.2">
      <c r="Z432" s="1"/>
      <c r="AA432" s="1"/>
    </row>
    <row r="433" spans="26:27" x14ac:dyDescent="0.2">
      <c r="Z433" s="1"/>
      <c r="AA433" s="1"/>
    </row>
    <row r="434" spans="26:27" x14ac:dyDescent="0.2">
      <c r="Z434" s="1"/>
      <c r="AA434" s="1"/>
    </row>
    <row r="435" spans="26:27" x14ac:dyDescent="0.2">
      <c r="Z435" s="1"/>
      <c r="AA435" s="1"/>
    </row>
    <row r="436" spans="26:27" x14ac:dyDescent="0.2">
      <c r="Z436" s="1"/>
      <c r="AA436" s="1"/>
    </row>
    <row r="437" spans="26:27" x14ac:dyDescent="0.2">
      <c r="Z437" s="1"/>
      <c r="AA437" s="1"/>
    </row>
    <row r="438" spans="26:27" x14ac:dyDescent="0.2">
      <c r="Z438" s="1"/>
      <c r="AA438" s="1"/>
    </row>
    <row r="439" spans="26:27" x14ac:dyDescent="0.2">
      <c r="Z439" s="1"/>
      <c r="AA439" s="1"/>
    </row>
    <row r="440" spans="26:27" x14ac:dyDescent="0.2">
      <c r="Z440" s="1"/>
      <c r="AA440" s="1"/>
    </row>
    <row r="441" spans="26:27" x14ac:dyDescent="0.2">
      <c r="Z441" s="1"/>
      <c r="AA441" s="1"/>
    </row>
    <row r="442" spans="26:27" x14ac:dyDescent="0.2">
      <c r="Z442" s="1"/>
      <c r="AA442" s="1"/>
    </row>
    <row r="443" spans="26:27" x14ac:dyDescent="0.2">
      <c r="Z443" s="1"/>
      <c r="AA443" s="1"/>
    </row>
    <row r="444" spans="26:27" x14ac:dyDescent="0.2">
      <c r="Z444" s="1"/>
      <c r="AA444" s="1"/>
    </row>
    <row r="445" spans="26:27" x14ac:dyDescent="0.2">
      <c r="Z445" s="1"/>
      <c r="AA445" s="1"/>
    </row>
    <row r="446" spans="26:27" x14ac:dyDescent="0.2">
      <c r="Z446" s="1"/>
      <c r="AA446" s="1"/>
    </row>
    <row r="447" spans="26:27" x14ac:dyDescent="0.2">
      <c r="Z447" s="1"/>
      <c r="AA447" s="1"/>
    </row>
    <row r="448" spans="26:27" x14ac:dyDescent="0.2">
      <c r="Z448" s="1"/>
      <c r="AA448" s="1"/>
    </row>
    <row r="449" spans="26:27" x14ac:dyDescent="0.2">
      <c r="Z449" s="1"/>
      <c r="AA449" s="1"/>
    </row>
    <row r="450" spans="26:27" x14ac:dyDescent="0.2">
      <c r="Z450" s="1"/>
      <c r="AA450" s="1"/>
    </row>
    <row r="451" spans="26:27" x14ac:dyDescent="0.2">
      <c r="Z451" s="1"/>
      <c r="AA451" s="1"/>
    </row>
    <row r="452" spans="26:27" x14ac:dyDescent="0.2">
      <c r="Z452" s="1"/>
      <c r="AA452" s="1"/>
    </row>
    <row r="453" spans="26:27" x14ac:dyDescent="0.2">
      <c r="Z453" s="1"/>
      <c r="AA453" s="1"/>
    </row>
    <row r="454" spans="26:27" x14ac:dyDescent="0.2">
      <c r="Z454" s="1"/>
      <c r="AA454" s="1"/>
    </row>
    <row r="455" spans="26:27" x14ac:dyDescent="0.2">
      <c r="Z455" s="1"/>
      <c r="AA455" s="1"/>
    </row>
    <row r="456" spans="26:27" x14ac:dyDescent="0.2">
      <c r="Z456" s="1"/>
      <c r="AA456" s="1"/>
    </row>
    <row r="457" spans="26:27" x14ac:dyDescent="0.2">
      <c r="Z457" s="1"/>
      <c r="AA457" s="1"/>
    </row>
    <row r="458" spans="26:27" x14ac:dyDescent="0.2">
      <c r="Z458" s="1"/>
      <c r="AA458" s="1"/>
    </row>
    <row r="459" spans="26:27" x14ac:dyDescent="0.2">
      <c r="Z459" s="1"/>
      <c r="AA459" s="1"/>
    </row>
    <row r="460" spans="26:27" x14ac:dyDescent="0.2">
      <c r="Z460" s="1"/>
      <c r="AA460" s="1"/>
    </row>
    <row r="461" spans="26:27" x14ac:dyDescent="0.2">
      <c r="Z461" s="1"/>
      <c r="AA461" s="1"/>
    </row>
    <row r="462" spans="26:27" x14ac:dyDescent="0.2">
      <c r="Z462" s="1"/>
      <c r="AA462" s="1"/>
    </row>
    <row r="463" spans="26:27" x14ac:dyDescent="0.2">
      <c r="Z463" s="1"/>
      <c r="AA463" s="1"/>
    </row>
    <row r="464" spans="26:27" x14ac:dyDescent="0.2">
      <c r="Z464" s="1"/>
      <c r="AA464" s="1"/>
    </row>
    <row r="465" spans="26:27" x14ac:dyDescent="0.2">
      <c r="Z465" s="1"/>
      <c r="AA465" s="1"/>
    </row>
    <row r="466" spans="26:27" x14ac:dyDescent="0.2">
      <c r="Z466" s="1"/>
      <c r="AA466" s="1"/>
    </row>
    <row r="467" spans="26:27" x14ac:dyDescent="0.2">
      <c r="Z467" s="1"/>
      <c r="AA467" s="1"/>
    </row>
    <row r="468" spans="26:27" x14ac:dyDescent="0.2">
      <c r="Z468" s="1"/>
      <c r="AA468" s="1"/>
    </row>
    <row r="469" spans="26:27" x14ac:dyDescent="0.2">
      <c r="Z469" s="1"/>
      <c r="AA469" s="1"/>
    </row>
    <row r="470" spans="26:27" x14ac:dyDescent="0.2">
      <c r="Z470" s="1"/>
      <c r="AA470" s="1"/>
    </row>
    <row r="471" spans="26:27" x14ac:dyDescent="0.2">
      <c r="Z471" s="1"/>
      <c r="AA471" s="1"/>
    </row>
    <row r="472" spans="26:27" x14ac:dyDescent="0.2">
      <c r="Z472" s="1"/>
      <c r="AA472" s="1"/>
    </row>
    <row r="473" spans="26:27" x14ac:dyDescent="0.2">
      <c r="Z473" s="1"/>
      <c r="AA473" s="1"/>
    </row>
    <row r="474" spans="26:27" x14ac:dyDescent="0.2">
      <c r="Z474" s="1"/>
      <c r="AA474" s="1"/>
    </row>
    <row r="475" spans="26:27" x14ac:dyDescent="0.2">
      <c r="Z475" s="1"/>
      <c r="AA475" s="1"/>
    </row>
    <row r="476" spans="26:27" x14ac:dyDescent="0.2">
      <c r="Z476" s="1"/>
      <c r="AA476" s="1"/>
    </row>
    <row r="477" spans="26:27" x14ac:dyDescent="0.2">
      <c r="Z477" s="1"/>
      <c r="AA477" s="1"/>
    </row>
    <row r="478" spans="26:27" x14ac:dyDescent="0.2">
      <c r="Z478" s="1"/>
      <c r="AA478" s="1"/>
    </row>
    <row r="479" spans="26:27" x14ac:dyDescent="0.2">
      <c r="Z479" s="1"/>
      <c r="AA479" s="1"/>
    </row>
    <row r="480" spans="26:27" x14ac:dyDescent="0.2">
      <c r="Z480" s="1"/>
      <c r="AA480" s="1"/>
    </row>
    <row r="481" spans="26:27" x14ac:dyDescent="0.2">
      <c r="Z481" s="1"/>
      <c r="AA481" s="1"/>
    </row>
    <row r="482" spans="26:27" x14ac:dyDescent="0.2">
      <c r="Z482" s="1"/>
      <c r="AA482" s="1"/>
    </row>
    <row r="483" spans="26:27" x14ac:dyDescent="0.2">
      <c r="Z483" s="1"/>
      <c r="AA483" s="1"/>
    </row>
    <row r="484" spans="26:27" x14ac:dyDescent="0.2">
      <c r="Z484" s="1"/>
      <c r="AA484" s="1"/>
    </row>
    <row r="485" spans="26:27" x14ac:dyDescent="0.2">
      <c r="Z485" s="1"/>
      <c r="AA485" s="1"/>
    </row>
    <row r="486" spans="26:27" x14ac:dyDescent="0.2">
      <c r="Z486" s="1"/>
      <c r="AA486" s="1"/>
    </row>
    <row r="487" spans="26:27" x14ac:dyDescent="0.2">
      <c r="Z487" s="1"/>
      <c r="AA487" s="1"/>
    </row>
    <row r="488" spans="26:27" x14ac:dyDescent="0.2">
      <c r="Z488" s="1"/>
      <c r="AA488" s="1"/>
    </row>
    <row r="489" spans="26:27" x14ac:dyDescent="0.2">
      <c r="Z489" s="1"/>
      <c r="AA489" s="1"/>
    </row>
    <row r="490" spans="26:27" x14ac:dyDescent="0.2">
      <c r="Z490" s="1"/>
      <c r="AA490" s="1"/>
    </row>
    <row r="491" spans="26:27" x14ac:dyDescent="0.2">
      <c r="Z491" s="1"/>
      <c r="AA491" s="1"/>
    </row>
    <row r="492" spans="26:27" x14ac:dyDescent="0.2">
      <c r="Z492" s="1"/>
      <c r="AA492" s="1"/>
    </row>
    <row r="493" spans="26:27" x14ac:dyDescent="0.2">
      <c r="Z493" s="1"/>
      <c r="AA493" s="1"/>
    </row>
    <row r="494" spans="26:27" x14ac:dyDescent="0.2">
      <c r="Z494" s="1"/>
      <c r="AA494" s="1"/>
    </row>
    <row r="495" spans="26:27" x14ac:dyDescent="0.2">
      <c r="Z495" s="1"/>
      <c r="AA495" s="1"/>
    </row>
    <row r="496" spans="26:27" x14ac:dyDescent="0.2">
      <c r="Z496" s="1"/>
      <c r="AA496" s="1"/>
    </row>
    <row r="497" spans="26:27" x14ac:dyDescent="0.2">
      <c r="Z497" s="1"/>
      <c r="AA497" s="1"/>
    </row>
    <row r="498" spans="26:27" x14ac:dyDescent="0.2">
      <c r="Z498" s="1"/>
      <c r="AA498" s="1"/>
    </row>
    <row r="499" spans="26:27" x14ac:dyDescent="0.2">
      <c r="Z499" s="1"/>
      <c r="AA499" s="1"/>
    </row>
    <row r="500" spans="26:27" x14ac:dyDescent="0.2">
      <c r="Z500" s="1"/>
      <c r="AA500" s="1"/>
    </row>
    <row r="501" spans="26:27" x14ac:dyDescent="0.2">
      <c r="Z501" s="1"/>
      <c r="AA501" s="1"/>
    </row>
    <row r="502" spans="26:27" x14ac:dyDescent="0.2">
      <c r="Z502" s="1"/>
      <c r="AA502" s="1"/>
    </row>
    <row r="503" spans="26:27" x14ac:dyDescent="0.2">
      <c r="Z503" s="1"/>
      <c r="AA503" s="1"/>
    </row>
    <row r="504" spans="26:27" x14ac:dyDescent="0.2">
      <c r="Z504" s="1"/>
      <c r="AA504" s="1"/>
    </row>
    <row r="505" spans="26:27" x14ac:dyDescent="0.2">
      <c r="Z505" s="1"/>
      <c r="AA505" s="1"/>
    </row>
    <row r="506" spans="26:27" x14ac:dyDescent="0.2">
      <c r="Z506" s="1"/>
      <c r="AA506" s="1"/>
    </row>
    <row r="507" spans="26:27" x14ac:dyDescent="0.2">
      <c r="Z507" s="1"/>
      <c r="AA507" s="1"/>
    </row>
    <row r="508" spans="26:27" x14ac:dyDescent="0.2">
      <c r="Z508" s="1"/>
      <c r="AA508" s="1"/>
    </row>
    <row r="509" spans="26:27" x14ac:dyDescent="0.2">
      <c r="Z509" s="1"/>
      <c r="AA509" s="1"/>
    </row>
    <row r="510" spans="26:27" x14ac:dyDescent="0.2">
      <c r="Z510" s="1"/>
      <c r="AA510" s="1"/>
    </row>
    <row r="511" spans="26:27" x14ac:dyDescent="0.2">
      <c r="Z511" s="1"/>
      <c r="AA511" s="1"/>
    </row>
    <row r="512" spans="26:27" x14ac:dyDescent="0.2">
      <c r="Z512" s="1"/>
      <c r="AA512" s="1"/>
    </row>
    <row r="513" spans="26:27" x14ac:dyDescent="0.2">
      <c r="Z513" s="1"/>
      <c r="AA513" s="1"/>
    </row>
    <row r="514" spans="26:27" x14ac:dyDescent="0.2">
      <c r="Z514" s="1"/>
      <c r="AA514" s="1"/>
    </row>
    <row r="515" spans="26:27" x14ac:dyDescent="0.2">
      <c r="Z515" s="1"/>
      <c r="AA515" s="1"/>
    </row>
    <row r="516" spans="26:27" x14ac:dyDescent="0.2">
      <c r="Z516" s="1"/>
      <c r="AA516" s="1"/>
    </row>
    <row r="517" spans="26:27" x14ac:dyDescent="0.2">
      <c r="Z517" s="1"/>
      <c r="AA517" s="1"/>
    </row>
    <row r="518" spans="26:27" x14ac:dyDescent="0.2">
      <c r="Z518" s="1"/>
      <c r="AA518" s="1"/>
    </row>
    <row r="519" spans="26:27" x14ac:dyDescent="0.2">
      <c r="Z519" s="1"/>
      <c r="AA519" s="1"/>
    </row>
    <row r="520" spans="26:27" x14ac:dyDescent="0.2">
      <c r="Z520" s="1"/>
      <c r="AA520" s="1"/>
    </row>
    <row r="521" spans="26:27" x14ac:dyDescent="0.2">
      <c r="Z521" s="1"/>
      <c r="AA521" s="1"/>
    </row>
    <row r="522" spans="26:27" x14ac:dyDescent="0.2">
      <c r="Z522" s="1"/>
      <c r="AA522" s="1"/>
    </row>
    <row r="523" spans="26:27" x14ac:dyDescent="0.2">
      <c r="Z523" s="1"/>
      <c r="AA523" s="1"/>
    </row>
    <row r="524" spans="26:27" x14ac:dyDescent="0.2">
      <c r="Z524" s="1"/>
      <c r="AA524" s="1"/>
    </row>
    <row r="525" spans="26:27" x14ac:dyDescent="0.2">
      <c r="Z525" s="1"/>
      <c r="AA525" s="1"/>
    </row>
    <row r="526" spans="26:27" x14ac:dyDescent="0.2">
      <c r="Z526" s="1"/>
      <c r="AA526" s="1"/>
    </row>
    <row r="527" spans="26:27" x14ac:dyDescent="0.2">
      <c r="Z527" s="1"/>
      <c r="AA527" s="1"/>
    </row>
    <row r="528" spans="26:27" x14ac:dyDescent="0.2">
      <c r="Z528" s="1"/>
      <c r="AA528" s="1"/>
    </row>
    <row r="529" spans="26:27" x14ac:dyDescent="0.2">
      <c r="Z529" s="1"/>
      <c r="AA529" s="1"/>
    </row>
    <row r="530" spans="26:27" x14ac:dyDescent="0.2">
      <c r="Z530" s="1"/>
      <c r="AA530" s="1"/>
    </row>
    <row r="531" spans="26:27" x14ac:dyDescent="0.2">
      <c r="Z531" s="1"/>
      <c r="AA531" s="1"/>
    </row>
    <row r="532" spans="26:27" x14ac:dyDescent="0.2">
      <c r="Z532" s="1"/>
      <c r="AA532" s="1"/>
    </row>
    <row r="533" spans="26:27" x14ac:dyDescent="0.2">
      <c r="Z533" s="1"/>
      <c r="AA533" s="1"/>
    </row>
    <row r="534" spans="26:27" x14ac:dyDescent="0.2">
      <c r="Z534" s="1"/>
      <c r="AA534" s="1"/>
    </row>
    <row r="535" spans="26:27" x14ac:dyDescent="0.2">
      <c r="Z535" s="1"/>
      <c r="AA535" s="1"/>
    </row>
    <row r="536" spans="26:27" x14ac:dyDescent="0.2">
      <c r="Z536" s="1"/>
      <c r="AA536" s="1"/>
    </row>
    <row r="537" spans="26:27" x14ac:dyDescent="0.2">
      <c r="Z537" s="1"/>
      <c r="AA537" s="1"/>
    </row>
    <row r="538" spans="26:27" x14ac:dyDescent="0.2">
      <c r="Z538" s="1"/>
      <c r="AA538" s="1"/>
    </row>
    <row r="539" spans="26:27" x14ac:dyDescent="0.2">
      <c r="Z539" s="1"/>
      <c r="AA539" s="1"/>
    </row>
    <row r="540" spans="26:27" x14ac:dyDescent="0.2">
      <c r="Z540" s="1"/>
      <c r="AA540" s="1"/>
    </row>
    <row r="541" spans="26:27" x14ac:dyDescent="0.2">
      <c r="Z541" s="1"/>
      <c r="AA541" s="1"/>
    </row>
    <row r="542" spans="26:27" x14ac:dyDescent="0.2">
      <c r="Z542" s="1"/>
      <c r="AA542" s="1"/>
    </row>
    <row r="543" spans="26:27" x14ac:dyDescent="0.2">
      <c r="Z543" s="1"/>
      <c r="AA543" s="1"/>
    </row>
    <row r="544" spans="26:27" x14ac:dyDescent="0.2">
      <c r="Z544" s="1"/>
      <c r="AA544" s="1"/>
    </row>
    <row r="545" spans="26:27" x14ac:dyDescent="0.2">
      <c r="Z545" s="1"/>
      <c r="AA545" s="1"/>
    </row>
    <row r="546" spans="26:27" x14ac:dyDescent="0.2">
      <c r="Z546" s="1"/>
      <c r="AA546" s="1"/>
    </row>
    <row r="547" spans="26:27" x14ac:dyDescent="0.2">
      <c r="Z547" s="1"/>
      <c r="AA547" s="1"/>
    </row>
    <row r="548" spans="26:27" x14ac:dyDescent="0.2">
      <c r="Z548" s="1"/>
      <c r="AA548" s="1"/>
    </row>
    <row r="549" spans="26:27" x14ac:dyDescent="0.2">
      <c r="Z549" s="1"/>
      <c r="AA549" s="1"/>
    </row>
    <row r="550" spans="26:27" x14ac:dyDescent="0.2">
      <c r="Z550" s="1"/>
      <c r="AA550" s="1"/>
    </row>
    <row r="551" spans="26:27" x14ac:dyDescent="0.2">
      <c r="Z551" s="1"/>
      <c r="AA551" s="1"/>
    </row>
    <row r="552" spans="26:27" x14ac:dyDescent="0.2">
      <c r="Z552" s="1"/>
      <c r="AA552" s="1"/>
    </row>
    <row r="553" spans="26:27" x14ac:dyDescent="0.2">
      <c r="Z553" s="1"/>
      <c r="AA553" s="1"/>
    </row>
    <row r="554" spans="26:27" x14ac:dyDescent="0.2">
      <c r="Z554" s="1"/>
      <c r="AA554" s="1"/>
    </row>
    <row r="555" spans="26:27" x14ac:dyDescent="0.2">
      <c r="Z555" s="1"/>
      <c r="AA555" s="1"/>
    </row>
    <row r="556" spans="26:27" x14ac:dyDescent="0.2">
      <c r="Z556" s="1"/>
      <c r="AA556" s="1"/>
    </row>
    <row r="557" spans="26:27" x14ac:dyDescent="0.2">
      <c r="Z557" s="1"/>
      <c r="AA557" s="1"/>
    </row>
    <row r="558" spans="26:27" x14ac:dyDescent="0.2">
      <c r="Z558" s="1"/>
      <c r="AA558" s="1"/>
    </row>
    <row r="559" spans="26:27" x14ac:dyDescent="0.2">
      <c r="Z559" s="1"/>
      <c r="AA559" s="1"/>
    </row>
    <row r="560" spans="26:27" x14ac:dyDescent="0.2">
      <c r="Z560" s="1"/>
      <c r="AA560" s="1"/>
    </row>
    <row r="561" spans="26:27" x14ac:dyDescent="0.2">
      <c r="Z561" s="1"/>
      <c r="AA561" s="1"/>
    </row>
    <row r="562" spans="26:27" x14ac:dyDescent="0.2">
      <c r="Z562" s="1"/>
      <c r="AA562" s="1"/>
    </row>
    <row r="563" spans="26:27" x14ac:dyDescent="0.2">
      <c r="Z563" s="1"/>
      <c r="AA563" s="1"/>
    </row>
    <row r="564" spans="26:27" x14ac:dyDescent="0.2">
      <c r="Z564" s="1"/>
      <c r="AA564" s="1"/>
    </row>
    <row r="565" spans="26:27" x14ac:dyDescent="0.2">
      <c r="Z565" s="1"/>
      <c r="AA565" s="1"/>
    </row>
    <row r="566" spans="26:27" x14ac:dyDescent="0.2">
      <c r="Z566" s="1"/>
      <c r="AA566" s="1"/>
    </row>
    <row r="567" spans="26:27" x14ac:dyDescent="0.2">
      <c r="Z567" s="1"/>
      <c r="AA567" s="1"/>
    </row>
    <row r="568" spans="26:27" x14ac:dyDescent="0.2">
      <c r="Z568" s="1"/>
      <c r="AA568" s="1"/>
    </row>
    <row r="569" spans="26:27" x14ac:dyDescent="0.2">
      <c r="Z569" s="1"/>
      <c r="AA569" s="1"/>
    </row>
    <row r="570" spans="26:27" x14ac:dyDescent="0.2">
      <c r="Z570" s="1"/>
      <c r="AA570" s="1"/>
    </row>
    <row r="571" spans="26:27" x14ac:dyDescent="0.2">
      <c r="Z571" s="1"/>
      <c r="AA571" s="1"/>
    </row>
    <row r="572" spans="26:27" x14ac:dyDescent="0.2">
      <c r="Z572" s="1"/>
      <c r="AA572" s="1"/>
    </row>
    <row r="573" spans="26:27" x14ac:dyDescent="0.2">
      <c r="Z573" s="1"/>
      <c r="AA573" s="1"/>
    </row>
    <row r="574" spans="26:27" x14ac:dyDescent="0.2">
      <c r="Z574" s="1"/>
      <c r="AA574" s="1"/>
    </row>
    <row r="575" spans="26:27" x14ac:dyDescent="0.2">
      <c r="Z575" s="1"/>
      <c r="AA575" s="1"/>
    </row>
    <row r="576" spans="26:27" x14ac:dyDescent="0.2">
      <c r="Z576" s="1"/>
      <c r="AA576" s="1"/>
    </row>
    <row r="577" spans="26:27" x14ac:dyDescent="0.2">
      <c r="Z577" s="1"/>
      <c r="AA577" s="1"/>
    </row>
    <row r="578" spans="26:27" x14ac:dyDescent="0.2">
      <c r="Z578" s="1"/>
      <c r="AA578" s="1"/>
    </row>
    <row r="579" spans="26:27" x14ac:dyDescent="0.2">
      <c r="Z579" s="1"/>
      <c r="AA579" s="1"/>
    </row>
    <row r="580" spans="26:27" x14ac:dyDescent="0.2">
      <c r="Z580" s="1"/>
      <c r="AA580" s="1"/>
    </row>
    <row r="581" spans="26:27" x14ac:dyDescent="0.2">
      <c r="Z581" s="1"/>
      <c r="AA581" s="1"/>
    </row>
    <row r="582" spans="26:27" x14ac:dyDescent="0.2">
      <c r="Z582" s="1"/>
      <c r="AA582" s="1"/>
    </row>
    <row r="583" spans="26:27" x14ac:dyDescent="0.2">
      <c r="Z583" s="1"/>
      <c r="AA583" s="1"/>
    </row>
    <row r="584" spans="26:27" x14ac:dyDescent="0.2">
      <c r="Z584" s="1"/>
      <c r="AA584" s="1"/>
    </row>
    <row r="585" spans="26:27" x14ac:dyDescent="0.2">
      <c r="Z585" s="1"/>
      <c r="AA585" s="1"/>
    </row>
    <row r="586" spans="26:27" x14ac:dyDescent="0.2">
      <c r="Z586" s="1"/>
      <c r="AA586" s="1"/>
    </row>
    <row r="587" spans="26:27" x14ac:dyDescent="0.2">
      <c r="Z587" s="1"/>
      <c r="AA587" s="1"/>
    </row>
    <row r="588" spans="26:27" x14ac:dyDescent="0.2">
      <c r="Z588" s="1"/>
      <c r="AA588" s="1"/>
    </row>
    <row r="589" spans="26:27" x14ac:dyDescent="0.2">
      <c r="Z589" s="1"/>
      <c r="AA589" s="1"/>
    </row>
    <row r="590" spans="26:27" x14ac:dyDescent="0.2">
      <c r="Z590" s="1"/>
      <c r="AA590" s="1"/>
    </row>
    <row r="591" spans="26:27" x14ac:dyDescent="0.2">
      <c r="Z591" s="1"/>
      <c r="AA591" s="1"/>
    </row>
    <row r="592" spans="26:27" x14ac:dyDescent="0.2">
      <c r="Z592" s="1"/>
      <c r="AA592" s="1"/>
    </row>
    <row r="593" spans="26:27" x14ac:dyDescent="0.2">
      <c r="Z593" s="1"/>
      <c r="AA593" s="1"/>
    </row>
    <row r="594" spans="26:27" x14ac:dyDescent="0.2">
      <c r="Z594" s="1"/>
      <c r="AA594" s="1"/>
    </row>
    <row r="595" spans="26:27" x14ac:dyDescent="0.2">
      <c r="Z595" s="1"/>
      <c r="AA595" s="1"/>
    </row>
    <row r="596" spans="26:27" x14ac:dyDescent="0.2">
      <c r="Z596" s="1"/>
      <c r="AA596" s="1"/>
    </row>
    <row r="597" spans="26:27" x14ac:dyDescent="0.2">
      <c r="Z597" s="1"/>
      <c r="AA597" s="1"/>
    </row>
    <row r="598" spans="26:27" x14ac:dyDescent="0.2">
      <c r="Z598" s="1"/>
      <c r="AA598" s="1"/>
    </row>
    <row r="599" spans="26:27" x14ac:dyDescent="0.2">
      <c r="Z599" s="1"/>
      <c r="AA599" s="1"/>
    </row>
    <row r="600" spans="26:27" x14ac:dyDescent="0.2">
      <c r="Z600" s="1"/>
      <c r="AA600" s="1"/>
    </row>
    <row r="601" spans="26:27" x14ac:dyDescent="0.2">
      <c r="Z601" s="1"/>
      <c r="AA601" s="1"/>
    </row>
    <row r="602" spans="26:27" x14ac:dyDescent="0.2">
      <c r="Z602" s="1"/>
      <c r="AA602" s="1"/>
    </row>
    <row r="603" spans="26:27" x14ac:dyDescent="0.2">
      <c r="Z603" s="1"/>
      <c r="AA603" s="1"/>
    </row>
    <row r="604" spans="26:27" x14ac:dyDescent="0.2">
      <c r="Z604" s="1"/>
      <c r="AA604" s="1"/>
    </row>
    <row r="605" spans="26:27" x14ac:dyDescent="0.2">
      <c r="Z605" s="1"/>
      <c r="AA605" s="1"/>
    </row>
    <row r="606" spans="26:27" x14ac:dyDescent="0.2">
      <c r="Z606" s="1"/>
      <c r="AA606" s="1"/>
    </row>
    <row r="607" spans="26:27" x14ac:dyDescent="0.2">
      <c r="Z607" s="1"/>
      <c r="AA607" s="1"/>
    </row>
    <row r="608" spans="26:27" x14ac:dyDescent="0.2">
      <c r="Z608" s="1"/>
      <c r="AA608" s="1"/>
    </row>
    <row r="609" spans="26:27" x14ac:dyDescent="0.2">
      <c r="Z609" s="1"/>
      <c r="AA609" s="1"/>
    </row>
    <row r="610" spans="26:27" x14ac:dyDescent="0.2">
      <c r="Z610" s="1"/>
      <c r="AA610" s="1"/>
    </row>
    <row r="611" spans="26:27" x14ac:dyDescent="0.2">
      <c r="Z611" s="1"/>
      <c r="AA611" s="1"/>
    </row>
    <row r="612" spans="26:27" x14ac:dyDescent="0.2">
      <c r="Z612" s="1"/>
      <c r="AA612" s="1"/>
    </row>
    <row r="613" spans="26:27" x14ac:dyDescent="0.2">
      <c r="Z613" s="1"/>
      <c r="AA613" s="1"/>
    </row>
    <row r="614" spans="26:27" x14ac:dyDescent="0.2">
      <c r="Z614" s="1"/>
      <c r="AA614" s="1"/>
    </row>
    <row r="615" spans="26:27" x14ac:dyDescent="0.2">
      <c r="Z615" s="1"/>
      <c r="AA615" s="1"/>
    </row>
    <row r="616" spans="26:27" x14ac:dyDescent="0.2">
      <c r="Z616" s="1"/>
      <c r="AA616" s="1"/>
    </row>
    <row r="617" spans="26:27" x14ac:dyDescent="0.2">
      <c r="Z617" s="1"/>
      <c r="AA617" s="1"/>
    </row>
    <row r="618" spans="26:27" x14ac:dyDescent="0.2">
      <c r="Z618" s="1"/>
      <c r="AA618" s="1"/>
    </row>
    <row r="619" spans="26:27" x14ac:dyDescent="0.2">
      <c r="Z619" s="1"/>
      <c r="AA619" s="1"/>
    </row>
    <row r="620" spans="26:27" x14ac:dyDescent="0.2">
      <c r="Z620" s="1"/>
      <c r="AA620" s="1"/>
    </row>
    <row r="621" spans="26:27" x14ac:dyDescent="0.2">
      <c r="Z621" s="1"/>
      <c r="AA621" s="1"/>
    </row>
    <row r="622" spans="26:27" x14ac:dyDescent="0.2">
      <c r="Z622" s="1"/>
      <c r="AA622" s="1"/>
    </row>
    <row r="623" spans="26:27" x14ac:dyDescent="0.2">
      <c r="Z623" s="1"/>
      <c r="AA623" s="1"/>
    </row>
    <row r="624" spans="26:27" x14ac:dyDescent="0.2">
      <c r="Z624" s="1"/>
      <c r="AA624" s="1"/>
    </row>
    <row r="625" spans="26:27" x14ac:dyDescent="0.2">
      <c r="Z625" s="1"/>
      <c r="AA625" s="1"/>
    </row>
    <row r="626" spans="26:27" x14ac:dyDescent="0.2">
      <c r="Z626" s="1"/>
      <c r="AA626" s="1"/>
    </row>
    <row r="627" spans="26:27" x14ac:dyDescent="0.2">
      <c r="Z627" s="1"/>
      <c r="AA627" s="1"/>
    </row>
    <row r="628" spans="26:27" x14ac:dyDescent="0.2">
      <c r="Z628" s="1"/>
      <c r="AA628" s="1"/>
    </row>
    <row r="629" spans="26:27" x14ac:dyDescent="0.2">
      <c r="Z629" s="1"/>
      <c r="AA629" s="1"/>
    </row>
    <row r="630" spans="26:27" x14ac:dyDescent="0.2">
      <c r="Z630" s="1"/>
      <c r="AA630" s="1"/>
    </row>
    <row r="631" spans="26:27" x14ac:dyDescent="0.2">
      <c r="Z631" s="1"/>
      <c r="AA631" s="1"/>
    </row>
    <row r="632" spans="26:27" x14ac:dyDescent="0.2">
      <c r="Z632" s="1"/>
      <c r="AA632" s="1"/>
    </row>
    <row r="633" spans="26:27" x14ac:dyDescent="0.2">
      <c r="Z633" s="1"/>
      <c r="AA633" s="1"/>
    </row>
    <row r="634" spans="26:27" x14ac:dyDescent="0.2">
      <c r="Z634" s="1"/>
      <c r="AA634" s="1"/>
    </row>
    <row r="635" spans="26:27" x14ac:dyDescent="0.2">
      <c r="Z635" s="1"/>
      <c r="AA635" s="1"/>
    </row>
    <row r="636" spans="26:27" x14ac:dyDescent="0.2">
      <c r="Z636" s="1"/>
      <c r="AA636" s="1"/>
    </row>
    <row r="637" spans="26:27" x14ac:dyDescent="0.2">
      <c r="Z637" s="1"/>
      <c r="AA637" s="1"/>
    </row>
    <row r="638" spans="26:27" x14ac:dyDescent="0.2">
      <c r="Z638" s="1"/>
      <c r="AA638" s="1"/>
    </row>
    <row r="639" spans="26:27" x14ac:dyDescent="0.2">
      <c r="Z639" s="1"/>
      <c r="AA639" s="1"/>
    </row>
    <row r="640" spans="26:27" x14ac:dyDescent="0.2">
      <c r="Z640" s="1"/>
      <c r="AA640" s="1"/>
    </row>
    <row r="641" spans="26:27" x14ac:dyDescent="0.2">
      <c r="Z641" s="1"/>
      <c r="AA641" s="1"/>
    </row>
    <row r="642" spans="26:27" x14ac:dyDescent="0.2">
      <c r="Z642" s="1"/>
      <c r="AA642" s="1"/>
    </row>
    <row r="643" spans="26:27" x14ac:dyDescent="0.2">
      <c r="Z643" s="1"/>
      <c r="AA643" s="1"/>
    </row>
    <row r="644" spans="26:27" x14ac:dyDescent="0.2">
      <c r="Z644" s="1"/>
      <c r="AA644" s="1"/>
    </row>
    <row r="645" spans="26:27" x14ac:dyDescent="0.2">
      <c r="Z645" s="1"/>
      <c r="AA645" s="1"/>
    </row>
    <row r="646" spans="26:27" x14ac:dyDescent="0.2">
      <c r="Z646" s="1"/>
      <c r="AA646" s="1"/>
    </row>
    <row r="647" spans="26:27" x14ac:dyDescent="0.2">
      <c r="Z647" s="1"/>
      <c r="AA647" s="1"/>
    </row>
    <row r="648" spans="26:27" x14ac:dyDescent="0.2">
      <c r="Z648" s="1"/>
      <c r="AA648" s="1"/>
    </row>
    <row r="649" spans="26:27" x14ac:dyDescent="0.2">
      <c r="Z649" s="1"/>
      <c r="AA649" s="1"/>
    </row>
    <row r="650" spans="26:27" x14ac:dyDescent="0.2">
      <c r="Z650" s="1"/>
      <c r="AA650" s="1"/>
    </row>
    <row r="651" spans="26:27" x14ac:dyDescent="0.2">
      <c r="Z651" s="1"/>
      <c r="AA651" s="1"/>
    </row>
    <row r="652" spans="26:27" x14ac:dyDescent="0.2">
      <c r="Z652" s="1"/>
      <c r="AA652" s="1"/>
    </row>
    <row r="653" spans="26:27" x14ac:dyDescent="0.2">
      <c r="Z653" s="1"/>
      <c r="AA653" s="1"/>
    </row>
    <row r="654" spans="26:27" x14ac:dyDescent="0.2">
      <c r="Z654" s="1"/>
      <c r="AA654" s="1"/>
    </row>
    <row r="655" spans="26:27" x14ac:dyDescent="0.2">
      <c r="Z655" s="1"/>
      <c r="AA655" s="1"/>
    </row>
    <row r="656" spans="26:27" x14ac:dyDescent="0.2">
      <c r="Z656" s="1"/>
      <c r="AA656" s="1"/>
    </row>
    <row r="657" spans="26:27" x14ac:dyDescent="0.2">
      <c r="Z657" s="1"/>
      <c r="AA657" s="1"/>
    </row>
    <row r="658" spans="26:27" x14ac:dyDescent="0.2">
      <c r="Z658" s="1"/>
      <c r="AA658" s="1"/>
    </row>
    <row r="659" spans="26:27" x14ac:dyDescent="0.2">
      <c r="Z659" s="1"/>
      <c r="AA659" s="1"/>
    </row>
    <row r="660" spans="26:27" x14ac:dyDescent="0.2">
      <c r="Z660" s="1"/>
      <c r="AA660" s="1"/>
    </row>
    <row r="661" spans="26:27" x14ac:dyDescent="0.2">
      <c r="Z661" s="1"/>
      <c r="AA661" s="1"/>
    </row>
    <row r="662" spans="26:27" x14ac:dyDescent="0.2">
      <c r="Z662" s="1"/>
      <c r="AA662" s="1"/>
    </row>
    <row r="663" spans="26:27" x14ac:dyDescent="0.2">
      <c r="Z663" s="1"/>
      <c r="AA663" s="1"/>
    </row>
    <row r="664" spans="26:27" x14ac:dyDescent="0.2">
      <c r="Z664" s="1"/>
      <c r="AA664" s="1"/>
    </row>
    <row r="665" spans="26:27" x14ac:dyDescent="0.2">
      <c r="Z665" s="1"/>
      <c r="AA665" s="1"/>
    </row>
    <row r="666" spans="26:27" x14ac:dyDescent="0.2">
      <c r="Z666" s="1"/>
      <c r="AA666" s="1"/>
    </row>
    <row r="667" spans="26:27" x14ac:dyDescent="0.2">
      <c r="Z667" s="1"/>
      <c r="AA667" s="1"/>
    </row>
    <row r="668" spans="26:27" x14ac:dyDescent="0.2">
      <c r="Z668" s="1"/>
      <c r="AA668" s="1"/>
    </row>
    <row r="669" spans="26:27" x14ac:dyDescent="0.2">
      <c r="Z669" s="1"/>
      <c r="AA669" s="1"/>
    </row>
    <row r="670" spans="26:27" x14ac:dyDescent="0.2">
      <c r="Z670" s="1"/>
      <c r="AA670" s="1"/>
    </row>
    <row r="671" spans="26:27" x14ac:dyDescent="0.2">
      <c r="Z671" s="1"/>
      <c r="AA671" s="1"/>
    </row>
    <row r="672" spans="26:27" x14ac:dyDescent="0.2">
      <c r="Z672" s="1"/>
      <c r="AA672" s="1"/>
    </row>
    <row r="673" spans="26:27" x14ac:dyDescent="0.2">
      <c r="Z673" s="1"/>
      <c r="AA673" s="1"/>
    </row>
    <row r="674" spans="26:27" x14ac:dyDescent="0.2">
      <c r="Z674" s="1"/>
      <c r="AA674" s="1"/>
    </row>
    <row r="675" spans="26:27" x14ac:dyDescent="0.2">
      <c r="Z675" s="1"/>
      <c r="AA675" s="1"/>
    </row>
    <row r="676" spans="26:27" x14ac:dyDescent="0.2">
      <c r="Z676" s="1"/>
      <c r="AA676" s="1"/>
    </row>
    <row r="677" spans="26:27" x14ac:dyDescent="0.2">
      <c r="Z677" s="1"/>
      <c r="AA677" s="1"/>
    </row>
    <row r="678" spans="26:27" x14ac:dyDescent="0.2">
      <c r="Z678" s="1"/>
      <c r="AA678" s="1"/>
    </row>
    <row r="679" spans="26:27" x14ac:dyDescent="0.2">
      <c r="Z679" s="1"/>
      <c r="AA679" s="1"/>
    </row>
    <row r="680" spans="26:27" x14ac:dyDescent="0.2">
      <c r="Z680" s="1"/>
      <c r="AA680" s="1"/>
    </row>
    <row r="681" spans="26:27" x14ac:dyDescent="0.2">
      <c r="Z681" s="1"/>
      <c r="AA681" s="1"/>
    </row>
    <row r="682" spans="26:27" x14ac:dyDescent="0.2">
      <c r="Z682" s="1"/>
      <c r="AA682" s="1"/>
    </row>
    <row r="683" spans="26:27" x14ac:dyDescent="0.2">
      <c r="Z683" s="1"/>
      <c r="AA683" s="1"/>
    </row>
    <row r="684" spans="26:27" x14ac:dyDescent="0.2">
      <c r="Z684" s="1"/>
      <c r="AA684" s="1"/>
    </row>
    <row r="685" spans="26:27" x14ac:dyDescent="0.2">
      <c r="Z685" s="1"/>
      <c r="AA685" s="1"/>
    </row>
    <row r="686" spans="26:27" x14ac:dyDescent="0.2">
      <c r="Z686" s="1"/>
      <c r="AA686" s="1"/>
    </row>
    <row r="687" spans="26:27" x14ac:dyDescent="0.2">
      <c r="Z687" s="1"/>
      <c r="AA687" s="1"/>
    </row>
    <row r="688" spans="26:27" x14ac:dyDescent="0.2">
      <c r="Z688" s="1"/>
      <c r="AA688" s="1"/>
    </row>
    <row r="689" spans="26:27" x14ac:dyDescent="0.2">
      <c r="Z689" s="1"/>
      <c r="AA689" s="1"/>
    </row>
    <row r="690" spans="26:27" x14ac:dyDescent="0.2">
      <c r="Z690" s="1"/>
      <c r="AA690" s="1"/>
    </row>
    <row r="691" spans="26:27" x14ac:dyDescent="0.2">
      <c r="Z691" s="1"/>
      <c r="AA691" s="1"/>
    </row>
    <row r="692" spans="26:27" x14ac:dyDescent="0.2">
      <c r="Z692" s="1"/>
      <c r="AA692" s="1"/>
    </row>
    <row r="693" spans="26:27" x14ac:dyDescent="0.2">
      <c r="Z693" s="1"/>
      <c r="AA693" s="1"/>
    </row>
    <row r="694" spans="26:27" x14ac:dyDescent="0.2">
      <c r="Z694" s="1"/>
      <c r="AA694" s="1"/>
    </row>
    <row r="695" spans="26:27" x14ac:dyDescent="0.2">
      <c r="Z695" s="1"/>
      <c r="AA695" s="1"/>
    </row>
    <row r="696" spans="26:27" x14ac:dyDescent="0.2">
      <c r="Z696" s="1"/>
      <c r="AA696" s="1"/>
    </row>
    <row r="697" spans="26:27" x14ac:dyDescent="0.2">
      <c r="Z697" s="1"/>
      <c r="AA697" s="1"/>
    </row>
    <row r="698" spans="26:27" x14ac:dyDescent="0.2">
      <c r="Z698" s="1"/>
      <c r="AA698" s="1"/>
    </row>
    <row r="699" spans="26:27" x14ac:dyDescent="0.2">
      <c r="Z699" s="1"/>
      <c r="AA699" s="1"/>
    </row>
    <row r="700" spans="26:27" x14ac:dyDescent="0.2">
      <c r="Z700" s="1"/>
      <c r="AA700" s="1"/>
    </row>
    <row r="701" spans="26:27" x14ac:dyDescent="0.2">
      <c r="Z701" s="1"/>
      <c r="AA701" s="1"/>
    </row>
    <row r="702" spans="26:27" x14ac:dyDescent="0.2">
      <c r="Z702" s="1"/>
      <c r="AA702" s="1"/>
    </row>
    <row r="703" spans="26:27" x14ac:dyDescent="0.2">
      <c r="Z703" s="1"/>
      <c r="AA703" s="1"/>
    </row>
    <row r="704" spans="26:27" x14ac:dyDescent="0.2">
      <c r="Z704" s="1"/>
      <c r="AA704" s="1"/>
    </row>
    <row r="705" spans="26:27" x14ac:dyDescent="0.2">
      <c r="Z705" s="1"/>
      <c r="AA705" s="1"/>
    </row>
    <row r="706" spans="26:27" x14ac:dyDescent="0.2">
      <c r="Z706" s="1"/>
      <c r="AA706" s="1"/>
    </row>
    <row r="707" spans="26:27" x14ac:dyDescent="0.2">
      <c r="Z707" s="1"/>
      <c r="AA707" s="1"/>
    </row>
    <row r="708" spans="26:27" x14ac:dyDescent="0.2">
      <c r="Z708" s="1"/>
      <c r="AA708" s="1"/>
    </row>
    <row r="709" spans="26:27" x14ac:dyDescent="0.2">
      <c r="Z709" s="1"/>
      <c r="AA709" s="1"/>
    </row>
    <row r="710" spans="26:27" x14ac:dyDescent="0.2">
      <c r="Z710" s="1"/>
      <c r="AA710" s="1"/>
    </row>
    <row r="711" spans="26:27" x14ac:dyDescent="0.2">
      <c r="Z711" s="1"/>
      <c r="AA711" s="1"/>
    </row>
    <row r="712" spans="26:27" x14ac:dyDescent="0.2">
      <c r="Z712" s="1"/>
      <c r="AA712" s="1"/>
    </row>
    <row r="713" spans="26:27" x14ac:dyDescent="0.2">
      <c r="Z713" s="1"/>
      <c r="AA713" s="1"/>
    </row>
    <row r="714" spans="26:27" x14ac:dyDescent="0.2">
      <c r="Z714" s="1"/>
      <c r="AA714" s="1"/>
    </row>
    <row r="715" spans="26:27" x14ac:dyDescent="0.2">
      <c r="Z715" s="1"/>
      <c r="AA715" s="1"/>
    </row>
    <row r="716" spans="26:27" x14ac:dyDescent="0.2">
      <c r="Z716" s="1"/>
      <c r="AA716" s="1"/>
    </row>
    <row r="717" spans="26:27" x14ac:dyDescent="0.2">
      <c r="Z717" s="1"/>
      <c r="AA717" s="1"/>
    </row>
    <row r="718" spans="26:27" x14ac:dyDescent="0.2">
      <c r="Z718" s="1"/>
      <c r="AA718" s="1"/>
    </row>
    <row r="719" spans="26:27" x14ac:dyDescent="0.2">
      <c r="Z719" s="1"/>
      <c r="AA719" s="1"/>
    </row>
    <row r="720" spans="26:27" x14ac:dyDescent="0.2">
      <c r="Z720" s="1"/>
      <c r="AA720" s="1"/>
    </row>
    <row r="721" spans="26:27" x14ac:dyDescent="0.2">
      <c r="Z721" s="1"/>
      <c r="AA721" s="1"/>
    </row>
    <row r="722" spans="26:27" x14ac:dyDescent="0.2">
      <c r="Z722" s="1"/>
      <c r="AA722" s="1"/>
    </row>
    <row r="723" spans="26:27" x14ac:dyDescent="0.2">
      <c r="Z723" s="1"/>
      <c r="AA723" s="1"/>
    </row>
    <row r="724" spans="26:27" x14ac:dyDescent="0.2">
      <c r="Z724" s="1"/>
      <c r="AA724" s="1"/>
    </row>
    <row r="725" spans="26:27" x14ac:dyDescent="0.2">
      <c r="Z725" s="1"/>
      <c r="AA725" s="1"/>
    </row>
    <row r="726" spans="26:27" x14ac:dyDescent="0.2">
      <c r="Z726" s="1"/>
      <c r="AA726" s="1"/>
    </row>
    <row r="727" spans="26:27" x14ac:dyDescent="0.2">
      <c r="Z727" s="1"/>
      <c r="AA727" s="1"/>
    </row>
    <row r="728" spans="26:27" x14ac:dyDescent="0.2">
      <c r="Z728" s="1"/>
      <c r="AA728" s="1"/>
    </row>
    <row r="729" spans="26:27" x14ac:dyDescent="0.2">
      <c r="Z729" s="1"/>
      <c r="AA729" s="1"/>
    </row>
    <row r="730" spans="26:27" x14ac:dyDescent="0.2">
      <c r="Z730" s="1"/>
      <c r="AA730" s="1"/>
    </row>
    <row r="731" spans="26:27" x14ac:dyDescent="0.2">
      <c r="Z731" s="1"/>
      <c r="AA731" s="1"/>
    </row>
    <row r="732" spans="26:27" x14ac:dyDescent="0.2">
      <c r="Z732" s="1"/>
      <c r="AA732" s="1"/>
    </row>
    <row r="733" spans="26:27" x14ac:dyDescent="0.2">
      <c r="Z733" s="1"/>
      <c r="AA733" s="1"/>
    </row>
    <row r="734" spans="26:27" x14ac:dyDescent="0.2">
      <c r="Z734" s="1"/>
      <c r="AA734" s="1"/>
    </row>
    <row r="735" spans="26:27" x14ac:dyDescent="0.2">
      <c r="Z735" s="1"/>
      <c r="AA735" s="1"/>
    </row>
    <row r="736" spans="26:27" x14ac:dyDescent="0.2">
      <c r="Z736" s="1"/>
      <c r="AA736" s="1"/>
    </row>
    <row r="737" spans="26:27" x14ac:dyDescent="0.2">
      <c r="Z737" s="1"/>
      <c r="AA737" s="1"/>
    </row>
    <row r="738" spans="26:27" x14ac:dyDescent="0.2">
      <c r="Z738" s="1"/>
      <c r="AA738" s="1"/>
    </row>
    <row r="739" spans="26:27" x14ac:dyDescent="0.2">
      <c r="Z739" s="1"/>
      <c r="AA739" s="1"/>
    </row>
    <row r="740" spans="26:27" x14ac:dyDescent="0.2">
      <c r="Z740" s="1"/>
      <c r="AA740" s="1"/>
    </row>
    <row r="741" spans="26:27" x14ac:dyDescent="0.2">
      <c r="Z741" s="1"/>
      <c r="AA741" s="1"/>
    </row>
    <row r="742" spans="26:27" x14ac:dyDescent="0.2">
      <c r="Z742" s="1"/>
      <c r="AA742" s="1"/>
    </row>
    <row r="743" spans="26:27" x14ac:dyDescent="0.2">
      <c r="Z743" s="1"/>
      <c r="AA743" s="1"/>
    </row>
    <row r="744" spans="26:27" x14ac:dyDescent="0.2">
      <c r="Z744" s="1"/>
      <c r="AA744" s="1"/>
    </row>
    <row r="745" spans="26:27" x14ac:dyDescent="0.2">
      <c r="Z745" s="1"/>
      <c r="AA745" s="1"/>
    </row>
    <row r="746" spans="26:27" x14ac:dyDescent="0.2">
      <c r="Z746" s="1"/>
      <c r="AA746" s="1"/>
    </row>
    <row r="747" spans="26:27" x14ac:dyDescent="0.2">
      <c r="Z747" s="1"/>
      <c r="AA747" s="1"/>
    </row>
    <row r="748" spans="26:27" x14ac:dyDescent="0.2">
      <c r="Z748" s="1"/>
      <c r="AA748" s="1"/>
    </row>
    <row r="749" spans="26:27" x14ac:dyDescent="0.2">
      <c r="Z749" s="1"/>
      <c r="AA749" s="1"/>
    </row>
    <row r="750" spans="26:27" x14ac:dyDescent="0.2">
      <c r="Z750" s="1"/>
      <c r="AA750" s="1"/>
    </row>
    <row r="751" spans="26:27" x14ac:dyDescent="0.2">
      <c r="Z751" s="1"/>
      <c r="AA751" s="1"/>
    </row>
    <row r="752" spans="26:27" x14ac:dyDescent="0.2">
      <c r="Z752" s="1"/>
      <c r="AA752" s="1"/>
    </row>
    <row r="753" spans="26:27" x14ac:dyDescent="0.2">
      <c r="Z753" s="1"/>
      <c r="AA753" s="1"/>
    </row>
    <row r="754" spans="26:27" x14ac:dyDescent="0.2">
      <c r="Z754" s="1"/>
      <c r="AA754" s="1"/>
    </row>
    <row r="755" spans="26:27" x14ac:dyDescent="0.2">
      <c r="Z755" s="1"/>
      <c r="AA755" s="1"/>
    </row>
    <row r="756" spans="26:27" x14ac:dyDescent="0.2">
      <c r="Z756" s="1"/>
      <c r="AA756" s="1"/>
    </row>
    <row r="757" spans="26:27" x14ac:dyDescent="0.2">
      <c r="Z757" s="1"/>
      <c r="AA757" s="1"/>
    </row>
    <row r="758" spans="26:27" x14ac:dyDescent="0.2">
      <c r="Z758" s="1"/>
      <c r="AA758" s="1"/>
    </row>
    <row r="759" spans="26:27" x14ac:dyDescent="0.2">
      <c r="Z759" s="1"/>
      <c r="AA759" s="1"/>
    </row>
    <row r="760" spans="26:27" x14ac:dyDescent="0.2">
      <c r="Z760" s="1"/>
      <c r="AA760" s="1"/>
    </row>
    <row r="761" spans="26:27" x14ac:dyDescent="0.2">
      <c r="Z761" s="1"/>
      <c r="AA761" s="1"/>
    </row>
    <row r="762" spans="26:27" x14ac:dyDescent="0.2">
      <c r="Z762" s="1"/>
      <c r="AA762" s="1"/>
    </row>
    <row r="763" spans="26:27" x14ac:dyDescent="0.2">
      <c r="Z763" s="1"/>
      <c r="AA763" s="1"/>
    </row>
    <row r="764" spans="26:27" x14ac:dyDescent="0.2">
      <c r="Z764" s="1"/>
      <c r="AA764" s="1"/>
    </row>
    <row r="765" spans="26:27" x14ac:dyDescent="0.2">
      <c r="Z765" s="1"/>
      <c r="AA765" s="1"/>
    </row>
    <row r="766" spans="26:27" x14ac:dyDescent="0.2">
      <c r="Z766" s="1"/>
      <c r="AA766" s="1"/>
    </row>
    <row r="767" spans="26:27" x14ac:dyDescent="0.2">
      <c r="Z767" s="1"/>
      <c r="AA767" s="1"/>
    </row>
    <row r="768" spans="26:27" x14ac:dyDescent="0.2">
      <c r="Z768" s="1"/>
      <c r="AA768" s="1"/>
    </row>
    <row r="769" spans="26:27" x14ac:dyDescent="0.2">
      <c r="Z769" s="1"/>
      <c r="AA769" s="1"/>
    </row>
    <row r="770" spans="26:27" x14ac:dyDescent="0.2">
      <c r="Z770" s="1"/>
      <c r="AA770" s="1"/>
    </row>
    <row r="771" spans="26:27" x14ac:dyDescent="0.2">
      <c r="Z771" s="1"/>
      <c r="AA771" s="1"/>
    </row>
    <row r="772" spans="26:27" x14ac:dyDescent="0.2">
      <c r="Z772" s="1"/>
      <c r="AA772" s="1"/>
    </row>
    <row r="773" spans="26:27" x14ac:dyDescent="0.2">
      <c r="Z773" s="1"/>
      <c r="AA773" s="1"/>
    </row>
    <row r="774" spans="26:27" x14ac:dyDescent="0.2">
      <c r="Z774" s="1"/>
      <c r="AA774" s="1"/>
    </row>
    <row r="775" spans="26:27" x14ac:dyDescent="0.2">
      <c r="Z775" s="1"/>
      <c r="AA775" s="1"/>
    </row>
    <row r="776" spans="26:27" x14ac:dyDescent="0.2">
      <c r="Z776" s="1"/>
      <c r="AA776" s="1"/>
    </row>
    <row r="777" spans="26:27" x14ac:dyDescent="0.2">
      <c r="Z777" s="1"/>
      <c r="AA777" s="1"/>
    </row>
    <row r="778" spans="26:27" x14ac:dyDescent="0.2">
      <c r="Z778" s="1"/>
      <c r="AA778" s="1"/>
    </row>
    <row r="779" spans="26:27" x14ac:dyDescent="0.2">
      <c r="Z779" s="1"/>
      <c r="AA779" s="1"/>
    </row>
    <row r="780" spans="26:27" x14ac:dyDescent="0.2">
      <c r="Z780" s="1"/>
      <c r="AA780" s="1"/>
    </row>
    <row r="781" spans="26:27" x14ac:dyDescent="0.2">
      <c r="Z781" s="1"/>
      <c r="AA781" s="1"/>
    </row>
    <row r="782" spans="26:27" x14ac:dyDescent="0.2">
      <c r="Z782" s="1"/>
      <c r="AA782" s="1"/>
    </row>
    <row r="783" spans="26:27" x14ac:dyDescent="0.2">
      <c r="Z783" s="1"/>
      <c r="AA783" s="1"/>
    </row>
    <row r="784" spans="26:27" x14ac:dyDescent="0.2">
      <c r="Z784" s="1"/>
      <c r="AA784" s="1"/>
    </row>
    <row r="785" spans="26:27" x14ac:dyDescent="0.2">
      <c r="Z785" s="1"/>
      <c r="AA785" s="1"/>
    </row>
    <row r="786" spans="26:27" x14ac:dyDescent="0.2">
      <c r="Z786" s="1"/>
      <c r="AA786" s="1"/>
    </row>
    <row r="787" spans="26:27" x14ac:dyDescent="0.2">
      <c r="Z787" s="1"/>
      <c r="AA787" s="1"/>
    </row>
    <row r="788" spans="26:27" x14ac:dyDescent="0.2">
      <c r="Z788" s="1"/>
      <c r="AA788" s="1"/>
    </row>
    <row r="789" spans="26:27" x14ac:dyDescent="0.2">
      <c r="Z789" s="1"/>
      <c r="AA789" s="1"/>
    </row>
    <row r="790" spans="26:27" x14ac:dyDescent="0.2">
      <c r="Z790" s="1"/>
      <c r="AA790" s="1"/>
    </row>
    <row r="791" spans="26:27" x14ac:dyDescent="0.2">
      <c r="Z791" s="1"/>
      <c r="AA791" s="1"/>
    </row>
    <row r="792" spans="26:27" x14ac:dyDescent="0.2">
      <c r="Z792" s="1"/>
      <c r="AA792" s="1"/>
    </row>
    <row r="793" spans="26:27" x14ac:dyDescent="0.2">
      <c r="Z793" s="1"/>
      <c r="AA793" s="1"/>
    </row>
    <row r="794" spans="26:27" x14ac:dyDescent="0.2">
      <c r="Z794" s="1"/>
      <c r="AA794" s="1"/>
    </row>
    <row r="795" spans="26:27" x14ac:dyDescent="0.2">
      <c r="Z795" s="1"/>
      <c r="AA795" s="1"/>
    </row>
    <row r="796" spans="26:27" x14ac:dyDescent="0.2">
      <c r="Z796" s="1"/>
      <c r="AA796" s="1"/>
    </row>
    <row r="797" spans="26:27" x14ac:dyDescent="0.2">
      <c r="Z797" s="1"/>
      <c r="AA797" s="1"/>
    </row>
    <row r="798" spans="26:27" x14ac:dyDescent="0.2">
      <c r="Z798" s="1"/>
      <c r="AA798" s="1"/>
    </row>
    <row r="799" spans="26:27" x14ac:dyDescent="0.2">
      <c r="Z799" s="1"/>
      <c r="AA799" s="1"/>
    </row>
    <row r="800" spans="26:27" x14ac:dyDescent="0.2">
      <c r="Z800" s="1"/>
      <c r="AA800" s="1"/>
    </row>
    <row r="801" spans="26:27" x14ac:dyDescent="0.2">
      <c r="Z801" s="1"/>
      <c r="AA801" s="1"/>
    </row>
    <row r="802" spans="26:27" x14ac:dyDescent="0.2">
      <c r="Z802" s="1"/>
      <c r="AA802" s="1"/>
    </row>
    <row r="803" spans="26:27" x14ac:dyDescent="0.2">
      <c r="Z803" s="1"/>
      <c r="AA803" s="1"/>
    </row>
    <row r="804" spans="26:27" x14ac:dyDescent="0.2">
      <c r="Z804" s="1"/>
      <c r="AA804" s="1"/>
    </row>
    <row r="805" spans="26:27" x14ac:dyDescent="0.2">
      <c r="Z805" s="1"/>
      <c r="AA805" s="1"/>
    </row>
    <row r="806" spans="26:27" x14ac:dyDescent="0.2">
      <c r="Z806" s="1"/>
      <c r="AA806" s="1"/>
    </row>
    <row r="807" spans="26:27" x14ac:dyDescent="0.2">
      <c r="Z807" s="1"/>
      <c r="AA807" s="1"/>
    </row>
    <row r="808" spans="26:27" x14ac:dyDescent="0.2">
      <c r="Z808" s="1"/>
      <c r="AA808" s="1"/>
    </row>
    <row r="809" spans="26:27" x14ac:dyDescent="0.2">
      <c r="Z809" s="1"/>
      <c r="AA809" s="1"/>
    </row>
    <row r="810" spans="26:27" x14ac:dyDescent="0.2">
      <c r="Z810" s="1"/>
      <c r="AA810" s="1"/>
    </row>
    <row r="811" spans="26:27" x14ac:dyDescent="0.2">
      <c r="Z811" s="1"/>
      <c r="AA811" s="1"/>
    </row>
    <row r="812" spans="26:27" x14ac:dyDescent="0.2">
      <c r="Z812" s="1"/>
      <c r="AA812" s="1"/>
    </row>
    <row r="813" spans="26:27" x14ac:dyDescent="0.2">
      <c r="Z813" s="1"/>
      <c r="AA813" s="1"/>
    </row>
    <row r="814" spans="26:27" x14ac:dyDescent="0.2">
      <c r="Z814" s="1"/>
      <c r="AA814" s="1"/>
    </row>
    <row r="815" spans="26:27" x14ac:dyDescent="0.2">
      <c r="Z815" s="1"/>
      <c r="AA815" s="1"/>
    </row>
    <row r="816" spans="26:27" x14ac:dyDescent="0.2">
      <c r="Z816" s="1"/>
      <c r="AA816" s="1"/>
    </row>
    <row r="817" spans="26:27" x14ac:dyDescent="0.2">
      <c r="Z817" s="1"/>
      <c r="AA817" s="1"/>
    </row>
    <row r="818" spans="26:27" x14ac:dyDescent="0.2">
      <c r="Z818" s="1"/>
      <c r="AA818" s="1"/>
    </row>
    <row r="819" spans="26:27" x14ac:dyDescent="0.2">
      <c r="Z819" s="1"/>
      <c r="AA819" s="1"/>
    </row>
    <row r="820" spans="26:27" x14ac:dyDescent="0.2">
      <c r="Z820" s="1"/>
      <c r="AA820" s="1"/>
    </row>
    <row r="821" spans="26:27" x14ac:dyDescent="0.2">
      <c r="Z821" s="1"/>
      <c r="AA821" s="1"/>
    </row>
    <row r="822" spans="26:27" x14ac:dyDescent="0.2">
      <c r="Z822" s="1"/>
      <c r="AA822" s="1"/>
    </row>
    <row r="823" spans="26:27" x14ac:dyDescent="0.2">
      <c r="Z823" s="1"/>
      <c r="AA823" s="1"/>
    </row>
    <row r="824" spans="26:27" x14ac:dyDescent="0.2">
      <c r="Z824" s="1"/>
      <c r="AA824" s="1"/>
    </row>
    <row r="825" spans="26:27" x14ac:dyDescent="0.2">
      <c r="Z825" s="1"/>
      <c r="AA825" s="1"/>
    </row>
    <row r="826" spans="26:27" x14ac:dyDescent="0.2">
      <c r="Z826" s="1"/>
      <c r="AA826" s="1"/>
    </row>
    <row r="827" spans="26:27" x14ac:dyDescent="0.2">
      <c r="Z827" s="1"/>
      <c r="AA827" s="1"/>
    </row>
    <row r="828" spans="26:27" x14ac:dyDescent="0.2">
      <c r="Z828" s="1"/>
      <c r="AA828" s="1"/>
    </row>
    <row r="829" spans="26:27" x14ac:dyDescent="0.2">
      <c r="Z829" s="1"/>
      <c r="AA829" s="1"/>
    </row>
    <row r="830" spans="26:27" x14ac:dyDescent="0.2">
      <c r="Z830" s="1"/>
      <c r="AA830" s="1"/>
    </row>
    <row r="831" spans="26:27" x14ac:dyDescent="0.2">
      <c r="Z831" s="1"/>
      <c r="AA831" s="1"/>
    </row>
    <row r="832" spans="26:27" x14ac:dyDescent="0.2">
      <c r="Z832" s="1"/>
      <c r="AA832" s="1"/>
    </row>
    <row r="833" spans="26:27" x14ac:dyDescent="0.2">
      <c r="Z833" s="1"/>
      <c r="AA833" s="1"/>
    </row>
    <row r="834" spans="26:27" x14ac:dyDescent="0.2">
      <c r="Z834" s="1"/>
      <c r="AA834" s="1"/>
    </row>
    <row r="835" spans="26:27" x14ac:dyDescent="0.2">
      <c r="Z835" s="1"/>
      <c r="AA835" s="1"/>
    </row>
    <row r="836" spans="26:27" x14ac:dyDescent="0.2">
      <c r="Z836" s="1"/>
      <c r="AA836" s="1"/>
    </row>
    <row r="837" spans="26:27" x14ac:dyDescent="0.2">
      <c r="Z837" s="1"/>
      <c r="AA837" s="1"/>
    </row>
    <row r="838" spans="26:27" x14ac:dyDescent="0.2">
      <c r="Z838" s="1"/>
      <c r="AA838" s="1"/>
    </row>
    <row r="839" spans="26:27" x14ac:dyDescent="0.2">
      <c r="Z839" s="1"/>
      <c r="AA839" s="1"/>
    </row>
    <row r="840" spans="26:27" x14ac:dyDescent="0.2">
      <c r="Z840" s="1"/>
      <c r="AA840" s="1"/>
    </row>
    <row r="841" spans="26:27" x14ac:dyDescent="0.2">
      <c r="Z841" s="1"/>
      <c r="AA841" s="1"/>
    </row>
    <row r="842" spans="26:27" x14ac:dyDescent="0.2">
      <c r="Z842" s="1"/>
      <c r="AA842" s="1"/>
    </row>
    <row r="843" spans="26:27" x14ac:dyDescent="0.2">
      <c r="Z843" s="1"/>
      <c r="AA843" s="1"/>
    </row>
    <row r="844" spans="26:27" x14ac:dyDescent="0.2">
      <c r="Z844" s="1"/>
      <c r="AA844" s="1"/>
    </row>
    <row r="845" spans="26:27" x14ac:dyDescent="0.2">
      <c r="Z845" s="1"/>
      <c r="AA845" s="1"/>
    </row>
    <row r="846" spans="26:27" x14ac:dyDescent="0.2">
      <c r="Z846" s="1"/>
      <c r="AA846" s="1"/>
    </row>
    <row r="847" spans="26:27" x14ac:dyDescent="0.2">
      <c r="Z847" s="1"/>
      <c r="AA847" s="1"/>
    </row>
    <row r="848" spans="26:27" x14ac:dyDescent="0.2">
      <c r="Z848" s="1"/>
      <c r="AA848" s="1"/>
    </row>
    <row r="849" spans="26:27" x14ac:dyDescent="0.2">
      <c r="Z849" s="1"/>
      <c r="AA849" s="1"/>
    </row>
    <row r="850" spans="26:27" x14ac:dyDescent="0.2">
      <c r="Z850" s="1"/>
      <c r="AA850" s="1"/>
    </row>
    <row r="851" spans="26:27" x14ac:dyDescent="0.2">
      <c r="Z851" s="1"/>
      <c r="AA851" s="1"/>
    </row>
    <row r="852" spans="26:27" x14ac:dyDescent="0.2">
      <c r="Z852" s="1"/>
      <c r="AA852" s="1"/>
    </row>
    <row r="853" spans="26:27" x14ac:dyDescent="0.2">
      <c r="Z853" s="1"/>
      <c r="AA853" s="1"/>
    </row>
    <row r="854" spans="26:27" x14ac:dyDescent="0.2">
      <c r="Z854" s="1"/>
      <c r="AA854" s="1"/>
    </row>
    <row r="855" spans="26:27" x14ac:dyDescent="0.2">
      <c r="Z855" s="1"/>
      <c r="AA855" s="1"/>
    </row>
    <row r="856" spans="26:27" x14ac:dyDescent="0.2">
      <c r="Z856" s="1"/>
      <c r="AA856" s="1"/>
    </row>
    <row r="857" spans="26:27" x14ac:dyDescent="0.2">
      <c r="Z857" s="1"/>
      <c r="AA857" s="1"/>
    </row>
    <row r="858" spans="26:27" x14ac:dyDescent="0.2">
      <c r="Z858" s="1"/>
      <c r="AA858" s="1"/>
    </row>
    <row r="859" spans="26:27" x14ac:dyDescent="0.2">
      <c r="Z859" s="1"/>
      <c r="AA859" s="1"/>
    </row>
    <row r="860" spans="26:27" x14ac:dyDescent="0.2">
      <c r="Z860" s="1"/>
      <c r="AA860" s="1"/>
    </row>
    <row r="861" spans="26:27" x14ac:dyDescent="0.2">
      <c r="Z861" s="1"/>
      <c r="AA861" s="1"/>
    </row>
    <row r="862" spans="26:27" x14ac:dyDescent="0.2">
      <c r="Z862" s="1"/>
      <c r="AA862" s="1"/>
    </row>
    <row r="863" spans="26:27" x14ac:dyDescent="0.2">
      <c r="Z863" s="1"/>
      <c r="AA863" s="1"/>
    </row>
    <row r="864" spans="26:27" x14ac:dyDescent="0.2">
      <c r="Z864" s="1"/>
      <c r="AA864" s="1"/>
    </row>
    <row r="865" spans="26:27" x14ac:dyDescent="0.2">
      <c r="Z865" s="1"/>
      <c r="AA865" s="1"/>
    </row>
    <row r="866" spans="26:27" x14ac:dyDescent="0.2">
      <c r="Z866" s="1"/>
      <c r="AA866" s="1"/>
    </row>
    <row r="867" spans="26:27" x14ac:dyDescent="0.2">
      <c r="Z867" s="1"/>
      <c r="AA867" s="1"/>
    </row>
    <row r="868" spans="26:27" x14ac:dyDescent="0.2">
      <c r="Z868" s="1"/>
      <c r="AA868" s="1"/>
    </row>
    <row r="869" spans="26:27" x14ac:dyDescent="0.2">
      <c r="Z869" s="1"/>
      <c r="AA869" s="1"/>
    </row>
    <row r="870" spans="26:27" x14ac:dyDescent="0.2">
      <c r="Z870" s="1"/>
      <c r="AA870" s="1"/>
    </row>
    <row r="871" spans="26:27" x14ac:dyDescent="0.2">
      <c r="Z871" s="1"/>
      <c r="AA871" s="1"/>
    </row>
    <row r="872" spans="26:27" x14ac:dyDescent="0.2">
      <c r="Z872" s="1"/>
      <c r="AA872" s="1"/>
    </row>
    <row r="873" spans="26:27" x14ac:dyDescent="0.2">
      <c r="Z873" s="1"/>
      <c r="AA873" s="1"/>
    </row>
    <row r="874" spans="26:27" x14ac:dyDescent="0.2">
      <c r="Z874" s="1"/>
      <c r="AA874" s="1"/>
    </row>
    <row r="875" spans="26:27" x14ac:dyDescent="0.2">
      <c r="Z875" s="1"/>
      <c r="AA875" s="1"/>
    </row>
    <row r="876" spans="26:27" x14ac:dyDescent="0.2">
      <c r="Z876" s="1"/>
      <c r="AA876" s="1"/>
    </row>
    <row r="877" spans="26:27" x14ac:dyDescent="0.2">
      <c r="Z877" s="1"/>
      <c r="AA877" s="1"/>
    </row>
    <row r="878" spans="26:27" x14ac:dyDescent="0.2">
      <c r="Z878" s="1"/>
      <c r="AA878" s="1"/>
    </row>
    <row r="879" spans="26:27" x14ac:dyDescent="0.2">
      <c r="Z879" s="1"/>
      <c r="AA879" s="1"/>
    </row>
    <row r="880" spans="26:27" x14ac:dyDescent="0.2">
      <c r="Z880" s="1"/>
      <c r="AA880" s="1"/>
    </row>
    <row r="881" spans="26:27" x14ac:dyDescent="0.2">
      <c r="Z881" s="1"/>
      <c r="AA881" s="1"/>
    </row>
    <row r="882" spans="26:27" x14ac:dyDescent="0.2">
      <c r="Z882" s="1"/>
      <c r="AA882" s="1"/>
    </row>
    <row r="883" spans="26:27" x14ac:dyDescent="0.2">
      <c r="Z883" s="1"/>
      <c r="AA883" s="1"/>
    </row>
    <row r="884" spans="26:27" x14ac:dyDescent="0.2">
      <c r="Z884" s="1"/>
      <c r="AA884" s="1"/>
    </row>
    <row r="885" spans="26:27" x14ac:dyDescent="0.2">
      <c r="Z885" s="1"/>
      <c r="AA885" s="1"/>
    </row>
    <row r="886" spans="26:27" x14ac:dyDescent="0.2">
      <c r="Z886" s="1"/>
      <c r="AA886" s="1"/>
    </row>
    <row r="887" spans="26:27" x14ac:dyDescent="0.2">
      <c r="Z887" s="1"/>
      <c r="AA887" s="1"/>
    </row>
    <row r="888" spans="26:27" x14ac:dyDescent="0.2">
      <c r="Z888" s="1"/>
      <c r="AA888" s="1"/>
    </row>
    <row r="889" spans="26:27" x14ac:dyDescent="0.2">
      <c r="Z889" s="1"/>
      <c r="AA889" s="1"/>
    </row>
    <row r="890" spans="26:27" x14ac:dyDescent="0.2">
      <c r="Z890" s="1"/>
      <c r="AA890" s="1"/>
    </row>
    <row r="891" spans="26:27" x14ac:dyDescent="0.2">
      <c r="Z891" s="1"/>
      <c r="AA891" s="1"/>
    </row>
    <row r="892" spans="26:27" x14ac:dyDescent="0.2">
      <c r="Z892" s="1"/>
      <c r="AA892" s="1"/>
    </row>
    <row r="893" spans="26:27" x14ac:dyDescent="0.2">
      <c r="Z893" s="1"/>
      <c r="AA893" s="1"/>
    </row>
    <row r="894" spans="26:27" x14ac:dyDescent="0.2">
      <c r="Z894" s="1"/>
      <c r="AA894" s="1"/>
    </row>
    <row r="895" spans="26:27" x14ac:dyDescent="0.2">
      <c r="Z895" s="1"/>
      <c r="AA895" s="1"/>
    </row>
    <row r="896" spans="26:27" x14ac:dyDescent="0.2">
      <c r="Z896" s="1"/>
      <c r="AA896" s="1"/>
    </row>
    <row r="897" spans="26:27" x14ac:dyDescent="0.2">
      <c r="Z897" s="1"/>
      <c r="AA897" s="1"/>
    </row>
    <row r="898" spans="26:27" x14ac:dyDescent="0.2">
      <c r="Z898" s="1"/>
      <c r="AA898" s="1"/>
    </row>
    <row r="899" spans="26:27" x14ac:dyDescent="0.2">
      <c r="Z899" s="1"/>
      <c r="AA899" s="1"/>
    </row>
    <row r="900" spans="26:27" x14ac:dyDescent="0.2">
      <c r="Z900" s="1"/>
      <c r="AA900" s="1"/>
    </row>
    <row r="901" spans="26:27" x14ac:dyDescent="0.2">
      <c r="Z901" s="1"/>
      <c r="AA901" s="1"/>
    </row>
    <row r="902" spans="26:27" x14ac:dyDescent="0.2">
      <c r="Z902" s="1"/>
      <c r="AA902" s="1"/>
    </row>
    <row r="903" spans="26:27" x14ac:dyDescent="0.2">
      <c r="Z903" s="1"/>
      <c r="AA903" s="1"/>
    </row>
    <row r="904" spans="26:27" x14ac:dyDescent="0.2">
      <c r="Z904" s="1"/>
      <c r="AA904" s="1"/>
    </row>
    <row r="905" spans="26:27" x14ac:dyDescent="0.2">
      <c r="Z905" s="1"/>
      <c r="AA905" s="1"/>
    </row>
    <row r="906" spans="26:27" x14ac:dyDescent="0.2">
      <c r="Z906" s="1"/>
      <c r="AA906" s="1"/>
    </row>
    <row r="907" spans="26:27" x14ac:dyDescent="0.2">
      <c r="Z907" s="1"/>
      <c r="AA907" s="1"/>
    </row>
    <row r="908" spans="26:27" x14ac:dyDescent="0.2">
      <c r="Z908" s="1"/>
      <c r="AA908" s="1"/>
    </row>
    <row r="909" spans="26:27" x14ac:dyDescent="0.2">
      <c r="Z909" s="1"/>
      <c r="AA909" s="1"/>
    </row>
    <row r="910" spans="26:27" x14ac:dyDescent="0.2">
      <c r="Z910" s="1"/>
      <c r="AA910" s="1"/>
    </row>
    <row r="911" spans="26:27" x14ac:dyDescent="0.2">
      <c r="Z911" s="1"/>
      <c r="AA911" s="1"/>
    </row>
    <row r="912" spans="26:27" x14ac:dyDescent="0.2">
      <c r="Z912" s="1"/>
      <c r="AA912" s="1"/>
    </row>
    <row r="913" spans="26:27" x14ac:dyDescent="0.2">
      <c r="Z913" s="1"/>
      <c r="AA913" s="1"/>
    </row>
    <row r="914" spans="26:27" x14ac:dyDescent="0.2">
      <c r="Z914" s="1"/>
      <c r="AA914" s="1"/>
    </row>
    <row r="915" spans="26:27" x14ac:dyDescent="0.2">
      <c r="Z915" s="1"/>
      <c r="AA915" s="1"/>
    </row>
    <row r="916" spans="26:27" x14ac:dyDescent="0.2">
      <c r="Z916" s="1"/>
      <c r="AA916" s="1"/>
    </row>
    <row r="917" spans="26:27" x14ac:dyDescent="0.2">
      <c r="Z917" s="1"/>
      <c r="AA917" s="1"/>
    </row>
    <row r="918" spans="26:27" x14ac:dyDescent="0.2">
      <c r="Z918" s="1"/>
      <c r="AA918" s="1"/>
    </row>
    <row r="919" spans="26:27" x14ac:dyDescent="0.2">
      <c r="Z919" s="1"/>
      <c r="AA919" s="1"/>
    </row>
    <row r="920" spans="26:27" x14ac:dyDescent="0.2">
      <c r="Z920" s="1"/>
      <c r="AA920" s="1"/>
    </row>
    <row r="921" spans="26:27" x14ac:dyDescent="0.2">
      <c r="Z921" s="1"/>
      <c r="AA921" s="1"/>
    </row>
    <row r="922" spans="26:27" x14ac:dyDescent="0.2">
      <c r="Z922" s="1"/>
      <c r="AA922" s="1"/>
    </row>
    <row r="923" spans="26:27" x14ac:dyDescent="0.2">
      <c r="Z923" s="1"/>
      <c r="AA923" s="1"/>
    </row>
    <row r="924" spans="26:27" x14ac:dyDescent="0.2">
      <c r="Z924" s="1"/>
      <c r="AA924" s="1"/>
    </row>
    <row r="925" spans="26:27" x14ac:dyDescent="0.2">
      <c r="Z925" s="1"/>
      <c r="AA925" s="1"/>
    </row>
    <row r="926" spans="26:27" x14ac:dyDescent="0.2">
      <c r="Z926" s="1"/>
      <c r="AA926" s="1"/>
    </row>
    <row r="927" spans="26:27" x14ac:dyDescent="0.2">
      <c r="Z927" s="1"/>
      <c r="AA927" s="1"/>
    </row>
    <row r="928" spans="26:27" x14ac:dyDescent="0.2">
      <c r="Z928" s="1"/>
      <c r="AA928" s="1"/>
    </row>
    <row r="929" spans="26:27" x14ac:dyDescent="0.2">
      <c r="Z929" s="1"/>
      <c r="AA929" s="1"/>
    </row>
    <row r="930" spans="26:27" x14ac:dyDescent="0.2">
      <c r="Z930" s="1"/>
      <c r="AA930" s="1"/>
    </row>
    <row r="931" spans="26:27" x14ac:dyDescent="0.2">
      <c r="Z931" s="1"/>
      <c r="AA931" s="1"/>
    </row>
    <row r="932" spans="26:27" x14ac:dyDescent="0.2">
      <c r="Z932" s="1"/>
      <c r="AA932" s="1"/>
    </row>
    <row r="933" spans="26:27" x14ac:dyDescent="0.2">
      <c r="Z933" s="1"/>
      <c r="AA933" s="1"/>
    </row>
    <row r="934" spans="26:27" x14ac:dyDescent="0.2">
      <c r="Z934" s="1"/>
      <c r="AA934" s="1"/>
    </row>
    <row r="935" spans="26:27" x14ac:dyDescent="0.2">
      <c r="Z935" s="1"/>
      <c r="AA935" s="1"/>
    </row>
    <row r="936" spans="26:27" x14ac:dyDescent="0.2">
      <c r="Z936" s="1"/>
      <c r="AA936" s="1"/>
    </row>
    <row r="937" spans="26:27" x14ac:dyDescent="0.2">
      <c r="Z937" s="1"/>
      <c r="AA937" s="1"/>
    </row>
    <row r="938" spans="26:27" x14ac:dyDescent="0.2">
      <c r="Z938" s="1"/>
      <c r="AA938" s="1"/>
    </row>
    <row r="939" spans="26:27" x14ac:dyDescent="0.2">
      <c r="Z939" s="1"/>
      <c r="AA939" s="1"/>
    </row>
    <row r="940" spans="26:27" x14ac:dyDescent="0.2">
      <c r="Z940" s="1"/>
      <c r="AA940" s="1"/>
    </row>
    <row r="941" spans="26:27" x14ac:dyDescent="0.2">
      <c r="Z941" s="1"/>
      <c r="AA941" s="1"/>
    </row>
    <row r="942" spans="26:27" x14ac:dyDescent="0.2">
      <c r="Z942" s="1"/>
      <c r="AA942" s="1"/>
    </row>
    <row r="943" spans="26:27" x14ac:dyDescent="0.2">
      <c r="Z943" s="1"/>
      <c r="AA943" s="1"/>
    </row>
    <row r="944" spans="26:27" x14ac:dyDescent="0.2">
      <c r="Z944" s="1"/>
      <c r="AA944" s="1"/>
    </row>
    <row r="945" spans="26:27" x14ac:dyDescent="0.2">
      <c r="Z945" s="1"/>
      <c r="AA945" s="1"/>
    </row>
    <row r="946" spans="26:27" x14ac:dyDescent="0.2">
      <c r="Z946" s="1"/>
      <c r="AA946" s="1"/>
    </row>
    <row r="947" spans="26:27" x14ac:dyDescent="0.2">
      <c r="Z947" s="1"/>
      <c r="AA947" s="1"/>
    </row>
    <row r="948" spans="26:27" x14ac:dyDescent="0.2">
      <c r="Z948" s="1"/>
      <c r="AA948" s="1"/>
    </row>
    <row r="949" spans="26:27" x14ac:dyDescent="0.2">
      <c r="Z949" s="1"/>
      <c r="AA949" s="1"/>
    </row>
    <row r="950" spans="26:27" x14ac:dyDescent="0.2">
      <c r="Z950" s="1"/>
      <c r="AA950" s="1"/>
    </row>
    <row r="951" spans="26:27" x14ac:dyDescent="0.2">
      <c r="Z951" s="1"/>
      <c r="AA951" s="1"/>
    </row>
    <row r="952" spans="26:27" x14ac:dyDescent="0.2">
      <c r="Z952" s="1"/>
      <c r="AA952" s="1"/>
    </row>
    <row r="953" spans="26:27" x14ac:dyDescent="0.2">
      <c r="Z953" s="1"/>
      <c r="AA953" s="1"/>
    </row>
    <row r="954" spans="26:27" x14ac:dyDescent="0.2">
      <c r="Z954" s="1"/>
      <c r="AA954" s="1"/>
    </row>
    <row r="955" spans="26:27" x14ac:dyDescent="0.2">
      <c r="Z955" s="1"/>
      <c r="AA955" s="1"/>
    </row>
    <row r="956" spans="26:27" x14ac:dyDescent="0.2">
      <c r="Z956" s="1"/>
      <c r="AA956" s="1"/>
    </row>
    <row r="957" spans="26:27" x14ac:dyDescent="0.2">
      <c r="Z957" s="1"/>
      <c r="AA957" s="1"/>
    </row>
    <row r="958" spans="26:27" x14ac:dyDescent="0.2">
      <c r="Z958" s="1"/>
      <c r="AA958" s="1"/>
    </row>
    <row r="959" spans="26:27" x14ac:dyDescent="0.2">
      <c r="Z959" s="1"/>
      <c r="AA959" s="1"/>
    </row>
    <row r="960" spans="26:27" x14ac:dyDescent="0.2">
      <c r="Z960" s="1"/>
      <c r="AA960" s="1"/>
    </row>
    <row r="961" spans="26:27" x14ac:dyDescent="0.2">
      <c r="Z961" s="1"/>
      <c r="AA961" s="1"/>
    </row>
    <row r="962" spans="26:27" x14ac:dyDescent="0.2">
      <c r="Z962" s="1"/>
      <c r="AA962" s="1"/>
    </row>
    <row r="963" spans="26:27" x14ac:dyDescent="0.2">
      <c r="Z963" s="1"/>
      <c r="AA963" s="1"/>
    </row>
    <row r="964" spans="26:27" x14ac:dyDescent="0.2">
      <c r="Z964" s="1"/>
      <c r="AA964" s="1"/>
    </row>
    <row r="965" spans="26:27" x14ac:dyDescent="0.2">
      <c r="Z965" s="1"/>
      <c r="AA965" s="1"/>
    </row>
    <row r="966" spans="26:27" x14ac:dyDescent="0.2">
      <c r="Z966" s="1"/>
      <c r="AA966" s="1"/>
    </row>
    <row r="967" spans="26:27" x14ac:dyDescent="0.2">
      <c r="Z967" s="1"/>
      <c r="AA967" s="1"/>
    </row>
    <row r="968" spans="26:27" x14ac:dyDescent="0.2">
      <c r="Z968" s="1"/>
      <c r="AA968" s="1"/>
    </row>
    <row r="969" spans="26:27" x14ac:dyDescent="0.2">
      <c r="Z969" s="1"/>
      <c r="AA969" s="1"/>
    </row>
    <row r="970" spans="26:27" x14ac:dyDescent="0.2">
      <c r="Z970" s="1"/>
      <c r="AA970" s="1"/>
    </row>
    <row r="971" spans="26:27" x14ac:dyDescent="0.2">
      <c r="Z971" s="1"/>
      <c r="AA971" s="1"/>
    </row>
    <row r="972" spans="26:27" x14ac:dyDescent="0.2">
      <c r="Z972" s="1"/>
      <c r="AA972" s="1"/>
    </row>
    <row r="973" spans="26:27" x14ac:dyDescent="0.2">
      <c r="Z973" s="1"/>
      <c r="AA973" s="1"/>
    </row>
    <row r="974" spans="26:27" x14ac:dyDescent="0.2">
      <c r="Z974" s="1"/>
      <c r="AA974" s="1"/>
    </row>
    <row r="975" spans="26:27" x14ac:dyDescent="0.2">
      <c r="Z975" s="1"/>
      <c r="AA975" s="1"/>
    </row>
    <row r="976" spans="26:27" x14ac:dyDescent="0.2">
      <c r="Z976" s="1"/>
      <c r="AA976" s="1"/>
    </row>
    <row r="977" spans="26:27" x14ac:dyDescent="0.2">
      <c r="Z977" s="1"/>
      <c r="AA977" s="1"/>
    </row>
    <row r="978" spans="26:27" x14ac:dyDescent="0.2">
      <c r="Z978" s="1"/>
      <c r="AA978" s="1"/>
    </row>
    <row r="979" spans="26:27" x14ac:dyDescent="0.2">
      <c r="Z979" s="1"/>
      <c r="AA979" s="1"/>
    </row>
    <row r="980" spans="26:27" x14ac:dyDescent="0.2">
      <c r="Z980" s="1"/>
      <c r="AA980" s="1"/>
    </row>
    <row r="981" spans="26:27" x14ac:dyDescent="0.2">
      <c r="Z981" s="1"/>
      <c r="AA981" s="1"/>
    </row>
    <row r="982" spans="26:27" x14ac:dyDescent="0.2">
      <c r="Z982" s="1"/>
      <c r="AA982" s="1"/>
    </row>
    <row r="983" spans="26:27" x14ac:dyDescent="0.2">
      <c r="Z983" s="1"/>
      <c r="AA983" s="1"/>
    </row>
    <row r="984" spans="26:27" x14ac:dyDescent="0.2">
      <c r="Z984" s="1"/>
      <c r="AA984" s="1"/>
    </row>
    <row r="985" spans="26:27" x14ac:dyDescent="0.2">
      <c r="Z985" s="1"/>
      <c r="AA985" s="1"/>
    </row>
    <row r="986" spans="26:27" x14ac:dyDescent="0.2">
      <c r="Z986" s="1"/>
      <c r="AA986" s="1"/>
    </row>
    <row r="987" spans="26:27" x14ac:dyDescent="0.2">
      <c r="Z987" s="1"/>
      <c r="AA987" s="1"/>
    </row>
    <row r="988" spans="26:27" x14ac:dyDescent="0.2">
      <c r="Z988" s="1"/>
      <c r="AA988" s="1"/>
    </row>
    <row r="989" spans="26:27" x14ac:dyDescent="0.2">
      <c r="Z989" s="1"/>
      <c r="AA989" s="1"/>
    </row>
    <row r="990" spans="26:27" x14ac:dyDescent="0.2">
      <c r="Z990" s="1"/>
      <c r="AA990" s="1"/>
    </row>
    <row r="991" spans="26:27" x14ac:dyDescent="0.2">
      <c r="Z991" s="1"/>
      <c r="AA991" s="1"/>
    </row>
    <row r="992" spans="26:27" x14ac:dyDescent="0.2">
      <c r="Z992" s="1"/>
      <c r="AA992" s="1"/>
    </row>
    <row r="993" spans="26:27" x14ac:dyDescent="0.2">
      <c r="Z993" s="1"/>
      <c r="AA993" s="1"/>
    </row>
    <row r="994" spans="26:27" x14ac:dyDescent="0.2">
      <c r="Z994" s="1"/>
      <c r="AA994" s="1"/>
    </row>
    <row r="995" spans="26:27" x14ac:dyDescent="0.2">
      <c r="Z995" s="1"/>
      <c r="AA995" s="1"/>
    </row>
    <row r="996" spans="26:27" x14ac:dyDescent="0.2">
      <c r="Z996" s="1"/>
      <c r="AA996" s="1"/>
    </row>
    <row r="997" spans="26:27" x14ac:dyDescent="0.2">
      <c r="Z997" s="1"/>
      <c r="AA997" s="1"/>
    </row>
    <row r="998" spans="26:27" x14ac:dyDescent="0.2">
      <c r="Z998" s="1"/>
      <c r="AA998" s="1"/>
    </row>
    <row r="999" spans="26:27" x14ac:dyDescent="0.2">
      <c r="Z999" s="1"/>
      <c r="AA999" s="1"/>
    </row>
    <row r="1000" spans="26:27" x14ac:dyDescent="0.2">
      <c r="Z1000" s="1"/>
      <c r="AA1000" s="1"/>
    </row>
    <row r="1001" spans="26:27" x14ac:dyDescent="0.2">
      <c r="Z1001" s="1"/>
      <c r="AA1001" s="1"/>
    </row>
    <row r="1002" spans="26:27" x14ac:dyDescent="0.2">
      <c r="Z1002" s="1"/>
      <c r="AA1002" s="1"/>
    </row>
    <row r="1003" spans="26:27" x14ac:dyDescent="0.2">
      <c r="Z1003" s="1"/>
      <c r="AA1003" s="1"/>
    </row>
    <row r="1004" spans="26:27" x14ac:dyDescent="0.2">
      <c r="Z1004" s="1"/>
      <c r="AA1004" s="1"/>
    </row>
    <row r="1005" spans="26:27" x14ac:dyDescent="0.2">
      <c r="Z1005" s="1"/>
      <c r="AA1005" s="1"/>
    </row>
    <row r="1006" spans="26:27" x14ac:dyDescent="0.2">
      <c r="Z1006" s="1"/>
      <c r="AA1006" s="1"/>
    </row>
    <row r="1007" spans="26:27" x14ac:dyDescent="0.2">
      <c r="Z1007" s="1"/>
      <c r="AA1007" s="1"/>
    </row>
    <row r="1008" spans="26:27" x14ac:dyDescent="0.2">
      <c r="Z1008" s="1"/>
      <c r="AA1008" s="1"/>
    </row>
    <row r="1009" spans="26:27" x14ac:dyDescent="0.2">
      <c r="Z1009" s="1"/>
      <c r="AA1009" s="1"/>
    </row>
    <row r="1010" spans="26:27" x14ac:dyDescent="0.2">
      <c r="Z1010" s="1"/>
      <c r="AA1010" s="1"/>
    </row>
    <row r="1011" spans="26:27" x14ac:dyDescent="0.2">
      <c r="Z1011" s="1"/>
      <c r="AA1011" s="1"/>
    </row>
    <row r="1012" spans="26:27" x14ac:dyDescent="0.2">
      <c r="Z1012" s="1"/>
      <c r="AA1012" s="1"/>
    </row>
    <row r="1013" spans="26:27" x14ac:dyDescent="0.2">
      <c r="Z1013" s="1"/>
      <c r="AA1013" s="1"/>
    </row>
    <row r="1014" spans="26:27" x14ac:dyDescent="0.2">
      <c r="Z1014" s="1"/>
      <c r="AA1014" s="1"/>
    </row>
    <row r="1015" spans="26:27" x14ac:dyDescent="0.2">
      <c r="Z1015" s="1"/>
      <c r="AA1015" s="1"/>
    </row>
    <row r="1016" spans="26:27" x14ac:dyDescent="0.2">
      <c r="Z1016" s="1"/>
      <c r="AA1016" s="1"/>
    </row>
    <row r="1017" spans="26:27" x14ac:dyDescent="0.2">
      <c r="Z1017" s="1"/>
      <c r="AA1017" s="1"/>
    </row>
    <row r="1018" spans="26:27" x14ac:dyDescent="0.2">
      <c r="Z1018" s="1"/>
      <c r="AA1018" s="1"/>
    </row>
    <row r="1019" spans="26:27" x14ac:dyDescent="0.2">
      <c r="Z1019" s="1"/>
      <c r="AA1019" s="1"/>
    </row>
    <row r="1020" spans="26:27" x14ac:dyDescent="0.2">
      <c r="Z1020" s="1"/>
      <c r="AA1020" s="1"/>
    </row>
    <row r="1021" spans="26:27" x14ac:dyDescent="0.2">
      <c r="Z1021" s="1"/>
      <c r="AA1021" s="1"/>
    </row>
    <row r="1022" spans="26:27" x14ac:dyDescent="0.2">
      <c r="Z1022" s="1"/>
      <c r="AA1022" s="1"/>
    </row>
    <row r="1023" spans="26:27" x14ac:dyDescent="0.2">
      <c r="Z1023" s="1"/>
      <c r="AA1023" s="1"/>
    </row>
    <row r="1024" spans="26:27" x14ac:dyDescent="0.2">
      <c r="Z1024" s="1"/>
      <c r="AA1024" s="1"/>
    </row>
    <row r="1025" spans="26:27" x14ac:dyDescent="0.2">
      <c r="Z1025" s="1"/>
      <c r="AA1025" s="1"/>
    </row>
    <row r="1026" spans="26:27" x14ac:dyDescent="0.2">
      <c r="Z1026" s="1"/>
      <c r="AA1026" s="1"/>
    </row>
    <row r="1027" spans="26:27" x14ac:dyDescent="0.2">
      <c r="Z1027" s="1"/>
      <c r="AA1027" s="1"/>
    </row>
    <row r="1028" spans="26:27" x14ac:dyDescent="0.2">
      <c r="Z1028" s="1"/>
      <c r="AA1028" s="1"/>
    </row>
    <row r="1029" spans="26:27" x14ac:dyDescent="0.2">
      <c r="Z1029" s="1"/>
      <c r="AA1029" s="1"/>
    </row>
    <row r="1030" spans="26:27" x14ac:dyDescent="0.2">
      <c r="Z1030" s="1"/>
      <c r="AA1030" s="1"/>
    </row>
    <row r="1031" spans="26:27" x14ac:dyDescent="0.2">
      <c r="Z1031" s="1"/>
      <c r="AA1031" s="1"/>
    </row>
    <row r="1032" spans="26:27" x14ac:dyDescent="0.2">
      <c r="Z1032" s="1"/>
      <c r="AA1032" s="1"/>
    </row>
    <row r="1033" spans="26:27" x14ac:dyDescent="0.2">
      <c r="Z1033" s="1"/>
      <c r="AA1033" s="1"/>
    </row>
    <row r="1034" spans="26:27" x14ac:dyDescent="0.2">
      <c r="Z1034" s="1"/>
      <c r="AA1034" s="1"/>
    </row>
    <row r="1035" spans="26:27" x14ac:dyDescent="0.2">
      <c r="Z1035" s="1"/>
      <c r="AA1035" s="1"/>
    </row>
    <row r="1036" spans="26:27" x14ac:dyDescent="0.2">
      <c r="Z1036" s="1"/>
      <c r="AA1036" s="1"/>
    </row>
    <row r="1037" spans="26:27" x14ac:dyDescent="0.2">
      <c r="Z1037" s="1"/>
      <c r="AA1037" s="1"/>
    </row>
    <row r="1038" spans="26:27" x14ac:dyDescent="0.2">
      <c r="Z1038" s="1"/>
      <c r="AA1038" s="1"/>
    </row>
    <row r="1039" spans="26:27" x14ac:dyDescent="0.2">
      <c r="Z1039" s="1"/>
      <c r="AA1039" s="1"/>
    </row>
    <row r="1040" spans="26:27" x14ac:dyDescent="0.2">
      <c r="Z1040" s="1"/>
      <c r="AA1040" s="1"/>
    </row>
    <row r="1041" spans="26:27" x14ac:dyDescent="0.2">
      <c r="Z1041" s="1"/>
      <c r="AA1041" s="1"/>
    </row>
    <row r="1042" spans="26:27" x14ac:dyDescent="0.2">
      <c r="Z1042" s="1"/>
      <c r="AA1042" s="1"/>
    </row>
    <row r="1043" spans="26:27" x14ac:dyDescent="0.2">
      <c r="Z1043" s="1"/>
      <c r="AA1043" s="1"/>
    </row>
    <row r="1044" spans="26:27" x14ac:dyDescent="0.2">
      <c r="Z1044" s="1"/>
      <c r="AA1044" s="1"/>
    </row>
    <row r="1045" spans="26:27" x14ac:dyDescent="0.2">
      <c r="Z1045" s="1"/>
      <c r="AA1045" s="1"/>
    </row>
    <row r="1046" spans="26:27" x14ac:dyDescent="0.2">
      <c r="Z1046" s="1"/>
      <c r="AA1046" s="1"/>
    </row>
    <row r="1047" spans="26:27" x14ac:dyDescent="0.2">
      <c r="Z1047" s="1"/>
      <c r="AA1047" s="1"/>
    </row>
    <row r="1048" spans="26:27" x14ac:dyDescent="0.2">
      <c r="Z1048" s="1"/>
      <c r="AA1048" s="1"/>
    </row>
    <row r="1049" spans="26:27" x14ac:dyDescent="0.2">
      <c r="Z1049" s="1"/>
      <c r="AA1049" s="1"/>
    </row>
    <row r="1050" spans="26:27" x14ac:dyDescent="0.2">
      <c r="Z1050" s="1"/>
      <c r="AA1050" s="1"/>
    </row>
    <row r="1051" spans="26:27" x14ac:dyDescent="0.2">
      <c r="Z1051" s="1"/>
      <c r="AA1051" s="1"/>
    </row>
    <row r="1052" spans="26:27" x14ac:dyDescent="0.2">
      <c r="Z1052" s="1"/>
      <c r="AA1052" s="1"/>
    </row>
    <row r="1053" spans="26:27" x14ac:dyDescent="0.2">
      <c r="Z1053" s="1"/>
      <c r="AA1053" s="1"/>
    </row>
    <row r="1054" spans="26:27" x14ac:dyDescent="0.2">
      <c r="Z1054" s="1"/>
      <c r="AA1054" s="1"/>
    </row>
    <row r="1055" spans="26:27" x14ac:dyDescent="0.2">
      <c r="Z1055" s="1"/>
      <c r="AA1055" s="1"/>
    </row>
    <row r="1056" spans="26:27" x14ac:dyDescent="0.2">
      <c r="Z1056" s="1"/>
      <c r="AA1056" s="1"/>
    </row>
    <row r="1057" spans="26:27" x14ac:dyDescent="0.2">
      <c r="Z1057" s="1"/>
      <c r="AA1057" s="1"/>
    </row>
    <row r="1058" spans="26:27" x14ac:dyDescent="0.2">
      <c r="Z1058" s="1"/>
      <c r="AA1058" s="1"/>
    </row>
    <row r="1059" spans="26:27" x14ac:dyDescent="0.2">
      <c r="Z1059" s="1"/>
      <c r="AA1059" s="1"/>
    </row>
    <row r="1060" spans="26:27" x14ac:dyDescent="0.2">
      <c r="Z1060" s="1"/>
      <c r="AA1060" s="1"/>
    </row>
    <row r="1061" spans="26:27" x14ac:dyDescent="0.2">
      <c r="Z1061" s="1"/>
      <c r="AA1061" s="1"/>
    </row>
    <row r="1062" spans="26:27" x14ac:dyDescent="0.2">
      <c r="Z1062" s="1"/>
      <c r="AA1062" s="1"/>
    </row>
    <row r="1063" spans="26:27" x14ac:dyDescent="0.2">
      <c r="Z1063" s="1"/>
      <c r="AA1063" s="1"/>
    </row>
    <row r="1064" spans="26:27" x14ac:dyDescent="0.2">
      <c r="Z1064" s="1"/>
      <c r="AA1064" s="1"/>
    </row>
    <row r="1065" spans="26:27" x14ac:dyDescent="0.2">
      <c r="Z1065" s="1"/>
      <c r="AA1065" s="1"/>
    </row>
    <row r="1066" spans="26:27" x14ac:dyDescent="0.2">
      <c r="Z1066" s="1"/>
      <c r="AA1066" s="1"/>
    </row>
    <row r="1067" spans="26:27" x14ac:dyDescent="0.2">
      <c r="Z1067" s="1"/>
      <c r="AA1067" s="1"/>
    </row>
    <row r="1068" spans="26:27" x14ac:dyDescent="0.2">
      <c r="Z1068" s="1"/>
      <c r="AA1068" s="1"/>
    </row>
    <row r="1069" spans="26:27" x14ac:dyDescent="0.2">
      <c r="Z1069" s="1"/>
      <c r="AA1069" s="1"/>
    </row>
    <row r="1070" spans="26:27" x14ac:dyDescent="0.2">
      <c r="Z1070" s="1"/>
      <c r="AA1070" s="1"/>
    </row>
    <row r="1071" spans="26:27" x14ac:dyDescent="0.2">
      <c r="Z1071" s="1"/>
      <c r="AA1071" s="1"/>
    </row>
    <row r="1072" spans="26:27" x14ac:dyDescent="0.2">
      <c r="Z1072" s="1"/>
      <c r="AA1072" s="1"/>
    </row>
    <row r="1073" spans="26:27" x14ac:dyDescent="0.2">
      <c r="Z1073" s="1"/>
      <c r="AA1073" s="1"/>
    </row>
    <row r="1074" spans="26:27" x14ac:dyDescent="0.2">
      <c r="Z1074" s="1"/>
      <c r="AA1074" s="1"/>
    </row>
    <row r="1075" spans="26:27" x14ac:dyDescent="0.2">
      <c r="Z1075" s="1"/>
      <c r="AA1075" s="1"/>
    </row>
    <row r="1076" spans="26:27" x14ac:dyDescent="0.2">
      <c r="Z1076" s="1"/>
      <c r="AA1076" s="1"/>
    </row>
    <row r="1077" spans="26:27" x14ac:dyDescent="0.2">
      <c r="Z1077" s="1"/>
      <c r="AA1077" s="1"/>
    </row>
    <row r="1078" spans="26:27" x14ac:dyDescent="0.2">
      <c r="Z1078" s="1"/>
      <c r="AA1078" s="1"/>
    </row>
    <row r="1079" spans="26:27" x14ac:dyDescent="0.2">
      <c r="Z1079" s="1"/>
      <c r="AA1079" s="1"/>
    </row>
    <row r="1080" spans="26:27" x14ac:dyDescent="0.2">
      <c r="Z1080" s="1"/>
      <c r="AA1080" s="1"/>
    </row>
    <row r="1081" spans="26:27" x14ac:dyDescent="0.2">
      <c r="Z1081" s="1"/>
      <c r="AA1081" s="1"/>
    </row>
    <row r="1082" spans="26:27" x14ac:dyDescent="0.2">
      <c r="Z1082" s="1"/>
      <c r="AA1082" s="1"/>
    </row>
    <row r="1083" spans="26:27" x14ac:dyDescent="0.2">
      <c r="Z1083" s="1"/>
      <c r="AA1083" s="1"/>
    </row>
    <row r="1084" spans="26:27" x14ac:dyDescent="0.2">
      <c r="Z1084" s="1"/>
      <c r="AA1084" s="1"/>
    </row>
    <row r="1085" spans="26:27" x14ac:dyDescent="0.2">
      <c r="Z1085" s="1"/>
      <c r="AA1085" s="1"/>
    </row>
    <row r="1086" spans="26:27" x14ac:dyDescent="0.2">
      <c r="Z1086" s="1"/>
      <c r="AA1086" s="1"/>
    </row>
    <row r="1087" spans="26:27" x14ac:dyDescent="0.2">
      <c r="Z1087" s="1"/>
      <c r="AA1087" s="1"/>
    </row>
    <row r="1088" spans="26:27" x14ac:dyDescent="0.2">
      <c r="Z1088" s="1"/>
      <c r="AA1088" s="1"/>
    </row>
    <row r="1089" spans="26:27" x14ac:dyDescent="0.2">
      <c r="Z1089" s="1"/>
      <c r="AA1089" s="1"/>
    </row>
    <row r="1090" spans="26:27" x14ac:dyDescent="0.2">
      <c r="Z1090" s="1"/>
      <c r="AA1090" s="1"/>
    </row>
    <row r="1091" spans="26:27" x14ac:dyDescent="0.2">
      <c r="Z1091" s="1"/>
      <c r="AA1091" s="1"/>
    </row>
    <row r="1092" spans="26:27" x14ac:dyDescent="0.2">
      <c r="Z1092" s="1"/>
      <c r="AA1092" s="1"/>
    </row>
    <row r="1093" spans="26:27" x14ac:dyDescent="0.2">
      <c r="Z1093" s="1"/>
      <c r="AA1093" s="1"/>
    </row>
    <row r="1094" spans="26:27" x14ac:dyDescent="0.2">
      <c r="Z1094" s="1"/>
      <c r="AA1094" s="1"/>
    </row>
    <row r="1095" spans="26:27" x14ac:dyDescent="0.2">
      <c r="Z1095" s="1"/>
      <c r="AA1095" s="1"/>
    </row>
    <row r="1096" spans="26:27" x14ac:dyDescent="0.2">
      <c r="Z1096" s="1"/>
      <c r="AA1096" s="1"/>
    </row>
    <row r="1097" spans="26:27" x14ac:dyDescent="0.2">
      <c r="Z1097" s="1"/>
      <c r="AA1097" s="1"/>
    </row>
    <row r="1098" spans="26:27" x14ac:dyDescent="0.2">
      <c r="Z1098" s="1"/>
      <c r="AA1098" s="1"/>
    </row>
    <row r="1099" spans="26:27" x14ac:dyDescent="0.2">
      <c r="Z1099" s="1"/>
      <c r="AA1099" s="1"/>
    </row>
    <row r="1100" spans="26:27" x14ac:dyDescent="0.2">
      <c r="Z1100" s="1"/>
      <c r="AA1100" s="1"/>
    </row>
    <row r="1101" spans="26:27" x14ac:dyDescent="0.2">
      <c r="Z1101" s="1"/>
      <c r="AA1101" s="1"/>
    </row>
    <row r="1102" spans="26:27" x14ac:dyDescent="0.2">
      <c r="Z1102" s="1"/>
      <c r="AA1102" s="1"/>
    </row>
    <row r="1103" spans="26:27" x14ac:dyDescent="0.2">
      <c r="Z1103" s="1"/>
      <c r="AA1103" s="1"/>
    </row>
    <row r="1104" spans="26:27" x14ac:dyDescent="0.2">
      <c r="Z1104" s="1"/>
      <c r="AA1104" s="1"/>
    </row>
    <row r="1105" spans="26:27" x14ac:dyDescent="0.2">
      <c r="Z1105" s="1"/>
      <c r="AA1105" s="1"/>
    </row>
    <row r="1106" spans="26:27" x14ac:dyDescent="0.2">
      <c r="Z1106" s="1"/>
      <c r="AA1106" s="1"/>
    </row>
    <row r="1107" spans="26:27" x14ac:dyDescent="0.2">
      <c r="Z1107" s="1"/>
      <c r="AA1107" s="1"/>
    </row>
    <row r="1108" spans="26:27" x14ac:dyDescent="0.2">
      <c r="Z1108" s="1"/>
      <c r="AA1108" s="1"/>
    </row>
    <row r="1109" spans="26:27" x14ac:dyDescent="0.2">
      <c r="Z1109" s="1"/>
      <c r="AA1109" s="1"/>
    </row>
    <row r="1110" spans="26:27" x14ac:dyDescent="0.2">
      <c r="Z1110" s="1"/>
      <c r="AA1110" s="1"/>
    </row>
    <row r="1111" spans="26:27" x14ac:dyDescent="0.2">
      <c r="Z1111" s="1"/>
      <c r="AA1111" s="1"/>
    </row>
    <row r="1112" spans="26:27" x14ac:dyDescent="0.2">
      <c r="Z1112" s="1"/>
      <c r="AA1112" s="1"/>
    </row>
    <row r="1113" spans="26:27" x14ac:dyDescent="0.2">
      <c r="Z1113" s="1"/>
      <c r="AA1113" s="1"/>
    </row>
    <row r="1114" spans="26:27" x14ac:dyDescent="0.2">
      <c r="Z1114" s="1"/>
      <c r="AA1114" s="1"/>
    </row>
    <row r="1115" spans="26:27" x14ac:dyDescent="0.2">
      <c r="Z1115" s="1"/>
      <c r="AA1115" s="1"/>
    </row>
    <row r="1116" spans="26:27" x14ac:dyDescent="0.2">
      <c r="Z1116" s="1"/>
      <c r="AA1116" s="1"/>
    </row>
    <row r="1117" spans="26:27" x14ac:dyDescent="0.2">
      <c r="Z1117" s="1"/>
      <c r="AA1117" s="1"/>
    </row>
    <row r="1118" spans="26:27" x14ac:dyDescent="0.2">
      <c r="Z1118" s="1"/>
      <c r="AA1118" s="1"/>
    </row>
    <row r="1119" spans="26:27" x14ac:dyDescent="0.2">
      <c r="Z1119" s="1"/>
      <c r="AA1119" s="1"/>
    </row>
    <row r="1120" spans="26:27" x14ac:dyDescent="0.2">
      <c r="Z1120" s="1"/>
      <c r="AA1120" s="1"/>
    </row>
    <row r="1121" spans="26:27" x14ac:dyDescent="0.2">
      <c r="Z1121" s="1"/>
      <c r="AA1121" s="1"/>
    </row>
    <row r="1122" spans="26:27" x14ac:dyDescent="0.2">
      <c r="Z1122" s="1"/>
      <c r="AA1122" s="1"/>
    </row>
    <row r="1123" spans="26:27" x14ac:dyDescent="0.2">
      <c r="Z1123" s="1"/>
      <c r="AA1123" s="1"/>
    </row>
    <row r="1124" spans="26:27" x14ac:dyDescent="0.2">
      <c r="Z1124" s="1"/>
      <c r="AA1124" s="1"/>
    </row>
    <row r="1125" spans="26:27" x14ac:dyDescent="0.2">
      <c r="Z1125" s="1"/>
      <c r="AA1125" s="1"/>
    </row>
    <row r="1126" spans="26:27" x14ac:dyDescent="0.2">
      <c r="Z1126" s="1"/>
      <c r="AA1126" s="1"/>
    </row>
    <row r="1127" spans="26:27" x14ac:dyDescent="0.2">
      <c r="Z1127" s="1"/>
      <c r="AA1127" s="1"/>
    </row>
    <row r="1128" spans="26:27" x14ac:dyDescent="0.2">
      <c r="Z1128" s="1"/>
      <c r="AA1128" s="1"/>
    </row>
    <row r="1129" spans="26:27" x14ac:dyDescent="0.2">
      <c r="Z1129" s="1"/>
      <c r="AA1129" s="1"/>
    </row>
    <row r="1130" spans="26:27" x14ac:dyDescent="0.2">
      <c r="Z1130" s="1"/>
      <c r="AA1130" s="1"/>
    </row>
    <row r="1131" spans="26:27" x14ac:dyDescent="0.2">
      <c r="Z1131" s="1"/>
      <c r="AA1131" s="1"/>
    </row>
    <row r="1132" spans="26:27" x14ac:dyDescent="0.2">
      <c r="Z1132" s="1"/>
      <c r="AA1132" s="1"/>
    </row>
    <row r="1133" spans="26:27" x14ac:dyDescent="0.2">
      <c r="Z1133" s="1"/>
      <c r="AA1133" s="1"/>
    </row>
    <row r="1134" spans="26:27" x14ac:dyDescent="0.2">
      <c r="Z1134" s="1"/>
      <c r="AA1134" s="1"/>
    </row>
    <row r="1135" spans="26:27" x14ac:dyDescent="0.2">
      <c r="Z1135" s="1"/>
      <c r="AA1135" s="1"/>
    </row>
    <row r="1136" spans="26:27" x14ac:dyDescent="0.2">
      <c r="Z1136" s="1"/>
      <c r="AA1136" s="1"/>
    </row>
    <row r="1137" spans="26:27" x14ac:dyDescent="0.2">
      <c r="Z1137" s="1"/>
      <c r="AA1137" s="1"/>
    </row>
    <row r="1138" spans="26:27" x14ac:dyDescent="0.2">
      <c r="Z1138" s="1"/>
      <c r="AA1138" s="1"/>
    </row>
    <row r="1139" spans="26:27" x14ac:dyDescent="0.2">
      <c r="Z1139" s="1"/>
      <c r="AA1139" s="1"/>
    </row>
    <row r="1140" spans="26:27" x14ac:dyDescent="0.2">
      <c r="Z1140" s="1"/>
      <c r="AA1140" s="1"/>
    </row>
    <row r="1141" spans="26:27" x14ac:dyDescent="0.2">
      <c r="Z1141" s="1"/>
      <c r="AA1141" s="1"/>
    </row>
    <row r="1142" spans="26:27" x14ac:dyDescent="0.2">
      <c r="Z1142" s="1"/>
      <c r="AA1142" s="1"/>
    </row>
    <row r="1143" spans="26:27" x14ac:dyDescent="0.2">
      <c r="Z1143" s="1"/>
      <c r="AA1143" s="1"/>
    </row>
    <row r="1144" spans="26:27" x14ac:dyDescent="0.2">
      <c r="Z1144" s="1"/>
      <c r="AA1144" s="1"/>
    </row>
    <row r="1145" spans="26:27" x14ac:dyDescent="0.2">
      <c r="Z1145" s="1"/>
      <c r="AA1145" s="1"/>
    </row>
    <row r="1146" spans="26:27" x14ac:dyDescent="0.2">
      <c r="Z1146" s="1"/>
      <c r="AA1146" s="1"/>
    </row>
    <row r="1147" spans="26:27" x14ac:dyDescent="0.2">
      <c r="Z1147" s="1"/>
      <c r="AA1147" s="1"/>
    </row>
    <row r="1148" spans="26:27" x14ac:dyDescent="0.2">
      <c r="Z1148" s="1"/>
      <c r="AA1148" s="1"/>
    </row>
    <row r="1149" spans="26:27" x14ac:dyDescent="0.2">
      <c r="Z1149" s="1"/>
      <c r="AA1149" s="1"/>
    </row>
    <row r="1150" spans="26:27" x14ac:dyDescent="0.2">
      <c r="Z1150" s="1"/>
      <c r="AA1150" s="1"/>
    </row>
    <row r="1151" spans="26:27" x14ac:dyDescent="0.2">
      <c r="Z1151" s="1"/>
      <c r="AA1151" s="1"/>
    </row>
    <row r="1152" spans="26:27" x14ac:dyDescent="0.2">
      <c r="Z1152" s="1"/>
      <c r="AA1152" s="1"/>
    </row>
    <row r="1153" spans="26:27" x14ac:dyDescent="0.2">
      <c r="Z1153" s="1"/>
      <c r="AA1153" s="1"/>
    </row>
    <row r="1154" spans="26:27" x14ac:dyDescent="0.2">
      <c r="Z1154" s="1"/>
      <c r="AA1154" s="1"/>
    </row>
    <row r="1155" spans="26:27" x14ac:dyDescent="0.2">
      <c r="Z1155" s="1"/>
      <c r="AA1155" s="1"/>
    </row>
    <row r="1156" spans="26:27" x14ac:dyDescent="0.2">
      <c r="Z1156" s="1"/>
      <c r="AA1156" s="1"/>
    </row>
    <row r="1157" spans="26:27" x14ac:dyDescent="0.2">
      <c r="Z1157" s="1"/>
      <c r="AA1157" s="1"/>
    </row>
    <row r="1158" spans="26:27" x14ac:dyDescent="0.2">
      <c r="Z1158" s="1"/>
      <c r="AA1158" s="1"/>
    </row>
    <row r="1159" spans="26:27" x14ac:dyDescent="0.2">
      <c r="Z1159" s="1"/>
      <c r="AA1159" s="1"/>
    </row>
    <row r="1160" spans="26:27" x14ac:dyDescent="0.2">
      <c r="Z1160" s="1"/>
      <c r="AA1160" s="1"/>
    </row>
    <row r="1161" spans="26:27" x14ac:dyDescent="0.2">
      <c r="Z1161" s="1"/>
      <c r="AA1161" s="1"/>
    </row>
    <row r="1162" spans="26:27" x14ac:dyDescent="0.2">
      <c r="Z1162" s="1"/>
      <c r="AA1162" s="1"/>
    </row>
    <row r="1163" spans="26:27" x14ac:dyDescent="0.2">
      <c r="Z1163" s="1"/>
      <c r="AA1163" s="1"/>
    </row>
    <row r="1164" spans="26:27" x14ac:dyDescent="0.2">
      <c r="Z1164" s="1"/>
      <c r="AA1164" s="1"/>
    </row>
    <row r="1165" spans="26:27" x14ac:dyDescent="0.2">
      <c r="Z1165" s="1"/>
      <c r="AA1165" s="1"/>
    </row>
    <row r="1166" spans="26:27" x14ac:dyDescent="0.2">
      <c r="Z1166" s="1"/>
      <c r="AA1166" s="1"/>
    </row>
    <row r="1167" spans="26:27" x14ac:dyDescent="0.2">
      <c r="Z1167" s="1"/>
      <c r="AA1167" s="1"/>
    </row>
    <row r="1168" spans="26:27" x14ac:dyDescent="0.2">
      <c r="Z1168" s="1"/>
      <c r="AA1168" s="1"/>
    </row>
    <row r="1169" spans="26:27" x14ac:dyDescent="0.2">
      <c r="Z1169" s="1"/>
      <c r="AA1169" s="1"/>
    </row>
    <row r="1170" spans="26:27" x14ac:dyDescent="0.2">
      <c r="Z1170" s="1"/>
      <c r="AA1170" s="1"/>
    </row>
    <row r="1171" spans="26:27" x14ac:dyDescent="0.2">
      <c r="Z1171" s="1"/>
      <c r="AA1171" s="1"/>
    </row>
    <row r="1172" spans="26:27" x14ac:dyDescent="0.2">
      <c r="Z1172" s="1"/>
      <c r="AA1172" s="1"/>
    </row>
    <row r="1173" spans="26:27" x14ac:dyDescent="0.2">
      <c r="Z1173" s="1"/>
      <c r="AA1173" s="1"/>
    </row>
    <row r="1174" spans="26:27" x14ac:dyDescent="0.2">
      <c r="Z1174" s="1"/>
      <c r="AA1174" s="1"/>
    </row>
    <row r="1175" spans="26:27" x14ac:dyDescent="0.2">
      <c r="Z1175" s="1"/>
      <c r="AA1175" s="1"/>
    </row>
    <row r="1176" spans="26:27" x14ac:dyDescent="0.2">
      <c r="Z1176" s="1"/>
      <c r="AA1176" s="1"/>
    </row>
    <row r="1177" spans="26:27" x14ac:dyDescent="0.2">
      <c r="Z1177" s="1"/>
      <c r="AA1177" s="1"/>
    </row>
    <row r="1178" spans="26:27" x14ac:dyDescent="0.2">
      <c r="Z1178" s="1"/>
      <c r="AA1178" s="1"/>
    </row>
    <row r="1179" spans="26:27" x14ac:dyDescent="0.2">
      <c r="Z1179" s="1"/>
      <c r="AA1179" s="1"/>
    </row>
    <row r="1180" spans="26:27" x14ac:dyDescent="0.2">
      <c r="Z1180" s="1"/>
      <c r="AA1180" s="1"/>
    </row>
    <row r="1181" spans="26:27" x14ac:dyDescent="0.2">
      <c r="Z1181" s="1"/>
      <c r="AA1181" s="1"/>
    </row>
    <row r="1182" spans="26:27" x14ac:dyDescent="0.2">
      <c r="Z1182" s="1"/>
      <c r="AA1182" s="1"/>
    </row>
    <row r="1183" spans="26:27" x14ac:dyDescent="0.2">
      <c r="Z1183" s="1"/>
      <c r="AA1183" s="1"/>
    </row>
    <row r="1184" spans="26:27" x14ac:dyDescent="0.2">
      <c r="Z1184" s="1"/>
      <c r="AA1184" s="1"/>
    </row>
    <row r="1185" spans="26:27" x14ac:dyDescent="0.2">
      <c r="Z1185" s="1"/>
      <c r="AA1185" s="1"/>
    </row>
    <row r="1186" spans="26:27" x14ac:dyDescent="0.2">
      <c r="Z1186" s="1"/>
      <c r="AA1186" s="1"/>
    </row>
    <row r="1187" spans="26:27" x14ac:dyDescent="0.2">
      <c r="Z1187" s="1"/>
      <c r="AA1187" s="1"/>
    </row>
    <row r="1188" spans="26:27" x14ac:dyDescent="0.2">
      <c r="Z1188" s="1"/>
      <c r="AA1188" s="1"/>
    </row>
    <row r="1189" spans="26:27" x14ac:dyDescent="0.2">
      <c r="Z1189" s="1"/>
      <c r="AA1189" s="1"/>
    </row>
    <row r="1190" spans="26:27" x14ac:dyDescent="0.2">
      <c r="Z1190" s="1"/>
      <c r="AA1190" s="1"/>
    </row>
    <row r="1191" spans="26:27" x14ac:dyDescent="0.2">
      <c r="Z1191" s="1"/>
      <c r="AA1191" s="1"/>
    </row>
    <row r="1192" spans="26:27" x14ac:dyDescent="0.2">
      <c r="Z1192" s="1"/>
      <c r="AA1192" s="1"/>
    </row>
    <row r="1193" spans="26:27" x14ac:dyDescent="0.2">
      <c r="Z1193" s="1"/>
      <c r="AA1193" s="1"/>
    </row>
    <row r="1194" spans="26:27" x14ac:dyDescent="0.2">
      <c r="Z1194" s="1"/>
      <c r="AA1194" s="1"/>
    </row>
    <row r="1195" spans="26:27" x14ac:dyDescent="0.2">
      <c r="Z1195" s="1"/>
      <c r="AA1195" s="1"/>
    </row>
    <row r="1196" spans="26:27" x14ac:dyDescent="0.2">
      <c r="Z1196" s="1"/>
      <c r="AA1196" s="1"/>
    </row>
    <row r="1197" spans="26:27" x14ac:dyDescent="0.2">
      <c r="Z1197" s="1"/>
      <c r="AA1197" s="1"/>
    </row>
    <row r="1198" spans="26:27" x14ac:dyDescent="0.2">
      <c r="Z1198" s="1"/>
      <c r="AA1198" s="1"/>
    </row>
    <row r="1199" spans="26:27" x14ac:dyDescent="0.2">
      <c r="Z1199" s="1"/>
      <c r="AA1199" s="1"/>
    </row>
    <row r="1200" spans="26:27" x14ac:dyDescent="0.2">
      <c r="Z1200" s="1"/>
      <c r="AA1200" s="1"/>
    </row>
    <row r="1201" spans="26:27" x14ac:dyDescent="0.2">
      <c r="Z1201" s="1"/>
      <c r="AA1201" s="1"/>
    </row>
    <row r="1202" spans="26:27" x14ac:dyDescent="0.2">
      <c r="Z1202" s="1"/>
      <c r="AA1202" s="1"/>
    </row>
    <row r="1203" spans="26:27" x14ac:dyDescent="0.2">
      <c r="Z1203" s="1"/>
      <c r="AA1203" s="1"/>
    </row>
    <row r="1204" spans="26:27" x14ac:dyDescent="0.2">
      <c r="Z1204" s="1"/>
      <c r="AA1204" s="1"/>
    </row>
    <row r="1205" spans="26:27" x14ac:dyDescent="0.2">
      <c r="Z1205" s="1"/>
      <c r="AA1205" s="1"/>
    </row>
    <row r="1206" spans="26:27" x14ac:dyDescent="0.2">
      <c r="Z1206" s="1"/>
      <c r="AA1206" s="1"/>
    </row>
    <row r="1207" spans="26:27" x14ac:dyDescent="0.2">
      <c r="Z1207" s="1"/>
      <c r="AA1207" s="1"/>
    </row>
    <row r="1208" spans="26:27" x14ac:dyDescent="0.2">
      <c r="Z1208" s="1"/>
      <c r="AA1208" s="1"/>
    </row>
    <row r="1209" spans="26:27" x14ac:dyDescent="0.2">
      <c r="Z1209" s="1"/>
      <c r="AA1209" s="1"/>
    </row>
    <row r="1210" spans="26:27" x14ac:dyDescent="0.2">
      <c r="Z1210" s="1"/>
      <c r="AA1210" s="1"/>
    </row>
    <row r="1211" spans="26:27" x14ac:dyDescent="0.2">
      <c r="Z1211" s="1"/>
      <c r="AA1211" s="1"/>
    </row>
    <row r="1212" spans="26:27" x14ac:dyDescent="0.2">
      <c r="Z1212" s="1"/>
      <c r="AA1212" s="1"/>
    </row>
    <row r="1213" spans="26:27" x14ac:dyDescent="0.2">
      <c r="Z1213" s="1"/>
      <c r="AA1213" s="1"/>
    </row>
    <row r="1214" spans="26:27" x14ac:dyDescent="0.2">
      <c r="Z1214" s="1"/>
      <c r="AA1214" s="1"/>
    </row>
    <row r="1215" spans="26:27" x14ac:dyDescent="0.2">
      <c r="Z1215" s="1"/>
      <c r="AA1215" s="1"/>
    </row>
    <row r="1216" spans="26:27" x14ac:dyDescent="0.2">
      <c r="Z1216" s="1"/>
      <c r="AA1216" s="1"/>
    </row>
    <row r="1217" spans="26:27" x14ac:dyDescent="0.2">
      <c r="Z1217" s="1"/>
      <c r="AA1217" s="1"/>
    </row>
    <row r="1218" spans="26:27" x14ac:dyDescent="0.2">
      <c r="Z1218" s="1"/>
      <c r="AA1218" s="1"/>
    </row>
    <row r="1219" spans="26:27" x14ac:dyDescent="0.2">
      <c r="Z1219" s="1"/>
      <c r="AA1219" s="1"/>
    </row>
    <row r="1220" spans="26:27" x14ac:dyDescent="0.2">
      <c r="Z1220" s="1"/>
      <c r="AA1220" s="1"/>
    </row>
    <row r="1221" spans="26:27" x14ac:dyDescent="0.2">
      <c r="Z1221" s="1"/>
      <c r="AA1221" s="1"/>
    </row>
    <row r="1222" spans="26:27" x14ac:dyDescent="0.2">
      <c r="Z1222" s="1"/>
      <c r="AA1222" s="1"/>
    </row>
    <row r="1223" spans="26:27" x14ac:dyDescent="0.2">
      <c r="Z1223" s="1"/>
      <c r="AA1223" s="1"/>
    </row>
    <row r="1224" spans="26:27" x14ac:dyDescent="0.2">
      <c r="Z1224" s="1"/>
      <c r="AA1224" s="1"/>
    </row>
    <row r="1225" spans="26:27" x14ac:dyDescent="0.2">
      <c r="Z1225" s="1"/>
      <c r="AA1225" s="1"/>
    </row>
    <row r="1226" spans="26:27" x14ac:dyDescent="0.2">
      <c r="Z1226" s="1"/>
      <c r="AA1226" s="1"/>
    </row>
    <row r="1227" spans="26:27" x14ac:dyDescent="0.2">
      <c r="Z1227" s="1"/>
      <c r="AA1227" s="1"/>
    </row>
    <row r="1228" spans="26:27" x14ac:dyDescent="0.2">
      <c r="Z1228" s="1"/>
      <c r="AA1228" s="1"/>
    </row>
    <row r="1229" spans="26:27" x14ac:dyDescent="0.2">
      <c r="Z1229" s="1"/>
      <c r="AA1229" s="1"/>
    </row>
    <row r="1230" spans="26:27" x14ac:dyDescent="0.2">
      <c r="Z1230" s="1"/>
      <c r="AA1230" s="1"/>
    </row>
    <row r="1231" spans="26:27" x14ac:dyDescent="0.2">
      <c r="Z1231" s="1"/>
      <c r="AA1231" s="1"/>
    </row>
    <row r="1232" spans="26:27" x14ac:dyDescent="0.2">
      <c r="Z1232" s="1"/>
      <c r="AA1232" s="1"/>
    </row>
    <row r="1233" spans="26:27" x14ac:dyDescent="0.2">
      <c r="Z1233" s="1"/>
      <c r="AA1233" s="1"/>
    </row>
    <row r="1234" spans="26:27" x14ac:dyDescent="0.2">
      <c r="Z1234" s="1"/>
      <c r="AA1234" s="1"/>
    </row>
    <row r="1235" spans="26:27" x14ac:dyDescent="0.2">
      <c r="Z1235" s="1"/>
      <c r="AA1235" s="1"/>
    </row>
    <row r="1236" spans="26:27" x14ac:dyDescent="0.2">
      <c r="Z1236" s="1"/>
      <c r="AA1236" s="1"/>
    </row>
    <row r="1237" spans="26:27" x14ac:dyDescent="0.2">
      <c r="Z1237" s="1"/>
      <c r="AA1237" s="1"/>
    </row>
    <row r="1238" spans="26:27" x14ac:dyDescent="0.2">
      <c r="Z1238" s="1"/>
      <c r="AA1238" s="1"/>
    </row>
    <row r="1239" spans="26:27" x14ac:dyDescent="0.2">
      <c r="Z1239" s="1"/>
      <c r="AA1239" s="1"/>
    </row>
    <row r="1240" spans="26:27" x14ac:dyDescent="0.2">
      <c r="Z1240" s="1"/>
      <c r="AA1240" s="1"/>
    </row>
    <row r="1241" spans="26:27" x14ac:dyDescent="0.2">
      <c r="Z1241" s="1"/>
      <c r="AA1241" s="1"/>
    </row>
    <row r="1242" spans="26:27" x14ac:dyDescent="0.2">
      <c r="Z1242" s="1"/>
      <c r="AA1242" s="1"/>
    </row>
    <row r="1243" spans="26:27" x14ac:dyDescent="0.2">
      <c r="Z1243" s="1"/>
      <c r="AA1243" s="1"/>
    </row>
    <row r="1244" spans="26:27" x14ac:dyDescent="0.2">
      <c r="Z1244" s="1"/>
      <c r="AA1244" s="1"/>
    </row>
    <row r="1245" spans="26:27" x14ac:dyDescent="0.2">
      <c r="Z1245" s="1"/>
      <c r="AA1245" s="1"/>
    </row>
    <row r="1246" spans="26:27" x14ac:dyDescent="0.2">
      <c r="Z1246" s="1"/>
      <c r="AA1246" s="1"/>
    </row>
    <row r="1247" spans="26:27" x14ac:dyDescent="0.2">
      <c r="Z1247" s="1"/>
      <c r="AA1247" s="1"/>
    </row>
    <row r="1248" spans="26:27" x14ac:dyDescent="0.2">
      <c r="Z1248" s="1"/>
      <c r="AA1248" s="1"/>
    </row>
    <row r="1249" spans="26:27" x14ac:dyDescent="0.2">
      <c r="Z1249" s="1"/>
      <c r="AA1249" s="1"/>
    </row>
    <row r="1250" spans="26:27" x14ac:dyDescent="0.2">
      <c r="Z1250" s="1"/>
      <c r="AA1250" s="1"/>
    </row>
    <row r="1251" spans="26:27" x14ac:dyDescent="0.2">
      <c r="Z1251" s="1"/>
      <c r="AA1251" s="1"/>
    </row>
    <row r="1252" spans="26:27" x14ac:dyDescent="0.2">
      <c r="Z1252" s="1"/>
      <c r="AA1252" s="1"/>
    </row>
    <row r="1253" spans="26:27" x14ac:dyDescent="0.2">
      <c r="Z1253" s="1"/>
      <c r="AA1253" s="1"/>
    </row>
    <row r="1254" spans="26:27" x14ac:dyDescent="0.2">
      <c r="Z1254" s="1"/>
      <c r="AA1254" s="1"/>
    </row>
    <row r="1255" spans="26:27" x14ac:dyDescent="0.2">
      <c r="Z1255" s="1"/>
      <c r="AA1255" s="1"/>
    </row>
    <row r="1256" spans="26:27" x14ac:dyDescent="0.2">
      <c r="Z1256" s="1"/>
      <c r="AA1256" s="1"/>
    </row>
    <row r="1257" spans="26:27" x14ac:dyDescent="0.2">
      <c r="Z1257" s="1"/>
      <c r="AA1257" s="1"/>
    </row>
    <row r="1258" spans="26:27" x14ac:dyDescent="0.2">
      <c r="Z1258" s="1"/>
      <c r="AA1258" s="1"/>
    </row>
    <row r="1259" spans="26:27" x14ac:dyDescent="0.2">
      <c r="Z1259" s="1"/>
      <c r="AA1259" s="1"/>
    </row>
    <row r="1260" spans="26:27" x14ac:dyDescent="0.2">
      <c r="Z1260" s="1"/>
      <c r="AA1260" s="1"/>
    </row>
    <row r="1261" spans="26:27" x14ac:dyDescent="0.2">
      <c r="Z1261" s="1"/>
      <c r="AA1261" s="1"/>
    </row>
    <row r="1262" spans="26:27" x14ac:dyDescent="0.2">
      <c r="Z1262" s="1"/>
      <c r="AA1262" s="1"/>
    </row>
    <row r="1263" spans="26:27" x14ac:dyDescent="0.2">
      <c r="Z1263" s="1"/>
      <c r="AA1263" s="1"/>
    </row>
    <row r="1264" spans="26:27" x14ac:dyDescent="0.2">
      <c r="Z1264" s="1"/>
      <c r="AA1264" s="1"/>
    </row>
    <row r="1265" spans="26:27" x14ac:dyDescent="0.2">
      <c r="Z1265" s="1"/>
      <c r="AA1265" s="1"/>
    </row>
    <row r="1266" spans="26:27" x14ac:dyDescent="0.2">
      <c r="Z1266" s="1"/>
      <c r="AA1266" s="1"/>
    </row>
    <row r="1267" spans="26:27" x14ac:dyDescent="0.2">
      <c r="Z1267" s="1"/>
      <c r="AA1267" s="1"/>
    </row>
    <row r="1268" spans="26:27" x14ac:dyDescent="0.2">
      <c r="Z1268" s="1"/>
      <c r="AA1268" s="1"/>
    </row>
    <row r="1269" spans="26:27" x14ac:dyDescent="0.2">
      <c r="Z1269" s="1"/>
      <c r="AA1269" s="1"/>
    </row>
    <row r="1270" spans="26:27" x14ac:dyDescent="0.2">
      <c r="Z1270" s="1"/>
      <c r="AA1270" s="1"/>
    </row>
    <row r="1271" spans="26:27" x14ac:dyDescent="0.2">
      <c r="Z1271" s="1"/>
      <c r="AA1271" s="1"/>
    </row>
    <row r="1272" spans="26:27" x14ac:dyDescent="0.2">
      <c r="Z1272" s="1"/>
      <c r="AA1272" s="1"/>
    </row>
    <row r="1273" spans="26:27" x14ac:dyDescent="0.2">
      <c r="Z1273" s="1"/>
      <c r="AA1273" s="1"/>
    </row>
    <row r="1274" spans="26:27" x14ac:dyDescent="0.2">
      <c r="Z1274" s="1"/>
      <c r="AA1274" s="1"/>
    </row>
    <row r="1275" spans="26:27" x14ac:dyDescent="0.2">
      <c r="Z1275" s="1"/>
      <c r="AA1275" s="1"/>
    </row>
    <row r="1276" spans="26:27" x14ac:dyDescent="0.2">
      <c r="Z1276" s="1"/>
      <c r="AA1276" s="1"/>
    </row>
    <row r="1277" spans="26:27" x14ac:dyDescent="0.2">
      <c r="Z1277" s="1"/>
      <c r="AA1277" s="1"/>
    </row>
    <row r="1278" spans="26:27" x14ac:dyDescent="0.2">
      <c r="Z1278" s="1"/>
      <c r="AA1278" s="1"/>
    </row>
    <row r="1279" spans="26:27" x14ac:dyDescent="0.2">
      <c r="Z1279" s="1"/>
      <c r="AA1279" s="1"/>
    </row>
    <row r="1280" spans="26:27" x14ac:dyDescent="0.2">
      <c r="Z1280" s="1"/>
      <c r="AA1280" s="1"/>
    </row>
    <row r="1281" spans="26:27" x14ac:dyDescent="0.2">
      <c r="Z1281" s="1"/>
      <c r="AA1281" s="1"/>
    </row>
    <row r="1282" spans="26:27" x14ac:dyDescent="0.2">
      <c r="Z1282" s="1"/>
      <c r="AA1282" s="1"/>
    </row>
    <row r="1283" spans="26:27" x14ac:dyDescent="0.2">
      <c r="Z1283" s="1"/>
      <c r="AA1283" s="1"/>
    </row>
    <row r="1284" spans="26:27" x14ac:dyDescent="0.2">
      <c r="Z1284" s="1"/>
      <c r="AA1284" s="1"/>
    </row>
    <row r="1285" spans="26:27" x14ac:dyDescent="0.2">
      <c r="Z1285" s="1"/>
      <c r="AA1285" s="1"/>
    </row>
    <row r="1286" spans="26:27" x14ac:dyDescent="0.2">
      <c r="Z1286" s="1"/>
      <c r="AA1286" s="1"/>
    </row>
    <row r="1287" spans="26:27" x14ac:dyDescent="0.2">
      <c r="Z1287" s="1"/>
      <c r="AA1287" s="1"/>
    </row>
    <row r="1288" spans="26:27" x14ac:dyDescent="0.2">
      <c r="Z1288" s="1"/>
      <c r="AA1288" s="1"/>
    </row>
    <row r="1289" spans="26:27" x14ac:dyDescent="0.2">
      <c r="Z1289" s="1"/>
      <c r="AA1289" s="1"/>
    </row>
    <row r="1290" spans="26:27" x14ac:dyDescent="0.2">
      <c r="Z1290" s="1"/>
      <c r="AA1290" s="1"/>
    </row>
    <row r="1291" spans="26:27" x14ac:dyDescent="0.2">
      <c r="Z1291" s="1"/>
      <c r="AA1291" s="1"/>
    </row>
    <row r="1292" spans="26:27" x14ac:dyDescent="0.2">
      <c r="Z1292" s="1"/>
      <c r="AA1292" s="1"/>
    </row>
    <row r="1293" spans="26:27" x14ac:dyDescent="0.2">
      <c r="Z1293" s="1"/>
      <c r="AA1293" s="1"/>
    </row>
    <row r="1294" spans="26:27" x14ac:dyDescent="0.2">
      <c r="Z1294" s="1"/>
      <c r="AA1294" s="1"/>
    </row>
    <row r="1295" spans="26:27" x14ac:dyDescent="0.2">
      <c r="Z1295" s="1"/>
      <c r="AA1295" s="1"/>
    </row>
    <row r="1296" spans="26:27" x14ac:dyDescent="0.2">
      <c r="Z1296" s="1"/>
      <c r="AA1296" s="1"/>
    </row>
    <row r="1297" spans="26:27" x14ac:dyDescent="0.2">
      <c r="Z1297" s="1"/>
      <c r="AA1297" s="1"/>
    </row>
    <row r="1298" spans="26:27" x14ac:dyDescent="0.2">
      <c r="Z1298" s="1"/>
      <c r="AA1298" s="1"/>
    </row>
    <row r="1299" spans="26:27" x14ac:dyDescent="0.2">
      <c r="Z1299" s="1"/>
      <c r="AA1299" s="1"/>
    </row>
    <row r="1300" spans="26:27" x14ac:dyDescent="0.2">
      <c r="Z1300" s="1"/>
      <c r="AA1300" s="1"/>
    </row>
    <row r="1301" spans="26:27" x14ac:dyDescent="0.2">
      <c r="Z1301" s="1"/>
      <c r="AA1301" s="1"/>
    </row>
    <row r="1302" spans="26:27" x14ac:dyDescent="0.2">
      <c r="Z1302" s="1"/>
      <c r="AA1302" s="1"/>
    </row>
    <row r="1303" spans="26:27" x14ac:dyDescent="0.2">
      <c r="Z1303" s="1"/>
      <c r="AA1303" s="1"/>
    </row>
    <row r="1304" spans="26:27" x14ac:dyDescent="0.2">
      <c r="Z1304" s="1"/>
      <c r="AA1304" s="1"/>
    </row>
    <row r="1305" spans="26:27" x14ac:dyDescent="0.2">
      <c r="Z1305" s="1"/>
      <c r="AA1305" s="1"/>
    </row>
    <row r="1306" spans="26:27" x14ac:dyDescent="0.2">
      <c r="Z1306" s="1"/>
      <c r="AA1306" s="1"/>
    </row>
    <row r="1307" spans="26:27" x14ac:dyDescent="0.2">
      <c r="Z1307" s="1"/>
      <c r="AA1307" s="1"/>
    </row>
    <row r="1308" spans="26:27" x14ac:dyDescent="0.2">
      <c r="Z1308" s="1"/>
      <c r="AA1308" s="1"/>
    </row>
    <row r="1309" spans="26:27" x14ac:dyDescent="0.2">
      <c r="Z1309" s="1"/>
      <c r="AA1309" s="1"/>
    </row>
    <row r="1310" spans="26:27" x14ac:dyDescent="0.2">
      <c r="Z1310" s="1"/>
      <c r="AA1310" s="1"/>
    </row>
    <row r="1311" spans="26:27" x14ac:dyDescent="0.2">
      <c r="Z1311" s="1"/>
      <c r="AA1311" s="1"/>
    </row>
    <row r="1312" spans="26:27" x14ac:dyDescent="0.2">
      <c r="Z1312" s="1"/>
      <c r="AA1312" s="1"/>
    </row>
    <row r="1313" spans="26:27" x14ac:dyDescent="0.2">
      <c r="Z1313" s="1"/>
      <c r="AA1313" s="1"/>
    </row>
    <row r="1314" spans="26:27" x14ac:dyDescent="0.2">
      <c r="Z1314" s="1"/>
      <c r="AA1314" s="1"/>
    </row>
    <row r="1315" spans="26:27" x14ac:dyDescent="0.2">
      <c r="Z1315" s="1"/>
      <c r="AA1315" s="1"/>
    </row>
    <row r="1316" spans="26:27" x14ac:dyDescent="0.2">
      <c r="Z1316" s="1"/>
      <c r="AA1316" s="1"/>
    </row>
    <row r="1317" spans="26:27" x14ac:dyDescent="0.2">
      <c r="Z1317" s="1"/>
      <c r="AA1317" s="1"/>
    </row>
    <row r="1318" spans="26:27" x14ac:dyDescent="0.2">
      <c r="Z1318" s="1"/>
      <c r="AA1318" s="1"/>
    </row>
    <row r="1319" spans="26:27" x14ac:dyDescent="0.2">
      <c r="Z1319" s="1"/>
      <c r="AA1319" s="1"/>
    </row>
    <row r="1320" spans="26:27" x14ac:dyDescent="0.2">
      <c r="Z1320" s="1"/>
      <c r="AA1320" s="1"/>
    </row>
    <row r="1321" spans="26:27" x14ac:dyDescent="0.2">
      <c r="Z1321" s="1"/>
      <c r="AA1321" s="1"/>
    </row>
    <row r="1322" spans="26:27" x14ac:dyDescent="0.2">
      <c r="Z1322" s="1"/>
      <c r="AA1322" s="1"/>
    </row>
    <row r="1323" spans="26:27" x14ac:dyDescent="0.2">
      <c r="Z1323" s="1"/>
      <c r="AA1323" s="1"/>
    </row>
    <row r="1324" spans="26:27" x14ac:dyDescent="0.2">
      <c r="Z1324" s="1"/>
      <c r="AA1324" s="1"/>
    </row>
    <row r="1325" spans="26:27" x14ac:dyDescent="0.2">
      <c r="Z1325" s="1"/>
      <c r="AA1325" s="1"/>
    </row>
    <row r="1326" spans="26:27" x14ac:dyDescent="0.2">
      <c r="Z1326" s="1"/>
      <c r="AA1326" s="1"/>
    </row>
    <row r="1327" spans="26:27" x14ac:dyDescent="0.2">
      <c r="Z1327" s="1"/>
      <c r="AA1327" s="1"/>
    </row>
    <row r="1328" spans="26:27" x14ac:dyDescent="0.2">
      <c r="Z1328" s="1"/>
      <c r="AA1328" s="1"/>
    </row>
    <row r="1329" spans="26:27" x14ac:dyDescent="0.2">
      <c r="Z1329" s="1"/>
      <c r="AA1329" s="1"/>
    </row>
    <row r="1330" spans="26:27" x14ac:dyDescent="0.2">
      <c r="Z1330" s="1"/>
      <c r="AA1330" s="1"/>
    </row>
    <row r="1331" spans="26:27" x14ac:dyDescent="0.2">
      <c r="Z1331" s="1"/>
      <c r="AA1331" s="1"/>
    </row>
    <row r="1332" spans="26:27" x14ac:dyDescent="0.2">
      <c r="Z1332" s="1"/>
      <c r="AA1332" s="1"/>
    </row>
    <row r="1333" spans="26:27" x14ac:dyDescent="0.2">
      <c r="Z1333" s="1"/>
      <c r="AA1333" s="1"/>
    </row>
    <row r="1334" spans="26:27" x14ac:dyDescent="0.2">
      <c r="Z1334" s="1"/>
      <c r="AA1334" s="1"/>
    </row>
    <row r="1335" spans="26:27" x14ac:dyDescent="0.2">
      <c r="Z1335" s="1"/>
      <c r="AA1335" s="1"/>
    </row>
    <row r="1336" spans="26:27" x14ac:dyDescent="0.2">
      <c r="Z1336" s="1"/>
      <c r="AA1336" s="1"/>
    </row>
    <row r="1337" spans="26:27" x14ac:dyDescent="0.2">
      <c r="Z1337" s="1"/>
      <c r="AA1337" s="1"/>
    </row>
    <row r="1338" spans="26:27" x14ac:dyDescent="0.2">
      <c r="Z1338" s="1"/>
      <c r="AA1338" s="1"/>
    </row>
    <row r="1339" spans="26:27" x14ac:dyDescent="0.2">
      <c r="Z1339" s="1"/>
      <c r="AA1339" s="1"/>
    </row>
    <row r="1340" spans="26:27" x14ac:dyDescent="0.2">
      <c r="Z1340" s="1"/>
      <c r="AA1340" s="1"/>
    </row>
    <row r="1341" spans="26:27" x14ac:dyDescent="0.2">
      <c r="Z1341" s="1"/>
      <c r="AA1341" s="1"/>
    </row>
    <row r="1342" spans="26:27" x14ac:dyDescent="0.2">
      <c r="Z1342" s="1"/>
      <c r="AA1342" s="1"/>
    </row>
    <row r="1343" spans="26:27" x14ac:dyDescent="0.2">
      <c r="Z1343" s="1"/>
      <c r="AA1343" s="1"/>
    </row>
    <row r="1344" spans="26:27" x14ac:dyDescent="0.2">
      <c r="Z1344" s="1"/>
      <c r="AA1344" s="1"/>
    </row>
    <row r="1345" spans="26:27" x14ac:dyDescent="0.2">
      <c r="Z1345" s="1"/>
      <c r="AA1345" s="1"/>
    </row>
    <row r="1346" spans="26:27" x14ac:dyDescent="0.2">
      <c r="Z1346" s="1"/>
      <c r="AA1346" s="1"/>
    </row>
    <row r="1347" spans="26:27" x14ac:dyDescent="0.2">
      <c r="Z1347" s="1"/>
      <c r="AA1347" s="1"/>
    </row>
    <row r="1348" spans="26:27" x14ac:dyDescent="0.2">
      <c r="Z1348" s="1"/>
      <c r="AA1348" s="1"/>
    </row>
    <row r="1349" spans="26:27" x14ac:dyDescent="0.2">
      <c r="Z1349" s="1"/>
      <c r="AA1349" s="1"/>
    </row>
    <row r="1350" spans="26:27" x14ac:dyDescent="0.2">
      <c r="Z1350" s="1"/>
      <c r="AA1350" s="1"/>
    </row>
    <row r="1351" spans="26:27" x14ac:dyDescent="0.2">
      <c r="Z1351" s="1"/>
      <c r="AA1351" s="1"/>
    </row>
    <row r="1352" spans="26:27" x14ac:dyDescent="0.2">
      <c r="Z1352" s="1"/>
      <c r="AA1352" s="1"/>
    </row>
    <row r="1353" spans="26:27" x14ac:dyDescent="0.2">
      <c r="Z1353" s="1"/>
      <c r="AA1353" s="1"/>
    </row>
    <row r="1354" spans="26:27" x14ac:dyDescent="0.2">
      <c r="Z1354" s="1"/>
      <c r="AA1354" s="1"/>
    </row>
    <row r="1355" spans="26:27" x14ac:dyDescent="0.2">
      <c r="Z1355" s="1"/>
      <c r="AA1355" s="1"/>
    </row>
    <row r="1356" spans="26:27" x14ac:dyDescent="0.2">
      <c r="Z1356" s="1"/>
      <c r="AA1356" s="1"/>
    </row>
    <row r="1357" spans="26:27" x14ac:dyDescent="0.2">
      <c r="Z1357" s="1"/>
      <c r="AA1357" s="1"/>
    </row>
    <row r="1358" spans="26:27" x14ac:dyDescent="0.2">
      <c r="Z1358" s="1"/>
      <c r="AA1358" s="1"/>
    </row>
    <row r="1359" spans="26:27" x14ac:dyDescent="0.2">
      <c r="Z1359" s="1"/>
      <c r="AA1359" s="1"/>
    </row>
    <row r="1360" spans="26:27" x14ac:dyDescent="0.2">
      <c r="Z1360" s="1"/>
      <c r="AA1360" s="1"/>
    </row>
    <row r="1361" spans="26:27" x14ac:dyDescent="0.2">
      <c r="Z1361" s="1"/>
      <c r="AA1361" s="1"/>
    </row>
    <row r="1362" spans="26:27" x14ac:dyDescent="0.2">
      <c r="Z1362" s="1"/>
      <c r="AA1362" s="1"/>
    </row>
    <row r="1363" spans="26:27" x14ac:dyDescent="0.2">
      <c r="Z1363" s="1"/>
      <c r="AA1363" s="1"/>
    </row>
    <row r="1364" spans="26:27" x14ac:dyDescent="0.2">
      <c r="Z1364" s="1"/>
      <c r="AA1364" s="1"/>
    </row>
    <row r="1365" spans="26:27" x14ac:dyDescent="0.2">
      <c r="Z1365" s="1"/>
      <c r="AA1365" s="1"/>
    </row>
    <row r="1366" spans="26:27" x14ac:dyDescent="0.2">
      <c r="Z1366" s="1"/>
      <c r="AA1366" s="1"/>
    </row>
    <row r="1367" spans="26:27" x14ac:dyDescent="0.2">
      <c r="Z1367" s="1"/>
      <c r="AA1367" s="1"/>
    </row>
    <row r="1368" spans="26:27" x14ac:dyDescent="0.2">
      <c r="Z1368" s="1"/>
      <c r="AA1368" s="1"/>
    </row>
    <row r="1369" spans="26:27" x14ac:dyDescent="0.2">
      <c r="Z1369" s="1"/>
      <c r="AA1369" s="1"/>
    </row>
    <row r="1370" spans="26:27" x14ac:dyDescent="0.2">
      <c r="Z1370" s="1"/>
      <c r="AA1370" s="1"/>
    </row>
    <row r="1371" spans="26:27" x14ac:dyDescent="0.2">
      <c r="Z1371" s="1"/>
      <c r="AA1371" s="1"/>
    </row>
    <row r="1372" spans="26:27" x14ac:dyDescent="0.2">
      <c r="Z1372" s="1"/>
      <c r="AA1372" s="1"/>
    </row>
    <row r="1373" spans="26:27" x14ac:dyDescent="0.2">
      <c r="Z1373" s="1"/>
      <c r="AA1373" s="1"/>
    </row>
    <row r="1374" spans="26:27" x14ac:dyDescent="0.2">
      <c r="Z1374" s="1"/>
      <c r="AA1374" s="1"/>
    </row>
    <row r="1375" spans="26:27" x14ac:dyDescent="0.2">
      <c r="Z1375" s="1"/>
      <c r="AA1375" s="1"/>
    </row>
    <row r="1376" spans="26:27" x14ac:dyDescent="0.2">
      <c r="Z1376" s="1"/>
      <c r="AA1376" s="1"/>
    </row>
    <row r="1377" spans="26:27" x14ac:dyDescent="0.2">
      <c r="Z1377" s="1"/>
      <c r="AA1377" s="1"/>
    </row>
    <row r="1378" spans="26:27" x14ac:dyDescent="0.2">
      <c r="Z1378" s="1"/>
      <c r="AA1378" s="1"/>
    </row>
    <row r="1379" spans="26:27" x14ac:dyDescent="0.2">
      <c r="Z1379" s="1"/>
      <c r="AA1379" s="1"/>
    </row>
    <row r="1380" spans="26:27" x14ac:dyDescent="0.2">
      <c r="Z1380" s="1"/>
      <c r="AA1380" s="1"/>
    </row>
    <row r="1381" spans="26:27" x14ac:dyDescent="0.2">
      <c r="Z1381" s="1"/>
      <c r="AA1381" s="1"/>
    </row>
    <row r="1382" spans="26:27" x14ac:dyDescent="0.2">
      <c r="Z1382" s="1"/>
      <c r="AA1382" s="1"/>
    </row>
    <row r="1383" spans="26:27" x14ac:dyDescent="0.2">
      <c r="Z1383" s="1"/>
      <c r="AA1383" s="1"/>
    </row>
    <row r="1384" spans="26:27" x14ac:dyDescent="0.2">
      <c r="Z1384" s="1"/>
      <c r="AA1384" s="1"/>
    </row>
    <row r="1385" spans="26:27" x14ac:dyDescent="0.2">
      <c r="Z1385" s="1"/>
      <c r="AA1385" s="1"/>
    </row>
    <row r="1386" spans="26:27" x14ac:dyDescent="0.2">
      <c r="Z1386" s="1"/>
      <c r="AA1386" s="1"/>
    </row>
    <row r="1387" spans="26:27" x14ac:dyDescent="0.2">
      <c r="Z1387" s="1"/>
      <c r="AA1387" s="1"/>
    </row>
    <row r="1388" spans="26:27" x14ac:dyDescent="0.2">
      <c r="Z1388" s="1"/>
      <c r="AA1388" s="1"/>
    </row>
    <row r="1389" spans="26:27" x14ac:dyDescent="0.2">
      <c r="Z1389" s="1"/>
      <c r="AA1389" s="1"/>
    </row>
    <row r="1390" spans="26:27" x14ac:dyDescent="0.2">
      <c r="Z1390" s="1"/>
      <c r="AA1390" s="1"/>
    </row>
    <row r="1391" spans="26:27" x14ac:dyDescent="0.2">
      <c r="Z1391" s="1"/>
      <c r="AA1391" s="1"/>
    </row>
    <row r="1392" spans="26:27" x14ac:dyDescent="0.2">
      <c r="Z1392" s="1"/>
      <c r="AA1392" s="1"/>
    </row>
    <row r="1393" spans="26:27" x14ac:dyDescent="0.2">
      <c r="Z1393" s="1"/>
      <c r="AA1393" s="1"/>
    </row>
    <row r="1394" spans="26:27" x14ac:dyDescent="0.2">
      <c r="Z1394" s="1"/>
      <c r="AA1394" s="1"/>
    </row>
    <row r="1395" spans="26:27" x14ac:dyDescent="0.2">
      <c r="Z1395" s="1"/>
      <c r="AA1395" s="1"/>
    </row>
    <row r="1396" spans="26:27" x14ac:dyDescent="0.2">
      <c r="Z1396" s="1"/>
      <c r="AA1396" s="1"/>
    </row>
    <row r="1397" spans="26:27" x14ac:dyDescent="0.2">
      <c r="Z1397" s="1"/>
      <c r="AA1397" s="1"/>
    </row>
    <row r="1398" spans="26:27" x14ac:dyDescent="0.2">
      <c r="Z1398" s="1"/>
      <c r="AA1398" s="1"/>
    </row>
    <row r="1399" spans="26:27" x14ac:dyDescent="0.2">
      <c r="Z1399" s="1"/>
      <c r="AA1399" s="1"/>
    </row>
    <row r="1400" spans="26:27" x14ac:dyDescent="0.2">
      <c r="Z1400" s="1"/>
      <c r="AA1400" s="1"/>
    </row>
    <row r="1401" spans="26:27" x14ac:dyDescent="0.2">
      <c r="Z1401" s="1"/>
      <c r="AA1401" s="1"/>
    </row>
    <row r="1402" spans="26:27" x14ac:dyDescent="0.2">
      <c r="Z1402" s="1"/>
      <c r="AA1402" s="1"/>
    </row>
    <row r="1403" spans="26:27" x14ac:dyDescent="0.2">
      <c r="Z1403" s="1"/>
      <c r="AA1403" s="1"/>
    </row>
    <row r="1404" spans="26:27" x14ac:dyDescent="0.2">
      <c r="Z1404" s="1"/>
      <c r="AA1404" s="1"/>
    </row>
    <row r="1405" spans="26:27" x14ac:dyDescent="0.2">
      <c r="Z1405" s="1"/>
      <c r="AA1405" s="1"/>
    </row>
    <row r="1406" spans="26:27" x14ac:dyDescent="0.2">
      <c r="Z1406" s="1"/>
      <c r="AA1406" s="1"/>
    </row>
    <row r="1407" spans="26:27" x14ac:dyDescent="0.2">
      <c r="Z1407" s="1"/>
      <c r="AA1407" s="1"/>
    </row>
    <row r="1408" spans="26:27" x14ac:dyDescent="0.2">
      <c r="Z1408" s="1"/>
      <c r="AA1408" s="1"/>
    </row>
    <row r="1409" spans="26:27" x14ac:dyDescent="0.2">
      <c r="Z1409" s="1"/>
      <c r="AA1409" s="1"/>
    </row>
    <row r="1410" spans="26:27" x14ac:dyDescent="0.2">
      <c r="Z1410" s="1"/>
      <c r="AA1410" s="1"/>
    </row>
    <row r="1411" spans="26:27" x14ac:dyDescent="0.2">
      <c r="Z1411" s="1"/>
      <c r="AA1411" s="1"/>
    </row>
    <row r="1412" spans="26:27" x14ac:dyDescent="0.2">
      <c r="Z1412" s="1"/>
      <c r="AA1412" s="1"/>
    </row>
    <row r="1413" spans="26:27" x14ac:dyDescent="0.2">
      <c r="Z1413" s="1"/>
      <c r="AA1413" s="1"/>
    </row>
    <row r="1414" spans="26:27" x14ac:dyDescent="0.2">
      <c r="Z1414" s="1"/>
      <c r="AA1414" s="1"/>
    </row>
    <row r="1415" spans="26:27" x14ac:dyDescent="0.2">
      <c r="Z1415" s="1"/>
      <c r="AA1415" s="1"/>
    </row>
    <row r="1416" spans="26:27" x14ac:dyDescent="0.2">
      <c r="Z1416" s="1"/>
      <c r="AA1416" s="1"/>
    </row>
    <row r="1417" spans="26:27" x14ac:dyDescent="0.2">
      <c r="Z1417" s="1"/>
      <c r="AA1417" s="1"/>
    </row>
    <row r="1418" spans="26:27" x14ac:dyDescent="0.2">
      <c r="Z1418" s="1"/>
      <c r="AA1418" s="1"/>
    </row>
    <row r="1419" spans="26:27" x14ac:dyDescent="0.2">
      <c r="Z1419" s="1"/>
      <c r="AA1419" s="1"/>
    </row>
    <row r="1420" spans="26:27" x14ac:dyDescent="0.2">
      <c r="Z1420" s="1"/>
      <c r="AA1420" s="1"/>
    </row>
    <row r="1421" spans="26:27" x14ac:dyDescent="0.2">
      <c r="Z1421" s="1"/>
      <c r="AA1421" s="1"/>
    </row>
    <row r="1422" spans="26:27" x14ac:dyDescent="0.2">
      <c r="Z1422" s="1"/>
      <c r="AA1422" s="1"/>
    </row>
    <row r="1423" spans="26:27" x14ac:dyDescent="0.2">
      <c r="Z1423" s="1"/>
      <c r="AA1423" s="1"/>
    </row>
    <row r="1424" spans="26:27" x14ac:dyDescent="0.2">
      <c r="Z1424" s="1"/>
      <c r="AA1424" s="1"/>
    </row>
    <row r="1425" spans="26:27" x14ac:dyDescent="0.2">
      <c r="Z1425" s="1"/>
      <c r="AA1425" s="1"/>
    </row>
    <row r="1426" spans="26:27" x14ac:dyDescent="0.2">
      <c r="Z1426" s="1"/>
      <c r="AA1426" s="1"/>
    </row>
    <row r="1427" spans="26:27" x14ac:dyDescent="0.2">
      <c r="Z1427" s="1"/>
      <c r="AA1427" s="1"/>
    </row>
    <row r="1428" spans="26:27" x14ac:dyDescent="0.2">
      <c r="Z1428" s="1"/>
      <c r="AA1428" s="1"/>
    </row>
    <row r="1429" spans="26:27" x14ac:dyDescent="0.2">
      <c r="Z1429" s="1"/>
      <c r="AA1429" s="1"/>
    </row>
    <row r="1430" spans="26:27" x14ac:dyDescent="0.2">
      <c r="Z1430" s="1"/>
      <c r="AA1430" s="1"/>
    </row>
    <row r="1431" spans="26:27" x14ac:dyDescent="0.2">
      <c r="Z1431" s="1"/>
      <c r="AA1431" s="1"/>
    </row>
    <row r="1432" spans="26:27" x14ac:dyDescent="0.2">
      <c r="Z1432" s="1"/>
      <c r="AA1432" s="1"/>
    </row>
    <row r="1433" spans="26:27" x14ac:dyDescent="0.2">
      <c r="Z1433" s="1"/>
      <c r="AA1433" s="1"/>
    </row>
    <row r="1434" spans="26:27" x14ac:dyDescent="0.2">
      <c r="Z1434" s="1"/>
      <c r="AA1434" s="1"/>
    </row>
    <row r="1435" spans="26:27" x14ac:dyDescent="0.2">
      <c r="Z1435" s="1"/>
      <c r="AA1435" s="1"/>
    </row>
    <row r="1436" spans="26:27" x14ac:dyDescent="0.2">
      <c r="Z1436" s="1"/>
      <c r="AA1436" s="1"/>
    </row>
    <row r="1437" spans="26:27" x14ac:dyDescent="0.2">
      <c r="Z1437" s="1"/>
      <c r="AA1437" s="1"/>
    </row>
    <row r="1438" spans="26:27" x14ac:dyDescent="0.2">
      <c r="Z1438" s="1"/>
      <c r="AA1438" s="1"/>
    </row>
    <row r="1439" spans="26:27" x14ac:dyDescent="0.2">
      <c r="Z1439" s="1"/>
      <c r="AA1439" s="1"/>
    </row>
    <row r="1440" spans="26:27" x14ac:dyDescent="0.2">
      <c r="Z1440" s="1"/>
      <c r="AA1440" s="1"/>
    </row>
    <row r="1441" spans="26:27" x14ac:dyDescent="0.2">
      <c r="Z1441" s="1"/>
      <c r="AA1441" s="1"/>
    </row>
    <row r="1442" spans="26:27" x14ac:dyDescent="0.2">
      <c r="Z1442" s="1"/>
      <c r="AA1442" s="1"/>
    </row>
    <row r="1443" spans="26:27" x14ac:dyDescent="0.2">
      <c r="Z1443" s="1"/>
      <c r="AA1443" s="1"/>
    </row>
    <row r="1444" spans="26:27" x14ac:dyDescent="0.2">
      <c r="Z1444" s="1"/>
      <c r="AA1444" s="1"/>
    </row>
    <row r="1445" spans="26:27" x14ac:dyDescent="0.2">
      <c r="Z1445" s="1"/>
      <c r="AA1445" s="1"/>
    </row>
    <row r="1446" spans="26:27" x14ac:dyDescent="0.2">
      <c r="Z1446" s="1"/>
      <c r="AA1446" s="1"/>
    </row>
    <row r="1447" spans="26:27" x14ac:dyDescent="0.2">
      <c r="Z1447" s="1"/>
      <c r="AA1447" s="1"/>
    </row>
    <row r="1448" spans="26:27" x14ac:dyDescent="0.2">
      <c r="Z1448" s="1"/>
      <c r="AA1448" s="1"/>
    </row>
    <row r="1449" spans="26:27" x14ac:dyDescent="0.2">
      <c r="Z1449" s="1"/>
      <c r="AA1449" s="1"/>
    </row>
    <row r="1450" spans="26:27" x14ac:dyDescent="0.2">
      <c r="Z1450" s="1"/>
      <c r="AA1450" s="1"/>
    </row>
    <row r="1451" spans="26:27" x14ac:dyDescent="0.2">
      <c r="Z1451" s="1"/>
      <c r="AA1451" s="1"/>
    </row>
    <row r="1452" spans="26:27" x14ac:dyDescent="0.2">
      <c r="Z1452" s="1"/>
      <c r="AA1452" s="1"/>
    </row>
    <row r="1453" spans="26:27" x14ac:dyDescent="0.2">
      <c r="Z1453" s="1"/>
      <c r="AA1453" s="1"/>
    </row>
    <row r="1454" spans="26:27" x14ac:dyDescent="0.2">
      <c r="Z1454" s="1"/>
      <c r="AA1454" s="1"/>
    </row>
    <row r="1455" spans="26:27" x14ac:dyDescent="0.2">
      <c r="Z1455" s="1"/>
      <c r="AA1455" s="1"/>
    </row>
    <row r="1456" spans="26:27" x14ac:dyDescent="0.2">
      <c r="Z1456" s="1"/>
      <c r="AA1456" s="1"/>
    </row>
    <row r="1457" spans="26:27" x14ac:dyDescent="0.2">
      <c r="Z1457" s="1"/>
      <c r="AA1457" s="1"/>
    </row>
    <row r="1458" spans="26:27" x14ac:dyDescent="0.2">
      <c r="Z1458" s="1"/>
      <c r="AA1458" s="1"/>
    </row>
    <row r="1459" spans="26:27" x14ac:dyDescent="0.2">
      <c r="Z1459" s="1"/>
      <c r="AA1459" s="1"/>
    </row>
    <row r="1460" spans="26:27" x14ac:dyDescent="0.2">
      <c r="Z1460" s="1"/>
      <c r="AA1460" s="1"/>
    </row>
    <row r="1461" spans="26:27" x14ac:dyDescent="0.2">
      <c r="Z1461" s="1"/>
      <c r="AA1461" s="1"/>
    </row>
    <row r="1462" spans="26:27" x14ac:dyDescent="0.2">
      <c r="Z1462" s="1"/>
      <c r="AA1462" s="1"/>
    </row>
    <row r="1463" spans="26:27" x14ac:dyDescent="0.2">
      <c r="Z1463" s="1"/>
      <c r="AA1463" s="1"/>
    </row>
    <row r="1464" spans="26:27" x14ac:dyDescent="0.2">
      <c r="Z1464" s="1"/>
      <c r="AA1464" s="1"/>
    </row>
    <row r="1465" spans="26:27" x14ac:dyDescent="0.2">
      <c r="Z1465" s="1"/>
      <c r="AA1465" s="1"/>
    </row>
    <row r="1466" spans="26:27" x14ac:dyDescent="0.2">
      <c r="Z1466" s="1"/>
      <c r="AA1466" s="1"/>
    </row>
    <row r="1467" spans="26:27" x14ac:dyDescent="0.2">
      <c r="Z1467" s="1"/>
      <c r="AA1467" s="1"/>
    </row>
    <row r="1468" spans="26:27" x14ac:dyDescent="0.2">
      <c r="Z1468" s="1"/>
      <c r="AA1468" s="1"/>
    </row>
    <row r="1469" spans="26:27" x14ac:dyDescent="0.2">
      <c r="Z1469" s="1"/>
      <c r="AA1469" s="1"/>
    </row>
    <row r="1470" spans="26:27" x14ac:dyDescent="0.2">
      <c r="Z1470" s="1"/>
      <c r="AA1470" s="1"/>
    </row>
    <row r="1471" spans="26:27" x14ac:dyDescent="0.2">
      <c r="Z1471" s="1"/>
      <c r="AA1471" s="1"/>
    </row>
    <row r="1472" spans="26:27" x14ac:dyDescent="0.2">
      <c r="Z1472" s="1"/>
      <c r="AA1472" s="1"/>
    </row>
    <row r="1473" spans="26:27" x14ac:dyDescent="0.2">
      <c r="Z1473" s="1"/>
      <c r="AA1473" s="1"/>
    </row>
    <row r="1474" spans="26:27" x14ac:dyDescent="0.2">
      <c r="Z1474" s="1"/>
      <c r="AA1474" s="1"/>
    </row>
    <row r="1475" spans="26:27" x14ac:dyDescent="0.2">
      <c r="Z1475" s="1"/>
      <c r="AA1475" s="1"/>
    </row>
    <row r="1476" spans="26:27" x14ac:dyDescent="0.2">
      <c r="Z1476" s="1"/>
      <c r="AA1476" s="1"/>
    </row>
    <row r="1477" spans="26:27" x14ac:dyDescent="0.2">
      <c r="Z1477" s="1"/>
      <c r="AA1477" s="1"/>
    </row>
    <row r="1478" spans="26:27" x14ac:dyDescent="0.2">
      <c r="Z1478" s="1"/>
      <c r="AA1478" s="1"/>
    </row>
    <row r="1479" spans="26:27" x14ac:dyDescent="0.2">
      <c r="Z1479" s="1"/>
      <c r="AA1479" s="1"/>
    </row>
    <row r="1480" spans="26:27" x14ac:dyDescent="0.2">
      <c r="Z1480" s="1"/>
      <c r="AA1480" s="1"/>
    </row>
    <row r="1481" spans="26:27" x14ac:dyDescent="0.2">
      <c r="Z1481" s="1"/>
      <c r="AA1481" s="1"/>
    </row>
    <row r="1482" spans="26:27" x14ac:dyDescent="0.2">
      <c r="Z1482" s="1"/>
      <c r="AA1482" s="1"/>
    </row>
    <row r="1483" spans="26:27" x14ac:dyDescent="0.2">
      <c r="Z1483" s="1"/>
      <c r="AA1483" s="1"/>
    </row>
    <row r="1484" spans="26:27" x14ac:dyDescent="0.2">
      <c r="Z1484" s="1"/>
      <c r="AA1484" s="1"/>
    </row>
    <row r="1485" spans="26:27" x14ac:dyDescent="0.2">
      <c r="Z1485" s="1"/>
      <c r="AA1485" s="1"/>
    </row>
    <row r="1486" spans="26:27" x14ac:dyDescent="0.2">
      <c r="Z1486" s="1"/>
      <c r="AA1486" s="1"/>
    </row>
    <row r="1487" spans="26:27" x14ac:dyDescent="0.2">
      <c r="Z1487" s="1"/>
      <c r="AA1487" s="1"/>
    </row>
    <row r="1488" spans="26:27" x14ac:dyDescent="0.2">
      <c r="Z1488" s="1"/>
      <c r="AA1488" s="1"/>
    </row>
    <row r="1489" spans="26:27" x14ac:dyDescent="0.2">
      <c r="Z1489" s="1"/>
      <c r="AA1489" s="1"/>
    </row>
    <row r="1490" spans="26:27" x14ac:dyDescent="0.2">
      <c r="Z1490" s="1"/>
      <c r="AA1490" s="1"/>
    </row>
    <row r="1491" spans="26:27" x14ac:dyDescent="0.2">
      <c r="Z1491" s="1"/>
      <c r="AA1491" s="1"/>
    </row>
    <row r="1492" spans="26:27" x14ac:dyDescent="0.2">
      <c r="Z1492" s="1"/>
      <c r="AA1492" s="1"/>
    </row>
    <row r="1493" spans="26:27" x14ac:dyDescent="0.2">
      <c r="Z1493" s="1"/>
      <c r="AA1493" s="1"/>
    </row>
    <row r="1494" spans="26:27" x14ac:dyDescent="0.2">
      <c r="Z1494" s="1"/>
      <c r="AA1494" s="1"/>
    </row>
    <row r="1495" spans="26:27" x14ac:dyDescent="0.2">
      <c r="Z1495" s="1"/>
      <c r="AA1495" s="1"/>
    </row>
    <row r="1496" spans="26:27" x14ac:dyDescent="0.2">
      <c r="Z1496" s="1"/>
      <c r="AA1496" s="1"/>
    </row>
    <row r="1497" spans="26:27" x14ac:dyDescent="0.2">
      <c r="Z1497" s="1"/>
      <c r="AA1497" s="1"/>
    </row>
    <row r="1498" spans="26:27" x14ac:dyDescent="0.2">
      <c r="Z1498" s="1"/>
      <c r="AA1498" s="1"/>
    </row>
    <row r="1499" spans="26:27" x14ac:dyDescent="0.2">
      <c r="Z1499" s="1"/>
      <c r="AA1499" s="1"/>
    </row>
    <row r="1500" spans="26:27" x14ac:dyDescent="0.2">
      <c r="Z1500" s="1"/>
      <c r="AA1500" s="1"/>
    </row>
    <row r="1501" spans="26:27" x14ac:dyDescent="0.2">
      <c r="Z1501" s="1"/>
      <c r="AA1501" s="1"/>
    </row>
    <row r="1502" spans="26:27" x14ac:dyDescent="0.2">
      <c r="Z1502" s="1"/>
      <c r="AA1502" s="1"/>
    </row>
    <row r="1503" spans="26:27" x14ac:dyDescent="0.2">
      <c r="Z1503" s="1"/>
      <c r="AA1503" s="1"/>
    </row>
    <row r="1504" spans="26:27" x14ac:dyDescent="0.2">
      <c r="Z1504" s="1"/>
      <c r="AA1504" s="1"/>
    </row>
    <row r="1505" spans="26:27" x14ac:dyDescent="0.2">
      <c r="Z1505" s="1"/>
      <c r="AA1505" s="1"/>
    </row>
    <row r="1506" spans="26:27" x14ac:dyDescent="0.2">
      <c r="Z1506" s="1"/>
      <c r="AA1506" s="1"/>
    </row>
    <row r="1507" spans="26:27" x14ac:dyDescent="0.2">
      <c r="Z1507" s="1"/>
      <c r="AA1507" s="1"/>
    </row>
    <row r="1508" spans="26:27" x14ac:dyDescent="0.2">
      <c r="Z1508" s="1"/>
      <c r="AA1508" s="1"/>
    </row>
    <row r="1509" spans="26:27" x14ac:dyDescent="0.2">
      <c r="Z1509" s="1"/>
      <c r="AA1509" s="1"/>
    </row>
    <row r="1510" spans="26:27" x14ac:dyDescent="0.2">
      <c r="Z1510" s="1"/>
      <c r="AA1510" s="1"/>
    </row>
    <row r="1511" spans="26:27" x14ac:dyDescent="0.2">
      <c r="Z1511" s="1"/>
      <c r="AA1511" s="1"/>
    </row>
    <row r="1512" spans="26:27" x14ac:dyDescent="0.2">
      <c r="Z1512" s="1"/>
      <c r="AA1512" s="1"/>
    </row>
    <row r="1513" spans="26:27" x14ac:dyDescent="0.2">
      <c r="Z1513" s="1"/>
      <c r="AA1513" s="1"/>
    </row>
    <row r="1514" spans="26:27" x14ac:dyDescent="0.2">
      <c r="Z1514" s="1"/>
      <c r="AA1514" s="1"/>
    </row>
    <row r="1515" spans="26:27" x14ac:dyDescent="0.2">
      <c r="Z1515" s="1"/>
      <c r="AA1515" s="1"/>
    </row>
    <row r="1516" spans="26:27" x14ac:dyDescent="0.2">
      <c r="Z1516" s="1"/>
      <c r="AA1516" s="1"/>
    </row>
    <row r="1517" spans="26:27" x14ac:dyDescent="0.2">
      <c r="Z1517" s="1"/>
      <c r="AA1517" s="1"/>
    </row>
    <row r="1518" spans="26:27" x14ac:dyDescent="0.2">
      <c r="Z1518" s="1"/>
      <c r="AA1518" s="1"/>
    </row>
    <row r="1519" spans="26:27" x14ac:dyDescent="0.2">
      <c r="Z1519" s="1"/>
      <c r="AA1519" s="1"/>
    </row>
    <row r="1520" spans="26:27" x14ac:dyDescent="0.2">
      <c r="Z1520" s="1"/>
      <c r="AA1520" s="1"/>
    </row>
    <row r="1521" spans="26:27" x14ac:dyDescent="0.2">
      <c r="Z1521" s="1"/>
      <c r="AA1521" s="1"/>
    </row>
    <row r="1522" spans="26:27" x14ac:dyDescent="0.2">
      <c r="Z1522" s="1"/>
      <c r="AA1522" s="1"/>
    </row>
    <row r="1523" spans="26:27" x14ac:dyDescent="0.2">
      <c r="Z1523" s="1"/>
      <c r="AA1523" s="1"/>
    </row>
    <row r="1524" spans="26:27" x14ac:dyDescent="0.2">
      <c r="Z1524" s="1"/>
      <c r="AA1524" s="1"/>
    </row>
    <row r="1525" spans="26:27" x14ac:dyDescent="0.2">
      <c r="Z1525" s="1"/>
      <c r="AA1525" s="1"/>
    </row>
    <row r="1526" spans="26:27" x14ac:dyDescent="0.2">
      <c r="Z1526" s="1"/>
      <c r="AA1526" s="1"/>
    </row>
    <row r="1527" spans="26:27" x14ac:dyDescent="0.2">
      <c r="Z1527" s="1"/>
      <c r="AA1527" s="1"/>
    </row>
    <row r="1528" spans="26:27" x14ac:dyDescent="0.2">
      <c r="Z1528" s="1"/>
      <c r="AA1528" s="1"/>
    </row>
    <row r="1529" spans="26:27" x14ac:dyDescent="0.2">
      <c r="Z1529" s="1"/>
      <c r="AA1529" s="1"/>
    </row>
    <row r="1530" spans="26:27" x14ac:dyDescent="0.2">
      <c r="Z1530" s="1"/>
      <c r="AA1530" s="1"/>
    </row>
    <row r="1531" spans="26:27" x14ac:dyDescent="0.2">
      <c r="Z1531" s="1"/>
      <c r="AA1531" s="1"/>
    </row>
    <row r="1532" spans="26:27" x14ac:dyDescent="0.2">
      <c r="Z1532" s="1"/>
      <c r="AA1532" s="1"/>
    </row>
    <row r="1533" spans="26:27" x14ac:dyDescent="0.2">
      <c r="Z1533" s="1"/>
      <c r="AA1533" s="1"/>
    </row>
    <row r="1534" spans="26:27" x14ac:dyDescent="0.2">
      <c r="Z1534" s="1"/>
      <c r="AA1534" s="1"/>
    </row>
    <row r="1535" spans="26:27" x14ac:dyDescent="0.2">
      <c r="Z1535" s="1"/>
      <c r="AA1535" s="1"/>
    </row>
    <row r="1536" spans="26:27" x14ac:dyDescent="0.2">
      <c r="Z1536" s="1"/>
      <c r="AA1536" s="1"/>
    </row>
    <row r="1537" spans="26:27" x14ac:dyDescent="0.2">
      <c r="Z1537" s="1"/>
      <c r="AA1537" s="1"/>
    </row>
    <row r="1538" spans="26:27" x14ac:dyDescent="0.2">
      <c r="Z1538" s="1"/>
      <c r="AA1538" s="1"/>
    </row>
    <row r="1539" spans="26:27" x14ac:dyDescent="0.2">
      <c r="Z1539" s="1"/>
      <c r="AA1539" s="1"/>
    </row>
    <row r="1540" spans="26:27" x14ac:dyDescent="0.2">
      <c r="Z1540" s="1"/>
      <c r="AA1540" s="1"/>
    </row>
    <row r="1541" spans="26:27" x14ac:dyDescent="0.2">
      <c r="Z1541" s="1"/>
      <c r="AA1541" s="1"/>
    </row>
    <row r="1542" spans="26:27" x14ac:dyDescent="0.2">
      <c r="Z1542" s="1"/>
      <c r="AA1542" s="1"/>
    </row>
    <row r="1543" spans="26:27" x14ac:dyDescent="0.2">
      <c r="Z1543" s="1"/>
      <c r="AA1543" s="1"/>
    </row>
    <row r="1544" spans="26:27" x14ac:dyDescent="0.2">
      <c r="Z1544" s="1"/>
      <c r="AA1544" s="1"/>
    </row>
    <row r="1545" spans="26:27" x14ac:dyDescent="0.2">
      <c r="Z1545" s="1"/>
      <c r="AA1545" s="1"/>
    </row>
    <row r="1546" spans="26:27" x14ac:dyDescent="0.2">
      <c r="Z1546" s="1"/>
      <c r="AA1546" s="1"/>
    </row>
    <row r="1547" spans="26:27" x14ac:dyDescent="0.2">
      <c r="Z1547" s="1"/>
      <c r="AA1547" s="1"/>
    </row>
    <row r="1548" spans="26:27" x14ac:dyDescent="0.2">
      <c r="Z1548" s="1"/>
      <c r="AA1548" s="1"/>
    </row>
    <row r="1549" spans="26:27" x14ac:dyDescent="0.2">
      <c r="Z1549" s="1"/>
      <c r="AA1549" s="1"/>
    </row>
    <row r="1550" spans="26:27" x14ac:dyDescent="0.2">
      <c r="Z1550" s="1"/>
      <c r="AA1550" s="1"/>
    </row>
    <row r="1551" spans="26:27" x14ac:dyDescent="0.2">
      <c r="Z1551" s="1"/>
      <c r="AA1551" s="1"/>
    </row>
    <row r="1552" spans="26:27" x14ac:dyDescent="0.2">
      <c r="Z1552" s="1"/>
      <c r="AA1552" s="1"/>
    </row>
    <row r="1553" spans="26:27" x14ac:dyDescent="0.2">
      <c r="Z1553" s="1"/>
      <c r="AA1553" s="1"/>
    </row>
    <row r="1554" spans="26:27" x14ac:dyDescent="0.2">
      <c r="Z1554" s="1"/>
      <c r="AA1554" s="1"/>
    </row>
    <row r="1555" spans="26:27" x14ac:dyDescent="0.2">
      <c r="Z1555" s="1"/>
      <c r="AA1555" s="1"/>
    </row>
    <row r="1556" spans="26:27" x14ac:dyDescent="0.2">
      <c r="Z1556" s="1"/>
      <c r="AA1556" s="1"/>
    </row>
    <row r="1557" spans="26:27" x14ac:dyDescent="0.2">
      <c r="Z1557" s="1"/>
      <c r="AA1557" s="1"/>
    </row>
    <row r="1558" spans="26:27" x14ac:dyDescent="0.2">
      <c r="Z1558" s="1"/>
      <c r="AA1558" s="1"/>
    </row>
    <row r="1559" spans="26:27" x14ac:dyDescent="0.2">
      <c r="Z1559" s="1"/>
      <c r="AA1559" s="1"/>
    </row>
    <row r="1560" spans="26:27" x14ac:dyDescent="0.2">
      <c r="Z1560" s="1"/>
      <c r="AA1560" s="1"/>
    </row>
    <row r="1561" spans="26:27" x14ac:dyDescent="0.2">
      <c r="Z1561" s="1"/>
      <c r="AA1561" s="1"/>
    </row>
    <row r="1562" spans="26:27" x14ac:dyDescent="0.2">
      <c r="Z1562" s="1"/>
      <c r="AA1562" s="1"/>
    </row>
    <row r="1563" spans="26:27" x14ac:dyDescent="0.2">
      <c r="Z1563" s="1"/>
      <c r="AA1563" s="1"/>
    </row>
    <row r="1564" spans="26:27" x14ac:dyDescent="0.2">
      <c r="Z1564" s="1"/>
      <c r="AA1564" s="1"/>
    </row>
    <row r="1565" spans="26:27" x14ac:dyDescent="0.2">
      <c r="Z1565" s="1"/>
      <c r="AA1565" s="1"/>
    </row>
    <row r="1566" spans="26:27" x14ac:dyDescent="0.2">
      <c r="Z1566" s="1"/>
      <c r="AA1566" s="1"/>
    </row>
    <row r="1567" spans="26:27" x14ac:dyDescent="0.2">
      <c r="Z1567" s="1"/>
      <c r="AA1567" s="1"/>
    </row>
    <row r="1568" spans="26:27" x14ac:dyDescent="0.2">
      <c r="Z1568" s="1"/>
      <c r="AA1568" s="1"/>
    </row>
    <row r="1569" spans="26:27" x14ac:dyDescent="0.2">
      <c r="Z1569" s="1"/>
      <c r="AA1569" s="1"/>
    </row>
    <row r="1570" spans="26:27" x14ac:dyDescent="0.2">
      <c r="Z1570" s="1"/>
      <c r="AA1570" s="1"/>
    </row>
    <row r="1571" spans="26:27" x14ac:dyDescent="0.2">
      <c r="Z1571" s="1"/>
      <c r="AA1571" s="1"/>
    </row>
    <row r="1572" spans="26:27" x14ac:dyDescent="0.2">
      <c r="Z1572" s="1"/>
      <c r="AA1572" s="1"/>
    </row>
    <row r="1573" spans="26:27" x14ac:dyDescent="0.2">
      <c r="Z1573" s="1"/>
      <c r="AA1573" s="1"/>
    </row>
    <row r="1574" spans="26:27" x14ac:dyDescent="0.2">
      <c r="Z1574" s="1"/>
      <c r="AA1574" s="1"/>
    </row>
    <row r="1575" spans="26:27" x14ac:dyDescent="0.2">
      <c r="Z1575" s="1"/>
      <c r="AA1575" s="1"/>
    </row>
    <row r="1576" spans="26:27" x14ac:dyDescent="0.2">
      <c r="Z1576" s="1"/>
      <c r="AA1576" s="1"/>
    </row>
    <row r="1577" spans="26:27" x14ac:dyDescent="0.2">
      <c r="Z1577" s="1"/>
      <c r="AA1577" s="1"/>
    </row>
    <row r="1578" spans="26:27" x14ac:dyDescent="0.2">
      <c r="Z1578" s="1"/>
      <c r="AA1578" s="1"/>
    </row>
    <row r="1579" spans="26:27" x14ac:dyDescent="0.2">
      <c r="Z1579" s="1"/>
      <c r="AA1579" s="1"/>
    </row>
    <row r="1580" spans="26:27" x14ac:dyDescent="0.2">
      <c r="Z1580" s="1"/>
      <c r="AA1580" s="1"/>
    </row>
    <row r="1581" spans="26:27" x14ac:dyDescent="0.2">
      <c r="Z1581" s="1"/>
      <c r="AA1581" s="1"/>
    </row>
    <row r="1582" spans="26:27" x14ac:dyDescent="0.2">
      <c r="Z1582" s="1"/>
      <c r="AA1582" s="1"/>
    </row>
    <row r="1583" spans="26:27" x14ac:dyDescent="0.2">
      <c r="Z1583" s="1"/>
      <c r="AA1583" s="1"/>
    </row>
    <row r="1584" spans="26:27" x14ac:dyDescent="0.2">
      <c r="Z1584" s="1"/>
      <c r="AA1584" s="1"/>
    </row>
    <row r="1585" spans="26:27" x14ac:dyDescent="0.2">
      <c r="Z1585" s="1"/>
      <c r="AA1585" s="1"/>
    </row>
    <row r="1586" spans="26:27" x14ac:dyDescent="0.2">
      <c r="Z1586" s="1"/>
      <c r="AA1586" s="1"/>
    </row>
    <row r="1587" spans="26:27" x14ac:dyDescent="0.2">
      <c r="Z1587" s="1"/>
      <c r="AA1587" s="1"/>
    </row>
    <row r="1588" spans="26:27" x14ac:dyDescent="0.2">
      <c r="Z1588" s="1"/>
      <c r="AA1588" s="1"/>
    </row>
    <row r="1589" spans="26:27" x14ac:dyDescent="0.2">
      <c r="Z1589" s="1"/>
      <c r="AA1589" s="1"/>
    </row>
    <row r="1590" spans="26:27" x14ac:dyDescent="0.2">
      <c r="Z1590" s="1"/>
      <c r="AA1590" s="1"/>
    </row>
    <row r="1591" spans="26:27" x14ac:dyDescent="0.2">
      <c r="Z1591" s="1"/>
      <c r="AA1591" s="1"/>
    </row>
    <row r="1592" spans="26:27" x14ac:dyDescent="0.2">
      <c r="Z1592" s="1"/>
      <c r="AA1592" s="1"/>
    </row>
    <row r="1593" spans="26:27" x14ac:dyDescent="0.2">
      <c r="Z1593" s="1"/>
      <c r="AA1593" s="1"/>
    </row>
    <row r="1594" spans="26:27" x14ac:dyDescent="0.2">
      <c r="Z1594" s="1"/>
      <c r="AA1594" s="1"/>
    </row>
    <row r="1595" spans="26:27" x14ac:dyDescent="0.2">
      <c r="Z1595" s="1"/>
      <c r="AA1595" s="1"/>
    </row>
    <row r="1596" spans="26:27" x14ac:dyDescent="0.2">
      <c r="Z1596" s="1"/>
      <c r="AA1596" s="1"/>
    </row>
    <row r="1597" spans="26:27" x14ac:dyDescent="0.2">
      <c r="Z1597" s="1"/>
      <c r="AA1597" s="1"/>
    </row>
    <row r="1598" spans="26:27" x14ac:dyDescent="0.2">
      <c r="Z1598" s="1"/>
      <c r="AA1598" s="1"/>
    </row>
    <row r="1599" spans="26:27" x14ac:dyDescent="0.2">
      <c r="Z1599" s="1"/>
      <c r="AA1599" s="1"/>
    </row>
    <row r="1600" spans="26:27" x14ac:dyDescent="0.2">
      <c r="Z1600" s="1"/>
      <c r="AA1600" s="1"/>
    </row>
    <row r="1601" spans="26:27" x14ac:dyDescent="0.2">
      <c r="Z1601" s="1"/>
      <c r="AA1601" s="1"/>
    </row>
    <row r="1602" spans="26:27" x14ac:dyDescent="0.2">
      <c r="Z1602" s="1"/>
      <c r="AA1602" s="1"/>
    </row>
    <row r="1603" spans="26:27" x14ac:dyDescent="0.2">
      <c r="Z1603" s="1"/>
      <c r="AA1603" s="1"/>
    </row>
    <row r="1604" spans="26:27" x14ac:dyDescent="0.2">
      <c r="Z1604" s="1"/>
      <c r="AA1604" s="1"/>
    </row>
    <row r="1605" spans="26:27" x14ac:dyDescent="0.2">
      <c r="Z1605" s="1"/>
      <c r="AA1605" s="1"/>
    </row>
    <row r="1606" spans="26:27" x14ac:dyDescent="0.2">
      <c r="Z1606" s="1"/>
      <c r="AA1606" s="1"/>
    </row>
    <row r="1607" spans="26:27" x14ac:dyDescent="0.2">
      <c r="Z1607" s="1"/>
      <c r="AA1607" s="1"/>
    </row>
    <row r="1608" spans="26:27" x14ac:dyDescent="0.2">
      <c r="Z1608" s="1"/>
      <c r="AA1608" s="1"/>
    </row>
    <row r="1609" spans="26:27" x14ac:dyDescent="0.2">
      <c r="Z1609" s="1"/>
      <c r="AA1609" s="1"/>
    </row>
    <row r="1610" spans="26:27" x14ac:dyDescent="0.2">
      <c r="Z1610" s="1"/>
      <c r="AA1610" s="1"/>
    </row>
    <row r="1611" spans="26:27" x14ac:dyDescent="0.2">
      <c r="Z1611" s="1"/>
      <c r="AA1611" s="1"/>
    </row>
    <row r="1612" spans="26:27" x14ac:dyDescent="0.2">
      <c r="Z1612" s="1"/>
      <c r="AA1612" s="1"/>
    </row>
    <row r="1613" spans="26:27" x14ac:dyDescent="0.2">
      <c r="Z1613" s="1"/>
      <c r="AA1613" s="1"/>
    </row>
    <row r="1614" spans="26:27" x14ac:dyDescent="0.2">
      <c r="Z1614" s="1"/>
      <c r="AA1614" s="1"/>
    </row>
    <row r="1615" spans="26:27" x14ac:dyDescent="0.2">
      <c r="Z1615" s="1"/>
      <c r="AA1615" s="1"/>
    </row>
    <row r="1616" spans="26:27" x14ac:dyDescent="0.2">
      <c r="Z1616" s="1"/>
      <c r="AA1616" s="1"/>
    </row>
    <row r="1617" spans="26:27" x14ac:dyDescent="0.2">
      <c r="Z1617" s="1"/>
      <c r="AA1617" s="1"/>
    </row>
    <row r="1618" spans="26:27" x14ac:dyDescent="0.2">
      <c r="Z1618" s="1"/>
      <c r="AA1618" s="1"/>
    </row>
    <row r="1619" spans="26:27" x14ac:dyDescent="0.2">
      <c r="Z1619" s="1"/>
      <c r="AA1619" s="1"/>
    </row>
    <row r="1620" spans="26:27" x14ac:dyDescent="0.2">
      <c r="Z1620" s="1"/>
      <c r="AA1620" s="1"/>
    </row>
    <row r="1621" spans="26:27" x14ac:dyDescent="0.2">
      <c r="Z1621" s="1"/>
      <c r="AA1621" s="1"/>
    </row>
    <row r="1622" spans="26:27" x14ac:dyDescent="0.2">
      <c r="Z1622" s="1"/>
      <c r="AA1622" s="1"/>
    </row>
    <row r="1623" spans="26:27" x14ac:dyDescent="0.2">
      <c r="Z1623" s="1"/>
      <c r="AA1623" s="1"/>
    </row>
    <row r="1624" spans="26:27" x14ac:dyDescent="0.2">
      <c r="Z1624" s="1"/>
      <c r="AA1624" s="1"/>
    </row>
    <row r="1625" spans="26:27" x14ac:dyDescent="0.2">
      <c r="Z1625" s="1"/>
      <c r="AA1625" s="1"/>
    </row>
    <row r="1626" spans="26:27" x14ac:dyDescent="0.2">
      <c r="Z1626" s="1"/>
      <c r="AA1626" s="1"/>
    </row>
    <row r="1627" spans="26:27" x14ac:dyDescent="0.2">
      <c r="Z1627" s="1"/>
      <c r="AA1627" s="1"/>
    </row>
    <row r="1628" spans="26:27" x14ac:dyDescent="0.2">
      <c r="Z1628" s="1"/>
      <c r="AA1628" s="1"/>
    </row>
    <row r="1629" spans="26:27" x14ac:dyDescent="0.2">
      <c r="Z1629" s="1"/>
      <c r="AA1629" s="1"/>
    </row>
    <row r="1630" spans="26:27" x14ac:dyDescent="0.2">
      <c r="Z1630" s="1"/>
      <c r="AA1630" s="1"/>
    </row>
    <row r="1631" spans="26:27" x14ac:dyDescent="0.2">
      <c r="Z1631" s="1"/>
      <c r="AA1631" s="1"/>
    </row>
    <row r="1632" spans="26:27" x14ac:dyDescent="0.2">
      <c r="Z1632" s="1"/>
      <c r="AA1632" s="1"/>
    </row>
    <row r="1633" spans="26:27" x14ac:dyDescent="0.2">
      <c r="Z1633" s="1"/>
      <c r="AA1633" s="1"/>
    </row>
    <row r="1634" spans="26:27" x14ac:dyDescent="0.2">
      <c r="Z1634" s="1"/>
      <c r="AA1634" s="1"/>
    </row>
    <row r="1635" spans="26:27" x14ac:dyDescent="0.2">
      <c r="Z1635" s="1"/>
      <c r="AA1635" s="1"/>
    </row>
    <row r="1636" spans="26:27" x14ac:dyDescent="0.2">
      <c r="Z1636" s="1"/>
      <c r="AA1636" s="1"/>
    </row>
    <row r="1637" spans="26:27" x14ac:dyDescent="0.2">
      <c r="Z1637" s="1"/>
      <c r="AA1637" s="1"/>
    </row>
    <row r="1638" spans="26:27" x14ac:dyDescent="0.2">
      <c r="Z1638" s="1"/>
      <c r="AA1638" s="1"/>
    </row>
    <row r="1639" spans="26:27" x14ac:dyDescent="0.2">
      <c r="Z1639" s="1"/>
      <c r="AA1639" s="1"/>
    </row>
    <row r="1640" spans="26:27" x14ac:dyDescent="0.2">
      <c r="Z1640" s="1"/>
      <c r="AA1640" s="1"/>
    </row>
    <row r="1641" spans="26:27" x14ac:dyDescent="0.2">
      <c r="Z1641" s="1"/>
      <c r="AA1641" s="1"/>
    </row>
    <row r="1642" spans="26:27" x14ac:dyDescent="0.2">
      <c r="Z1642" s="1"/>
      <c r="AA1642" s="1"/>
    </row>
    <row r="1643" spans="26:27" x14ac:dyDescent="0.2">
      <c r="Z1643" s="1"/>
      <c r="AA1643" s="1"/>
    </row>
    <row r="1644" spans="26:27" x14ac:dyDescent="0.2">
      <c r="Z1644" s="1"/>
      <c r="AA1644" s="1"/>
    </row>
    <row r="1645" spans="26:27" x14ac:dyDescent="0.2">
      <c r="Z1645" s="1"/>
      <c r="AA1645" s="1"/>
    </row>
    <row r="1646" spans="26:27" x14ac:dyDescent="0.2">
      <c r="Z1646" s="1"/>
      <c r="AA1646" s="1"/>
    </row>
    <row r="1647" spans="26:27" x14ac:dyDescent="0.2">
      <c r="Z1647" s="1"/>
      <c r="AA1647" s="1"/>
    </row>
    <row r="1648" spans="26:27" x14ac:dyDescent="0.2">
      <c r="Z1648" s="1"/>
      <c r="AA1648" s="1"/>
    </row>
    <row r="1649" spans="26:27" x14ac:dyDescent="0.2">
      <c r="Z1649" s="1"/>
      <c r="AA1649" s="1"/>
    </row>
    <row r="1650" spans="26:27" x14ac:dyDescent="0.2">
      <c r="Z1650" s="1"/>
      <c r="AA1650" s="1"/>
    </row>
    <row r="1651" spans="26:27" x14ac:dyDescent="0.2">
      <c r="Z1651" s="1"/>
      <c r="AA1651" s="1"/>
    </row>
    <row r="1652" spans="26:27" x14ac:dyDescent="0.2">
      <c r="Z1652" s="1"/>
      <c r="AA1652" s="1"/>
    </row>
    <row r="1653" spans="26:27" x14ac:dyDescent="0.2">
      <c r="Z1653" s="1"/>
      <c r="AA1653" s="1"/>
    </row>
    <row r="1654" spans="26:27" x14ac:dyDescent="0.2">
      <c r="Z1654" s="1"/>
      <c r="AA1654" s="1"/>
    </row>
    <row r="1655" spans="26:27" x14ac:dyDescent="0.2">
      <c r="Z1655" s="1"/>
      <c r="AA1655" s="1"/>
    </row>
    <row r="1656" spans="26:27" x14ac:dyDescent="0.2">
      <c r="Z1656" s="1"/>
      <c r="AA1656" s="1"/>
    </row>
    <row r="1657" spans="26:27" x14ac:dyDescent="0.2">
      <c r="Z1657" s="1"/>
      <c r="AA1657" s="1"/>
    </row>
    <row r="1658" spans="26:27" x14ac:dyDescent="0.2">
      <c r="Z1658" s="1"/>
      <c r="AA1658" s="1"/>
    </row>
    <row r="1659" spans="26:27" x14ac:dyDescent="0.2">
      <c r="Z1659" s="1"/>
      <c r="AA1659" s="1"/>
    </row>
    <row r="1660" spans="26:27" x14ac:dyDescent="0.2">
      <c r="Z1660" s="1"/>
      <c r="AA1660" s="1"/>
    </row>
    <row r="1661" spans="26:27" x14ac:dyDescent="0.2">
      <c r="Z1661" s="1"/>
      <c r="AA1661" s="1"/>
    </row>
    <row r="1662" spans="26:27" x14ac:dyDescent="0.2">
      <c r="Z1662" s="1"/>
      <c r="AA1662" s="1"/>
    </row>
    <row r="1663" spans="26:27" x14ac:dyDescent="0.2">
      <c r="Z1663" s="1"/>
      <c r="AA1663" s="1"/>
    </row>
    <row r="1664" spans="26:27" x14ac:dyDescent="0.2">
      <c r="Z1664" s="1"/>
      <c r="AA1664" s="1"/>
    </row>
    <row r="1665" spans="26:27" x14ac:dyDescent="0.2">
      <c r="Z1665" s="1"/>
      <c r="AA1665" s="1"/>
    </row>
    <row r="1666" spans="26:27" x14ac:dyDescent="0.2">
      <c r="Z1666" s="1"/>
      <c r="AA1666" s="1"/>
    </row>
    <row r="1667" spans="26:27" x14ac:dyDescent="0.2">
      <c r="Z1667" s="1"/>
      <c r="AA1667" s="1"/>
    </row>
    <row r="1668" spans="26:27" x14ac:dyDescent="0.2">
      <c r="Z1668" s="1"/>
      <c r="AA1668" s="1"/>
    </row>
    <row r="1669" spans="26:27" x14ac:dyDescent="0.2">
      <c r="Z1669" s="1"/>
      <c r="AA1669" s="1"/>
    </row>
    <row r="1670" spans="26:27" x14ac:dyDescent="0.2">
      <c r="Z1670" s="1"/>
      <c r="AA1670" s="1"/>
    </row>
    <row r="1671" spans="26:27" x14ac:dyDescent="0.2">
      <c r="Z1671" s="1"/>
      <c r="AA1671" s="1"/>
    </row>
    <row r="1672" spans="26:27" x14ac:dyDescent="0.2">
      <c r="Z1672" s="1"/>
      <c r="AA1672" s="1"/>
    </row>
    <row r="1673" spans="26:27" x14ac:dyDescent="0.2">
      <c r="Z1673" s="1"/>
      <c r="AA1673" s="1"/>
    </row>
    <row r="1674" spans="26:27" x14ac:dyDescent="0.2">
      <c r="Z1674" s="1"/>
      <c r="AA1674" s="1"/>
    </row>
    <row r="1675" spans="26:27" x14ac:dyDescent="0.2">
      <c r="Z1675" s="1"/>
      <c r="AA1675" s="1"/>
    </row>
    <row r="1676" spans="26:27" x14ac:dyDescent="0.2">
      <c r="Z1676" s="1"/>
      <c r="AA1676" s="1"/>
    </row>
    <row r="1677" spans="26:27" x14ac:dyDescent="0.2">
      <c r="Z1677" s="1"/>
      <c r="AA1677" s="1"/>
    </row>
    <row r="1678" spans="26:27" x14ac:dyDescent="0.2">
      <c r="Z1678" s="1"/>
      <c r="AA1678" s="1"/>
    </row>
    <row r="1679" spans="26:27" x14ac:dyDescent="0.2">
      <c r="Z1679" s="1"/>
      <c r="AA1679" s="1"/>
    </row>
    <row r="1680" spans="26:27" x14ac:dyDescent="0.2">
      <c r="Z1680" s="1"/>
      <c r="AA1680" s="1"/>
    </row>
    <row r="1681" spans="26:27" x14ac:dyDescent="0.2">
      <c r="Z1681" s="1"/>
      <c r="AA1681" s="1"/>
    </row>
    <row r="1682" spans="26:27" x14ac:dyDescent="0.2">
      <c r="Z1682" s="1"/>
      <c r="AA1682" s="1"/>
    </row>
    <row r="1683" spans="26:27" x14ac:dyDescent="0.2">
      <c r="Z1683" s="1"/>
      <c r="AA1683" s="1"/>
    </row>
    <row r="1684" spans="26:27" x14ac:dyDescent="0.2">
      <c r="Z1684" s="1"/>
      <c r="AA1684" s="1"/>
    </row>
    <row r="1685" spans="26:27" x14ac:dyDescent="0.2">
      <c r="Z1685" s="1"/>
      <c r="AA1685" s="1"/>
    </row>
    <row r="1686" spans="26:27" x14ac:dyDescent="0.2">
      <c r="Z1686" s="1"/>
      <c r="AA1686" s="1"/>
    </row>
    <row r="1687" spans="26:27" x14ac:dyDescent="0.2">
      <c r="Z1687" s="1"/>
      <c r="AA1687" s="1"/>
    </row>
    <row r="1688" spans="26:27" x14ac:dyDescent="0.2">
      <c r="Z1688" s="1"/>
      <c r="AA1688" s="1"/>
    </row>
    <row r="1689" spans="26:27" x14ac:dyDescent="0.2">
      <c r="Z1689" s="1"/>
      <c r="AA1689" s="1"/>
    </row>
    <row r="1690" spans="26:27" x14ac:dyDescent="0.2">
      <c r="Z1690" s="1"/>
      <c r="AA1690" s="1"/>
    </row>
    <row r="1691" spans="26:27" x14ac:dyDescent="0.2">
      <c r="Z1691" s="1"/>
      <c r="AA1691" s="1"/>
    </row>
    <row r="1692" spans="26:27" x14ac:dyDescent="0.2">
      <c r="Z1692" s="1"/>
      <c r="AA1692" s="1"/>
    </row>
    <row r="1693" spans="26:27" x14ac:dyDescent="0.2">
      <c r="Z1693" s="1"/>
      <c r="AA1693" s="1"/>
    </row>
    <row r="1694" spans="26:27" x14ac:dyDescent="0.2">
      <c r="Z1694" s="1"/>
      <c r="AA1694" s="1"/>
    </row>
    <row r="1695" spans="26:27" x14ac:dyDescent="0.2">
      <c r="Z1695" s="1"/>
      <c r="AA1695" s="1"/>
    </row>
    <row r="1696" spans="26:27" x14ac:dyDescent="0.2">
      <c r="Z1696" s="1"/>
      <c r="AA1696" s="1"/>
    </row>
    <row r="1697" spans="26:27" x14ac:dyDescent="0.2">
      <c r="Z1697" s="1"/>
      <c r="AA1697" s="1"/>
    </row>
    <row r="1698" spans="26:27" x14ac:dyDescent="0.2">
      <c r="Z1698" s="1"/>
      <c r="AA1698" s="1"/>
    </row>
    <row r="1699" spans="26:27" x14ac:dyDescent="0.2">
      <c r="Z1699" s="1"/>
      <c r="AA1699" s="1"/>
    </row>
    <row r="1700" spans="26:27" x14ac:dyDescent="0.2">
      <c r="Z1700" s="1"/>
      <c r="AA1700" s="1"/>
    </row>
    <row r="1701" spans="26:27" x14ac:dyDescent="0.2">
      <c r="Z1701" s="1"/>
      <c r="AA1701" s="1"/>
    </row>
    <row r="1702" spans="26:27" x14ac:dyDescent="0.2">
      <c r="Z1702" s="1"/>
      <c r="AA1702" s="1"/>
    </row>
    <row r="1703" spans="26:27" x14ac:dyDescent="0.2">
      <c r="Z1703" s="1"/>
      <c r="AA1703" s="1"/>
    </row>
    <row r="1704" spans="26:27" x14ac:dyDescent="0.2">
      <c r="Z1704" s="1"/>
      <c r="AA1704" s="1"/>
    </row>
    <row r="1705" spans="26:27" x14ac:dyDescent="0.2">
      <c r="Z1705" s="1"/>
      <c r="AA1705" s="1"/>
    </row>
    <row r="1706" spans="26:27" x14ac:dyDescent="0.2">
      <c r="Z1706" s="1"/>
      <c r="AA1706" s="1"/>
    </row>
    <row r="1707" spans="26:27" x14ac:dyDescent="0.2">
      <c r="Z1707" s="1"/>
      <c r="AA1707" s="1"/>
    </row>
    <row r="1708" spans="26:27" x14ac:dyDescent="0.2">
      <c r="Z1708" s="1"/>
      <c r="AA1708" s="1"/>
    </row>
    <row r="1709" spans="26:27" x14ac:dyDescent="0.2">
      <c r="Z1709" s="1"/>
      <c r="AA1709" s="1"/>
    </row>
    <row r="1710" spans="26:27" x14ac:dyDescent="0.2">
      <c r="Z1710" s="1"/>
      <c r="AA1710" s="1"/>
    </row>
    <row r="1711" spans="26:27" x14ac:dyDescent="0.2">
      <c r="Z1711" s="1"/>
      <c r="AA1711" s="1"/>
    </row>
    <row r="1712" spans="26:27" x14ac:dyDescent="0.2">
      <c r="Z1712" s="1"/>
      <c r="AA1712" s="1"/>
    </row>
    <row r="1713" spans="26:27" x14ac:dyDescent="0.2">
      <c r="Z1713" s="1"/>
      <c r="AA1713" s="1"/>
    </row>
    <row r="1714" spans="26:27" x14ac:dyDescent="0.2">
      <c r="Z1714" s="1"/>
      <c r="AA1714" s="1"/>
    </row>
    <row r="1715" spans="26:27" x14ac:dyDescent="0.2">
      <c r="Z1715" s="1"/>
      <c r="AA1715" s="1"/>
    </row>
    <row r="1716" spans="26:27" x14ac:dyDescent="0.2">
      <c r="Z1716" s="1"/>
      <c r="AA1716" s="1"/>
    </row>
    <row r="1717" spans="26:27" x14ac:dyDescent="0.2">
      <c r="Z1717" s="1"/>
      <c r="AA1717" s="1"/>
    </row>
    <row r="1718" spans="26:27" x14ac:dyDescent="0.2">
      <c r="Z1718" s="1"/>
      <c r="AA1718" s="1"/>
    </row>
    <row r="1719" spans="26:27" x14ac:dyDescent="0.2">
      <c r="Z1719" s="1"/>
      <c r="AA1719" s="1"/>
    </row>
    <row r="1720" spans="26:27" x14ac:dyDescent="0.2">
      <c r="Z1720" s="1"/>
      <c r="AA1720" s="1"/>
    </row>
    <row r="1721" spans="26:27" x14ac:dyDescent="0.2">
      <c r="Z1721" s="1"/>
      <c r="AA1721" s="1"/>
    </row>
    <row r="1722" spans="26:27" x14ac:dyDescent="0.2">
      <c r="Z1722" s="1"/>
      <c r="AA1722" s="1"/>
    </row>
    <row r="1723" spans="26:27" x14ac:dyDescent="0.2">
      <c r="Z1723" s="1"/>
      <c r="AA1723" s="1"/>
    </row>
    <row r="1724" spans="26:27" x14ac:dyDescent="0.2">
      <c r="Z1724" s="1"/>
      <c r="AA1724" s="1"/>
    </row>
    <row r="1725" spans="26:27" x14ac:dyDescent="0.2">
      <c r="Z1725" s="1"/>
      <c r="AA1725" s="1"/>
    </row>
    <row r="1726" spans="26:27" x14ac:dyDescent="0.2">
      <c r="Z1726" s="1"/>
      <c r="AA1726" s="1"/>
    </row>
    <row r="1727" spans="26:27" x14ac:dyDescent="0.2">
      <c r="Z1727" s="1"/>
      <c r="AA1727" s="1"/>
    </row>
    <row r="1728" spans="26:27" x14ac:dyDescent="0.2">
      <c r="Z1728" s="1"/>
      <c r="AA1728" s="1"/>
    </row>
    <row r="1729" spans="26:27" x14ac:dyDescent="0.2">
      <c r="Z1729" s="1"/>
      <c r="AA1729" s="1"/>
    </row>
    <row r="1730" spans="26:27" x14ac:dyDescent="0.2">
      <c r="Z1730" s="1"/>
      <c r="AA1730" s="1"/>
    </row>
    <row r="1731" spans="26:27" x14ac:dyDescent="0.2">
      <c r="Z1731" s="1"/>
      <c r="AA1731" s="1"/>
    </row>
    <row r="1732" spans="26:27" x14ac:dyDescent="0.2">
      <c r="Z1732" s="1"/>
      <c r="AA1732" s="1"/>
    </row>
    <row r="1733" spans="26:27" x14ac:dyDescent="0.2">
      <c r="Z1733" s="1"/>
      <c r="AA1733" s="1"/>
    </row>
    <row r="1734" spans="26:27" x14ac:dyDescent="0.2">
      <c r="Z1734" s="1"/>
      <c r="AA1734" s="1"/>
    </row>
    <row r="1735" spans="26:27" x14ac:dyDescent="0.2">
      <c r="Z1735" s="1"/>
      <c r="AA1735" s="1"/>
    </row>
    <row r="1736" spans="26:27" x14ac:dyDescent="0.2">
      <c r="Z1736" s="1"/>
      <c r="AA1736" s="1"/>
    </row>
    <row r="1737" spans="26:27" x14ac:dyDescent="0.2">
      <c r="Z1737" s="1"/>
      <c r="AA1737" s="1"/>
    </row>
    <row r="1738" spans="26:27" x14ac:dyDescent="0.2">
      <c r="Z1738" s="1"/>
      <c r="AA1738" s="1"/>
    </row>
    <row r="1739" spans="26:27" x14ac:dyDescent="0.2">
      <c r="Z1739" s="1"/>
      <c r="AA1739" s="1"/>
    </row>
    <row r="1740" spans="26:27" x14ac:dyDescent="0.2">
      <c r="Z1740" s="1"/>
      <c r="AA1740" s="1"/>
    </row>
    <row r="1741" spans="26:27" x14ac:dyDescent="0.2">
      <c r="Z1741" s="1"/>
      <c r="AA1741" s="1"/>
    </row>
    <row r="1742" spans="26:27" x14ac:dyDescent="0.2">
      <c r="Z1742" s="1"/>
      <c r="AA1742" s="1"/>
    </row>
    <row r="1743" spans="26:27" x14ac:dyDescent="0.2">
      <c r="Z1743" s="1"/>
      <c r="AA1743" s="1"/>
    </row>
    <row r="1744" spans="26:27" x14ac:dyDescent="0.2">
      <c r="Z1744" s="1"/>
      <c r="AA1744" s="1"/>
    </row>
    <row r="1745" spans="26:27" x14ac:dyDescent="0.2">
      <c r="Z1745" s="1"/>
      <c r="AA1745" s="1"/>
    </row>
    <row r="1746" spans="26:27" x14ac:dyDescent="0.2">
      <c r="Z1746" s="1"/>
      <c r="AA1746" s="1"/>
    </row>
    <row r="1747" spans="26:27" x14ac:dyDescent="0.2">
      <c r="Z1747" s="1"/>
      <c r="AA1747" s="1"/>
    </row>
    <row r="1748" spans="26:27" x14ac:dyDescent="0.2">
      <c r="Z1748" s="1"/>
      <c r="AA1748" s="1"/>
    </row>
    <row r="1749" spans="26:27" x14ac:dyDescent="0.2">
      <c r="Z1749" s="1"/>
      <c r="AA1749" s="1"/>
    </row>
    <row r="1750" spans="26:27" x14ac:dyDescent="0.2">
      <c r="Z1750" s="1"/>
      <c r="AA1750" s="1"/>
    </row>
    <row r="1751" spans="26:27" x14ac:dyDescent="0.2">
      <c r="Z1751" s="1"/>
      <c r="AA1751" s="1"/>
    </row>
    <row r="1752" spans="26:27" x14ac:dyDescent="0.2">
      <c r="Z1752" s="1"/>
      <c r="AA1752" s="1"/>
    </row>
    <row r="1753" spans="26:27" x14ac:dyDescent="0.2">
      <c r="Z1753" s="1"/>
      <c r="AA1753" s="1"/>
    </row>
    <row r="1754" spans="26:27" x14ac:dyDescent="0.2">
      <c r="Z1754" s="1"/>
      <c r="AA1754" s="1"/>
    </row>
    <row r="1755" spans="26:27" x14ac:dyDescent="0.2">
      <c r="Z1755" s="1"/>
      <c r="AA1755" s="1"/>
    </row>
    <row r="1756" spans="26:27" x14ac:dyDescent="0.2">
      <c r="Z1756" s="1"/>
      <c r="AA1756" s="1"/>
    </row>
    <row r="1757" spans="26:27" x14ac:dyDescent="0.2">
      <c r="Z1757" s="1"/>
      <c r="AA1757" s="1"/>
    </row>
    <row r="1758" spans="26:27" x14ac:dyDescent="0.2">
      <c r="Z1758" s="1"/>
      <c r="AA1758" s="1"/>
    </row>
    <row r="1759" spans="26:27" x14ac:dyDescent="0.2">
      <c r="Z1759" s="1"/>
      <c r="AA1759" s="1"/>
    </row>
    <row r="1760" spans="26:27" x14ac:dyDescent="0.2">
      <c r="Z1760" s="1"/>
      <c r="AA1760" s="1"/>
    </row>
    <row r="1761" spans="26:27" x14ac:dyDescent="0.2">
      <c r="Z1761" s="1"/>
      <c r="AA1761" s="1"/>
    </row>
    <row r="1762" spans="26:27" x14ac:dyDescent="0.2">
      <c r="Z1762" s="1"/>
      <c r="AA1762" s="1"/>
    </row>
    <row r="1763" spans="26:27" x14ac:dyDescent="0.2">
      <c r="Z1763" s="1"/>
      <c r="AA1763" s="1"/>
    </row>
    <row r="1764" spans="26:27" x14ac:dyDescent="0.2">
      <c r="Z1764" s="1"/>
      <c r="AA1764" s="1"/>
    </row>
    <row r="1765" spans="26:27" x14ac:dyDescent="0.2">
      <c r="Z1765" s="1"/>
      <c r="AA1765" s="1"/>
    </row>
    <row r="1766" spans="26:27" x14ac:dyDescent="0.2">
      <c r="Z1766" s="1"/>
      <c r="AA1766" s="1"/>
    </row>
    <row r="1767" spans="26:27" x14ac:dyDescent="0.2">
      <c r="Z1767" s="1"/>
      <c r="AA1767" s="1"/>
    </row>
    <row r="1768" spans="26:27" x14ac:dyDescent="0.2">
      <c r="Z1768" s="1"/>
      <c r="AA1768" s="1"/>
    </row>
    <row r="1769" spans="26:27" x14ac:dyDescent="0.2">
      <c r="Z1769" s="1"/>
      <c r="AA1769" s="1"/>
    </row>
    <row r="1770" spans="26:27" x14ac:dyDescent="0.2">
      <c r="Z1770" s="1"/>
      <c r="AA1770" s="1"/>
    </row>
    <row r="1771" spans="26:27" x14ac:dyDescent="0.2">
      <c r="Z1771" s="1"/>
      <c r="AA1771" s="1"/>
    </row>
    <row r="1772" spans="26:27" x14ac:dyDescent="0.2">
      <c r="Z1772" s="1"/>
      <c r="AA1772" s="1"/>
    </row>
    <row r="1773" spans="26:27" x14ac:dyDescent="0.2">
      <c r="Z1773" s="1"/>
      <c r="AA1773" s="1"/>
    </row>
    <row r="1774" spans="26:27" x14ac:dyDescent="0.2">
      <c r="Z1774" s="1"/>
      <c r="AA1774" s="1"/>
    </row>
    <row r="1775" spans="26:27" x14ac:dyDescent="0.2">
      <c r="Z1775" s="1"/>
      <c r="AA1775" s="1"/>
    </row>
    <row r="1776" spans="26:27" x14ac:dyDescent="0.2">
      <c r="Z1776" s="1"/>
      <c r="AA1776" s="1"/>
    </row>
    <row r="1777" spans="26:27" x14ac:dyDescent="0.2">
      <c r="Z1777" s="1"/>
      <c r="AA1777" s="1"/>
    </row>
    <row r="1778" spans="26:27" x14ac:dyDescent="0.2">
      <c r="Z1778" s="1"/>
      <c r="AA1778" s="1"/>
    </row>
    <row r="1779" spans="26:27" x14ac:dyDescent="0.2">
      <c r="Z1779" s="1"/>
      <c r="AA1779" s="1"/>
    </row>
    <row r="1780" spans="26:27" x14ac:dyDescent="0.2">
      <c r="Z1780" s="1"/>
      <c r="AA1780" s="1"/>
    </row>
    <row r="1781" spans="26:27" x14ac:dyDescent="0.2">
      <c r="Z1781" s="1"/>
      <c r="AA1781" s="1"/>
    </row>
    <row r="1782" spans="26:27" x14ac:dyDescent="0.2">
      <c r="Z1782" s="1"/>
      <c r="AA1782" s="1"/>
    </row>
    <row r="1783" spans="26:27" x14ac:dyDescent="0.2">
      <c r="Z1783" s="1"/>
      <c r="AA1783" s="1"/>
    </row>
    <row r="1784" spans="26:27" x14ac:dyDescent="0.2">
      <c r="Z1784" s="1"/>
      <c r="AA1784" s="1"/>
    </row>
    <row r="1785" spans="26:27" x14ac:dyDescent="0.2">
      <c r="Z1785" s="1"/>
      <c r="AA1785" s="1"/>
    </row>
    <row r="1786" spans="26:27" x14ac:dyDescent="0.2">
      <c r="Z1786" s="1"/>
      <c r="AA1786" s="1"/>
    </row>
    <row r="1787" spans="26:27" x14ac:dyDescent="0.2">
      <c r="Z1787" s="1"/>
      <c r="AA1787" s="1"/>
    </row>
    <row r="1788" spans="26:27" x14ac:dyDescent="0.2">
      <c r="Z1788" s="1"/>
      <c r="AA1788" s="1"/>
    </row>
    <row r="1789" spans="26:27" x14ac:dyDescent="0.2">
      <c r="Z1789" s="1"/>
      <c r="AA1789" s="1"/>
    </row>
    <row r="1790" spans="26:27" x14ac:dyDescent="0.2">
      <c r="Z1790" s="1"/>
      <c r="AA1790" s="1"/>
    </row>
    <row r="1791" spans="26:27" x14ac:dyDescent="0.2">
      <c r="Z1791" s="1"/>
      <c r="AA1791" s="1"/>
    </row>
    <row r="1792" spans="26:27" x14ac:dyDescent="0.2">
      <c r="Z1792" s="1"/>
      <c r="AA1792" s="1"/>
    </row>
    <row r="1793" spans="26:27" x14ac:dyDescent="0.2">
      <c r="Z1793" s="1"/>
      <c r="AA1793" s="1"/>
    </row>
    <row r="1794" spans="26:27" x14ac:dyDescent="0.2">
      <c r="Z1794" s="1"/>
      <c r="AA1794" s="1"/>
    </row>
    <row r="1795" spans="26:27" x14ac:dyDescent="0.2">
      <c r="Z1795" s="1"/>
      <c r="AA1795" s="1"/>
    </row>
    <row r="1796" spans="26:27" x14ac:dyDescent="0.2">
      <c r="Z1796" s="1"/>
      <c r="AA1796" s="1"/>
    </row>
    <row r="1797" spans="26:27" x14ac:dyDescent="0.2">
      <c r="Z1797" s="1"/>
      <c r="AA1797" s="1"/>
    </row>
    <row r="1798" spans="26:27" x14ac:dyDescent="0.2">
      <c r="Z1798" s="1"/>
      <c r="AA1798" s="1"/>
    </row>
    <row r="1799" spans="26:27" x14ac:dyDescent="0.2">
      <c r="Z1799" s="1"/>
      <c r="AA1799" s="1"/>
    </row>
    <row r="1800" spans="26:27" x14ac:dyDescent="0.2">
      <c r="Z1800" s="1"/>
      <c r="AA1800" s="1"/>
    </row>
    <row r="1801" spans="26:27" x14ac:dyDescent="0.2">
      <c r="Z1801" s="1"/>
      <c r="AA1801" s="1"/>
    </row>
    <row r="1802" spans="26:27" x14ac:dyDescent="0.2">
      <c r="Z1802" s="1"/>
      <c r="AA1802" s="1"/>
    </row>
    <row r="1803" spans="26:27" x14ac:dyDescent="0.2">
      <c r="Z1803" s="1"/>
      <c r="AA1803" s="1"/>
    </row>
    <row r="1804" spans="26:27" x14ac:dyDescent="0.2">
      <c r="Z1804" s="1"/>
      <c r="AA1804" s="1"/>
    </row>
    <row r="1805" spans="26:27" x14ac:dyDescent="0.2">
      <c r="Z1805" s="1"/>
      <c r="AA1805" s="1"/>
    </row>
    <row r="1806" spans="26:27" x14ac:dyDescent="0.2">
      <c r="Z1806" s="1"/>
      <c r="AA1806" s="1"/>
    </row>
    <row r="1807" spans="26:27" x14ac:dyDescent="0.2">
      <c r="Z1807" s="1"/>
      <c r="AA1807" s="1"/>
    </row>
    <row r="1808" spans="26:27" x14ac:dyDescent="0.2">
      <c r="Z1808" s="1"/>
      <c r="AA1808" s="1"/>
    </row>
    <row r="1809" spans="26:27" x14ac:dyDescent="0.2">
      <c r="Z1809" s="1"/>
      <c r="AA1809" s="1"/>
    </row>
    <row r="1810" spans="26:27" x14ac:dyDescent="0.2">
      <c r="Z1810" s="1"/>
      <c r="AA1810" s="1"/>
    </row>
    <row r="1811" spans="26:27" x14ac:dyDescent="0.2">
      <c r="Z1811" s="1"/>
      <c r="AA1811" s="1"/>
    </row>
    <row r="1812" spans="26:27" x14ac:dyDescent="0.2">
      <c r="Z1812" s="1"/>
      <c r="AA1812" s="1"/>
    </row>
    <row r="1813" spans="26:27" x14ac:dyDescent="0.2">
      <c r="Z1813" s="1"/>
      <c r="AA1813" s="1"/>
    </row>
    <row r="1814" spans="26:27" x14ac:dyDescent="0.2">
      <c r="Z1814" s="1"/>
      <c r="AA1814" s="1"/>
    </row>
    <row r="1815" spans="26:27" x14ac:dyDescent="0.2">
      <c r="Z1815" s="1"/>
      <c r="AA1815" s="1"/>
    </row>
    <row r="1816" spans="26:27" x14ac:dyDescent="0.2">
      <c r="Z1816" s="1"/>
      <c r="AA1816" s="1"/>
    </row>
    <row r="1817" spans="26:27" x14ac:dyDescent="0.2">
      <c r="Z1817" s="1"/>
      <c r="AA1817" s="1"/>
    </row>
    <row r="1818" spans="26:27" x14ac:dyDescent="0.2">
      <c r="Z1818" s="1"/>
      <c r="AA1818" s="1"/>
    </row>
    <row r="1819" spans="26:27" x14ac:dyDescent="0.2">
      <c r="Z1819" s="1"/>
      <c r="AA1819" s="1"/>
    </row>
    <row r="1820" spans="26:27" x14ac:dyDescent="0.2">
      <c r="Z1820" s="1"/>
      <c r="AA1820" s="1"/>
    </row>
    <row r="1821" spans="26:27" x14ac:dyDescent="0.2">
      <c r="Z1821" s="1"/>
      <c r="AA1821" s="1"/>
    </row>
    <row r="1822" spans="26:27" x14ac:dyDescent="0.2">
      <c r="Z1822" s="1"/>
      <c r="AA1822" s="1"/>
    </row>
    <row r="1823" spans="26:27" x14ac:dyDescent="0.2">
      <c r="Z1823" s="1"/>
      <c r="AA1823" s="1"/>
    </row>
    <row r="1824" spans="26:27" x14ac:dyDescent="0.2">
      <c r="Z1824" s="1"/>
      <c r="AA1824" s="1"/>
    </row>
    <row r="1825" spans="26:27" x14ac:dyDescent="0.2">
      <c r="Z1825" s="1"/>
      <c r="AA1825" s="1"/>
    </row>
    <row r="1826" spans="26:27" x14ac:dyDescent="0.2">
      <c r="Z1826" s="1"/>
      <c r="AA1826" s="1"/>
    </row>
    <row r="1827" spans="26:27" x14ac:dyDescent="0.2">
      <c r="Z1827" s="1"/>
      <c r="AA1827" s="1"/>
    </row>
    <row r="1828" spans="26:27" x14ac:dyDescent="0.2">
      <c r="Z1828" s="1"/>
      <c r="AA1828" s="1"/>
    </row>
    <row r="1829" spans="26:27" x14ac:dyDescent="0.2">
      <c r="Z1829" s="1"/>
      <c r="AA1829" s="1"/>
    </row>
    <row r="1830" spans="26:27" x14ac:dyDescent="0.2">
      <c r="Z1830" s="1"/>
      <c r="AA1830" s="1"/>
    </row>
    <row r="1831" spans="26:27" x14ac:dyDescent="0.2">
      <c r="Z1831" s="1"/>
      <c r="AA1831" s="1"/>
    </row>
    <row r="1832" spans="26:27" x14ac:dyDescent="0.2">
      <c r="Z1832" s="1"/>
      <c r="AA1832" s="1"/>
    </row>
    <row r="1833" spans="26:27" x14ac:dyDescent="0.2">
      <c r="Z1833" s="1"/>
      <c r="AA1833" s="1"/>
    </row>
    <row r="1834" spans="26:27" x14ac:dyDescent="0.2">
      <c r="Z1834" s="1"/>
      <c r="AA1834" s="1"/>
    </row>
    <row r="1835" spans="26:27" x14ac:dyDescent="0.2">
      <c r="Z1835" s="1"/>
      <c r="AA1835" s="1"/>
    </row>
    <row r="1836" spans="26:27" x14ac:dyDescent="0.2">
      <c r="Z1836" s="1"/>
      <c r="AA1836" s="1"/>
    </row>
    <row r="1837" spans="26:27" x14ac:dyDescent="0.2">
      <c r="Z1837" s="1"/>
      <c r="AA1837" s="1"/>
    </row>
    <row r="1838" spans="26:27" x14ac:dyDescent="0.2">
      <c r="Z1838" s="1"/>
      <c r="AA1838" s="1"/>
    </row>
    <row r="1839" spans="26:27" x14ac:dyDescent="0.2">
      <c r="Z1839" s="1"/>
      <c r="AA1839" s="1"/>
    </row>
    <row r="1840" spans="26:27" x14ac:dyDescent="0.2">
      <c r="Z1840" s="1"/>
      <c r="AA1840" s="1"/>
    </row>
    <row r="1841" spans="26:27" x14ac:dyDescent="0.2">
      <c r="Z1841" s="1"/>
      <c r="AA1841" s="1"/>
    </row>
    <row r="1842" spans="26:27" x14ac:dyDescent="0.2">
      <c r="Z1842" s="1"/>
      <c r="AA1842" s="1"/>
    </row>
  </sheetData>
  <mergeCells count="6">
    <mergeCell ref="S8:S15"/>
    <mergeCell ref="U32:U34"/>
    <mergeCell ref="B200:E200"/>
    <mergeCell ref="G200:K200"/>
    <mergeCell ref="B214:E214"/>
    <mergeCell ref="G214:L214"/>
  </mergeCells>
  <conditionalFormatting sqref="E216:E217">
    <cfRule type="cellIs" dxfId="10" priority="9" operator="lessThan">
      <formula>$C$196</formula>
    </cfRule>
  </conditionalFormatting>
  <conditionalFormatting sqref="E207">
    <cfRule type="cellIs" dxfId="9" priority="8" operator="lessThan">
      <formula>$C$196</formula>
    </cfRule>
  </conditionalFormatting>
  <conditionalFormatting sqref="E204">
    <cfRule type="cellIs" dxfId="8" priority="7" operator="lessThan">
      <formula>$C$196</formula>
    </cfRule>
  </conditionalFormatting>
  <conditionalFormatting sqref="E202">
    <cfRule type="cellIs" dxfId="7" priority="6" operator="lessThan">
      <formula>$C$196</formula>
    </cfRule>
  </conditionalFormatting>
  <conditionalFormatting sqref="K202">
    <cfRule type="cellIs" dxfId="6" priority="3" operator="lessThan">
      <formula>$C$196</formula>
    </cfRule>
  </conditionalFormatting>
  <conditionalFormatting sqref="K206">
    <cfRule type="cellIs" dxfId="5" priority="2" operator="lessThan">
      <formula>$C$196</formula>
    </cfRule>
  </conditionalFormatting>
  <conditionalFormatting sqref="K207">
    <cfRule type="cellIs" dxfId="4" priority="5" operator="lessThan">
      <formula>$C$196</formula>
    </cfRule>
  </conditionalFormatting>
  <conditionalFormatting sqref="K204">
    <cfRule type="cellIs" dxfId="3" priority="4" operator="lessThan">
      <formula>$C$196</formula>
    </cfRule>
  </conditionalFormatting>
  <conditionalFormatting sqref="E209">
    <cfRule type="cellIs" dxfId="2" priority="1" operator="lessThan">
      <formula>$C$196</formula>
    </cfRule>
  </conditionalFormatting>
  <printOptions horizontalCentered="1"/>
  <pageMargins left="0.7" right="0.7" top="0.5" bottom="0.5" header="0.3" footer="0.3"/>
  <pageSetup scale="43" fitToHeight="2" orientation="landscape" r:id="rId1"/>
  <headerFooter>
    <oddFooter>&amp;L&amp;"Calibri,Regular"&amp;16&amp;K000000&amp;D&amp;R&amp;"Calibri,Regular"&amp;16&amp;K000000Page &amp;P</oddFooter>
  </headerFooter>
  <rowBreaks count="2" manualBreakCount="2">
    <brk id="106" max="18" man="1"/>
    <brk id="222" max="18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73F13-927A-4FC3-A769-BDABDB1C06AB}">
  <sheetPr codeName="Sheet8">
    <tabColor theme="9" tint="0.59999389629810485"/>
    <pageSetUpPr fitToPage="1"/>
  </sheetPr>
  <dimension ref="A1:AL103"/>
  <sheetViews>
    <sheetView showGridLines="0" topLeftCell="A7" zoomScale="110" zoomScaleNormal="110" zoomScaleSheetLayoutView="85" workbookViewId="0">
      <selection activeCell="B30" sqref="B30"/>
    </sheetView>
  </sheetViews>
  <sheetFormatPr baseColWidth="10" defaultColWidth="11" defaultRowHeight="16" outlineLevelCol="1" x14ac:dyDescent="0.2"/>
  <cols>
    <col min="1" max="1" width="3.1640625" style="1" customWidth="1"/>
    <col min="2" max="2" width="35.5" customWidth="1"/>
    <col min="3" max="3" width="11.1640625" bestFit="1" customWidth="1"/>
    <col min="4" max="4" width="13" bestFit="1" customWidth="1"/>
    <col min="5" max="5" width="11.1640625" customWidth="1"/>
    <col min="6" max="13" width="14.1640625" customWidth="1"/>
    <col min="14" max="15" width="12.1640625" customWidth="1"/>
    <col min="16" max="19" width="12.1640625" hidden="1" customWidth="1" outlineLevel="1"/>
    <col min="20" max="20" width="3.83203125" customWidth="1" collapsed="1"/>
    <col min="21" max="21" width="14" style="1" bestFit="1" customWidth="1"/>
    <col min="22" max="22" width="13.33203125" style="1" bestFit="1" customWidth="1"/>
    <col min="23" max="23" width="14" style="1" bestFit="1" customWidth="1"/>
    <col min="24" max="27" width="13.33203125" style="1" bestFit="1" customWidth="1"/>
    <col min="28" max="35" width="13.33203125" bestFit="1" customWidth="1"/>
    <col min="38" max="38" width="12.5" bestFit="1" customWidth="1"/>
  </cols>
  <sheetData>
    <row r="1" spans="1:38" s="1" customFormat="1" ht="12" hidden="1" customHeight="1" x14ac:dyDescent="0.2"/>
    <row r="2" spans="1:38" ht="62" customHeight="1" x14ac:dyDescent="0.45">
      <c r="A2" s="170"/>
      <c r="B2" s="5"/>
      <c r="C2" s="3"/>
      <c r="D2" s="3"/>
      <c r="E2" s="3"/>
      <c r="G2" s="30"/>
      <c r="AB2" s="1"/>
      <c r="AC2" s="1"/>
      <c r="AD2" s="1"/>
      <c r="AE2" s="1"/>
      <c r="AF2" s="1"/>
      <c r="AG2" s="1"/>
      <c r="AH2" s="1"/>
      <c r="AI2" s="1"/>
      <c r="AJ2" s="1"/>
    </row>
    <row r="3" spans="1:38" ht="36" customHeight="1" x14ac:dyDescent="0.25">
      <c r="A3" s="170"/>
      <c r="B3" s="5"/>
      <c r="C3" s="3"/>
      <c r="D3" s="3"/>
      <c r="E3" s="3"/>
      <c r="AB3" s="1"/>
      <c r="AC3" s="1"/>
      <c r="AD3" s="1"/>
      <c r="AE3" s="1"/>
      <c r="AF3" s="1"/>
      <c r="AG3" s="1"/>
      <c r="AH3" s="1"/>
      <c r="AI3" s="1"/>
      <c r="AJ3" s="1"/>
    </row>
    <row r="4" spans="1:38" ht="21" x14ac:dyDescent="0.25">
      <c r="A4" s="170"/>
      <c r="B4" s="5" t="str">
        <f>'Proforma Lot Only'!B4</f>
        <v>PEREGRINE RANCH - LOT DEVELOPMENT</v>
      </c>
      <c r="C4" s="3"/>
      <c r="D4" s="3"/>
      <c r="E4" s="3"/>
      <c r="AB4" s="1"/>
      <c r="AC4" s="1"/>
      <c r="AD4" s="1"/>
      <c r="AE4" s="1"/>
      <c r="AF4" s="1"/>
      <c r="AG4" s="1"/>
      <c r="AH4" s="1"/>
      <c r="AI4" s="1"/>
      <c r="AJ4" s="1"/>
    </row>
    <row r="5" spans="1:38" ht="21" x14ac:dyDescent="0.25">
      <c r="A5" s="170"/>
      <c r="B5" s="4" t="s">
        <v>245</v>
      </c>
      <c r="C5" s="4"/>
      <c r="D5" s="4" t="str">
        <f>'Proforma Lot Only'!C5</f>
        <v>750K/LOT</v>
      </c>
      <c r="E5" s="4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32"/>
      <c r="AB5" s="1"/>
      <c r="AC5" s="1"/>
      <c r="AD5" s="1"/>
      <c r="AE5" s="1"/>
      <c r="AF5" s="1"/>
      <c r="AG5" s="1"/>
      <c r="AH5" s="1"/>
      <c r="AI5" s="1"/>
      <c r="AJ5" s="1"/>
    </row>
    <row r="6" spans="1:38" x14ac:dyDescent="0.2">
      <c r="A6" s="170"/>
      <c r="H6" s="208"/>
      <c r="U6" s="1" t="s">
        <v>257</v>
      </c>
    </row>
    <row r="7" spans="1:38" x14ac:dyDescent="0.2">
      <c r="A7" s="170"/>
      <c r="B7" s="63" t="s">
        <v>246</v>
      </c>
      <c r="C7" s="64"/>
      <c r="D7" s="64"/>
      <c r="E7" s="7"/>
      <c r="F7" s="168"/>
      <c r="G7" s="7"/>
      <c r="H7" s="209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1">
        <v>0.25</v>
      </c>
      <c r="V7" s="1" t="s">
        <v>224</v>
      </c>
    </row>
    <row r="8" spans="1:38" x14ac:dyDescent="0.2">
      <c r="A8" s="170"/>
      <c r="B8" s="7" t="s">
        <v>225</v>
      </c>
      <c r="C8" s="166">
        <v>0.08</v>
      </c>
      <c r="D8" s="65"/>
      <c r="E8" s="65"/>
      <c r="F8" s="66"/>
      <c r="G8" s="57"/>
      <c r="H8" s="57"/>
      <c r="I8" s="210"/>
      <c r="J8" s="17"/>
      <c r="K8" s="17"/>
      <c r="L8" s="17"/>
      <c r="M8" s="17"/>
      <c r="N8" s="17"/>
      <c r="U8" s="1">
        <v>0.25</v>
      </c>
      <c r="V8" s="1" t="s">
        <v>226</v>
      </c>
    </row>
    <row r="9" spans="1:38" x14ac:dyDescent="0.2">
      <c r="A9" s="170"/>
      <c r="B9" s="7"/>
      <c r="C9" s="29"/>
      <c r="D9" s="17"/>
      <c r="E9" s="17"/>
      <c r="F9" s="17"/>
      <c r="G9" s="17"/>
      <c r="H9" s="57"/>
      <c r="I9" s="17"/>
      <c r="J9" s="17"/>
      <c r="K9" s="17"/>
      <c r="L9" s="17"/>
      <c r="M9" s="17"/>
      <c r="N9" s="17"/>
      <c r="U9" s="1">
        <v>0.5</v>
      </c>
      <c r="V9" s="1" t="s">
        <v>227</v>
      </c>
    </row>
    <row r="10" spans="1:38" x14ac:dyDescent="0.2">
      <c r="A10" s="170"/>
      <c r="B10" s="63" t="s">
        <v>228</v>
      </c>
      <c r="C10" s="74"/>
      <c r="D10" s="42"/>
      <c r="E10" s="17"/>
      <c r="F10" s="17"/>
      <c r="G10" s="17"/>
      <c r="H10" s="57"/>
      <c r="I10" s="57"/>
      <c r="J10" s="17"/>
      <c r="K10" s="17"/>
      <c r="L10" s="17"/>
      <c r="M10" s="17"/>
      <c r="N10" s="17"/>
    </row>
    <row r="11" spans="1:38" x14ac:dyDescent="0.2">
      <c r="A11" s="170"/>
      <c r="B11" s="6" t="s">
        <v>247</v>
      </c>
      <c r="C11" s="167">
        <v>0.75</v>
      </c>
      <c r="D11" s="17"/>
      <c r="E11" s="17"/>
      <c r="F11" s="17"/>
      <c r="G11" s="17"/>
      <c r="H11" s="17"/>
      <c r="I11" s="57"/>
      <c r="J11" s="17"/>
      <c r="K11" s="17"/>
      <c r="L11" s="17"/>
      <c r="M11" s="17"/>
      <c r="N11" s="17"/>
    </row>
    <row r="12" spans="1:38" x14ac:dyDescent="0.2">
      <c r="A12" s="170"/>
      <c r="B12" s="6" t="s">
        <v>270</v>
      </c>
      <c r="C12" s="167">
        <f>1-C11</f>
        <v>0.25</v>
      </c>
      <c r="D12" s="17"/>
      <c r="E12" s="17"/>
      <c r="F12" s="17"/>
      <c r="G12" s="17"/>
      <c r="H12" s="17"/>
      <c r="I12" s="57"/>
      <c r="J12" s="17"/>
      <c r="K12" s="17"/>
      <c r="L12" s="17"/>
      <c r="M12" s="17"/>
      <c r="N12" s="17"/>
    </row>
    <row r="13" spans="1:38" x14ac:dyDescent="0.2">
      <c r="A13" s="170"/>
      <c r="B13" s="7"/>
      <c r="C13" s="29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</row>
    <row r="14" spans="1:38" s="1" customFormat="1" x14ac:dyDescent="0.2">
      <c r="A14" s="170"/>
      <c r="F14" s="140" t="str">
        <f>'Proforma Lot Only'!E6</f>
        <v>Year 0</v>
      </c>
      <c r="G14" s="140" t="str">
        <f>'Proforma Lot Only'!F6</f>
        <v>Year 1</v>
      </c>
      <c r="H14" s="140" t="str">
        <f>'Proforma Lot Only'!G6</f>
        <v>Year 2</v>
      </c>
      <c r="I14" s="140" t="str">
        <f>'Proforma Lot Only'!H6</f>
        <v>Year 3</v>
      </c>
      <c r="J14" s="140" t="str">
        <f>'Proforma Lot Only'!I6</f>
        <v>Year 4</v>
      </c>
      <c r="K14" s="140" t="str">
        <f>'Proforma Lot Only'!J6</f>
        <v>Year 5</v>
      </c>
      <c r="L14" s="140" t="str">
        <f>'Proforma Lot Only'!K6</f>
        <v>Year 6</v>
      </c>
      <c r="M14" s="140" t="str">
        <f>'Proforma Lot Only'!L6</f>
        <v>Year 7</v>
      </c>
      <c r="N14" s="140" t="str">
        <f>'Proforma Lot Only'!M6</f>
        <v>Year 8</v>
      </c>
      <c r="O14" s="140" t="str">
        <f>'Proforma Lot Only'!N6</f>
        <v>Year 9</v>
      </c>
      <c r="P14" s="140" t="str">
        <f>'Proforma Lot Only'!O6</f>
        <v>Year 10</v>
      </c>
      <c r="Q14" s="140" t="str">
        <f>'Proforma Lot Only'!P6</f>
        <v>Year 11</v>
      </c>
      <c r="R14" s="140" t="str">
        <f>'Proforma Lot Only'!Q6</f>
        <v>Year 12</v>
      </c>
      <c r="T14"/>
    </row>
    <row r="15" spans="1:38" s="8" customFormat="1" x14ac:dyDescent="0.2">
      <c r="A15" s="170"/>
      <c r="F15" s="11">
        <f>'Proforma Lot Only'!E7</f>
        <v>2027</v>
      </c>
      <c r="G15" s="11">
        <f>'Proforma Lot Only'!F7</f>
        <v>2028</v>
      </c>
      <c r="H15" s="11">
        <f>'Proforma Lot Only'!G7</f>
        <v>2029</v>
      </c>
      <c r="I15" s="11">
        <f>'Proforma Lot Only'!H7</f>
        <v>2030</v>
      </c>
      <c r="J15" s="11">
        <f>'Proforma Lot Only'!I7</f>
        <v>2031</v>
      </c>
      <c r="K15" s="11">
        <f>'Proforma Lot Only'!J7</f>
        <v>2032</v>
      </c>
      <c r="L15" s="11">
        <f>'Proforma Lot Only'!K7</f>
        <v>2033</v>
      </c>
      <c r="M15" s="11">
        <f>'Proforma Lot Only'!L7</f>
        <v>2034</v>
      </c>
      <c r="N15" s="11">
        <f>'Proforma Lot Only'!M7</f>
        <v>2035</v>
      </c>
      <c r="O15" s="11">
        <f>'Proforma Lot Only'!N7</f>
        <v>2036</v>
      </c>
      <c r="P15" s="11">
        <f>'Proforma Lot Only'!O7</f>
        <v>2037</v>
      </c>
      <c r="Q15" s="11">
        <f>'Proforma Lot Only'!P7</f>
        <v>2038</v>
      </c>
      <c r="R15" s="11">
        <f>'Proforma Lot Only'!Q7</f>
        <v>2039</v>
      </c>
      <c r="T15"/>
      <c r="U15" s="1"/>
      <c r="V15" s="1"/>
      <c r="W15" s="1"/>
      <c r="X15" s="1"/>
      <c r="Y15" s="1"/>
      <c r="Z15" s="1"/>
      <c r="AA15" s="1"/>
    </row>
    <row r="16" spans="1:38" x14ac:dyDescent="0.2">
      <c r="A16" s="170"/>
      <c r="B16" s="106" t="s">
        <v>229</v>
      </c>
      <c r="C16" s="7"/>
      <c r="D16" s="7"/>
      <c r="E16" s="7"/>
      <c r="F16" s="165">
        <f>F46</f>
        <v>46388</v>
      </c>
      <c r="G16" s="165">
        <f t="shared" ref="G16:R16" si="0">G46</f>
        <v>46753</v>
      </c>
      <c r="H16" s="165">
        <f t="shared" si="0"/>
        <v>47119</v>
      </c>
      <c r="I16" s="165">
        <f t="shared" si="0"/>
        <v>47484</v>
      </c>
      <c r="J16" s="165">
        <f t="shared" si="0"/>
        <v>47849</v>
      </c>
      <c r="K16" s="165">
        <f t="shared" si="0"/>
        <v>48214</v>
      </c>
      <c r="L16" s="165">
        <f t="shared" si="0"/>
        <v>48580</v>
      </c>
      <c r="M16" s="165">
        <f t="shared" si="0"/>
        <v>48945</v>
      </c>
      <c r="N16" s="165">
        <f t="shared" si="0"/>
        <v>49310</v>
      </c>
      <c r="O16" s="165">
        <f t="shared" si="0"/>
        <v>49675</v>
      </c>
      <c r="P16" s="165">
        <f t="shared" si="0"/>
        <v>50041</v>
      </c>
      <c r="Q16" s="165">
        <f t="shared" si="0"/>
        <v>50406</v>
      </c>
      <c r="R16" s="165">
        <f t="shared" si="0"/>
        <v>50771</v>
      </c>
      <c r="S16" s="7"/>
      <c r="T16" s="7"/>
      <c r="U16" s="69"/>
      <c r="V16" s="69"/>
      <c r="W16" s="69"/>
      <c r="X16" s="69"/>
      <c r="Y16" s="69"/>
      <c r="Z16" s="69"/>
      <c r="AA16" s="69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</row>
    <row r="17" spans="1:38" x14ac:dyDescent="0.2">
      <c r="A17" s="170"/>
      <c r="B17" s="59" t="s">
        <v>248</v>
      </c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27"/>
      <c r="U17" s="69"/>
      <c r="V17" s="69"/>
      <c r="W17" s="69"/>
      <c r="X17" s="69"/>
      <c r="Y17" s="69"/>
      <c r="Z17" s="69"/>
      <c r="AA17" s="69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</row>
    <row r="18" spans="1:38" x14ac:dyDescent="0.2">
      <c r="A18" s="170"/>
      <c r="B18" s="67" t="s">
        <v>249</v>
      </c>
      <c r="C18" s="7"/>
      <c r="D18" s="171">
        <f>SUM(F18:R18)</f>
        <v>57401381.414654329</v>
      </c>
      <c r="E18" s="7"/>
      <c r="F18" s="73">
        <f t="shared" ref="F18:R18" si="1">SUMIF(F54,"&gt;0")+SUMIF(F57,"&gt;0")</f>
        <v>0</v>
      </c>
      <c r="G18" s="73">
        <f t="shared" si="1"/>
        <v>0</v>
      </c>
      <c r="H18" s="73">
        <f t="shared" si="1"/>
        <v>2500000</v>
      </c>
      <c r="I18" s="73">
        <f t="shared" si="1"/>
        <v>0</v>
      </c>
      <c r="J18" s="73">
        <f t="shared" si="1"/>
        <v>10250000</v>
      </c>
      <c r="K18" s="73">
        <f t="shared" si="1"/>
        <v>6500000</v>
      </c>
      <c r="L18" s="73">
        <f t="shared" si="1"/>
        <v>11000000</v>
      </c>
      <c r="M18" s="73">
        <f t="shared" si="1"/>
        <v>6500000</v>
      </c>
      <c r="N18" s="73">
        <f t="shared" si="1"/>
        <v>10679223.914654326</v>
      </c>
      <c r="O18" s="73">
        <f t="shared" si="1"/>
        <v>9972157.5</v>
      </c>
      <c r="P18" s="73">
        <f t="shared" si="1"/>
        <v>0</v>
      </c>
      <c r="Q18" s="73">
        <f t="shared" si="1"/>
        <v>0</v>
      </c>
      <c r="R18" s="73">
        <f t="shared" si="1"/>
        <v>0</v>
      </c>
      <c r="S18" s="27"/>
      <c r="T18" s="27"/>
      <c r="U18" s="69"/>
      <c r="V18" s="69"/>
      <c r="W18" s="69"/>
      <c r="X18" s="69"/>
      <c r="Y18" s="69"/>
      <c r="Z18" s="69"/>
      <c r="AA18" s="69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</row>
    <row r="19" spans="1:38" x14ac:dyDescent="0.2">
      <c r="A19" s="170"/>
      <c r="B19" s="67" t="s">
        <v>250</v>
      </c>
      <c r="C19" s="7"/>
      <c r="D19" s="171">
        <f>SUM(F19:R19)</f>
        <v>28500000</v>
      </c>
      <c r="E19" s="7"/>
      <c r="F19" s="73">
        <f>SUM('Proforma Lot Only'!E38:E45)</f>
        <v>28500000</v>
      </c>
      <c r="G19" s="73">
        <f>SUM('Proforma Lot Only'!F38:F45)</f>
        <v>0</v>
      </c>
      <c r="H19" s="73">
        <f>SUM('Proforma Lot Only'!G38:G45)</f>
        <v>0</v>
      </c>
      <c r="I19" s="73">
        <f>SUM('Proforma Lot Only'!H38:H45)</f>
        <v>0</v>
      </c>
      <c r="J19" s="73">
        <f>SUM('Proforma Lot Only'!I38:I45)</f>
        <v>0</v>
      </c>
      <c r="K19" s="73">
        <f>SUM('Proforma Lot Only'!J38:J45)</f>
        <v>0</v>
      </c>
      <c r="L19" s="73">
        <f>SUM('Proforma Lot Only'!K38:K45)</f>
        <v>0</v>
      </c>
      <c r="M19" s="73">
        <f>SUM('Proforma Lot Only'!L38:L45)</f>
        <v>0</v>
      </c>
      <c r="N19" s="73">
        <f>SUM('Proforma Lot Only'!M46)</f>
        <v>0</v>
      </c>
      <c r="O19" s="73">
        <f>SUM('Proforma Lot Only'!N46)</f>
        <v>0</v>
      </c>
      <c r="P19" s="73">
        <f>SUM('Proforma Lot Only'!O46)</f>
        <v>0</v>
      </c>
      <c r="Q19" s="73">
        <f>SUM('Proforma Lot Only'!P46)</f>
        <v>0</v>
      </c>
      <c r="R19" s="73">
        <f>SUM('Proforma Lot Only'!Q46)</f>
        <v>0</v>
      </c>
      <c r="S19" s="27"/>
      <c r="T19" s="27"/>
      <c r="U19" s="69"/>
      <c r="V19" s="69"/>
      <c r="W19" s="69"/>
      <c r="X19" s="69"/>
      <c r="Y19" s="69"/>
      <c r="Z19" s="69"/>
      <c r="AA19" s="69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</row>
    <row r="20" spans="1:38" ht="17" thickBot="1" x14ac:dyDescent="0.25">
      <c r="A20" s="170"/>
      <c r="B20" s="67" t="s">
        <v>251</v>
      </c>
      <c r="C20" s="7"/>
      <c r="D20" s="172">
        <f>SUM(F20:R20)</f>
        <v>28901381.414654326</v>
      </c>
      <c r="E20" s="7"/>
      <c r="F20" s="73">
        <f>F18-F19</f>
        <v>-28500000</v>
      </c>
      <c r="G20" s="73">
        <f t="shared" ref="G20:R20" si="2">G18-G19</f>
        <v>0</v>
      </c>
      <c r="H20" s="73">
        <f t="shared" si="2"/>
        <v>2500000</v>
      </c>
      <c r="I20" s="73">
        <f t="shared" si="2"/>
        <v>0</v>
      </c>
      <c r="J20" s="73">
        <f t="shared" si="2"/>
        <v>10250000</v>
      </c>
      <c r="K20" s="73">
        <f t="shared" si="2"/>
        <v>6500000</v>
      </c>
      <c r="L20" s="73">
        <f t="shared" si="2"/>
        <v>11000000</v>
      </c>
      <c r="M20" s="73">
        <f t="shared" si="2"/>
        <v>6500000</v>
      </c>
      <c r="N20" s="73">
        <f t="shared" si="2"/>
        <v>10679223.914654326</v>
      </c>
      <c r="O20" s="73">
        <f t="shared" si="2"/>
        <v>9972157.5</v>
      </c>
      <c r="P20" s="73">
        <f t="shared" si="2"/>
        <v>0</v>
      </c>
      <c r="Q20" s="73">
        <f t="shared" si="2"/>
        <v>0</v>
      </c>
      <c r="R20" s="73">
        <f t="shared" si="2"/>
        <v>0</v>
      </c>
      <c r="S20" s="27"/>
      <c r="T20" s="27"/>
      <c r="U20" s="69"/>
      <c r="V20" s="69"/>
      <c r="W20" s="69"/>
      <c r="X20" s="69"/>
      <c r="Y20" s="69"/>
      <c r="Z20" s="69"/>
      <c r="AA20" s="69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</row>
    <row r="21" spans="1:38" ht="17" thickTop="1" x14ac:dyDescent="0.2">
      <c r="A21" s="170"/>
      <c r="B21" s="67" t="s">
        <v>252</v>
      </c>
      <c r="C21" s="7"/>
      <c r="D21" s="7"/>
      <c r="E21" s="7"/>
      <c r="F21" s="58">
        <f>XIRR(F20:R20,F16:R16)</f>
        <v>0.12068765759468078</v>
      </c>
    </row>
    <row r="22" spans="1:38" x14ac:dyDescent="0.2">
      <c r="A22" s="170"/>
      <c r="B22" s="67" t="s">
        <v>253</v>
      </c>
      <c r="C22" s="7"/>
      <c r="D22" s="7"/>
      <c r="E22" s="7"/>
      <c r="F22" s="68">
        <f>SUMIF(F20:R20,"&gt;0")/-SUMIF(F20:R20,"&lt;0")</f>
        <v>2.0140835584089238</v>
      </c>
    </row>
    <row r="23" spans="1:38" x14ac:dyDescent="0.2">
      <c r="A23" s="170"/>
      <c r="B23" s="67" t="s">
        <v>254</v>
      </c>
      <c r="C23" s="7"/>
      <c r="D23" s="7"/>
      <c r="E23" s="7"/>
      <c r="F23" s="73">
        <f>F20+E23</f>
        <v>-28500000</v>
      </c>
      <c r="G23" s="73">
        <f t="shared" ref="G23:R23" si="3">G20+F23</f>
        <v>-28500000</v>
      </c>
      <c r="H23" s="73">
        <f t="shared" si="3"/>
        <v>-26000000</v>
      </c>
      <c r="I23" s="73">
        <f t="shared" si="3"/>
        <v>-26000000</v>
      </c>
      <c r="J23" s="73">
        <f t="shared" si="3"/>
        <v>-15750000</v>
      </c>
      <c r="K23" s="73">
        <f t="shared" si="3"/>
        <v>-9250000</v>
      </c>
      <c r="L23" s="73">
        <f t="shared" si="3"/>
        <v>1750000</v>
      </c>
      <c r="M23" s="73">
        <f t="shared" si="3"/>
        <v>8250000</v>
      </c>
      <c r="N23" s="73">
        <f t="shared" si="3"/>
        <v>18929223.914654326</v>
      </c>
      <c r="O23" s="73">
        <f t="shared" si="3"/>
        <v>28901381.414654326</v>
      </c>
      <c r="P23" s="73">
        <f t="shared" si="3"/>
        <v>28901381.414654326</v>
      </c>
      <c r="Q23" s="73">
        <f t="shared" si="3"/>
        <v>28901381.414654326</v>
      </c>
      <c r="R23" s="73">
        <f t="shared" si="3"/>
        <v>28901381.414654326</v>
      </c>
    </row>
    <row r="24" spans="1:38" x14ac:dyDescent="0.2">
      <c r="A24" s="170"/>
      <c r="B24" s="67"/>
      <c r="C24" s="7"/>
      <c r="D24" s="7"/>
      <c r="E24" s="7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</row>
    <row r="25" spans="1:38" x14ac:dyDescent="0.2">
      <c r="A25" s="170"/>
      <c r="B25" s="59" t="s">
        <v>271</v>
      </c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</row>
    <row r="26" spans="1:38" hidden="1" x14ac:dyDescent="0.2">
      <c r="A26" s="170"/>
      <c r="B26" s="125" t="s">
        <v>272</v>
      </c>
      <c r="C26" s="7"/>
      <c r="D26" s="171">
        <f>SUM(F26:R26)</f>
        <v>4644828.5853456734</v>
      </c>
      <c r="E26" s="7"/>
      <c r="F26" s="73"/>
      <c r="G26" s="73"/>
      <c r="H26" s="73">
        <f>H61</f>
        <v>0</v>
      </c>
      <c r="I26" s="73">
        <f>I61</f>
        <v>0</v>
      </c>
      <c r="J26" s="73">
        <f>J61</f>
        <v>0</v>
      </c>
      <c r="K26" s="73">
        <f>K61</f>
        <v>0</v>
      </c>
      <c r="L26" s="73">
        <f>L61</f>
        <v>0</v>
      </c>
      <c r="M26" s="73">
        <f t="shared" ref="M26:R26" si="4">M64</f>
        <v>0</v>
      </c>
      <c r="N26" s="73">
        <f t="shared" si="4"/>
        <v>1320776.0853456734</v>
      </c>
      <c r="O26" s="73">
        <f t="shared" si="4"/>
        <v>3324052.5</v>
      </c>
      <c r="P26" s="73">
        <f t="shared" si="4"/>
        <v>0</v>
      </c>
      <c r="Q26" s="73">
        <f t="shared" si="4"/>
        <v>0</v>
      </c>
      <c r="R26" s="73">
        <f t="shared" si="4"/>
        <v>0</v>
      </c>
    </row>
    <row r="27" spans="1:38" hidden="1" x14ac:dyDescent="0.2">
      <c r="A27" s="170"/>
      <c r="B27" s="67" t="s">
        <v>273</v>
      </c>
      <c r="C27" s="7"/>
      <c r="D27" s="171">
        <f>SUM(F27:R27)</f>
        <v>28500000</v>
      </c>
      <c r="E27" s="7"/>
      <c r="F27" s="73">
        <f>'Proforma Lot Only'!E38+'Proforma Lot Only'!E37</f>
        <v>28500000</v>
      </c>
      <c r="G27" s="73">
        <f>'Proforma Lot Only'!F38+'Proforma Lot Only'!F37</f>
        <v>0</v>
      </c>
      <c r="H27" s="73">
        <f>'Proforma Lot Only'!G38+'Proforma Lot Only'!G37</f>
        <v>0</v>
      </c>
      <c r="I27" s="73">
        <f>'Proforma Lot Only'!H38+'Proforma Lot Only'!H37</f>
        <v>0</v>
      </c>
      <c r="J27" s="73">
        <f>'Proforma Lot Only'!I38+'Proforma Lot Only'!I37</f>
        <v>0</v>
      </c>
      <c r="K27" s="73">
        <f>'Proforma Lot Only'!J38+'Proforma Lot Only'!J37</f>
        <v>0</v>
      </c>
      <c r="L27" s="73">
        <f>'Proforma Lot Only'!K38+'Proforma Lot Only'!K37</f>
        <v>0</v>
      </c>
      <c r="M27" s="73">
        <f>'Proforma Lot Only'!L38+'Proforma Lot Only'!L37</f>
        <v>0</v>
      </c>
      <c r="N27" s="73">
        <f>'Proforma Lot Only'!M38+'Proforma Lot Only'!M37</f>
        <v>0</v>
      </c>
      <c r="O27" s="73">
        <f>'Proforma Lot Only'!N38+'Proforma Lot Only'!N37</f>
        <v>0</v>
      </c>
      <c r="P27" s="73">
        <f>'Proforma Lot Only'!O38+'Proforma Lot Only'!O37</f>
        <v>0</v>
      </c>
      <c r="Q27" s="73">
        <f>'Proforma Lot Only'!P38+'Proforma Lot Only'!P37</f>
        <v>0</v>
      </c>
      <c r="R27" s="73">
        <f>'Proforma Lot Only'!Q38+'Proforma Lot Only'!Q37</f>
        <v>0</v>
      </c>
      <c r="S27" s="27"/>
      <c r="T27" s="27"/>
      <c r="U27" s="69"/>
      <c r="V27" s="69"/>
      <c r="W27" s="69"/>
      <c r="X27" s="69"/>
      <c r="Y27" s="69"/>
      <c r="Z27" s="69"/>
      <c r="AA27" s="69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</row>
    <row r="28" spans="1:38" ht="17" hidden="1" thickBot="1" x14ac:dyDescent="0.25">
      <c r="A28" s="170"/>
      <c r="B28" s="67" t="s">
        <v>258</v>
      </c>
      <c r="C28" s="7"/>
      <c r="D28" s="172">
        <f>SUM(F28:R28)</f>
        <v>-23855171.414654326</v>
      </c>
      <c r="E28" s="7"/>
      <c r="F28" s="73">
        <f>F26-F27</f>
        <v>-28500000</v>
      </c>
      <c r="G28" s="73">
        <f t="shared" ref="G28:R28" si="5">G26-G27</f>
        <v>0</v>
      </c>
      <c r="H28" s="73">
        <f t="shared" si="5"/>
        <v>0</v>
      </c>
      <c r="I28" s="73">
        <f t="shared" si="5"/>
        <v>0</v>
      </c>
      <c r="J28" s="73">
        <f t="shared" si="5"/>
        <v>0</v>
      </c>
      <c r="K28" s="73">
        <f t="shared" si="5"/>
        <v>0</v>
      </c>
      <c r="L28" s="73">
        <f t="shared" si="5"/>
        <v>0</v>
      </c>
      <c r="M28" s="73">
        <f t="shared" si="5"/>
        <v>0</v>
      </c>
      <c r="N28" s="73">
        <f t="shared" si="5"/>
        <v>1320776.0853456734</v>
      </c>
      <c r="O28" s="73">
        <f t="shared" si="5"/>
        <v>3324052.5</v>
      </c>
      <c r="P28" s="73">
        <f t="shared" si="5"/>
        <v>0</v>
      </c>
      <c r="Q28" s="73">
        <f t="shared" si="5"/>
        <v>0</v>
      </c>
      <c r="R28" s="73">
        <f t="shared" si="5"/>
        <v>0</v>
      </c>
      <c r="S28" s="27"/>
      <c r="T28" s="27"/>
      <c r="U28" s="69"/>
      <c r="V28" s="69"/>
      <c r="W28" s="69"/>
      <c r="X28" s="69"/>
      <c r="Y28" s="69"/>
      <c r="Z28" s="69"/>
      <c r="AA28" s="69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</row>
    <row r="29" spans="1:38" ht="17" hidden="1" thickTop="1" x14ac:dyDescent="0.2">
      <c r="A29" s="170"/>
      <c r="B29" s="67" t="s">
        <v>274</v>
      </c>
      <c r="C29" s="7"/>
      <c r="D29" s="7"/>
      <c r="E29" s="7"/>
      <c r="F29" s="58">
        <f>XIRR(F28:R28,F16:R16)</f>
        <v>-0.18741170484572645</v>
      </c>
    </row>
    <row r="30" spans="1:38" hidden="1" x14ac:dyDescent="0.2">
      <c r="A30" s="170"/>
      <c r="B30" s="67" t="s">
        <v>275</v>
      </c>
      <c r="C30" s="7"/>
      <c r="D30" s="7"/>
      <c r="E30" s="7"/>
      <c r="F30" s="68">
        <f>SUMIF(F28:R28,"&gt;0")/-SUMIF(F28:R28,"&lt;0")</f>
        <v>0.16297644159107627</v>
      </c>
    </row>
    <row r="31" spans="1:38" ht="16" hidden="1" customHeight="1" x14ac:dyDescent="0.2">
      <c r="A31" s="170"/>
      <c r="B31" s="67"/>
      <c r="C31" s="7"/>
      <c r="D31" s="171"/>
      <c r="E31" s="7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</row>
    <row r="32" spans="1:38" hidden="1" x14ac:dyDescent="0.2">
      <c r="A32" s="170"/>
      <c r="B32" s="67" t="s">
        <v>259</v>
      </c>
      <c r="C32" s="7"/>
      <c r="D32" s="171">
        <f>SUM(F32:R32)</f>
        <v>0</v>
      </c>
      <c r="E32" s="7"/>
      <c r="F32" s="73">
        <f t="shared" ref="F32:R32" si="6">SUMIF(F62,"&gt;0")+SUMIF(F65,"&gt;0")</f>
        <v>0</v>
      </c>
      <c r="G32" s="73">
        <f t="shared" si="6"/>
        <v>0</v>
      </c>
      <c r="H32" s="73">
        <f t="shared" si="6"/>
        <v>0</v>
      </c>
      <c r="I32" s="73">
        <f t="shared" si="6"/>
        <v>0</v>
      </c>
      <c r="J32" s="73">
        <f t="shared" si="6"/>
        <v>0</v>
      </c>
      <c r="K32" s="73">
        <f t="shared" si="6"/>
        <v>0</v>
      </c>
      <c r="L32" s="73">
        <f t="shared" si="6"/>
        <v>0</v>
      </c>
      <c r="M32" s="73">
        <f t="shared" si="6"/>
        <v>0</v>
      </c>
      <c r="N32" s="73">
        <f t="shared" si="6"/>
        <v>0</v>
      </c>
      <c r="O32" s="73">
        <f t="shared" si="6"/>
        <v>0</v>
      </c>
      <c r="P32" s="73">
        <f t="shared" si="6"/>
        <v>0</v>
      </c>
      <c r="Q32" s="73">
        <f t="shared" si="6"/>
        <v>0</v>
      </c>
      <c r="R32" s="73">
        <f t="shared" si="6"/>
        <v>0</v>
      </c>
    </row>
    <row r="33" spans="1:38" hidden="1" x14ac:dyDescent="0.2">
      <c r="A33" s="170"/>
      <c r="B33" s="67" t="s">
        <v>260</v>
      </c>
      <c r="C33" s="7"/>
      <c r="D33" s="171">
        <f>SUM(F33:R33)</f>
        <v>28500000</v>
      </c>
      <c r="E33" s="7"/>
      <c r="F33" s="73">
        <f>'Proforma Lot Only'!E38</f>
        <v>28500000</v>
      </c>
      <c r="G33" s="73">
        <f>'Proforma Lot Only'!F38</f>
        <v>0</v>
      </c>
      <c r="H33" s="73">
        <f>'Proforma Lot Only'!G38</f>
        <v>0</v>
      </c>
      <c r="I33" s="73">
        <f>'Proforma Lot Only'!H38</f>
        <v>0</v>
      </c>
      <c r="J33" s="73">
        <f>'Proforma Lot Only'!I38</f>
        <v>0</v>
      </c>
      <c r="K33" s="73">
        <f>'Proforma Lot Only'!J38</f>
        <v>0</v>
      </c>
      <c r="L33" s="73">
        <f>'Proforma Lot Only'!K38</f>
        <v>0</v>
      </c>
      <c r="M33" s="73">
        <f>'Proforma Lot Only'!L38</f>
        <v>0</v>
      </c>
      <c r="N33" s="73">
        <f>'Proforma Lot Only'!M38</f>
        <v>0</v>
      </c>
      <c r="O33" s="73">
        <f>'Proforma Lot Only'!N38</f>
        <v>0</v>
      </c>
      <c r="P33" s="73">
        <f>'Proforma Lot Only'!O38</f>
        <v>0</v>
      </c>
      <c r="Q33" s="73">
        <f>'Proforma Lot Only'!P38</f>
        <v>0</v>
      </c>
      <c r="R33" s="73">
        <f>'Proforma Lot Only'!Q38</f>
        <v>0</v>
      </c>
    </row>
    <row r="34" spans="1:38" ht="17" hidden="1" thickBot="1" x14ac:dyDescent="0.25">
      <c r="A34" s="170"/>
      <c r="B34" s="67" t="s">
        <v>261</v>
      </c>
      <c r="C34" s="7"/>
      <c r="D34" s="172">
        <f>SUM(F34:R34)</f>
        <v>-28500000</v>
      </c>
      <c r="E34" s="7"/>
      <c r="F34" s="73">
        <f t="shared" ref="F34:R34" si="7">F32-F33</f>
        <v>-28500000</v>
      </c>
      <c r="G34" s="73">
        <f t="shared" si="7"/>
        <v>0</v>
      </c>
      <c r="H34" s="73">
        <f t="shared" si="7"/>
        <v>0</v>
      </c>
      <c r="I34" s="73">
        <f t="shared" si="7"/>
        <v>0</v>
      </c>
      <c r="J34" s="73">
        <f t="shared" si="7"/>
        <v>0</v>
      </c>
      <c r="K34" s="73">
        <f t="shared" si="7"/>
        <v>0</v>
      </c>
      <c r="L34" s="73">
        <f t="shared" si="7"/>
        <v>0</v>
      </c>
      <c r="M34" s="73">
        <f t="shared" si="7"/>
        <v>0</v>
      </c>
      <c r="N34" s="73">
        <f t="shared" si="7"/>
        <v>0</v>
      </c>
      <c r="O34" s="73">
        <f t="shared" si="7"/>
        <v>0</v>
      </c>
      <c r="P34" s="73">
        <f t="shared" si="7"/>
        <v>0</v>
      </c>
      <c r="Q34" s="73">
        <f t="shared" si="7"/>
        <v>0</v>
      </c>
      <c r="R34" s="73">
        <f t="shared" si="7"/>
        <v>0</v>
      </c>
    </row>
    <row r="35" spans="1:38" ht="17" hidden="1" thickTop="1" x14ac:dyDescent="0.2">
      <c r="A35" s="170"/>
      <c r="B35" s="67" t="s">
        <v>262</v>
      </c>
      <c r="C35" s="7"/>
      <c r="D35" s="7"/>
      <c r="E35" s="7"/>
      <c r="F35" s="58" t="e">
        <f>XIRR(F34:R34,F16:R16)</f>
        <v>#NUM!</v>
      </c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</row>
    <row r="36" spans="1:38" hidden="1" x14ac:dyDescent="0.2">
      <c r="A36" s="170"/>
      <c r="B36" s="67" t="s">
        <v>263</v>
      </c>
      <c r="C36" s="7"/>
      <c r="D36" s="7"/>
      <c r="E36" s="7"/>
      <c r="F36" s="68">
        <f>SUMIF(F34:R34,"&gt;0")/-SUMIF(F34:R34,"&lt;0")</f>
        <v>0</v>
      </c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</row>
    <row r="37" spans="1:38" ht="8" hidden="1" customHeight="1" x14ac:dyDescent="0.2">
      <c r="A37" s="170"/>
      <c r="B37" s="67"/>
      <c r="C37" s="7"/>
      <c r="D37" s="7"/>
      <c r="E37" s="7"/>
      <c r="F37" s="68"/>
      <c r="G37" s="20"/>
      <c r="H37" s="20"/>
      <c r="I37" s="20"/>
      <c r="J37" s="20"/>
      <c r="K37" s="20"/>
      <c r="L37" s="20"/>
      <c r="M37" s="20"/>
      <c r="N37" s="20"/>
    </row>
    <row r="38" spans="1:38" x14ac:dyDescent="0.2">
      <c r="A38" s="170"/>
      <c r="B38" s="67" t="s">
        <v>264</v>
      </c>
      <c r="C38" s="7"/>
      <c r="D38" s="171">
        <f>SUM(F38:R38)</f>
        <v>4644828.5853456734</v>
      </c>
      <c r="E38" s="7"/>
      <c r="F38" s="73">
        <f>F66</f>
        <v>0</v>
      </c>
      <c r="G38" s="73">
        <f>G66</f>
        <v>0</v>
      </c>
      <c r="H38" s="73">
        <f>H66</f>
        <v>0</v>
      </c>
      <c r="I38" s="73">
        <f>I66</f>
        <v>0</v>
      </c>
      <c r="J38" s="73">
        <f t="shared" ref="J38:R38" si="8">J66</f>
        <v>0</v>
      </c>
      <c r="K38" s="73">
        <f t="shared" si="8"/>
        <v>0</v>
      </c>
      <c r="L38" s="73">
        <f t="shared" si="8"/>
        <v>0</v>
      </c>
      <c r="M38" s="73">
        <f t="shared" si="8"/>
        <v>0</v>
      </c>
      <c r="N38" s="73">
        <f t="shared" si="8"/>
        <v>1320776.0853456734</v>
      </c>
      <c r="O38" s="73">
        <f t="shared" si="8"/>
        <v>3324052.5</v>
      </c>
      <c r="P38" s="73">
        <f t="shared" si="8"/>
        <v>0</v>
      </c>
      <c r="Q38" s="73">
        <f t="shared" si="8"/>
        <v>0</v>
      </c>
      <c r="R38" s="73">
        <f t="shared" si="8"/>
        <v>0</v>
      </c>
    </row>
    <row r="39" spans="1:38" x14ac:dyDescent="0.2">
      <c r="A39" s="170"/>
      <c r="B39" s="67" t="str">
        <f>'Proforma Lot Only'!B179</f>
        <v>Developer Overhead (% of COSTS less LAND &amp; RE Fees)</v>
      </c>
      <c r="C39" s="7"/>
      <c r="D39" s="171">
        <f>SUM(F39:R39)</f>
        <v>1232241.9114099999</v>
      </c>
      <c r="E39" s="7"/>
      <c r="F39" s="73">
        <f>'Proforma Lot Only'!E179</f>
        <v>41176.415625000001</v>
      </c>
      <c r="G39" s="73">
        <f>'Proforma Lot Only'!F179</f>
        <v>418180.64807499998</v>
      </c>
      <c r="H39" s="73">
        <f>'Proforma Lot Only'!G179</f>
        <v>37436.247656250001</v>
      </c>
      <c r="I39" s="73">
        <f>'Proforma Lot Only'!H179</f>
        <v>191647.71297874997</v>
      </c>
      <c r="J39" s="73">
        <f>'Proforma Lot Only'!I179</f>
        <v>38666.954687500001</v>
      </c>
      <c r="K39" s="73">
        <f>'Proforma Lot Only'!J179</f>
        <v>200163.72788250001</v>
      </c>
      <c r="L39" s="73">
        <f>'Proforma Lot Only'!K179</f>
        <v>39897.661718750009</v>
      </c>
      <c r="M39" s="73">
        <f>'Proforma Lot Only'!L179</f>
        <v>208679.74278625002</v>
      </c>
      <c r="N39" s="73">
        <f>'Proforma Lot Only'!M179</f>
        <v>28631.4</v>
      </c>
      <c r="O39" s="73">
        <f>'Proforma Lot Only'!N179</f>
        <v>27761.4</v>
      </c>
      <c r="P39" s="73">
        <f>'Proforma Lot Only'!O179</f>
        <v>0</v>
      </c>
      <c r="Q39" s="73">
        <f>'Proforma Lot Only'!P179</f>
        <v>0</v>
      </c>
      <c r="R39" s="73">
        <f>'Proforma Lot Only'!Q179</f>
        <v>0</v>
      </c>
    </row>
    <row r="40" spans="1:38" x14ac:dyDescent="0.2">
      <c r="A40" s="170"/>
      <c r="B40" s="67" t="str">
        <f>'Proforma Lot Only'!B180</f>
        <v>Disposition Fees</v>
      </c>
      <c r="C40" s="7"/>
      <c r="D40" s="171">
        <f>SUM(F40:R40)</f>
        <v>1935000</v>
      </c>
      <c r="E40" s="7"/>
      <c r="F40" s="73">
        <f>'Proforma Lot Only'!E180</f>
        <v>0</v>
      </c>
      <c r="G40" s="73">
        <f>'Proforma Lot Only'!F180</f>
        <v>0</v>
      </c>
      <c r="H40" s="73">
        <f>'Proforma Lot Only'!G180</f>
        <v>225000</v>
      </c>
      <c r="I40" s="73">
        <f>'Proforma Lot Only'!H180</f>
        <v>225000</v>
      </c>
      <c r="J40" s="73">
        <f>'Proforma Lot Only'!I180</f>
        <v>236250</v>
      </c>
      <c r="K40" s="73">
        <f>'Proforma Lot Only'!J180</f>
        <v>236250</v>
      </c>
      <c r="L40" s="73">
        <f>'Proforma Lot Only'!K180</f>
        <v>247500.00000000003</v>
      </c>
      <c r="M40" s="73">
        <f>'Proforma Lot Only'!L180</f>
        <v>247500.00000000003</v>
      </c>
      <c r="N40" s="73">
        <f>'Proforma Lot Only'!M180</f>
        <v>258749.99999999997</v>
      </c>
      <c r="O40" s="73">
        <f>'Proforma Lot Only'!N180</f>
        <v>258749.99999999997</v>
      </c>
      <c r="P40" s="73">
        <f>'Proforma Lot Only'!O180</f>
        <v>0</v>
      </c>
      <c r="Q40" s="73">
        <f>'Proforma Lot Only'!P180</f>
        <v>0</v>
      </c>
      <c r="R40" s="73">
        <f>'Proforma Lot Only'!Q180</f>
        <v>0</v>
      </c>
    </row>
    <row r="41" spans="1:38" x14ac:dyDescent="0.2">
      <c r="A41" s="170"/>
      <c r="B41" s="67" t="str">
        <f>'Proforma Lot Only'!B181</f>
        <v>Asset Management Fees</v>
      </c>
      <c r="C41" s="7"/>
      <c r="D41" s="171">
        <f>SUM(F41:R41)</f>
        <v>0</v>
      </c>
      <c r="E41" s="7"/>
      <c r="F41" s="73">
        <f>'Proforma Lot Only'!E181</f>
        <v>0</v>
      </c>
      <c r="G41" s="73">
        <f>'Proforma Lot Only'!F181</f>
        <v>0</v>
      </c>
      <c r="H41" s="73">
        <f>'Proforma Lot Only'!G181</f>
        <v>0</v>
      </c>
      <c r="I41" s="73">
        <f>'Proforma Lot Only'!H181</f>
        <v>0</v>
      </c>
      <c r="J41" s="73">
        <f>'Proforma Lot Only'!I181</f>
        <v>0</v>
      </c>
      <c r="K41" s="73">
        <f>'Proforma Lot Only'!J181</f>
        <v>0</v>
      </c>
      <c r="L41" s="73">
        <f>'Proforma Lot Only'!K181</f>
        <v>0</v>
      </c>
      <c r="M41" s="73">
        <f>'Proforma Lot Only'!L181</f>
        <v>0</v>
      </c>
      <c r="N41" s="73">
        <f>'Proforma Lot Only'!M181</f>
        <v>0</v>
      </c>
      <c r="O41" s="73">
        <f>'Proforma Lot Only'!N181</f>
        <v>0</v>
      </c>
      <c r="P41" s="73">
        <f>'Proforma Lot Only'!O181</f>
        <v>0</v>
      </c>
      <c r="Q41" s="73">
        <f>'Proforma Lot Only'!P181</f>
        <v>0</v>
      </c>
      <c r="R41" s="73">
        <f>'Proforma Lot Only'!Q181</f>
        <v>0</v>
      </c>
    </row>
    <row r="42" spans="1:38" ht="17" thickBot="1" x14ac:dyDescent="0.25">
      <c r="A42" s="170"/>
      <c r="B42" s="67" t="s">
        <v>265</v>
      </c>
      <c r="C42" s="7"/>
      <c r="D42" s="172">
        <f>SUM(F42:R42)</f>
        <v>7812070.4967556745</v>
      </c>
      <c r="E42" s="7"/>
      <c r="F42" s="73">
        <f t="shared" ref="F42:H42" si="9">F38+F39+F40+F41</f>
        <v>41176.415625000001</v>
      </c>
      <c r="G42" s="73">
        <f t="shared" si="9"/>
        <v>418180.64807499998</v>
      </c>
      <c r="H42" s="73">
        <f t="shared" si="9"/>
        <v>262436.24765625002</v>
      </c>
      <c r="I42" s="73">
        <f>I38+I39+I40+I41</f>
        <v>416647.71297875</v>
      </c>
      <c r="J42" s="73">
        <f t="shared" ref="J42:R42" si="10">J38+J39+J40+J41</f>
        <v>274916.95468750002</v>
      </c>
      <c r="K42" s="73">
        <f t="shared" si="10"/>
        <v>436413.72788250004</v>
      </c>
      <c r="L42" s="73">
        <f t="shared" si="10"/>
        <v>287397.66171875002</v>
      </c>
      <c r="M42" s="73">
        <f t="shared" si="10"/>
        <v>456179.74278625008</v>
      </c>
      <c r="N42" s="73">
        <f t="shared" si="10"/>
        <v>1608157.4853456733</v>
      </c>
      <c r="O42" s="73">
        <f t="shared" si="10"/>
        <v>3610563.9</v>
      </c>
      <c r="P42" s="73">
        <f t="shared" si="10"/>
        <v>0</v>
      </c>
      <c r="Q42" s="73">
        <f t="shared" si="10"/>
        <v>0</v>
      </c>
      <c r="R42" s="73">
        <f t="shared" si="10"/>
        <v>0</v>
      </c>
      <c r="S42" s="27"/>
      <c r="T42" s="27"/>
      <c r="U42" s="69"/>
      <c r="V42" s="69"/>
      <c r="W42" s="69"/>
      <c r="X42" s="69"/>
      <c r="Y42" s="69"/>
      <c r="Z42" s="69"/>
      <c r="AA42" s="69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</row>
    <row r="43" spans="1:38" ht="17" hidden="1" thickTop="1" x14ac:dyDescent="0.2">
      <c r="A43" s="170"/>
      <c r="B43" s="67" t="s">
        <v>266</v>
      </c>
      <c r="C43" s="7"/>
      <c r="D43" s="7"/>
      <c r="E43" s="7"/>
      <c r="F43" s="77">
        <f>D42/'Proforma Lot Only'!R38</f>
        <v>0.27410773672826927</v>
      </c>
      <c r="G43" s="7"/>
      <c r="H43" s="20"/>
      <c r="I43" s="20"/>
      <c r="J43" s="20"/>
      <c r="K43" s="20"/>
      <c r="L43" s="20"/>
      <c r="M43" s="20"/>
      <c r="N43" s="20"/>
    </row>
    <row r="44" spans="1:38" ht="17" hidden="1" thickTop="1" x14ac:dyDescent="0.2">
      <c r="A44" s="170"/>
      <c r="B44" s="67"/>
      <c r="C44" s="7"/>
      <c r="D44" s="7"/>
      <c r="E44" s="7"/>
      <c r="F44" s="77"/>
      <c r="G44" s="7"/>
      <c r="H44" s="20"/>
      <c r="I44" s="20"/>
      <c r="J44" s="20"/>
      <c r="K44" s="20"/>
      <c r="L44" s="20"/>
      <c r="M44" s="20"/>
      <c r="N44" s="20"/>
    </row>
    <row r="45" spans="1:38" ht="16" customHeight="1" thickTop="1" x14ac:dyDescent="0.2">
      <c r="A45" s="170"/>
      <c r="B45" s="67"/>
      <c r="C45" s="7"/>
      <c r="D45" s="171"/>
      <c r="E45" s="7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</row>
    <row r="46" spans="1:38" x14ac:dyDescent="0.2">
      <c r="A46" s="170"/>
      <c r="B46" s="106" t="s">
        <v>230</v>
      </c>
      <c r="C46" s="9"/>
      <c r="D46" s="9"/>
      <c r="E46" s="9"/>
      <c r="F46" s="165">
        <f>'Proforma Lot Only'!E8</f>
        <v>46388</v>
      </c>
      <c r="G46" s="165">
        <f>'Proforma Lot Only'!F8</f>
        <v>46753</v>
      </c>
      <c r="H46" s="165">
        <f>'Proforma Lot Only'!G8</f>
        <v>47119</v>
      </c>
      <c r="I46" s="165">
        <f>'Proforma Lot Only'!H8</f>
        <v>47484</v>
      </c>
      <c r="J46" s="165">
        <f>'Proforma Lot Only'!I8</f>
        <v>47849</v>
      </c>
      <c r="K46" s="165">
        <f>'Proforma Lot Only'!J8</f>
        <v>48214</v>
      </c>
      <c r="L46" s="165">
        <f>'Proforma Lot Only'!K8</f>
        <v>48580</v>
      </c>
      <c r="M46" s="165">
        <f>'Proforma Lot Only'!L8</f>
        <v>48945</v>
      </c>
      <c r="N46" s="165">
        <f>'Proforma Lot Only'!M8</f>
        <v>49310</v>
      </c>
      <c r="O46" s="165">
        <f>'Proforma Lot Only'!N8</f>
        <v>49675</v>
      </c>
      <c r="P46" s="165">
        <f>'Proforma Lot Only'!O8</f>
        <v>50041</v>
      </c>
      <c r="Q46" s="165">
        <f>'Proforma Lot Only'!P8</f>
        <v>50406</v>
      </c>
      <c r="R46" s="165">
        <f>'Proforma Lot Only'!Q8</f>
        <v>50771</v>
      </c>
      <c r="S46" s="169"/>
      <c r="T46" s="169"/>
    </row>
    <row r="47" spans="1:38" x14ac:dyDescent="0.2">
      <c r="A47" s="170"/>
      <c r="B47" s="59" t="s">
        <v>231</v>
      </c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169"/>
    </row>
    <row r="48" spans="1:38" x14ac:dyDescent="0.2">
      <c r="A48" s="170"/>
      <c r="B48" s="170" t="s">
        <v>232</v>
      </c>
      <c r="F48" s="20">
        <f>'Proforma Lot Only'!E198</f>
        <v>-28500000</v>
      </c>
      <c r="G48" s="20">
        <f>'Proforma Lot Only'!F198</f>
        <v>0</v>
      </c>
      <c r="H48" s="20">
        <f>'Proforma Lot Only'!G198</f>
        <v>2500000</v>
      </c>
      <c r="I48" s="20">
        <f>'Proforma Lot Only'!H198</f>
        <v>0</v>
      </c>
      <c r="J48" s="20">
        <f>'Proforma Lot Only'!I198</f>
        <v>10250000</v>
      </c>
      <c r="K48" s="20">
        <f>'Proforma Lot Only'!J198</f>
        <v>6500000</v>
      </c>
      <c r="L48" s="20">
        <f>'Proforma Lot Only'!K198</f>
        <v>11000000</v>
      </c>
      <c r="M48" s="20">
        <f>'Proforma Lot Only'!L198</f>
        <v>6500000</v>
      </c>
      <c r="N48" s="20">
        <f>'Proforma Lot Only'!M198</f>
        <v>12000000</v>
      </c>
      <c r="O48" s="20">
        <f>'Proforma Lot Only'!N198</f>
        <v>13296210</v>
      </c>
      <c r="P48" s="20">
        <f>'Proforma Lot Only'!O198</f>
        <v>0</v>
      </c>
      <c r="Q48" s="20">
        <f>'Proforma Lot Only'!P198</f>
        <v>0</v>
      </c>
      <c r="R48" s="20">
        <f>'Proforma Lot Only'!Q198</f>
        <v>0</v>
      </c>
    </row>
    <row r="49" spans="1:21" x14ac:dyDescent="0.2">
      <c r="A49" s="170"/>
      <c r="B49" s="67" t="s">
        <v>233</v>
      </c>
      <c r="F49" s="58">
        <f>XIRR(F48:R48,F46:R46)</f>
        <v>0.13159216046333314</v>
      </c>
      <c r="G49" s="20"/>
      <c r="H49" s="20"/>
      <c r="I49" s="20"/>
      <c r="J49" s="20"/>
      <c r="K49" s="20"/>
      <c r="L49" s="20"/>
      <c r="M49" s="20"/>
      <c r="N49" s="20"/>
    </row>
    <row r="50" spans="1:21" x14ac:dyDescent="0.2">
      <c r="A50" s="170"/>
      <c r="B50" s="67" t="s">
        <v>234</v>
      </c>
      <c r="F50" s="182">
        <f>SUMIF(F48:R48,"&gt;0")/-SUMIF(F48:R48,"&lt;0")</f>
        <v>2.17706</v>
      </c>
      <c r="M50" s="26"/>
    </row>
    <row r="51" spans="1:21" x14ac:dyDescent="0.2">
      <c r="A51" s="170"/>
      <c r="F51" s="68"/>
      <c r="G51" s="26"/>
      <c r="H51" s="26"/>
      <c r="I51" s="26"/>
      <c r="J51" s="26"/>
      <c r="K51" s="26"/>
      <c r="L51" s="26"/>
      <c r="M51" s="26"/>
    </row>
    <row r="52" spans="1:21" x14ac:dyDescent="0.2">
      <c r="A52" s="170"/>
      <c r="B52" s="59" t="s">
        <v>255</v>
      </c>
      <c r="C52" s="59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</row>
    <row r="53" spans="1:21" x14ac:dyDescent="0.2">
      <c r="A53" s="170"/>
      <c r="B53" s="170" t="s">
        <v>232</v>
      </c>
      <c r="F53" s="122">
        <f>-F19</f>
        <v>-28500000</v>
      </c>
      <c r="G53" s="20">
        <f>-G19</f>
        <v>0</v>
      </c>
      <c r="H53" s="20">
        <f>'Proforma Lot Only'!G192</f>
        <v>2500000</v>
      </c>
      <c r="I53" s="20">
        <f>'Proforma Lot Only'!H192</f>
        <v>0</v>
      </c>
      <c r="J53" s="20">
        <f>'Proforma Lot Only'!I192</f>
        <v>10250000</v>
      </c>
      <c r="K53" s="20">
        <f>'Proforma Lot Only'!J192</f>
        <v>6500000</v>
      </c>
      <c r="L53" s="20">
        <f>'Proforma Lot Only'!K192</f>
        <v>11000000</v>
      </c>
      <c r="M53" s="20">
        <f>'Proforma Lot Only'!L192</f>
        <v>6500000</v>
      </c>
      <c r="N53" s="20">
        <f>'Proforma Lot Only'!M192</f>
        <v>12000000</v>
      </c>
      <c r="O53" s="20">
        <f>'Proforma Lot Only'!N192</f>
        <v>13296210</v>
      </c>
      <c r="P53" s="20">
        <f>'Proforma Lot Only'!O192</f>
        <v>0</v>
      </c>
      <c r="Q53" s="20">
        <f>'Proforma Lot Only'!P192</f>
        <v>0</v>
      </c>
      <c r="R53" s="20">
        <f>'Proforma Lot Only'!Q192</f>
        <v>0</v>
      </c>
    </row>
    <row r="54" spans="1:21" x14ac:dyDescent="0.2">
      <c r="A54" s="170"/>
      <c r="B54" s="125" t="s">
        <v>235</v>
      </c>
      <c r="F54" s="122">
        <f>F53</f>
        <v>-28500000</v>
      </c>
      <c r="G54" s="20">
        <f t="shared" ref="G54:M54" si="11">G53</f>
        <v>0</v>
      </c>
      <c r="H54" s="20">
        <f t="shared" si="11"/>
        <v>2500000</v>
      </c>
      <c r="I54" s="20">
        <f t="shared" si="11"/>
        <v>0</v>
      </c>
      <c r="J54" s="20">
        <f t="shared" si="11"/>
        <v>10250000</v>
      </c>
      <c r="K54" s="20">
        <f t="shared" si="11"/>
        <v>6500000</v>
      </c>
      <c r="L54" s="20">
        <f t="shared" si="11"/>
        <v>11000000</v>
      </c>
      <c r="M54" s="20">
        <f t="shared" si="11"/>
        <v>6500000</v>
      </c>
      <c r="N54" s="256">
        <v>6716895.6586173065</v>
      </c>
      <c r="O54" s="20"/>
      <c r="P54" s="20"/>
      <c r="Q54" s="20"/>
      <c r="R54" s="20"/>
      <c r="S54" s="17"/>
      <c r="U54" s="109">
        <f>SUM(F54:T54)</f>
        <v>14966895.658617307</v>
      </c>
    </row>
    <row r="55" spans="1:21" x14ac:dyDescent="0.2">
      <c r="A55" s="170"/>
      <c r="B55" s="67" t="s">
        <v>236</v>
      </c>
      <c r="E55" s="208"/>
      <c r="F55" s="58">
        <f>XIRR(F54:R54,F46:R46)</f>
        <v>7.9618772864341755E-2</v>
      </c>
      <c r="U55" s="238">
        <v>0.08</v>
      </c>
    </row>
    <row r="56" spans="1:21" x14ac:dyDescent="0.2">
      <c r="A56" s="170"/>
      <c r="B56" t="s">
        <v>237</v>
      </c>
      <c r="F56" s="20">
        <f t="shared" ref="F56:R56" si="12">F53-F54</f>
        <v>0</v>
      </c>
      <c r="G56" s="20">
        <f t="shared" si="12"/>
        <v>0</v>
      </c>
      <c r="H56" s="20">
        <f t="shared" si="12"/>
        <v>0</v>
      </c>
      <c r="I56" s="20">
        <f t="shared" si="12"/>
        <v>0</v>
      </c>
      <c r="J56" s="20">
        <f t="shared" si="12"/>
        <v>0</v>
      </c>
      <c r="K56" s="20">
        <f t="shared" si="12"/>
        <v>0</v>
      </c>
      <c r="L56" s="20">
        <f t="shared" si="12"/>
        <v>0</v>
      </c>
      <c r="M56" s="20">
        <f t="shared" si="12"/>
        <v>0</v>
      </c>
      <c r="N56" s="20">
        <f t="shared" si="12"/>
        <v>5283104.3413826935</v>
      </c>
      <c r="O56" s="20">
        <f t="shared" si="12"/>
        <v>13296210</v>
      </c>
      <c r="P56" s="20">
        <f t="shared" si="12"/>
        <v>0</v>
      </c>
      <c r="Q56" s="20">
        <f t="shared" si="12"/>
        <v>0</v>
      </c>
      <c r="R56" s="20">
        <f t="shared" si="12"/>
        <v>0</v>
      </c>
    </row>
    <row r="57" spans="1:21" x14ac:dyDescent="0.2">
      <c r="A57" s="170"/>
      <c r="B57" s="174" t="str">
        <f>B11</f>
        <v>EQUITY: Preferred Members (LP)</v>
      </c>
      <c r="C57" s="175">
        <f>C11</f>
        <v>0.75</v>
      </c>
      <c r="D57" s="175"/>
      <c r="E57" s="175"/>
      <c r="F57" s="114">
        <f t="shared" ref="F57:R58" si="13">F$56*$C57</f>
        <v>0</v>
      </c>
      <c r="G57" s="114">
        <f t="shared" si="13"/>
        <v>0</v>
      </c>
      <c r="H57" s="114">
        <f t="shared" si="13"/>
        <v>0</v>
      </c>
      <c r="I57" s="114">
        <f t="shared" si="13"/>
        <v>0</v>
      </c>
      <c r="J57" s="114">
        <f t="shared" si="13"/>
        <v>0</v>
      </c>
      <c r="K57" s="114">
        <f t="shared" si="13"/>
        <v>0</v>
      </c>
      <c r="L57" s="114">
        <f t="shared" si="13"/>
        <v>0</v>
      </c>
      <c r="M57" s="114">
        <f t="shared" si="13"/>
        <v>0</v>
      </c>
      <c r="N57" s="114">
        <f t="shared" si="13"/>
        <v>3962328.2560370201</v>
      </c>
      <c r="O57" s="114">
        <f t="shared" si="13"/>
        <v>9972157.5</v>
      </c>
      <c r="P57" s="114">
        <f t="shared" si="13"/>
        <v>0</v>
      </c>
      <c r="Q57" s="114">
        <f t="shared" si="13"/>
        <v>0</v>
      </c>
      <c r="R57" s="114">
        <f t="shared" si="13"/>
        <v>0</v>
      </c>
      <c r="S57" s="111"/>
      <c r="U57" s="109">
        <f>SUM(F57:T57)</f>
        <v>13934485.756037019</v>
      </c>
    </row>
    <row r="58" spans="1:21" x14ac:dyDescent="0.2">
      <c r="A58" s="170"/>
      <c r="B58" s="170" t="str">
        <f>B12</f>
        <v>Sponsors (GP)</v>
      </c>
      <c r="C58" s="13">
        <f>C12</f>
        <v>0.25</v>
      </c>
      <c r="D58" s="13"/>
      <c r="E58" s="13"/>
      <c r="F58" s="20">
        <f t="shared" si="13"/>
        <v>0</v>
      </c>
      <c r="G58" s="20">
        <f t="shared" si="13"/>
        <v>0</v>
      </c>
      <c r="H58" s="20">
        <f t="shared" si="13"/>
        <v>0</v>
      </c>
      <c r="I58" s="20">
        <f t="shared" si="13"/>
        <v>0</v>
      </c>
      <c r="J58" s="20">
        <f t="shared" si="13"/>
        <v>0</v>
      </c>
      <c r="K58" s="20">
        <f t="shared" si="13"/>
        <v>0</v>
      </c>
      <c r="L58" s="20">
        <f t="shared" si="13"/>
        <v>0</v>
      </c>
      <c r="M58" s="20">
        <f t="shared" si="13"/>
        <v>0</v>
      </c>
      <c r="N58" s="20">
        <f t="shared" si="13"/>
        <v>1320776.0853456734</v>
      </c>
      <c r="O58" s="20">
        <f t="shared" si="13"/>
        <v>3324052.5</v>
      </c>
      <c r="P58" s="20">
        <f t="shared" si="13"/>
        <v>0</v>
      </c>
      <c r="Q58" s="20">
        <f t="shared" si="13"/>
        <v>0</v>
      </c>
      <c r="R58" s="20">
        <f t="shared" si="13"/>
        <v>0</v>
      </c>
      <c r="U58" s="109">
        <f>SUM(F58:T58)</f>
        <v>4644828.5853456734</v>
      </c>
    </row>
    <row r="59" spans="1:21" x14ac:dyDescent="0.2">
      <c r="A59" s="170"/>
      <c r="B59" s="170"/>
      <c r="C59" s="13"/>
      <c r="D59" s="13"/>
      <c r="E59" s="13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</row>
    <row r="60" spans="1:21" hidden="1" x14ac:dyDescent="0.2">
      <c r="B60" s="59" t="s">
        <v>267</v>
      </c>
      <c r="C60" s="59"/>
      <c r="D60" s="59"/>
      <c r="E60" s="59"/>
      <c r="F60" s="59"/>
      <c r="G60" s="59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</row>
    <row r="61" spans="1:21" hidden="1" x14ac:dyDescent="0.2">
      <c r="B61" s="170" t="s">
        <v>232</v>
      </c>
      <c r="F61" s="20">
        <f>-F33</f>
        <v>-28500000</v>
      </c>
      <c r="G61" s="20">
        <f>-G33</f>
        <v>0</v>
      </c>
      <c r="H61" s="20">
        <f>-H33</f>
        <v>0</v>
      </c>
      <c r="I61" s="20">
        <f>I58</f>
        <v>0</v>
      </c>
      <c r="J61" s="20">
        <f t="shared" ref="J61:R61" si="14">J58</f>
        <v>0</v>
      </c>
      <c r="K61" s="20">
        <f t="shared" si="14"/>
        <v>0</v>
      </c>
      <c r="L61" s="20">
        <f t="shared" si="14"/>
        <v>0</v>
      </c>
      <c r="M61" s="20">
        <f t="shared" si="14"/>
        <v>0</v>
      </c>
      <c r="N61" s="20">
        <f t="shared" si="14"/>
        <v>1320776.0853456734</v>
      </c>
      <c r="O61" s="20">
        <f t="shared" si="14"/>
        <v>3324052.5</v>
      </c>
      <c r="P61" s="20">
        <f t="shared" si="14"/>
        <v>0</v>
      </c>
      <c r="Q61" s="20">
        <f t="shared" si="14"/>
        <v>0</v>
      </c>
      <c r="R61" s="20">
        <f t="shared" si="14"/>
        <v>0</v>
      </c>
    </row>
    <row r="62" spans="1:21" hidden="1" x14ac:dyDescent="0.2">
      <c r="B62" s="125" t="s">
        <v>235</v>
      </c>
      <c r="F62" s="20">
        <f>F61</f>
        <v>-28500000</v>
      </c>
      <c r="G62" s="20">
        <f>G61</f>
        <v>0</v>
      </c>
      <c r="H62" s="20">
        <f>H61</f>
        <v>0</v>
      </c>
      <c r="I62" s="20"/>
      <c r="J62" s="20"/>
      <c r="K62" s="176"/>
      <c r="L62" s="20"/>
      <c r="M62" s="20"/>
      <c r="N62" s="20"/>
      <c r="O62" s="20"/>
      <c r="P62" s="20"/>
      <c r="Q62" s="20"/>
      <c r="R62" s="20"/>
      <c r="S62" s="17"/>
    </row>
    <row r="63" spans="1:21" hidden="1" x14ac:dyDescent="0.2">
      <c r="B63" s="67" t="s">
        <v>236</v>
      </c>
      <c r="F63" s="58" t="e">
        <f>XIRR(F62:R62,F46:R46)</f>
        <v>#NUM!</v>
      </c>
      <c r="U63" s="62">
        <v>0.1</v>
      </c>
    </row>
    <row r="64" spans="1:21" hidden="1" x14ac:dyDescent="0.2">
      <c r="B64" t="s">
        <v>237</v>
      </c>
      <c r="F64" s="20">
        <f t="shared" ref="F64:R64" si="15">F61-F62</f>
        <v>0</v>
      </c>
      <c r="G64" s="20">
        <f t="shared" si="15"/>
        <v>0</v>
      </c>
      <c r="H64" s="20">
        <f t="shared" si="15"/>
        <v>0</v>
      </c>
      <c r="I64" s="20">
        <f t="shared" si="15"/>
        <v>0</v>
      </c>
      <c r="J64" s="20">
        <f t="shared" si="15"/>
        <v>0</v>
      </c>
      <c r="K64" s="20">
        <f>K61-K62</f>
        <v>0</v>
      </c>
      <c r="L64" s="20">
        <f t="shared" si="15"/>
        <v>0</v>
      </c>
      <c r="M64" s="20">
        <f t="shared" si="15"/>
        <v>0</v>
      </c>
      <c r="N64" s="20">
        <f t="shared" si="15"/>
        <v>1320776.0853456734</v>
      </c>
      <c r="O64" s="20">
        <f t="shared" si="15"/>
        <v>3324052.5</v>
      </c>
      <c r="P64" s="20">
        <f t="shared" si="15"/>
        <v>0</v>
      </c>
      <c r="Q64" s="20">
        <f t="shared" si="15"/>
        <v>0</v>
      </c>
      <c r="R64" s="20">
        <f t="shared" si="15"/>
        <v>0</v>
      </c>
    </row>
    <row r="65" spans="2:23" hidden="1" x14ac:dyDescent="0.2">
      <c r="B65" s="174" t="s">
        <v>256</v>
      </c>
      <c r="C65" s="175">
        <v>0</v>
      </c>
      <c r="D65" s="175"/>
      <c r="E65" s="175"/>
      <c r="F65" s="114">
        <f t="shared" ref="F65:J66" si="16">F$64*$C65</f>
        <v>0</v>
      </c>
      <c r="G65" s="114">
        <f t="shared" si="16"/>
        <v>0</v>
      </c>
      <c r="H65" s="114">
        <f t="shared" si="16"/>
        <v>0</v>
      </c>
      <c r="I65" s="114">
        <f t="shared" si="16"/>
        <v>0</v>
      </c>
      <c r="J65" s="114">
        <f t="shared" si="16"/>
        <v>0</v>
      </c>
      <c r="K65" s="114">
        <f>K$64*$C65</f>
        <v>0</v>
      </c>
      <c r="L65" s="114">
        <f t="shared" ref="L65:R66" si="17">L$64*$C65</f>
        <v>0</v>
      </c>
      <c r="M65" s="114">
        <f t="shared" si="17"/>
        <v>0</v>
      </c>
      <c r="N65" s="114">
        <f t="shared" si="17"/>
        <v>0</v>
      </c>
      <c r="O65" s="114">
        <f t="shared" si="17"/>
        <v>0</v>
      </c>
      <c r="P65" s="114">
        <f t="shared" si="17"/>
        <v>0</v>
      </c>
      <c r="Q65" s="114">
        <f t="shared" si="17"/>
        <v>0</v>
      </c>
      <c r="R65" s="114">
        <f t="shared" si="17"/>
        <v>0</v>
      </c>
      <c r="S65" s="131"/>
    </row>
    <row r="66" spans="2:23" hidden="1" x14ac:dyDescent="0.2">
      <c r="B66" s="170" t="s">
        <v>268</v>
      </c>
      <c r="C66" s="13">
        <f>1-C65</f>
        <v>1</v>
      </c>
      <c r="D66" s="13"/>
      <c r="E66" s="13"/>
      <c r="F66" s="20">
        <f t="shared" si="16"/>
        <v>0</v>
      </c>
      <c r="G66" s="20">
        <f t="shared" si="16"/>
        <v>0</v>
      </c>
      <c r="H66" s="20">
        <f t="shared" si="16"/>
        <v>0</v>
      </c>
      <c r="I66" s="20">
        <f t="shared" si="16"/>
        <v>0</v>
      </c>
      <c r="J66" s="20">
        <f t="shared" si="16"/>
        <v>0</v>
      </c>
      <c r="K66" s="20">
        <f>K$64*$C66</f>
        <v>0</v>
      </c>
      <c r="L66" s="20">
        <f t="shared" si="17"/>
        <v>0</v>
      </c>
      <c r="M66" s="20">
        <f t="shared" si="17"/>
        <v>0</v>
      </c>
      <c r="N66" s="20">
        <f t="shared" si="17"/>
        <v>1320776.0853456734</v>
      </c>
      <c r="O66" s="20">
        <f t="shared" si="17"/>
        <v>3324052.5</v>
      </c>
      <c r="P66" s="20">
        <f t="shared" si="17"/>
        <v>0</v>
      </c>
      <c r="Q66" s="20">
        <f t="shared" si="17"/>
        <v>0</v>
      </c>
      <c r="R66" s="20">
        <f t="shared" si="17"/>
        <v>0</v>
      </c>
      <c r="S66" s="17"/>
      <c r="U66" s="109">
        <f>SUM(D66:T66)</f>
        <v>4644828.5853456734</v>
      </c>
    </row>
    <row r="67" spans="2:23" s="1" customFormat="1" x14ac:dyDescent="0.2"/>
    <row r="68" spans="2:23" s="1" customFormat="1" hidden="1" x14ac:dyDescent="0.2">
      <c r="B68" s="139" t="s">
        <v>238</v>
      </c>
      <c r="C68"/>
      <c r="D68"/>
      <c r="E68"/>
      <c r="F68"/>
      <c r="G68"/>
      <c r="H68"/>
      <c r="I68"/>
      <c r="J68"/>
      <c r="K68"/>
      <c r="L68"/>
      <c r="M68"/>
      <c r="N68"/>
      <c r="T68"/>
    </row>
    <row r="69" spans="2:23" s="1" customFormat="1" hidden="1" x14ac:dyDescent="0.2">
      <c r="B69" s="138" t="s">
        <v>269</v>
      </c>
      <c r="C69"/>
      <c r="D69"/>
      <c r="E69"/>
      <c r="F69"/>
      <c r="G69"/>
      <c r="H69"/>
      <c r="I69"/>
      <c r="J69"/>
      <c r="K69"/>
      <c r="L69"/>
      <c r="M69"/>
      <c r="N69"/>
      <c r="T69"/>
    </row>
    <row r="70" spans="2:23" s="1" customFormat="1" hidden="1" x14ac:dyDescent="0.2">
      <c r="B70" s="138" t="s">
        <v>239</v>
      </c>
      <c r="C70"/>
      <c r="D70"/>
      <c r="E70"/>
      <c r="F70"/>
      <c r="G70"/>
      <c r="H70"/>
      <c r="I70"/>
      <c r="J70"/>
      <c r="K70"/>
      <c r="L70"/>
      <c r="M70"/>
      <c r="N70"/>
      <c r="T70"/>
    </row>
    <row r="71" spans="2:23" s="1" customFormat="1" hidden="1" x14ac:dyDescent="0.2">
      <c r="B71" s="138" t="s">
        <v>240</v>
      </c>
      <c r="C71"/>
      <c r="D71"/>
      <c r="E71"/>
      <c r="F71"/>
      <c r="G71"/>
      <c r="H71"/>
      <c r="I71"/>
      <c r="J71"/>
      <c r="K71"/>
      <c r="L71"/>
      <c r="M71"/>
      <c r="N71"/>
      <c r="T71"/>
    </row>
    <row r="72" spans="2:23" s="1" customFormat="1" x14ac:dyDescent="0.2">
      <c r="U72" s="184"/>
      <c r="V72" s="119"/>
      <c r="W72" s="109"/>
    </row>
    <row r="73" spans="2:23" s="1" customFormat="1" x14ac:dyDescent="0.2">
      <c r="U73" s="184"/>
      <c r="V73" s="119"/>
      <c r="W73" s="109"/>
    </row>
    <row r="74" spans="2:23" s="1" customFormat="1" x14ac:dyDescent="0.2">
      <c r="U74" s="184"/>
      <c r="V74" s="119"/>
      <c r="W74" s="109"/>
    </row>
    <row r="75" spans="2:23" s="1" customFormat="1" x14ac:dyDescent="0.2"/>
    <row r="76" spans="2:23" s="1" customFormat="1" x14ac:dyDescent="0.2"/>
    <row r="77" spans="2:23" s="1" customFormat="1" x14ac:dyDescent="0.2"/>
    <row r="78" spans="2:23" s="1" customFormat="1" x14ac:dyDescent="0.2"/>
    <row r="79" spans="2:23" s="1" customFormat="1" x14ac:dyDescent="0.2"/>
    <row r="80" spans="2:23" s="1" customFormat="1" x14ac:dyDescent="0.2"/>
    <row r="81" s="1" customFormat="1" x14ac:dyDescent="0.2"/>
    <row r="82" s="1" customFormat="1" x14ac:dyDescent="0.2"/>
    <row r="83" s="1" customFormat="1" x14ac:dyDescent="0.2"/>
    <row r="84" s="1" customFormat="1" x14ac:dyDescent="0.2"/>
    <row r="85" s="1" customFormat="1" x14ac:dyDescent="0.2"/>
    <row r="86" s="1" customFormat="1" x14ac:dyDescent="0.2"/>
    <row r="87" s="1" customFormat="1" x14ac:dyDescent="0.2"/>
    <row r="88" s="1" customFormat="1" x14ac:dyDescent="0.2"/>
    <row r="89" s="1" customFormat="1" x14ac:dyDescent="0.2"/>
    <row r="90" s="1" customFormat="1" x14ac:dyDescent="0.2"/>
    <row r="91" s="1" customFormat="1" x14ac:dyDescent="0.2"/>
    <row r="92" s="1" customFormat="1" x14ac:dyDescent="0.2"/>
    <row r="93" s="1" customFormat="1" x14ac:dyDescent="0.2"/>
    <row r="94" s="1" customFormat="1" x14ac:dyDescent="0.2"/>
    <row r="95" s="1" customFormat="1" x14ac:dyDescent="0.2"/>
    <row r="96" s="1" customFormat="1" x14ac:dyDescent="0.2"/>
    <row r="97" s="1" customFormat="1" x14ac:dyDescent="0.2"/>
    <row r="98" s="1" customFormat="1" x14ac:dyDescent="0.2"/>
    <row r="99" s="1" customFormat="1" x14ac:dyDescent="0.2"/>
    <row r="100" s="1" customFormat="1" x14ac:dyDescent="0.2"/>
    <row r="101" s="1" customFormat="1" x14ac:dyDescent="0.2"/>
    <row r="102" s="1" customFormat="1" x14ac:dyDescent="0.2"/>
    <row r="103" s="1" customFormat="1" x14ac:dyDescent="0.2"/>
  </sheetData>
  <conditionalFormatting sqref="F8">
    <cfRule type="expression" dxfId="1" priority="2">
      <formula>$F$4="Equity Multiple"</formula>
    </cfRule>
  </conditionalFormatting>
  <conditionalFormatting sqref="D8:E8">
    <cfRule type="expression" dxfId="0" priority="1">
      <formula>$F$4&lt;&gt;"Equity Multiple"</formula>
    </cfRule>
  </conditionalFormatting>
  <pageMargins left="0.7" right="0.7" top="0.5" bottom="0.5" header="0.3" footer="0.3"/>
  <pageSetup scale="58" fitToHeight="2" orientation="landscape" r:id="rId1"/>
  <headerFooter>
    <oddFooter>&amp;L&amp;"Calibri,Regular"&amp;16&amp;K000000&amp;D&amp;R&amp;"Calibri,Regular"&amp;16&amp;K000000Page &amp;P</oddFooter>
  </headerFooter>
  <rowBreaks count="1" manualBreakCount="1">
    <brk id="66" min="1" max="1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IRR_Y7_LOTONLY">
                <anchor moveWithCells="1" sizeWithCells="1">
                  <from>
                    <xdr:col>21</xdr:col>
                    <xdr:colOff>393700</xdr:colOff>
                    <xdr:row>52</xdr:row>
                    <xdr:rowOff>190500</xdr:rowOff>
                  </from>
                  <to>
                    <xdr:col>22</xdr:col>
                    <xdr:colOff>495300</xdr:colOff>
                    <xdr:row>55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IRR_Y8_LOTONLY">
                <anchor moveWithCells="1" sizeWithCells="1">
                  <from>
                    <xdr:col>23</xdr:col>
                    <xdr:colOff>965200</xdr:colOff>
                    <xdr:row>53</xdr:row>
                    <xdr:rowOff>0</xdr:rowOff>
                  </from>
                  <to>
                    <xdr:col>25</xdr:col>
                    <xdr:colOff>63500</xdr:colOff>
                    <xdr:row>55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5a5ab23-7fc8-4cc3-938f-ad22d069fa30">
      <Terms xmlns="http://schemas.microsoft.com/office/infopath/2007/PartnerControls"/>
    </lcf76f155ced4ddcb4097134ff3c332f>
    <TaxCatchAll xmlns="4789bdcd-11ea-4db7-b08b-7436f76fa1a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252D7E75271943BB8A4607D6E892BE" ma:contentTypeVersion="16" ma:contentTypeDescription="Create a new document." ma:contentTypeScope="" ma:versionID="f942b44aa63b62a65e4124ad0e4ecfb7">
  <xsd:schema xmlns:xsd="http://www.w3.org/2001/XMLSchema" xmlns:xs="http://www.w3.org/2001/XMLSchema" xmlns:p="http://schemas.microsoft.com/office/2006/metadata/properties" xmlns:ns2="05a5ab23-7fc8-4cc3-938f-ad22d069fa30" xmlns:ns3="4789bdcd-11ea-4db7-b08b-7436f76fa1ae" targetNamespace="http://schemas.microsoft.com/office/2006/metadata/properties" ma:root="true" ma:fieldsID="5d59277ea5e1eec0681bc3b8f461837f" ns2:_="" ns3:_="">
    <xsd:import namespace="05a5ab23-7fc8-4cc3-938f-ad22d069fa30"/>
    <xsd:import namespace="4789bdcd-11ea-4db7-b08b-7436f76fa1ae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a5ab23-7fc8-4cc3-938f-ad22d069fa30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c600597d-47fc-434b-9f46-07f6642aa0d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89bdcd-11ea-4db7-b08b-7436f76fa1ae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ffca2aac-8c98-4806-a0e7-88288e39c14a}" ma:internalName="TaxCatchAll" ma:showField="CatchAllData" ma:web="4789bdcd-11ea-4db7-b08b-7436f76fa1a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523F5B1-A14C-4D39-93F6-680524703C7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A6C999B-4594-4AC6-8FD5-C3707F699264}">
  <ds:schemaRefs>
    <ds:schemaRef ds:uri="http://purl.org/dc/elements/1.1/"/>
    <ds:schemaRef ds:uri="http://purl.org/dc/dcmitype/"/>
    <ds:schemaRef ds:uri="http://schemas.microsoft.com/office/2006/documentManagement/types"/>
    <ds:schemaRef ds:uri="05a5ab23-7fc8-4cc3-938f-ad22d069fa30"/>
    <ds:schemaRef ds:uri="4789bdcd-11ea-4db7-b08b-7436f76fa1ae"/>
    <ds:schemaRef ds:uri="http://purl.org/dc/terms/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25832728-573A-4DF3-91AB-27CC1D462C4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5a5ab23-7fc8-4cc3-938f-ad22d069fa30"/>
    <ds:schemaRef ds:uri="4789bdcd-11ea-4db7-b08b-7436f76fa1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Proforma Lot Only</vt:lpstr>
      <vt:lpstr>Returns Lot Only</vt:lpstr>
      <vt:lpstr>'Proforma Lot Only'!Print_Area</vt:lpstr>
      <vt:lpstr>'Returns Lot Only'!Print_Area</vt:lpstr>
      <vt:lpstr>'Proforma Lot Only'!Print_Titles</vt:lpstr>
      <vt:lpstr>'Returns Lot Only'!Print_Titles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rdavis@mcdonough.com</dc:creator>
  <cp:keywords/>
  <dc:description/>
  <cp:lastModifiedBy>Gregg Wolin</cp:lastModifiedBy>
  <cp:revision/>
  <cp:lastPrinted>2022-05-16T05:45:54Z</cp:lastPrinted>
  <dcterms:created xsi:type="dcterms:W3CDTF">2018-09-25T10:16:16Z</dcterms:created>
  <dcterms:modified xsi:type="dcterms:W3CDTF">2026-04-01T16:51:17Z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0x010100D0252D7E75271943BB8A4607D6E892BE</vt:lpwstr>
  </property>
  <property fmtid="{D5CDD505-2E9C-101B-9397-08002B2CF9AE}" pid="3" name="MediaServiceImageTags">
    <vt:lpwstr/>
  </property>
</Properties>
</file>