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autoCompressPictures="0"/>
  <mc:AlternateContent xmlns:mc="http://schemas.openxmlformats.org/markup-compatibility/2006">
    <mc:Choice Requires="x15">
      <x15ac:absPath xmlns:x15ac="http://schemas.microsoft.com/office/spreadsheetml/2010/11/ac" url="https://us-partner-integrations.egnyte.com/msoffice/wopi/files/3f9c9d49-342c-410e-930b-1d7e343af7d4/WOPIServiceId_TP_EGNYTE_PLUS/WOPIUserId_-/"/>
    </mc:Choice>
  </mc:AlternateContent>
  <xr:revisionPtr revIDLastSave="1" documentId="8_{97C1FFB9-29A6-4ABC-ADD2-7FEC96BA5C1A}" xr6:coauthVersionLast="47" xr6:coauthVersionMax="47" xr10:uidLastSave="{84849B1D-A053-470E-AF16-2E8972C3519D}"/>
  <bookViews>
    <workbookView xWindow="-49665" yWindow="5430" windowWidth="25740" windowHeight="15225" tabRatio="736" xr2:uid="{00000000-000D-0000-FFFF-FFFF00000000}"/>
  </bookViews>
  <sheets>
    <sheet name="Executive Summary" sheetId="7" r:id="rId1"/>
    <sheet name="Sale Matrix" sheetId="21" r:id="rId2"/>
    <sheet name="P&amp;L OM" sheetId="19" r:id="rId3"/>
    <sheet name="Cash Flow OM" sheetId="20" r:id="rId4"/>
    <sheet name="3 Pager Graphs" sheetId="22" r:id="rId5"/>
    <sheet name="Rent Comps" sheetId="23" r:id="rId6"/>
    <sheet name="Assumptions" sheetId="5" r:id="rId7"/>
    <sheet name="Unit Mix" sheetId="10" r:id="rId8"/>
    <sheet name="Renovation Budget" sheetId="1" r:id="rId9"/>
    <sheet name="Loan Summary" sheetId="3" r:id="rId10"/>
    <sheet name="Sale Analysis" sheetId="16" r:id="rId11"/>
    <sheet name="Waterfall Split" sheetId="13" r:id="rId12"/>
    <sheet name="Monthly Cash Flow" sheetId="11" r:id="rId13"/>
    <sheet name="Cont. Dist." sheetId="18" r:id="rId14"/>
    <sheet name="Cash Flow Summary" sheetId="12" r:id="rId15"/>
    <sheet name="Notes" sheetId="15" r:id="rId16"/>
  </sheets>
  <definedNames>
    <definedName name="_xlnm.Print_Area" localSheetId="3">'Cash Flow OM'!$B$1:$F$49</definedName>
    <definedName name="_xlnm.Print_Area" localSheetId="0">'Executive Summary'!$B$1:$K$34</definedName>
    <definedName name="_xlnm.Print_Area" localSheetId="2">'P&amp;L OM'!$B$1:$F$37</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 i="16" l="1"/>
  <c r="N20" i="5"/>
  <c r="M20" i="5"/>
  <c r="L20" i="5"/>
  <c r="K20" i="5"/>
  <c r="J20" i="5"/>
  <c r="I20" i="5"/>
  <c r="H20" i="5"/>
  <c r="G20" i="5"/>
  <c r="G17" i="5"/>
  <c r="N17" i="5"/>
  <c r="M17" i="5"/>
  <c r="L17" i="5"/>
  <c r="K17" i="5"/>
  <c r="J17" i="5"/>
  <c r="I17" i="5"/>
  <c r="H17" i="5"/>
  <c r="F3" i="1"/>
  <c r="L3" i="1"/>
  <c r="K3" i="1"/>
  <c r="H24" i="5"/>
  <c r="G24" i="5" s="1"/>
  <c r="H37" i="5"/>
  <c r="H27" i="5"/>
  <c r="H34" i="5"/>
  <c r="H33" i="5"/>
  <c r="H36" i="5"/>
  <c r="H31" i="5"/>
  <c r="G31" i="5"/>
  <c r="H25" i="5"/>
  <c r="C40" i="5"/>
  <c r="L23" i="23"/>
  <c r="K15" i="7"/>
  <c r="K14" i="7"/>
  <c r="K13" i="7"/>
  <c r="N33" i="22"/>
  <c r="N31" i="22"/>
  <c r="P17" i="22"/>
  <c r="P16" i="22"/>
  <c r="F8" i="22"/>
  <c r="I30" i="5" l="1"/>
  <c r="K32" i="5" l="1"/>
  <c r="I32" i="5"/>
  <c r="J32" i="5" s="1"/>
  <c r="AK11" i="5"/>
  <c r="AK9" i="5"/>
  <c r="T3" i="16" l="1"/>
  <c r="E30" i="5"/>
  <c r="E3" i="21" l="1"/>
  <c r="F21" i="7"/>
  <c r="D4" i="16"/>
  <c r="F3" i="16"/>
  <c r="C3" i="16"/>
  <c r="N16" i="22" s="1"/>
  <c r="D3" i="16"/>
  <c r="O16" i="22" s="1"/>
  <c r="F4" i="16"/>
  <c r="G3" i="16" l="1"/>
  <c r="R16" i="22" s="1"/>
  <c r="Q16" i="22"/>
  <c r="C4" i="16"/>
  <c r="O17" i="22"/>
  <c r="G4" i="16"/>
  <c r="Q17" i="22"/>
  <c r="C3" i="21"/>
  <c r="D3" i="21"/>
  <c r="F3" i="21"/>
  <c r="G3" i="21"/>
  <c r="A58" i="18"/>
  <c r="A55" i="18"/>
  <c r="R23" i="11"/>
  <c r="A52" i="18" l="1"/>
  <c r="R17" i="22"/>
  <c r="N17" i="22"/>
  <c r="A61" i="18"/>
  <c r="X3" i="16"/>
  <c r="E37" i="5"/>
  <c r="E36" i="5"/>
  <c r="E34" i="5"/>
  <c r="E35" i="5"/>
  <c r="E33" i="5"/>
  <c r="E32" i="5"/>
  <c r="E31" i="5"/>
  <c r="E29" i="5"/>
  <c r="E28" i="5"/>
  <c r="E27" i="5"/>
  <c r="AK5" i="5" l="1"/>
  <c r="AK24" i="5" s="1"/>
  <c r="AK25" i="5" s="1"/>
  <c r="AK3" i="5"/>
  <c r="AK2" i="5" s="1"/>
  <c r="AF15" i="5"/>
  <c r="AK16" i="5"/>
  <c r="AK26" i="5"/>
  <c r="Q3" i="16"/>
  <c r="AK27" i="5" l="1"/>
  <c r="AK28" i="5" s="1"/>
  <c r="F24" i="20"/>
  <c r="D28" i="20"/>
  <c r="D27" i="20"/>
  <c r="D20" i="20"/>
  <c r="C13" i="20"/>
  <c r="B4" i="20"/>
  <c r="B4" i="19"/>
  <c r="I37" i="5" l="1"/>
  <c r="CJ27" i="11"/>
  <c r="BT27" i="11"/>
  <c r="BO27" i="11"/>
  <c r="BB27" i="11"/>
  <c r="AN27" i="11"/>
  <c r="S27" i="11"/>
  <c r="N27" i="11"/>
  <c r="H54" i="11"/>
  <c r="E51" i="11"/>
  <c r="I33" i="5"/>
  <c r="I27" i="5"/>
  <c r="C15" i="1"/>
  <c r="F3" i="22" s="1"/>
  <c r="G3" i="22" s="1"/>
  <c r="H4" i="10"/>
  <c r="I28" i="5"/>
  <c r="W43" i="11" s="1"/>
  <c r="I29" i="5"/>
  <c r="J29" i="5" s="1"/>
  <c r="AB45" i="11"/>
  <c r="I25" i="5"/>
  <c r="AA37" i="11" s="1"/>
  <c r="I35" i="5"/>
  <c r="S53" i="11" s="1"/>
  <c r="D7" i="18"/>
  <c r="D18" i="18" s="1"/>
  <c r="K2" i="3"/>
  <c r="H27" i="11"/>
  <c r="AA50" i="11"/>
  <c r="AH27" i="11"/>
  <c r="V2" i="3"/>
  <c r="V3" i="3"/>
  <c r="V4" i="3"/>
  <c r="V8" i="3"/>
  <c r="V9"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G49" i="11"/>
  <c r="C49" i="11"/>
  <c r="C53" i="11"/>
  <c r="C51" i="11"/>
  <c r="C54" i="11"/>
  <c r="I34" i="5"/>
  <c r="M26" i="11"/>
  <c r="CH26" i="11"/>
  <c r="BS26" i="11"/>
  <c r="BJ26" i="11"/>
  <c r="AR26" i="11"/>
  <c r="AI26" i="11"/>
  <c r="X26" i="11"/>
  <c r="N15" i="5"/>
  <c r="CF22" i="11" s="1"/>
  <c r="M15" i="5"/>
  <c r="BU22" i="11" s="1"/>
  <c r="L15" i="5"/>
  <c r="BM22" i="11" s="1"/>
  <c r="K15" i="5"/>
  <c r="AU22" i="11" s="1"/>
  <c r="J15" i="5"/>
  <c r="AN22" i="11" s="1"/>
  <c r="I15" i="5"/>
  <c r="T22" i="11" s="1"/>
  <c r="N14" i="5"/>
  <c r="CJ21" i="11" s="1"/>
  <c r="M14" i="5"/>
  <c r="BQ21" i="11" s="1"/>
  <c r="L14" i="5"/>
  <c r="BO21" i="11" s="1"/>
  <c r="K14" i="5"/>
  <c r="AS21" i="11" s="1"/>
  <c r="J14" i="5"/>
  <c r="AD21" i="11" s="1"/>
  <c r="I14" i="5"/>
  <c r="Y21" i="11" s="1"/>
  <c r="H15" i="5"/>
  <c r="J22" i="11" s="1"/>
  <c r="H14" i="5"/>
  <c r="L21" i="11" s="1"/>
  <c r="S25" i="11"/>
  <c r="C52" i="11"/>
  <c r="C42" i="11"/>
  <c r="C37" i="11"/>
  <c r="CH39" i="18"/>
  <c r="CG39" i="18"/>
  <c r="CF39" i="18"/>
  <c r="CE39" i="18"/>
  <c r="CD39" i="18"/>
  <c r="CC39" i="18"/>
  <c r="CB39" i="18"/>
  <c r="CA39" i="18"/>
  <c r="BZ39" i="18"/>
  <c r="BY39" i="18"/>
  <c r="BX39" i="18"/>
  <c r="BW39" i="18"/>
  <c r="BV39" i="18"/>
  <c r="C43" i="11"/>
  <c r="C44" i="11"/>
  <c r="C45" i="11"/>
  <c r="C50" i="11"/>
  <c r="C21" i="11"/>
  <c r="C22" i="11"/>
  <c r="C23" i="11"/>
  <c r="C24" i="11"/>
  <c r="C25" i="11"/>
  <c r="C26" i="11"/>
  <c r="C27" i="11"/>
  <c r="C28" i="11"/>
  <c r="C4" i="1"/>
  <c r="C25" i="5" s="1"/>
  <c r="C3" i="1"/>
  <c r="C51" i="5"/>
  <c r="C52" i="5" s="1"/>
  <c r="D4" i="11"/>
  <c r="E4" i="11" s="1"/>
  <c r="D42" i="11"/>
  <c r="D43" i="11"/>
  <c r="D44" i="11"/>
  <c r="D45" i="11"/>
  <c r="D23" i="11"/>
  <c r="D25" i="11"/>
  <c r="C18" i="10"/>
  <c r="H5" i="10"/>
  <c r="I5" i="10" s="1"/>
  <c r="H6" i="10"/>
  <c r="I6" i="10" s="1"/>
  <c r="H7" i="10"/>
  <c r="H8" i="10"/>
  <c r="H9" i="10"/>
  <c r="H10" i="10"/>
  <c r="D37" i="11"/>
  <c r="D50" i="11"/>
  <c r="D51" i="11"/>
  <c r="D53" i="11"/>
  <c r="D62" i="11"/>
  <c r="C61" i="5"/>
  <c r="J3" i="11" s="1"/>
  <c r="E43" i="11"/>
  <c r="E44" i="11"/>
  <c r="E45" i="11"/>
  <c r="E23" i="11"/>
  <c r="E25" i="11"/>
  <c r="E37" i="11"/>
  <c r="E50" i="11"/>
  <c r="E53" i="11"/>
  <c r="E62" i="11"/>
  <c r="F43" i="11"/>
  <c r="F44" i="11"/>
  <c r="F45" i="11"/>
  <c r="F23" i="11"/>
  <c r="F25" i="11"/>
  <c r="F37" i="11"/>
  <c r="F49" i="11"/>
  <c r="F50" i="11"/>
  <c r="F53" i="11"/>
  <c r="F62" i="11"/>
  <c r="G43" i="11"/>
  <c r="G44" i="11"/>
  <c r="G45" i="11"/>
  <c r="G23" i="11"/>
  <c r="G25" i="11"/>
  <c r="G37" i="11"/>
  <c r="G50" i="11"/>
  <c r="G53" i="11"/>
  <c r="G62" i="11"/>
  <c r="H43" i="11"/>
  <c r="H44" i="11"/>
  <c r="H45" i="11"/>
  <c r="H23" i="11"/>
  <c r="H25" i="11"/>
  <c r="H37" i="11"/>
  <c r="H50" i="11"/>
  <c r="H53" i="11"/>
  <c r="H62" i="11"/>
  <c r="I43" i="11"/>
  <c r="I44" i="11"/>
  <c r="I45" i="11"/>
  <c r="I23" i="11"/>
  <c r="I25" i="11"/>
  <c r="I37" i="11"/>
  <c r="I50" i="11"/>
  <c r="I53" i="11"/>
  <c r="I62" i="11"/>
  <c r="J42" i="11"/>
  <c r="J43" i="11"/>
  <c r="J44" i="11"/>
  <c r="J45" i="11"/>
  <c r="J23" i="11"/>
  <c r="J25" i="11"/>
  <c r="J37" i="11"/>
  <c r="J50" i="11"/>
  <c r="J51" i="11"/>
  <c r="J52" i="11"/>
  <c r="J53" i="11"/>
  <c r="J62" i="11"/>
  <c r="K43" i="11"/>
  <c r="K44" i="11"/>
  <c r="K45" i="11"/>
  <c r="K23" i="11"/>
  <c r="K25" i="11"/>
  <c r="K37" i="11"/>
  <c r="K49" i="11"/>
  <c r="K50" i="11"/>
  <c r="K51" i="11"/>
  <c r="K53" i="11"/>
  <c r="K62" i="11"/>
  <c r="L43" i="11"/>
  <c r="L44" i="11"/>
  <c r="L45" i="11"/>
  <c r="L23" i="11"/>
  <c r="L25" i="11"/>
  <c r="L37" i="11"/>
  <c r="L50" i="11"/>
  <c r="L51" i="11"/>
  <c r="L53" i="11"/>
  <c r="L54" i="11"/>
  <c r="L62" i="11"/>
  <c r="M42" i="11"/>
  <c r="M43" i="11"/>
  <c r="M44" i="11"/>
  <c r="M45" i="11"/>
  <c r="M23" i="11"/>
  <c r="M25" i="11"/>
  <c r="M37" i="11"/>
  <c r="M50" i="11"/>
  <c r="M53" i="11"/>
  <c r="M62" i="11"/>
  <c r="O3" i="11"/>
  <c r="N42" i="11"/>
  <c r="N43" i="11"/>
  <c r="N44" i="11"/>
  <c r="N45" i="11"/>
  <c r="N23" i="11"/>
  <c r="N25" i="11"/>
  <c r="N37" i="11"/>
  <c r="N50" i="11"/>
  <c r="N51" i="11"/>
  <c r="N53" i="11"/>
  <c r="N62" i="11"/>
  <c r="Q3" i="11"/>
  <c r="O42" i="11"/>
  <c r="O43" i="11"/>
  <c r="O44" i="11"/>
  <c r="O45" i="11"/>
  <c r="O23" i="11"/>
  <c r="O25" i="11"/>
  <c r="O37" i="11"/>
  <c r="O50" i="11"/>
  <c r="O51" i="11"/>
  <c r="O53" i="11"/>
  <c r="O62" i="11"/>
  <c r="R3" i="11"/>
  <c r="Q23" i="11"/>
  <c r="Q25" i="11"/>
  <c r="S3" i="11"/>
  <c r="T3" i="11"/>
  <c r="S23" i="11"/>
  <c r="U3" i="11"/>
  <c r="T23" i="11"/>
  <c r="V3" i="11"/>
  <c r="U23" i="11"/>
  <c r="V23" i="11"/>
  <c r="W23" i="11"/>
  <c r="X23" i="11"/>
  <c r="X25" i="11"/>
  <c r="Z3" i="11"/>
  <c r="Y23" i="11"/>
  <c r="AA3" i="11"/>
  <c r="Z23" i="11"/>
  <c r="AB3" i="11"/>
  <c r="AA23" i="11"/>
  <c r="AB23" i="11"/>
  <c r="AD23" i="11"/>
  <c r="AE23" i="11"/>
  <c r="AF23" i="11"/>
  <c r="AG23" i="11"/>
  <c r="AH23" i="11"/>
  <c r="AI23" i="11"/>
  <c r="AJ23" i="11"/>
  <c r="AK23" i="11"/>
  <c r="AL23" i="11"/>
  <c r="AM23" i="11"/>
  <c r="AN23" i="11"/>
  <c r="AO23" i="11"/>
  <c r="AQ23" i="11"/>
  <c r="AR23" i="11"/>
  <c r="AS23" i="11"/>
  <c r="AT23" i="11"/>
  <c r="AU23" i="11"/>
  <c r="AV23" i="11"/>
  <c r="AW23" i="11"/>
  <c r="AX23" i="11"/>
  <c r="AY23" i="11"/>
  <c r="AZ23" i="11"/>
  <c r="BA23" i="11"/>
  <c r="BD2" i="11"/>
  <c r="BD1" i="11" s="1"/>
  <c r="BB23" i="11"/>
  <c r="BE2" i="11"/>
  <c r="BD23" i="11"/>
  <c r="BF2" i="11"/>
  <c r="BF1" i="11" s="1"/>
  <c r="BE23" i="11"/>
  <c r="BG2" i="11"/>
  <c r="BG1" i="11" s="1"/>
  <c r="BF23" i="11"/>
  <c r="BH2" i="11"/>
  <c r="BH1" i="11" s="1"/>
  <c r="BG23" i="11"/>
  <c r="V52" i="3"/>
  <c r="BI2" i="11"/>
  <c r="BH23" i="11"/>
  <c r="V53" i="3"/>
  <c r="BJ2" i="11"/>
  <c r="BJ1" i="11" s="1"/>
  <c r="BI23" i="11"/>
  <c r="V54" i="3"/>
  <c r="BK2" i="11"/>
  <c r="BJ23" i="11"/>
  <c r="V55" i="3"/>
  <c r="BL2" i="11"/>
  <c r="BK23" i="11"/>
  <c r="V56" i="3"/>
  <c r="BM2" i="11"/>
  <c r="BM1" i="11" s="1"/>
  <c r="BL23" i="11"/>
  <c r="V57" i="3"/>
  <c r="BN2" i="11"/>
  <c r="BN1" i="11" s="1"/>
  <c r="BM23" i="11"/>
  <c r="V58" i="3"/>
  <c r="BO2" i="11"/>
  <c r="BO1" i="11" s="1"/>
  <c r="BN23" i="11"/>
  <c r="V59" i="3"/>
  <c r="BQ2" i="11"/>
  <c r="BO23" i="11"/>
  <c r="V60" i="3"/>
  <c r="BR2" i="11"/>
  <c r="BR1" i="11" s="1"/>
  <c r="BQ23" i="11"/>
  <c r="BS2" i="11"/>
  <c r="BS1" i="11" s="1"/>
  <c r="BR23" i="11"/>
  <c r="V62" i="3"/>
  <c r="BT2" i="11"/>
  <c r="BS23" i="11"/>
  <c r="BS27" i="11"/>
  <c r="BU2" i="11"/>
  <c r="BU1" i="11" s="1"/>
  <c r="BT23" i="11"/>
  <c r="V64" i="3"/>
  <c r="BV2" i="11"/>
  <c r="BU23" i="11"/>
  <c r="V65" i="3"/>
  <c r="BW2" i="11"/>
  <c r="BW1" i="11" s="1"/>
  <c r="BV23" i="11"/>
  <c r="V66" i="3"/>
  <c r="BX2" i="11"/>
  <c r="BW23" i="11"/>
  <c r="V67" i="3"/>
  <c r="BY2" i="11"/>
  <c r="BY1" i="11" s="1"/>
  <c r="BX23" i="11"/>
  <c r="BX27" i="11"/>
  <c r="V68" i="3"/>
  <c r="BZ2" i="11"/>
  <c r="BZ1" i="11" s="1"/>
  <c r="BY23" i="11"/>
  <c r="BY27" i="11"/>
  <c r="V69" i="3"/>
  <c r="V70" i="3"/>
  <c r="BZ23" i="11"/>
  <c r="V71" i="3"/>
  <c r="CA2" i="11"/>
  <c r="CA1" i="11" s="1"/>
  <c r="CB2" i="11"/>
  <c r="CB1" i="11" s="1"/>
  <c r="BT39" i="18"/>
  <c r="BS39" i="18"/>
  <c r="BR39" i="18"/>
  <c r="BQ39" i="18"/>
  <c r="BP39" i="18"/>
  <c r="BO39" i="18"/>
  <c r="BN39" i="18"/>
  <c r="BM39" i="18"/>
  <c r="BL39" i="18"/>
  <c r="BK39" i="18"/>
  <c r="BJ39" i="18"/>
  <c r="BI39" i="18"/>
  <c r="BH39" i="18"/>
  <c r="BG39" i="18"/>
  <c r="BF39" i="18"/>
  <c r="BE39" i="18"/>
  <c r="BD39" i="18"/>
  <c r="BC39" i="18"/>
  <c r="BB39" i="18"/>
  <c r="BA39" i="18"/>
  <c r="AZ39" i="18"/>
  <c r="AY39" i="18"/>
  <c r="AX39" i="18"/>
  <c r="AW39" i="18"/>
  <c r="AV39" i="18"/>
  <c r="AU39" i="18"/>
  <c r="AT39" i="18"/>
  <c r="AS39" i="18"/>
  <c r="AR39" i="18"/>
  <c r="AQ39" i="18"/>
  <c r="AP39" i="18"/>
  <c r="AO39" i="18"/>
  <c r="AN39" i="18"/>
  <c r="AM39" i="18"/>
  <c r="AL39" i="18"/>
  <c r="AK39" i="18"/>
  <c r="AJ39" i="18"/>
  <c r="AI39" i="18"/>
  <c r="AH39" i="18"/>
  <c r="AG39" i="18"/>
  <c r="AF39" i="18"/>
  <c r="AE39" i="18"/>
  <c r="AD39" i="18"/>
  <c r="AC39" i="18"/>
  <c r="AB39" i="18"/>
  <c r="AA39" i="18"/>
  <c r="Z39" i="18"/>
  <c r="Y39" i="18"/>
  <c r="X39" i="18"/>
  <c r="W39" i="18"/>
  <c r="V39" i="18"/>
  <c r="U39" i="18"/>
  <c r="T39" i="18"/>
  <c r="S39" i="18"/>
  <c r="R39" i="18"/>
  <c r="Q39" i="18"/>
  <c r="P39" i="18"/>
  <c r="O39" i="18"/>
  <c r="N39" i="18"/>
  <c r="M39" i="18"/>
  <c r="L39" i="18"/>
  <c r="K39" i="18"/>
  <c r="J39" i="18"/>
  <c r="I39" i="18"/>
  <c r="H39" i="18"/>
  <c r="G39" i="18"/>
  <c r="F39" i="18"/>
  <c r="E39" i="18"/>
  <c r="D39" i="18"/>
  <c r="CF14" i="18"/>
  <c r="CD14" i="18"/>
  <c r="CC14" i="18"/>
  <c r="CB14" i="18"/>
  <c r="CA14" i="18"/>
  <c r="BZ14" i="18"/>
  <c r="BY14" i="18"/>
  <c r="BX14" i="18"/>
  <c r="BV14" i="18"/>
  <c r="BU14" i="18"/>
  <c r="BT14" i="18"/>
  <c r="BS14" i="18"/>
  <c r="BR14" i="18"/>
  <c r="BQ14" i="18"/>
  <c r="BP14" i="18"/>
  <c r="BN14" i="18"/>
  <c r="BL14" i="18"/>
  <c r="BJ14" i="18"/>
  <c r="BI14" i="18"/>
  <c r="BH14" i="18"/>
  <c r="BG14" i="18"/>
  <c r="BE14" i="18"/>
  <c r="BD14" i="18"/>
  <c r="BC14" i="18"/>
  <c r="BB14" i="18"/>
  <c r="AZ14" i="18"/>
  <c r="AX14" i="18"/>
  <c r="AW14" i="18"/>
  <c r="AV14" i="18"/>
  <c r="AU14" i="18"/>
  <c r="AT14" i="18"/>
  <c r="AR14" i="18"/>
  <c r="AQ14" i="18"/>
  <c r="AO14" i="18"/>
  <c r="AK14" i="18"/>
  <c r="AJ14" i="18"/>
  <c r="AI14" i="18"/>
  <c r="AH14" i="18"/>
  <c r="AG14" i="18"/>
  <c r="AF14" i="18"/>
  <c r="AE14" i="18"/>
  <c r="AD14" i="18"/>
  <c r="AB14" i="18"/>
  <c r="AA14" i="18"/>
  <c r="Y14" i="18"/>
  <c r="X14" i="18"/>
  <c r="V14" i="18"/>
  <c r="U14" i="18"/>
  <c r="T14" i="18"/>
  <c r="S14" i="18"/>
  <c r="R14" i="18"/>
  <c r="Q14" i="18"/>
  <c r="P14" i="18"/>
  <c r="O14" i="18"/>
  <c r="N14" i="18"/>
  <c r="M14" i="18"/>
  <c r="L14" i="18"/>
  <c r="K14" i="18"/>
  <c r="J14" i="18"/>
  <c r="I14" i="18"/>
  <c r="H14" i="18"/>
  <c r="G14" i="18"/>
  <c r="F14" i="18"/>
  <c r="E14" i="18"/>
  <c r="D14" i="18"/>
  <c r="D13" i="18"/>
  <c r="E13" i="18"/>
  <c r="F13" i="18"/>
  <c r="J13" i="18"/>
  <c r="K13" i="18"/>
  <c r="P13" i="18"/>
  <c r="Q13" i="18"/>
  <c r="R13" i="18"/>
  <c r="S13" i="18"/>
  <c r="T13" i="18"/>
  <c r="U13" i="18"/>
  <c r="V13" i="18"/>
  <c r="W13" i="18"/>
  <c r="X13" i="18"/>
  <c r="Y13" i="18"/>
  <c r="Z13" i="18"/>
  <c r="AA13" i="18"/>
  <c r="AB13" i="18"/>
  <c r="AC13" i="18"/>
  <c r="AD13" i="18"/>
  <c r="AE13" i="18"/>
  <c r="AF13" i="18"/>
  <c r="AG13" i="18"/>
  <c r="AH13" i="18"/>
  <c r="AI13" i="18"/>
  <c r="AJ13" i="18"/>
  <c r="AK13" i="18"/>
  <c r="AO13" i="18"/>
  <c r="AP13" i="18"/>
  <c r="AQ13" i="18"/>
  <c r="AR13" i="18"/>
  <c r="AS13" i="18"/>
  <c r="AT13" i="18"/>
  <c r="AU13" i="18"/>
  <c r="AV13" i="18"/>
  <c r="AW13" i="18"/>
  <c r="AX13" i="18"/>
  <c r="AY13" i="18"/>
  <c r="AZ13" i="18"/>
  <c r="BA13" i="18"/>
  <c r="BB13" i="18"/>
  <c r="BC13" i="18"/>
  <c r="BD13" i="18"/>
  <c r="BE13" i="18"/>
  <c r="BF13" i="18"/>
  <c r="BG13" i="18"/>
  <c r="BH13" i="18"/>
  <c r="BI13" i="18"/>
  <c r="BJ13" i="18"/>
  <c r="BL13" i="18"/>
  <c r="BN13" i="18"/>
  <c r="BO13" i="18"/>
  <c r="BP13" i="18"/>
  <c r="BQ13" i="18"/>
  <c r="BR13" i="18"/>
  <c r="BS13" i="18"/>
  <c r="BT13" i="18"/>
  <c r="BU13" i="18"/>
  <c r="BV13" i="18"/>
  <c r="BW13" i="18"/>
  <c r="BX13" i="18"/>
  <c r="BY13" i="18"/>
  <c r="BZ13" i="18"/>
  <c r="CA13" i="18"/>
  <c r="CB13" i="18"/>
  <c r="CC13" i="18"/>
  <c r="CD13" i="18"/>
  <c r="CE13" i="18"/>
  <c r="CF13" i="18"/>
  <c r="CG13" i="18"/>
  <c r="CH13" i="18"/>
  <c r="CI13" i="18"/>
  <c r="C16" i="3"/>
  <c r="J2" i="3" s="1"/>
  <c r="D64" i="11" s="1"/>
  <c r="D38" i="18"/>
  <c r="E38" i="18"/>
  <c r="F38" i="18"/>
  <c r="J38" i="18"/>
  <c r="K38" i="18"/>
  <c r="P38" i="18"/>
  <c r="Q38" i="18"/>
  <c r="R38" i="18"/>
  <c r="S38" i="18"/>
  <c r="T38" i="18"/>
  <c r="U38" i="18"/>
  <c r="V38" i="18"/>
  <c r="W38" i="18"/>
  <c r="X38" i="18"/>
  <c r="Y38" i="18"/>
  <c r="Z38" i="18"/>
  <c r="AA38" i="18"/>
  <c r="AB38" i="18"/>
  <c r="AC38" i="18"/>
  <c r="AD38" i="18"/>
  <c r="AE38" i="18"/>
  <c r="AF38" i="18"/>
  <c r="AG38" i="18"/>
  <c r="AH38" i="18"/>
  <c r="AI38" i="18"/>
  <c r="AJ38" i="18"/>
  <c r="AK38" i="18"/>
  <c r="AO38" i="18"/>
  <c r="AP38" i="18"/>
  <c r="AQ38" i="18"/>
  <c r="AR38" i="18"/>
  <c r="AS38" i="18"/>
  <c r="AT38" i="18"/>
  <c r="AU38" i="18"/>
  <c r="AV38" i="18"/>
  <c r="AW38" i="18"/>
  <c r="AX38" i="18"/>
  <c r="AY38" i="18"/>
  <c r="AZ38" i="18"/>
  <c r="BA38" i="18"/>
  <c r="BB38" i="18"/>
  <c r="BC38" i="18"/>
  <c r="BD38" i="18"/>
  <c r="BE38" i="18"/>
  <c r="BF38" i="18"/>
  <c r="BG38" i="18"/>
  <c r="BH38" i="18"/>
  <c r="BI38" i="18"/>
  <c r="BJ38" i="18"/>
  <c r="BL38" i="18"/>
  <c r="BN38" i="18"/>
  <c r="BO38" i="18"/>
  <c r="BP38" i="18"/>
  <c r="BQ38" i="18"/>
  <c r="BR38" i="18"/>
  <c r="BS38" i="18"/>
  <c r="BT38" i="18"/>
  <c r="BU38" i="18"/>
  <c r="BV38" i="18"/>
  <c r="BW38" i="18"/>
  <c r="BX38" i="18"/>
  <c r="BY38" i="18"/>
  <c r="BZ38" i="18"/>
  <c r="CA38" i="18"/>
  <c r="CB38" i="18"/>
  <c r="CC38" i="18"/>
  <c r="CD38" i="18"/>
  <c r="CE38" i="18"/>
  <c r="CF38" i="18"/>
  <c r="CG38" i="18"/>
  <c r="CH38" i="18"/>
  <c r="CI38" i="18"/>
  <c r="C20" i="11"/>
  <c r="C3" i="3"/>
  <c r="I10" i="7" s="1"/>
  <c r="D20" i="11"/>
  <c r="E20" i="11"/>
  <c r="F20" i="11"/>
  <c r="G20" i="11"/>
  <c r="H20" i="11"/>
  <c r="I20" i="11"/>
  <c r="J20" i="11"/>
  <c r="K20" i="11"/>
  <c r="L20" i="11"/>
  <c r="M20" i="11"/>
  <c r="N20" i="11"/>
  <c r="O20" i="11"/>
  <c r="Q20" i="11"/>
  <c r="R20" i="11"/>
  <c r="S20" i="11"/>
  <c r="T20" i="11"/>
  <c r="U20" i="11"/>
  <c r="V20" i="11"/>
  <c r="W20" i="11"/>
  <c r="X20" i="11"/>
  <c r="Y20" i="11"/>
  <c r="Z20" i="11"/>
  <c r="AA20" i="11"/>
  <c r="AB20" i="11"/>
  <c r="AD20" i="11"/>
  <c r="AE20" i="11"/>
  <c r="AF20" i="11"/>
  <c r="AG20" i="11"/>
  <c r="AH20" i="11"/>
  <c r="AI20" i="11"/>
  <c r="AJ20" i="11"/>
  <c r="AK20" i="11"/>
  <c r="AL20" i="11"/>
  <c r="AM20" i="11"/>
  <c r="AN20" i="11"/>
  <c r="AO20" i="11"/>
  <c r="AQ20" i="11"/>
  <c r="AR20" i="11"/>
  <c r="AS20" i="11"/>
  <c r="C10" i="3"/>
  <c r="K9" i="7" s="1"/>
  <c r="C11" i="3"/>
  <c r="CO2" i="11"/>
  <c r="CN2" i="11"/>
  <c r="CN1" i="11" s="1"/>
  <c r="CO20" i="11"/>
  <c r="CO23" i="11"/>
  <c r="CO27" i="11"/>
  <c r="AT20" i="11"/>
  <c r="AU20" i="11"/>
  <c r="AV20" i="11"/>
  <c r="AW20" i="11"/>
  <c r="AX20" i="11"/>
  <c r="AY20" i="11"/>
  <c r="AZ20" i="11"/>
  <c r="BA20" i="11"/>
  <c r="BB20" i="11"/>
  <c r="BD20" i="11"/>
  <c r="BE20" i="11"/>
  <c r="BF20" i="11"/>
  <c r="BG20" i="11"/>
  <c r="BH20" i="11"/>
  <c r="BI20" i="11"/>
  <c r="BJ20" i="11"/>
  <c r="BK20" i="11"/>
  <c r="BL20" i="11"/>
  <c r="BM20" i="11"/>
  <c r="BN20" i="11"/>
  <c r="BO20" i="11"/>
  <c r="BQ20" i="11"/>
  <c r="BR20" i="11"/>
  <c r="BS20" i="11"/>
  <c r="BT20" i="11"/>
  <c r="BU20" i="11"/>
  <c r="BV20" i="11"/>
  <c r="BW20" i="11"/>
  <c r="BX20" i="11"/>
  <c r="BY20" i="11"/>
  <c r="BZ20" i="11"/>
  <c r="CA20" i="11"/>
  <c r="CA23" i="11"/>
  <c r="V72" i="3"/>
  <c r="CB20" i="11"/>
  <c r="CB23" i="11"/>
  <c r="V73" i="3"/>
  <c r="CD2" i="11"/>
  <c r="CD20" i="11"/>
  <c r="CD23" i="11"/>
  <c r="V74" i="3"/>
  <c r="CE2" i="11"/>
  <c r="CE1" i="11" s="1"/>
  <c r="CE20" i="11"/>
  <c r="CE23" i="11"/>
  <c r="V75" i="3"/>
  <c r="CF2" i="11"/>
  <c r="CF20" i="11"/>
  <c r="CF23" i="11"/>
  <c r="V76" i="3"/>
  <c r="CG2" i="11"/>
  <c r="CG1" i="11" s="1"/>
  <c r="CG20" i="11"/>
  <c r="CG23" i="11"/>
  <c r="CG27" i="11"/>
  <c r="V77" i="3"/>
  <c r="CH2" i="11"/>
  <c r="CH20" i="11"/>
  <c r="CH23" i="11"/>
  <c r="V78" i="3"/>
  <c r="CI2" i="11"/>
  <c r="CI20" i="11"/>
  <c r="CI23" i="11"/>
  <c r="V79" i="3"/>
  <c r="CJ2" i="11"/>
  <c r="CJ20" i="11"/>
  <c r="CJ23" i="11"/>
  <c r="V80" i="3"/>
  <c r="CK2" i="11"/>
  <c r="CK1" i="11" s="1"/>
  <c r="CK20" i="11"/>
  <c r="CK23" i="11"/>
  <c r="V81" i="3"/>
  <c r="CL2" i="11"/>
  <c r="CL20" i="11"/>
  <c r="CL23" i="11"/>
  <c r="V82" i="3"/>
  <c r="CM2" i="11"/>
  <c r="CM1" i="11" s="1"/>
  <c r="CM20" i="11"/>
  <c r="CM23" i="11"/>
  <c r="V83" i="3"/>
  <c r="CN20" i="11"/>
  <c r="CN23" i="11"/>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D32" i="18"/>
  <c r="D43" i="18" s="1"/>
  <c r="H23" i="13"/>
  <c r="H36" i="13" s="1"/>
  <c r="F22" i="7"/>
  <c r="F8" i="7"/>
  <c r="C3" i="22" s="1"/>
  <c r="C15" i="7"/>
  <c r="C13" i="7"/>
  <c r="D93" i="11"/>
  <c r="H19" i="7"/>
  <c r="I19" i="7"/>
  <c r="K10" i="7"/>
  <c r="F28" i="7"/>
  <c r="F27" i="7"/>
  <c r="B4" i="7"/>
  <c r="I9" i="7"/>
  <c r="I13" i="7"/>
  <c r="I12" i="7"/>
  <c r="C42" i="18"/>
  <c r="D42" i="18"/>
  <c r="E42" i="18" s="1"/>
  <c r="F42" i="18" s="1"/>
  <c r="G42" i="18" s="1"/>
  <c r="H42" i="18" s="1"/>
  <c r="I42" i="18" s="1"/>
  <c r="J42" i="18" s="1"/>
  <c r="K42" i="18" s="1"/>
  <c r="L42" i="18" s="1"/>
  <c r="M42" i="18" s="1"/>
  <c r="N42" i="18" s="1"/>
  <c r="O42" i="18" s="1"/>
  <c r="P42" i="18" s="1"/>
  <c r="Q42" i="18" s="1"/>
  <c r="R42" i="18" s="1"/>
  <c r="S42" i="18" s="1"/>
  <c r="T42" i="18" s="1"/>
  <c r="U42" i="18" s="1"/>
  <c r="V42" i="18" s="1"/>
  <c r="W42" i="18" s="1"/>
  <c r="X42" i="18" s="1"/>
  <c r="Y42" i="18" s="1"/>
  <c r="Z42" i="18" s="1"/>
  <c r="AA42" i="18" s="1"/>
  <c r="AB42" i="18" s="1"/>
  <c r="AC42" i="18" s="1"/>
  <c r="AD42" i="18" s="1"/>
  <c r="AE42" i="18" s="1"/>
  <c r="AF42" i="18" s="1"/>
  <c r="AG42" i="18" s="1"/>
  <c r="AH42" i="18" s="1"/>
  <c r="AI42" i="18" s="1"/>
  <c r="AJ42" i="18" s="1"/>
  <c r="AK42" i="18" s="1"/>
  <c r="AL42" i="18" s="1"/>
  <c r="AM42" i="18" s="1"/>
  <c r="AN42" i="18" s="1"/>
  <c r="AO42" i="18" s="1"/>
  <c r="AP42" i="18" s="1"/>
  <c r="AQ42" i="18" s="1"/>
  <c r="AR42" i="18" s="1"/>
  <c r="AS42" i="18" s="1"/>
  <c r="AT42" i="18" s="1"/>
  <c r="AU42" i="18" s="1"/>
  <c r="AV42" i="18" s="1"/>
  <c r="AW42" i="18" s="1"/>
  <c r="AX42" i="18" s="1"/>
  <c r="AY42" i="18" s="1"/>
  <c r="AZ42" i="18" s="1"/>
  <c r="BA42" i="18" s="1"/>
  <c r="BB42" i="18" s="1"/>
  <c r="BC42" i="18" s="1"/>
  <c r="BD42" i="18" s="1"/>
  <c r="BE42" i="18" s="1"/>
  <c r="BF42" i="18" s="1"/>
  <c r="BG42" i="18" s="1"/>
  <c r="BH42" i="18" s="1"/>
  <c r="BI42" i="18" s="1"/>
  <c r="BJ42" i="18" s="1"/>
  <c r="BK42" i="18" s="1"/>
  <c r="BL42" i="18" s="1"/>
  <c r="BM42" i="18" s="1"/>
  <c r="BN42" i="18" s="1"/>
  <c r="BO42" i="18" s="1"/>
  <c r="BP42" i="18" s="1"/>
  <c r="BQ42" i="18" s="1"/>
  <c r="BR42" i="18" s="1"/>
  <c r="BS42" i="18" s="1"/>
  <c r="BT42" i="18" s="1"/>
  <c r="BU42" i="18" s="1"/>
  <c r="BV42" i="18" s="1"/>
  <c r="BW42" i="18" s="1"/>
  <c r="BX42" i="18" s="1"/>
  <c r="BY42" i="18" s="1"/>
  <c r="BZ42" i="18" s="1"/>
  <c r="CA42" i="18" s="1"/>
  <c r="CB42" i="18" s="1"/>
  <c r="CC42" i="18" s="1"/>
  <c r="CD42" i="18" s="1"/>
  <c r="CE42" i="18" s="1"/>
  <c r="CF42" i="18" s="1"/>
  <c r="CG42" i="18" s="1"/>
  <c r="CH42" i="18" s="1"/>
  <c r="CI42" i="18" s="1"/>
  <c r="D17" i="18"/>
  <c r="E17" i="18" s="1"/>
  <c r="C17" i="18"/>
  <c r="H10" i="13" s="1"/>
  <c r="D29" i="18"/>
  <c r="E29" i="18" s="1"/>
  <c r="F29" i="18" s="1"/>
  <c r="G29" i="18" s="1"/>
  <c r="H29" i="18" s="1"/>
  <c r="I29" i="18" s="1"/>
  <c r="J29" i="18" s="1"/>
  <c r="K29" i="18" s="1"/>
  <c r="L29" i="18" s="1"/>
  <c r="M29" i="18" s="1"/>
  <c r="N29" i="18" s="1"/>
  <c r="O29" i="18" s="1"/>
  <c r="P29" i="18" s="1"/>
  <c r="Q29" i="18" s="1"/>
  <c r="R29" i="18" s="1"/>
  <c r="S29" i="18" s="1"/>
  <c r="T29" i="18" s="1"/>
  <c r="U29" i="18" s="1"/>
  <c r="V29" i="18" s="1"/>
  <c r="W29" i="18" s="1"/>
  <c r="X29" i="18" s="1"/>
  <c r="Y29" i="18" s="1"/>
  <c r="Z29" i="18" s="1"/>
  <c r="AA29" i="18" s="1"/>
  <c r="AB29" i="18" s="1"/>
  <c r="AC29" i="18" s="1"/>
  <c r="AD29" i="18" s="1"/>
  <c r="AE29" i="18" s="1"/>
  <c r="AF29" i="18" s="1"/>
  <c r="AG29" i="18" s="1"/>
  <c r="AH29" i="18" s="1"/>
  <c r="AI29" i="18" s="1"/>
  <c r="AJ29" i="18" s="1"/>
  <c r="AK29" i="18" s="1"/>
  <c r="AL29" i="18" s="1"/>
  <c r="AM29" i="18" s="1"/>
  <c r="AN29" i="18" s="1"/>
  <c r="AO29" i="18" s="1"/>
  <c r="AP29" i="18" s="1"/>
  <c r="AQ29" i="18" s="1"/>
  <c r="AR29" i="18" s="1"/>
  <c r="AS29" i="18" s="1"/>
  <c r="AT29" i="18" s="1"/>
  <c r="AU29" i="18" s="1"/>
  <c r="AV29" i="18" s="1"/>
  <c r="AW29" i="18" s="1"/>
  <c r="AX29" i="18" s="1"/>
  <c r="AY29" i="18" s="1"/>
  <c r="AZ29" i="18" s="1"/>
  <c r="BA29" i="18" s="1"/>
  <c r="BB29" i="18" s="1"/>
  <c r="BC29" i="18" s="1"/>
  <c r="BD29" i="18" s="1"/>
  <c r="BE29" i="18" s="1"/>
  <c r="BF29" i="18" s="1"/>
  <c r="BG29" i="18" s="1"/>
  <c r="BH29" i="18" s="1"/>
  <c r="BI29" i="18" s="1"/>
  <c r="BJ29" i="18" s="1"/>
  <c r="BK29" i="18" s="1"/>
  <c r="BL29" i="18" s="1"/>
  <c r="BM29" i="18" s="1"/>
  <c r="BN29" i="18" s="1"/>
  <c r="BO29" i="18" s="1"/>
  <c r="BP29" i="18" s="1"/>
  <c r="BQ29" i="18" s="1"/>
  <c r="BR29" i="18" s="1"/>
  <c r="BS29" i="18" s="1"/>
  <c r="BT29" i="18" s="1"/>
  <c r="BU29" i="18" s="1"/>
  <c r="BV29" i="18" s="1"/>
  <c r="BW29" i="18" s="1"/>
  <c r="BX29" i="18" s="1"/>
  <c r="BY29" i="18" s="1"/>
  <c r="BZ29" i="18" s="1"/>
  <c r="CA29" i="18" s="1"/>
  <c r="CB29" i="18" s="1"/>
  <c r="CC29" i="18" s="1"/>
  <c r="CD29" i="18" s="1"/>
  <c r="CE29" i="18" s="1"/>
  <c r="CF29" i="18" s="1"/>
  <c r="CG29" i="18" s="1"/>
  <c r="CH29" i="18" s="1"/>
  <c r="CI29" i="18" s="1"/>
  <c r="C17" i="13"/>
  <c r="C48" i="13"/>
  <c r="C41" i="13"/>
  <c r="C40" i="13"/>
  <c r="D33" i="13"/>
  <c r="D20" i="13"/>
  <c r="H22" i="13" s="1"/>
  <c r="C26" i="13"/>
  <c r="H20" i="13"/>
  <c r="C27" i="13"/>
  <c r="R3" i="13"/>
  <c r="D4" i="18"/>
  <c r="E4" i="18" s="1"/>
  <c r="F4" i="18" s="1"/>
  <c r="G4" i="18" s="1"/>
  <c r="H4" i="18" s="1"/>
  <c r="I4" i="18" s="1"/>
  <c r="J4" i="18" s="1"/>
  <c r="K4" i="18" s="1"/>
  <c r="L4" i="18" s="1"/>
  <c r="M4" i="18" s="1"/>
  <c r="N4" i="18" s="1"/>
  <c r="O4" i="18" s="1"/>
  <c r="P4" i="18" s="1"/>
  <c r="Q4" i="18" s="1"/>
  <c r="R4" i="18" s="1"/>
  <c r="S4" i="18" s="1"/>
  <c r="T4" i="18" s="1"/>
  <c r="U4" i="18" s="1"/>
  <c r="V4" i="18" s="1"/>
  <c r="W4" i="18" s="1"/>
  <c r="X4" i="18" s="1"/>
  <c r="Y4" i="18" s="1"/>
  <c r="Z4" i="18" s="1"/>
  <c r="AA4" i="18" s="1"/>
  <c r="AB4" i="18" s="1"/>
  <c r="AC4" i="18" s="1"/>
  <c r="AD4" i="18" s="1"/>
  <c r="AE4" i="18" s="1"/>
  <c r="AF4" i="18" s="1"/>
  <c r="AG4" i="18" s="1"/>
  <c r="AH4" i="18" s="1"/>
  <c r="AI4" i="18" s="1"/>
  <c r="AJ4" i="18" s="1"/>
  <c r="AK4" i="18" s="1"/>
  <c r="AL4" i="18" s="1"/>
  <c r="AM4" i="18" s="1"/>
  <c r="AN4" i="18" s="1"/>
  <c r="AO4" i="18" s="1"/>
  <c r="AP4" i="18" s="1"/>
  <c r="AQ4" i="18" s="1"/>
  <c r="AR4" i="18" s="1"/>
  <c r="AS4" i="18" s="1"/>
  <c r="AT4" i="18" s="1"/>
  <c r="AU4" i="18" s="1"/>
  <c r="AV4" i="18" s="1"/>
  <c r="AW4" i="18" s="1"/>
  <c r="AX4" i="18" s="1"/>
  <c r="AY4" i="18" s="1"/>
  <c r="AZ4" i="18" s="1"/>
  <c r="BA4" i="18" s="1"/>
  <c r="BB4" i="18" s="1"/>
  <c r="BC4" i="18" s="1"/>
  <c r="BD4" i="18" s="1"/>
  <c r="BE4" i="18" s="1"/>
  <c r="BF4" i="18" s="1"/>
  <c r="BG4" i="18" s="1"/>
  <c r="BH4" i="18" s="1"/>
  <c r="BI4" i="18" s="1"/>
  <c r="BJ4" i="18" s="1"/>
  <c r="BK4" i="18" s="1"/>
  <c r="BL4" i="18" s="1"/>
  <c r="BM4" i="18" s="1"/>
  <c r="BN4" i="18" s="1"/>
  <c r="BO4" i="18" s="1"/>
  <c r="BP4" i="18" s="1"/>
  <c r="BQ4" i="18" s="1"/>
  <c r="BR4" i="18" s="1"/>
  <c r="BS4" i="18" s="1"/>
  <c r="BT4" i="18" s="1"/>
  <c r="BU4" i="18" s="1"/>
  <c r="BV4" i="18" s="1"/>
  <c r="BW4" i="18" s="1"/>
  <c r="BX4" i="18" s="1"/>
  <c r="BY4" i="18" s="1"/>
  <c r="BZ4" i="18" s="1"/>
  <c r="CA4" i="18" s="1"/>
  <c r="CB4" i="18" s="1"/>
  <c r="CC4" i="18" s="1"/>
  <c r="CD4" i="18" s="1"/>
  <c r="CE4" i="18" s="1"/>
  <c r="CF4" i="18" s="1"/>
  <c r="CG4" i="18" s="1"/>
  <c r="CH4" i="18" s="1"/>
  <c r="CI4" i="18" s="1"/>
  <c r="CO3" i="11"/>
  <c r="CN3" i="11"/>
  <c r="CM3" i="11"/>
  <c r="CL3" i="11"/>
  <c r="CK3" i="11"/>
  <c r="CJ3" i="11"/>
  <c r="CI3" i="11"/>
  <c r="CH3" i="11"/>
  <c r="CG3" i="11"/>
  <c r="CF3" i="11"/>
  <c r="CE3" i="11"/>
  <c r="CD3" i="11"/>
  <c r="CB3" i="11"/>
  <c r="CA3" i="11"/>
  <c r="BZ3" i="11"/>
  <c r="BY3" i="11"/>
  <c r="BX3" i="11"/>
  <c r="BW3" i="11"/>
  <c r="BV3" i="11"/>
  <c r="BU3" i="11"/>
  <c r="BT3" i="11"/>
  <c r="BS3" i="11"/>
  <c r="BR3" i="11"/>
  <c r="BQ3" i="11"/>
  <c r="BO3" i="11"/>
  <c r="BN3" i="11"/>
  <c r="BM3" i="11"/>
  <c r="BL3" i="11"/>
  <c r="BK3" i="11"/>
  <c r="BJ3" i="11"/>
  <c r="BI3" i="11"/>
  <c r="BH3" i="11"/>
  <c r="BG3" i="11"/>
  <c r="BF3" i="11"/>
  <c r="BE3" i="11"/>
  <c r="BD3" i="11"/>
  <c r="BB3" i="11"/>
  <c r="BA3" i="11"/>
  <c r="AZ3" i="11"/>
  <c r="AY3" i="11"/>
  <c r="AX3" i="11"/>
  <c r="AW3" i="11"/>
  <c r="AV3" i="11"/>
  <c r="AU3" i="11"/>
  <c r="AT3" i="11"/>
  <c r="AS3" i="11"/>
  <c r="AR3" i="11"/>
  <c r="AQ3" i="11"/>
  <c r="AO3" i="11"/>
  <c r="AN3" i="11"/>
  <c r="AL3" i="11"/>
  <c r="AK3" i="11"/>
  <c r="AJ3" i="11"/>
  <c r="AI3" i="11"/>
  <c r="AH3" i="11"/>
  <c r="AG3" i="11"/>
  <c r="AD3" i="11"/>
  <c r="D80" i="11"/>
  <c r="E80" i="11" s="1"/>
  <c r="F80" i="11" s="1"/>
  <c r="G80" i="11" s="1"/>
  <c r="H80" i="11" s="1"/>
  <c r="I80" i="11" s="1"/>
  <c r="J80" i="11" s="1"/>
  <c r="K80" i="11" s="1"/>
  <c r="L80" i="11" s="1"/>
  <c r="M80" i="11" s="1"/>
  <c r="N80" i="11" s="1"/>
  <c r="O80" i="11" s="1"/>
  <c r="Q80" i="11" s="1"/>
  <c r="R80" i="11" s="1"/>
  <c r="S80" i="11" s="1"/>
  <c r="T80" i="11" s="1"/>
  <c r="U80" i="11" s="1"/>
  <c r="V80" i="11" s="1"/>
  <c r="W80" i="11" s="1"/>
  <c r="X80" i="11" s="1"/>
  <c r="Y80" i="11" s="1"/>
  <c r="Z80" i="11" s="1"/>
  <c r="AA80" i="11" s="1"/>
  <c r="AB80" i="11" s="1"/>
  <c r="AD80" i="11" s="1"/>
  <c r="AE80" i="11" s="1"/>
  <c r="AF80" i="11" s="1"/>
  <c r="AG80" i="11" s="1"/>
  <c r="AH80" i="11" s="1"/>
  <c r="AI80" i="11" s="1"/>
  <c r="AJ80" i="11" s="1"/>
  <c r="AK80" i="11" s="1"/>
  <c r="AL80" i="11" s="1"/>
  <c r="AM80" i="11" s="1"/>
  <c r="AN80" i="11" s="1"/>
  <c r="AO80" i="11" s="1"/>
  <c r="AQ80" i="11" s="1"/>
  <c r="AR80" i="11" s="1"/>
  <c r="AS80" i="11" s="1"/>
  <c r="AT80" i="11" s="1"/>
  <c r="AU80" i="11" s="1"/>
  <c r="AV80" i="11" s="1"/>
  <c r="AW80" i="11" s="1"/>
  <c r="AX80" i="11" s="1"/>
  <c r="AY80" i="11" s="1"/>
  <c r="AZ80" i="11" s="1"/>
  <c r="BA80" i="11" s="1"/>
  <c r="BB80" i="11" s="1"/>
  <c r="BD80" i="11" s="1"/>
  <c r="BE80" i="11" s="1"/>
  <c r="BF80" i="11" s="1"/>
  <c r="BG80" i="11" s="1"/>
  <c r="BH80" i="11" s="1"/>
  <c r="BI80" i="11" s="1"/>
  <c r="BJ80" i="11" s="1"/>
  <c r="BK80" i="11" s="1"/>
  <c r="BL80" i="11" s="1"/>
  <c r="BM80" i="11" s="1"/>
  <c r="BN80" i="11" s="1"/>
  <c r="BO80" i="11" s="1"/>
  <c r="BQ80" i="11" s="1"/>
  <c r="BR80" i="11" s="1"/>
  <c r="BS80" i="11" s="1"/>
  <c r="BT80" i="11" s="1"/>
  <c r="BU80" i="11" s="1"/>
  <c r="BV80" i="11" s="1"/>
  <c r="BW80" i="11" s="1"/>
  <c r="BX80" i="11" s="1"/>
  <c r="BY80" i="11" s="1"/>
  <c r="BZ80" i="11" s="1"/>
  <c r="CA80" i="11" s="1"/>
  <c r="CB80" i="11" s="1"/>
  <c r="CD80" i="11" s="1"/>
  <c r="CE80" i="11" s="1"/>
  <c r="CF80" i="11" s="1"/>
  <c r="CG80" i="11" s="1"/>
  <c r="CH80" i="11" s="1"/>
  <c r="CI80" i="11" s="1"/>
  <c r="CJ80" i="11" s="1"/>
  <c r="CK80" i="11" s="1"/>
  <c r="CL80" i="11" s="1"/>
  <c r="CM80" i="11" s="1"/>
  <c r="CN80" i="11" s="1"/>
  <c r="CO80" i="11" s="1"/>
  <c r="D7" i="11"/>
  <c r="E7" i="11" s="1"/>
  <c r="F7" i="11" s="1"/>
  <c r="G7" i="11" s="1"/>
  <c r="H7" i="11" s="1"/>
  <c r="I7" i="11" s="1"/>
  <c r="J7" i="11" s="1"/>
  <c r="K7" i="11" s="1"/>
  <c r="L7" i="11" s="1"/>
  <c r="M7" i="11" s="1"/>
  <c r="N7" i="11" s="1"/>
  <c r="O7" i="11" s="1"/>
  <c r="Q7" i="11" s="1"/>
  <c r="R7" i="11" s="1"/>
  <c r="S7" i="11" s="1"/>
  <c r="T7" i="11" s="1"/>
  <c r="U7" i="11" s="1"/>
  <c r="V7" i="11" s="1"/>
  <c r="W7" i="11" s="1"/>
  <c r="X7" i="11" s="1"/>
  <c r="Y7" i="11" s="1"/>
  <c r="Z7" i="11" s="1"/>
  <c r="AA7" i="11" s="1"/>
  <c r="AB7" i="11" s="1"/>
  <c r="AD7" i="11" s="1"/>
  <c r="AE7" i="11" s="1"/>
  <c r="AF7" i="11" s="1"/>
  <c r="AG7" i="11" s="1"/>
  <c r="AH7" i="11" s="1"/>
  <c r="AI7" i="11" s="1"/>
  <c r="AJ7" i="11" s="1"/>
  <c r="AK7" i="11" s="1"/>
  <c r="AL7" i="11" s="1"/>
  <c r="AM7" i="11" s="1"/>
  <c r="AN7" i="11" s="1"/>
  <c r="AO7" i="11" s="1"/>
  <c r="AQ7" i="11" s="1"/>
  <c r="AR7" i="11" s="1"/>
  <c r="AS7" i="11" s="1"/>
  <c r="AT7" i="11" s="1"/>
  <c r="AU7" i="11" s="1"/>
  <c r="AV7" i="11" s="1"/>
  <c r="AW7" i="11" s="1"/>
  <c r="AX7" i="11" s="1"/>
  <c r="AY7" i="11" s="1"/>
  <c r="AZ7" i="11" s="1"/>
  <c r="BA7" i="11" s="1"/>
  <c r="BB7" i="11" s="1"/>
  <c r="BD7" i="11" s="1"/>
  <c r="BE7" i="11" s="1"/>
  <c r="BF7" i="11" s="1"/>
  <c r="BG7" i="11" s="1"/>
  <c r="BH7" i="11" s="1"/>
  <c r="BI7" i="11" s="1"/>
  <c r="BJ7" i="11" s="1"/>
  <c r="BK7" i="11" s="1"/>
  <c r="BL7" i="11" s="1"/>
  <c r="BM7" i="11" s="1"/>
  <c r="BN7" i="11" s="1"/>
  <c r="BO7" i="11" s="1"/>
  <c r="BQ7" i="11" s="1"/>
  <c r="BR7" i="11" s="1"/>
  <c r="BS7" i="11" s="1"/>
  <c r="BT7" i="11" s="1"/>
  <c r="BU7" i="11" s="1"/>
  <c r="BV7" i="11" s="1"/>
  <c r="BW7" i="11" s="1"/>
  <c r="BX7" i="11" s="1"/>
  <c r="BY7" i="11" s="1"/>
  <c r="BZ7" i="11" s="1"/>
  <c r="CA7" i="11" s="1"/>
  <c r="CB7" i="11" s="1"/>
  <c r="CD7" i="11" s="1"/>
  <c r="CE7" i="11" s="1"/>
  <c r="CF7" i="11" s="1"/>
  <c r="CG7" i="11" s="1"/>
  <c r="CH7" i="11" s="1"/>
  <c r="CI7" i="11" s="1"/>
  <c r="CJ7" i="11" s="1"/>
  <c r="CK7" i="11" s="1"/>
  <c r="CL7" i="11" s="1"/>
  <c r="CM7" i="11" s="1"/>
  <c r="CN7" i="11" s="1"/>
  <c r="CO7" i="11" s="1"/>
  <c r="W35" i="5"/>
  <c r="W36" i="5" s="1"/>
  <c r="W37" i="5"/>
  <c r="H8" i="5"/>
  <c r="D18" i="10"/>
  <c r="CD4" i="11"/>
  <c r="AD2" i="5"/>
  <c r="AD29" i="5"/>
  <c r="AD30" i="5" s="1"/>
  <c r="AD31" i="5"/>
  <c r="CF4" i="11"/>
  <c r="CG4" i="11"/>
  <c r="CH4" i="11"/>
  <c r="CI4" i="11"/>
  <c r="CJ4" i="11"/>
  <c r="CK4" i="11"/>
  <c r="CL4" i="11"/>
  <c r="CM4" i="11"/>
  <c r="CN4" i="11"/>
  <c r="CO4" i="11"/>
  <c r="CE4" i="11"/>
  <c r="CB4" i="11"/>
  <c r="BS4" i="11"/>
  <c r="BT4" i="11"/>
  <c r="BU4" i="11"/>
  <c r="BV4" i="11"/>
  <c r="BW4" i="11"/>
  <c r="BX4" i="11"/>
  <c r="BY4" i="11"/>
  <c r="BZ4" i="11"/>
  <c r="CA4" i="11"/>
  <c r="BR4" i="11"/>
  <c r="BQ4" i="11"/>
  <c r="BD4" i="11"/>
  <c r="BF4" i="11"/>
  <c r="BG4" i="11"/>
  <c r="BH4" i="11"/>
  <c r="BI4" i="11"/>
  <c r="BJ4" i="11"/>
  <c r="BK4" i="11"/>
  <c r="BL4" i="11"/>
  <c r="BM4" i="11"/>
  <c r="BN4" i="11"/>
  <c r="BO4" i="11"/>
  <c r="BE4" i="11"/>
  <c r="Y15" i="5"/>
  <c r="R15" i="5"/>
  <c r="C47" i="13"/>
  <c r="C88" i="13"/>
  <c r="C87" i="13"/>
  <c r="C82" i="13"/>
  <c r="C81" i="13"/>
  <c r="J11" i="13"/>
  <c r="J53" i="13" s="1"/>
  <c r="K11" i="13"/>
  <c r="L11" i="13" s="1"/>
  <c r="I53" i="13"/>
  <c r="D46" i="13"/>
  <c r="H33" i="13"/>
  <c r="H35" i="13"/>
  <c r="D31" i="13"/>
  <c r="R5" i="13"/>
  <c r="Q5" i="13"/>
  <c r="R4" i="13"/>
  <c r="Q4" i="13"/>
  <c r="Q3" i="13"/>
  <c r="G8" i="5"/>
  <c r="H11" i="10"/>
  <c r="H12" i="10"/>
  <c r="H13" i="10"/>
  <c r="H14" i="10"/>
  <c r="H15" i="10"/>
  <c r="H16" i="10"/>
  <c r="H17" i="10"/>
  <c r="C12" i="7"/>
  <c r="C4" i="22" s="1"/>
  <c r="C11" i="7"/>
  <c r="C8" i="22" s="1"/>
  <c r="C10" i="7"/>
  <c r="C9" i="7"/>
  <c r="C8" i="7"/>
  <c r="I8" i="5"/>
  <c r="J8" i="5"/>
  <c r="K8" i="5"/>
  <c r="L8" i="5"/>
  <c r="M8" i="5"/>
  <c r="N8" i="5"/>
  <c r="G18" i="10"/>
  <c r="F18" i="10"/>
  <c r="I15" i="10"/>
  <c r="I16" i="10"/>
  <c r="I17" i="10"/>
  <c r="I7" i="10"/>
  <c r="I8" i="10"/>
  <c r="I9" i="10"/>
  <c r="I10" i="10"/>
  <c r="I11" i="10"/>
  <c r="I12" i="10"/>
  <c r="I13" i="10"/>
  <c r="I14" i="10"/>
  <c r="H20" i="7" l="1"/>
  <c r="AH55" i="22" s="1"/>
  <c r="AH54" i="22"/>
  <c r="C5" i="22"/>
  <c r="G8" i="22"/>
  <c r="C14" i="7"/>
  <c r="C7" i="22"/>
  <c r="CI22" i="11"/>
  <c r="BK22" i="11"/>
  <c r="CJ22" i="11"/>
  <c r="CM22" i="11"/>
  <c r="CD22" i="11"/>
  <c r="D3" i="11"/>
  <c r="BN21" i="11"/>
  <c r="C59" i="5"/>
  <c r="C60" i="5" s="1"/>
  <c r="F3" i="11"/>
  <c r="BZ22" i="11"/>
  <c r="CN22" i="11"/>
  <c r="R53" i="11"/>
  <c r="BL21" i="11"/>
  <c r="X53" i="11"/>
  <c r="AM3" i="11"/>
  <c r="Y3" i="11"/>
  <c r="X3" i="11"/>
  <c r="W3" i="11"/>
  <c r="AE3" i="11"/>
  <c r="AF3" i="11"/>
  <c r="H4" i="5"/>
  <c r="R45" i="11"/>
  <c r="U53" i="11"/>
  <c r="AA62" i="11"/>
  <c r="J37" i="5"/>
  <c r="AM62" i="11" s="1"/>
  <c r="CH22" i="11"/>
  <c r="CO22" i="11"/>
  <c r="CL22" i="11"/>
  <c r="S26" i="11"/>
  <c r="R26" i="11"/>
  <c r="CK22" i="11"/>
  <c r="Q26" i="11"/>
  <c r="CG22" i="11"/>
  <c r="Z26" i="11"/>
  <c r="M11" i="13"/>
  <c r="L53" i="13"/>
  <c r="K53" i="13"/>
  <c r="V37" i="11"/>
  <c r="H18" i="10"/>
  <c r="AA44" i="11"/>
  <c r="X50" i="11"/>
  <c r="AA45" i="11"/>
  <c r="W50" i="11"/>
  <c r="J35" i="5"/>
  <c r="AK53" i="11" s="1"/>
  <c r="BE21" i="11"/>
  <c r="BJ21" i="11"/>
  <c r="I21" i="7"/>
  <c r="I20" i="7"/>
  <c r="V50" i="11"/>
  <c r="AA53" i="11"/>
  <c r="R44" i="11"/>
  <c r="N22" i="11"/>
  <c r="K52" i="11"/>
  <c r="CE27" i="11"/>
  <c r="G54" i="11"/>
  <c r="E54" i="11"/>
  <c r="I54" i="11"/>
  <c r="CH27" i="11"/>
  <c r="CE22" i="11"/>
  <c r="CF27" i="11"/>
  <c r="D54" i="11"/>
  <c r="BV27" i="11"/>
  <c r="K54" i="11"/>
  <c r="CB27" i="11"/>
  <c r="BQ27" i="11"/>
  <c r="K42" i="11"/>
  <c r="K47" i="11" s="1"/>
  <c r="CA27" i="11"/>
  <c r="U26" i="11"/>
  <c r="J54" i="11"/>
  <c r="AK27" i="11"/>
  <c r="M54" i="11"/>
  <c r="X27" i="11"/>
  <c r="AB26" i="11"/>
  <c r="AJ27" i="11"/>
  <c r="BZ27" i="11"/>
  <c r="BW27" i="11"/>
  <c r="BK21" i="11"/>
  <c r="T26" i="11"/>
  <c r="E42" i="11"/>
  <c r="E47" i="11" s="1"/>
  <c r="M49" i="11"/>
  <c r="L42" i="11"/>
  <c r="L47" i="11" s="1"/>
  <c r="W27" i="11"/>
  <c r="AD27" i="11"/>
  <c r="BR27" i="11"/>
  <c r="X22" i="11"/>
  <c r="M22" i="11"/>
  <c r="F42" i="11"/>
  <c r="F47" i="11" s="1"/>
  <c r="W26" i="11"/>
  <c r="BU26" i="11"/>
  <c r="I49" i="11"/>
  <c r="CM21" i="11"/>
  <c r="CO21" i="11"/>
  <c r="G21" i="11"/>
  <c r="CI21" i="11"/>
  <c r="CA26" i="11"/>
  <c r="BX26" i="11"/>
  <c r="CF21" i="11"/>
  <c r="CA22" i="11"/>
  <c r="M21" i="11"/>
  <c r="BA27" i="11"/>
  <c r="CL21" i="11"/>
  <c r="AV22" i="11"/>
  <c r="H26" i="11"/>
  <c r="N26" i="11"/>
  <c r="CH21" i="11"/>
  <c r="CE21" i="11"/>
  <c r="BF21" i="11"/>
  <c r="CK21" i="11"/>
  <c r="CN21" i="11"/>
  <c r="AO27" i="11"/>
  <c r="BD21" i="11"/>
  <c r="L22" i="11"/>
  <c r="I42" i="11"/>
  <c r="I47" i="11" s="1"/>
  <c r="AA27" i="11"/>
  <c r="J49" i="11"/>
  <c r="G42" i="11"/>
  <c r="G47" i="11" s="1"/>
  <c r="CG21" i="11"/>
  <c r="CD21" i="11"/>
  <c r="BR22" i="11"/>
  <c r="BM21" i="11"/>
  <c r="G22" i="11"/>
  <c r="Z27" i="11"/>
  <c r="AB44" i="11"/>
  <c r="J28" i="5"/>
  <c r="AE43" i="11" s="1"/>
  <c r="BR26" i="11"/>
  <c r="AO26" i="11"/>
  <c r="AE21" i="11"/>
  <c r="U50" i="11"/>
  <c r="BZ26" i="11"/>
  <c r="AN26" i="11"/>
  <c r="AD26" i="11"/>
  <c r="Z53" i="11"/>
  <c r="T53" i="11"/>
  <c r="K4" i="5"/>
  <c r="I3" i="11"/>
  <c r="Z44" i="11"/>
  <c r="G27" i="11"/>
  <c r="S50" i="11"/>
  <c r="BW26" i="11"/>
  <c r="BT26" i="11"/>
  <c r="S37" i="11"/>
  <c r="BW22" i="11"/>
  <c r="BT22" i="11"/>
  <c r="AL26" i="11"/>
  <c r="K21" i="11"/>
  <c r="D26" i="11"/>
  <c r="Y53" i="11"/>
  <c r="S44" i="11"/>
  <c r="E27" i="11"/>
  <c r="D21" i="11"/>
  <c r="Y44" i="11"/>
  <c r="BQ26" i="11"/>
  <c r="AK26" i="11"/>
  <c r="G3" i="11"/>
  <c r="L26" i="11"/>
  <c r="AJ26" i="11"/>
  <c r="BY26" i="11"/>
  <c r="AV21" i="11"/>
  <c r="M3" i="11"/>
  <c r="CB26" i="11"/>
  <c r="BV26" i="11"/>
  <c r="AH26" i="11"/>
  <c r="AB53" i="11"/>
  <c r="CM26" i="11"/>
  <c r="CA21" i="11"/>
  <c r="AY26" i="11"/>
  <c r="L3" i="11"/>
  <c r="H21" i="11"/>
  <c r="E3" i="11"/>
  <c r="AX26" i="11"/>
  <c r="R21" i="11"/>
  <c r="CJ26" i="11"/>
  <c r="CG26" i="11"/>
  <c r="BX22" i="11"/>
  <c r="AB27" i="11"/>
  <c r="W53" i="11"/>
  <c r="R50" i="11"/>
  <c r="AZ26" i="11"/>
  <c r="CE26" i="11"/>
  <c r="AQ26" i="11"/>
  <c r="AW26" i="11"/>
  <c r="N4" i="5"/>
  <c r="CD26" i="11"/>
  <c r="AV26" i="11"/>
  <c r="V25" i="11"/>
  <c r="W38" i="5"/>
  <c r="W39" i="5" s="1"/>
  <c r="CL26" i="11"/>
  <c r="CI26" i="11"/>
  <c r="AY27" i="11"/>
  <c r="V53" i="11"/>
  <c r="Q53" i="11"/>
  <c r="E24" i="11"/>
  <c r="BD22" i="11"/>
  <c r="U25" i="11"/>
  <c r="N3" i="11"/>
  <c r="D49" i="11"/>
  <c r="Q27" i="11"/>
  <c r="CO26" i="11"/>
  <c r="AU26" i="11"/>
  <c r="CF26" i="11"/>
  <c r="BW21" i="11"/>
  <c r="AT26" i="11"/>
  <c r="Z25" i="11"/>
  <c r="H49" i="11"/>
  <c r="BB26" i="11"/>
  <c r="AJ21" i="11"/>
  <c r="T25" i="11"/>
  <c r="AT27" i="11"/>
  <c r="M24" i="11"/>
  <c r="AD32" i="5"/>
  <c r="AD33" i="5" s="1"/>
  <c r="CK26" i="11"/>
  <c r="BH22" i="11"/>
  <c r="AS26" i="11"/>
  <c r="BN27" i="11"/>
  <c r="J4" i="5"/>
  <c r="CN26" i="11"/>
  <c r="CB22" i="11"/>
  <c r="BY22" i="11"/>
  <c r="BQ22" i="11"/>
  <c r="BH21" i="11"/>
  <c r="Z21" i="11"/>
  <c r="J21" i="11"/>
  <c r="H3" i="11"/>
  <c r="Y50" i="11"/>
  <c r="T37" i="11"/>
  <c r="L27" i="11"/>
  <c r="BE27" i="11"/>
  <c r="BA26" i="11"/>
  <c r="AI22" i="11"/>
  <c r="K3" i="11"/>
  <c r="L24" i="11"/>
  <c r="AI21" i="11"/>
  <c r="M51" i="11"/>
  <c r="X62" i="11"/>
  <c r="F17" i="18"/>
  <c r="K10" i="13" s="1"/>
  <c r="J10" i="13"/>
  <c r="K29" i="5"/>
  <c r="AU44" i="11" s="1"/>
  <c r="AK44" i="11"/>
  <c r="AG44" i="11"/>
  <c r="AL44" i="11"/>
  <c r="AM44" i="11"/>
  <c r="AD44" i="11"/>
  <c r="AI44" i="11"/>
  <c r="AN44" i="11"/>
  <c r="AE44" i="11"/>
  <c r="AO44" i="11"/>
  <c r="AF44" i="11"/>
  <c r="AH22" i="11"/>
  <c r="AA26" i="11"/>
  <c r="W22" i="11"/>
  <c r="N21" i="11"/>
  <c r="E26" i="11"/>
  <c r="X45" i="11"/>
  <c r="U45" i="11"/>
  <c r="R43" i="11"/>
  <c r="S22" i="11"/>
  <c r="AA43" i="11"/>
  <c r="CI27" i="11"/>
  <c r="CD27" i="11"/>
  <c r="BN22" i="11"/>
  <c r="AU21" i="11"/>
  <c r="AM26" i="11"/>
  <c r="AH21" i="11"/>
  <c r="AA22" i="11"/>
  <c r="E22" i="11"/>
  <c r="Z62" i="11"/>
  <c r="X44" i="11"/>
  <c r="U44" i="11"/>
  <c r="Q62" i="11"/>
  <c r="K27" i="11"/>
  <c r="BG26" i="11"/>
  <c r="AM22" i="11"/>
  <c r="E21" i="11"/>
  <c r="AW27" i="11"/>
  <c r="K24" i="11"/>
  <c r="D27" i="11"/>
  <c r="BG22" i="11"/>
  <c r="AM21" i="11"/>
  <c r="R22" i="11"/>
  <c r="O26" i="11"/>
  <c r="I26" i="11"/>
  <c r="D24" i="11"/>
  <c r="I10" i="13"/>
  <c r="BJ22" i="11"/>
  <c r="BG21" i="11"/>
  <c r="AG26" i="11"/>
  <c r="V26" i="11"/>
  <c r="O22" i="11"/>
  <c r="I21" i="11"/>
  <c r="Z50" i="11"/>
  <c r="T50" i="11"/>
  <c r="Q50" i="11"/>
  <c r="J27" i="11"/>
  <c r="V22" i="11"/>
  <c r="O21" i="11"/>
  <c r="F26" i="11"/>
  <c r="J24" i="11"/>
  <c r="AZ22" i="11"/>
  <c r="AL22" i="11"/>
  <c r="AF26" i="11"/>
  <c r="Z22" i="11"/>
  <c r="F22" i="11"/>
  <c r="Z37" i="11"/>
  <c r="W45" i="11"/>
  <c r="T45" i="11"/>
  <c r="Q45" i="11"/>
  <c r="AB22" i="11"/>
  <c r="BM26" i="11"/>
  <c r="AZ21" i="11"/>
  <c r="AF22" i="11"/>
  <c r="J26" i="11"/>
  <c r="H52" i="11"/>
  <c r="F21" i="11"/>
  <c r="AB62" i="11"/>
  <c r="Z45" i="11"/>
  <c r="W44" i="11"/>
  <c r="T44" i="11"/>
  <c r="Q44" i="11"/>
  <c r="I27" i="11"/>
  <c r="I31" i="5"/>
  <c r="T49" i="11" s="1"/>
  <c r="AR22" i="11"/>
  <c r="T43" i="11"/>
  <c r="BT21" i="11"/>
  <c r="AR21" i="11"/>
  <c r="Q22" i="11"/>
  <c r="K26" i="11"/>
  <c r="M4" i="5"/>
  <c r="BI21" i="11"/>
  <c r="AY21" i="11"/>
  <c r="AE26" i="11"/>
  <c r="Y26" i="11"/>
  <c r="U22" i="11"/>
  <c r="K22" i="11"/>
  <c r="G26" i="11"/>
  <c r="AB50" i="11"/>
  <c r="O27" i="11"/>
  <c r="H24" i="11"/>
  <c r="BK27" i="11"/>
  <c r="BE22" i="11"/>
  <c r="AE22" i="11"/>
  <c r="Y22" i="11"/>
  <c r="O24" i="11"/>
  <c r="L4" i="5"/>
  <c r="AQ22" i="11"/>
  <c r="O52" i="11"/>
  <c r="I52" i="11"/>
  <c r="D22" i="11"/>
  <c r="AR27" i="11"/>
  <c r="AB43" i="11"/>
  <c r="Y45" i="11"/>
  <c r="V44" i="11"/>
  <c r="S45" i="11"/>
  <c r="N24" i="11"/>
  <c r="G24" i="11"/>
  <c r="V43" i="11"/>
  <c r="I4" i="5"/>
  <c r="BH26" i="11"/>
  <c r="BD26" i="11"/>
  <c r="AD22" i="11"/>
  <c r="Y43" i="11"/>
  <c r="U62" i="11"/>
  <c r="M27" i="11"/>
  <c r="F27" i="11"/>
  <c r="Y24" i="11"/>
  <c r="T24" i="11"/>
  <c r="AA24" i="11"/>
  <c r="V24" i="11"/>
  <c r="Q24" i="11"/>
  <c r="X24" i="11"/>
  <c r="S24" i="11"/>
  <c r="Z24" i="11"/>
  <c r="U24" i="11"/>
  <c r="AB24" i="11"/>
  <c r="W24" i="11"/>
  <c r="R24" i="11"/>
  <c r="E36" i="11"/>
  <c r="C36" i="11"/>
  <c r="O36" i="11"/>
  <c r="K36" i="11"/>
  <c r="F36" i="11"/>
  <c r="L36" i="11"/>
  <c r="G36" i="11"/>
  <c r="M36" i="11"/>
  <c r="H36" i="11"/>
  <c r="D36" i="11"/>
  <c r="I24" i="5"/>
  <c r="X36" i="11" s="1"/>
  <c r="N36" i="11"/>
  <c r="I36" i="11"/>
  <c r="U52" i="11"/>
  <c r="Z52" i="11"/>
  <c r="J34" i="5"/>
  <c r="AB52" i="11"/>
  <c r="W52" i="11"/>
  <c r="R52" i="11"/>
  <c r="Y52" i="11"/>
  <c r="T52" i="11"/>
  <c r="AA52" i="11"/>
  <c r="V52" i="11"/>
  <c r="Q52" i="11"/>
  <c r="X52" i="11"/>
  <c r="S52" i="11"/>
  <c r="BU21" i="11"/>
  <c r="BR21" i="11"/>
  <c r="BC23" i="11"/>
  <c r="AQ21" i="11"/>
  <c r="U21" i="11"/>
  <c r="BV14" i="11"/>
  <c r="L52" i="11"/>
  <c r="BB22" i="11"/>
  <c r="AK22" i="11"/>
  <c r="AG22" i="11"/>
  <c r="AB21" i="11"/>
  <c r="Q21" i="11"/>
  <c r="H22" i="11"/>
  <c r="E52" i="11"/>
  <c r="V62" i="11"/>
  <c r="BM27" i="11"/>
  <c r="J30" i="5"/>
  <c r="BO26" i="11"/>
  <c r="BB21" i="11"/>
  <c r="AX22" i="11"/>
  <c r="AT22" i="11"/>
  <c r="AK21" i="11"/>
  <c r="AG21" i="11"/>
  <c r="X21" i="11"/>
  <c r="N54" i="11"/>
  <c r="M52" i="11"/>
  <c r="F54" i="11"/>
  <c r="U43" i="11"/>
  <c r="BY21" i="11"/>
  <c r="BO22" i="11"/>
  <c r="BL26" i="11"/>
  <c r="AX21" i="11"/>
  <c r="AT21" i="11"/>
  <c r="AO22" i="11"/>
  <c r="L49" i="11"/>
  <c r="E49" i="11"/>
  <c r="D52" i="11"/>
  <c r="AV27" i="11"/>
  <c r="Z43" i="11"/>
  <c r="BV22" i="11"/>
  <c r="BS22" i="11"/>
  <c r="BL22" i="11"/>
  <c r="BI26" i="11"/>
  <c r="BF26" i="11"/>
  <c r="AO21" i="11"/>
  <c r="O54" i="11"/>
  <c r="N52" i="11"/>
  <c r="F52" i="11"/>
  <c r="BV21" i="11"/>
  <c r="BS21" i="11"/>
  <c r="BI22" i="11"/>
  <c r="BF22" i="11"/>
  <c r="AJ22" i="11"/>
  <c r="AA21" i="11"/>
  <c r="T21" i="11"/>
  <c r="I22" i="11"/>
  <c r="AX27" i="11"/>
  <c r="AJ44" i="11"/>
  <c r="AH44" i="11"/>
  <c r="T62" i="11"/>
  <c r="S43" i="11"/>
  <c r="I36" i="5"/>
  <c r="Q54" i="11" s="1"/>
  <c r="BA22" i="11"/>
  <c r="AW22" i="11"/>
  <c r="AS22" i="11"/>
  <c r="AF21" i="11"/>
  <c r="W21" i="11"/>
  <c r="N49" i="11"/>
  <c r="G52" i="11"/>
  <c r="AL25" i="11"/>
  <c r="AQ27" i="11"/>
  <c r="Y62" i="11"/>
  <c r="X43" i="11"/>
  <c r="J25" i="5"/>
  <c r="AK37" i="11" s="1"/>
  <c r="BG27" i="11"/>
  <c r="BZ21" i="11"/>
  <c r="BA21" i="11"/>
  <c r="AW21" i="11"/>
  <c r="AN21" i="11"/>
  <c r="C6" i="1"/>
  <c r="R62" i="11"/>
  <c r="Q43" i="11"/>
  <c r="CB21" i="11"/>
  <c r="BN26" i="11"/>
  <c r="BE26" i="11"/>
  <c r="O49" i="11"/>
  <c r="AS27" i="11"/>
  <c r="V45" i="11"/>
  <c r="F24" i="11"/>
  <c r="BK26" i="11"/>
  <c r="S21" i="11"/>
  <c r="V21" i="11"/>
  <c r="BX21" i="11"/>
  <c r="AY22" i="11"/>
  <c r="AL21" i="11"/>
  <c r="R27" i="11"/>
  <c r="I24" i="11"/>
  <c r="J4" i="3"/>
  <c r="F64" i="11" s="1"/>
  <c r="J12" i="3"/>
  <c r="N64" i="11" s="1"/>
  <c r="J8" i="3"/>
  <c r="J64" i="11" s="1"/>
  <c r="J7" i="3"/>
  <c r="I64" i="11" s="1"/>
  <c r="J3" i="3"/>
  <c r="E64" i="11" s="1"/>
  <c r="J11" i="3"/>
  <c r="M64" i="11" s="1"/>
  <c r="J6" i="3"/>
  <c r="H64" i="11" s="1"/>
  <c r="J10" i="3"/>
  <c r="L64" i="11" s="1"/>
  <c r="J5" i="3"/>
  <c r="G64" i="11" s="1"/>
  <c r="J13" i="3"/>
  <c r="O64" i="11" s="1"/>
  <c r="J9" i="3"/>
  <c r="K64" i="11" s="1"/>
  <c r="H21" i="7"/>
  <c r="AH56" i="22" s="1"/>
  <c r="F30" i="7"/>
  <c r="F29" i="7"/>
  <c r="E31" i="7"/>
  <c r="E29" i="7"/>
  <c r="F33" i="7"/>
  <c r="E33" i="7"/>
  <c r="E32" i="7"/>
  <c r="E30" i="7"/>
  <c r="F31" i="7"/>
  <c r="F32" i="7"/>
  <c r="E18" i="20"/>
  <c r="CJ1" i="11"/>
  <c r="CL14" i="11"/>
  <c r="AP23" i="11"/>
  <c r="CC23" i="11"/>
  <c r="CN14" i="11"/>
  <c r="P44" i="11"/>
  <c r="CF1" i="11"/>
  <c r="P25" i="11"/>
  <c r="C47" i="11"/>
  <c r="CP20" i="11"/>
  <c r="BC20" i="11"/>
  <c r="P50" i="11"/>
  <c r="C24" i="19" s="1"/>
  <c r="D47" i="11"/>
  <c r="CG14" i="11"/>
  <c r="J47" i="11"/>
  <c r="CC20" i="11"/>
  <c r="BV1" i="11"/>
  <c r="P23" i="11"/>
  <c r="P43" i="11"/>
  <c r="CL1" i="11"/>
  <c r="BP23" i="11"/>
  <c r="P45" i="11"/>
  <c r="C56" i="11"/>
  <c r="CI1" i="11"/>
  <c r="BE14" i="11"/>
  <c r="AC20" i="11"/>
  <c r="P20" i="11"/>
  <c r="BY14" i="11"/>
  <c r="CP23" i="11"/>
  <c r="BZ14" i="11"/>
  <c r="BX1" i="11"/>
  <c r="C30" i="11"/>
  <c r="J6" i="22" s="1"/>
  <c r="CI14" i="11"/>
  <c r="BL14" i="11"/>
  <c r="CD14" i="11"/>
  <c r="BT1" i="11"/>
  <c r="CJ14" i="11"/>
  <c r="AC23" i="11"/>
  <c r="BL1" i="11"/>
  <c r="BK1" i="11"/>
  <c r="CF14" i="11"/>
  <c r="AP20" i="11"/>
  <c r="BH14" i="11"/>
  <c r="BP20" i="11"/>
  <c r="CH1" i="11"/>
  <c r="CK14" i="11"/>
  <c r="BU14" i="11"/>
  <c r="P53" i="11"/>
  <c r="C27" i="19" s="1"/>
  <c r="D2" i="11"/>
  <c r="CB14" i="11"/>
  <c r="BO14" i="11"/>
  <c r="BJ14" i="11"/>
  <c r="BE1" i="11"/>
  <c r="BQ1" i="11"/>
  <c r="E2" i="11"/>
  <c r="F4" i="11"/>
  <c r="CO14" i="11"/>
  <c r="P62" i="11"/>
  <c r="BK14" i="11"/>
  <c r="BW14" i="11"/>
  <c r="BG14" i="11"/>
  <c r="CM14" i="11"/>
  <c r="BN14" i="11"/>
  <c r="CA14" i="11"/>
  <c r="BX14" i="11"/>
  <c r="BR14" i="11"/>
  <c r="BQ14" i="11"/>
  <c r="CD1" i="11"/>
  <c r="BF14" i="11"/>
  <c r="CO1" i="11"/>
  <c r="BS14" i="11"/>
  <c r="BI1" i="11"/>
  <c r="BM14" i="11"/>
  <c r="CH14" i="11"/>
  <c r="BI14" i="11"/>
  <c r="BT14" i="11"/>
  <c r="CE14" i="11"/>
  <c r="P37" i="11"/>
  <c r="C20" i="19" s="1"/>
  <c r="O47" i="11"/>
  <c r="N47" i="11"/>
  <c r="M47" i="11"/>
  <c r="AK25" i="11"/>
  <c r="W25" i="11"/>
  <c r="AO25" i="11"/>
  <c r="Y25" i="11"/>
  <c r="AA25" i="11"/>
  <c r="R25" i="11"/>
  <c r="AD25" i="11"/>
  <c r="AJ25" i="11"/>
  <c r="AB25" i="11"/>
  <c r="X37" i="11"/>
  <c r="Q37" i="11"/>
  <c r="AB37" i="11"/>
  <c r="U37" i="11"/>
  <c r="R37" i="11"/>
  <c r="Y37" i="11"/>
  <c r="W37" i="11"/>
  <c r="S62" i="11"/>
  <c r="W62" i="11"/>
  <c r="I4" i="10"/>
  <c r="I19" i="10" s="1"/>
  <c r="CN27" i="11"/>
  <c r="CM27" i="11"/>
  <c r="CL27" i="11"/>
  <c r="CK27" i="11"/>
  <c r="BU27" i="11"/>
  <c r="BI27" i="11"/>
  <c r="BL27" i="11"/>
  <c r="BD27" i="11"/>
  <c r="BJ27" i="11"/>
  <c r="BH27" i="11"/>
  <c r="BF27" i="11"/>
  <c r="AZ27" i="11"/>
  <c r="AU27" i="11"/>
  <c r="AI27" i="11"/>
  <c r="AE27" i="11"/>
  <c r="AL27" i="11"/>
  <c r="AF27" i="11"/>
  <c r="AM27" i="11"/>
  <c r="AG27" i="11"/>
  <c r="Y27" i="11"/>
  <c r="V27" i="11"/>
  <c r="U27" i="11"/>
  <c r="T27" i="11"/>
  <c r="I51" i="11"/>
  <c r="H51" i="11"/>
  <c r="G51" i="11"/>
  <c r="F51" i="11"/>
  <c r="U51" i="11"/>
  <c r="AA51" i="11"/>
  <c r="AB51" i="11"/>
  <c r="R51" i="11"/>
  <c r="V51" i="11"/>
  <c r="Q51" i="11"/>
  <c r="W51" i="11"/>
  <c r="X51" i="11"/>
  <c r="S51" i="11"/>
  <c r="Y51" i="11"/>
  <c r="T51" i="11"/>
  <c r="J33" i="5"/>
  <c r="Z51" i="11"/>
  <c r="U42" i="11"/>
  <c r="V42" i="11"/>
  <c r="AA42" i="11"/>
  <c r="R42" i="11"/>
  <c r="J27" i="5"/>
  <c r="AO42" i="11" s="1"/>
  <c r="S42" i="11"/>
  <c r="X42" i="11"/>
  <c r="Z42" i="11"/>
  <c r="Q42" i="11"/>
  <c r="H42" i="11"/>
  <c r="H47" i="11" s="1"/>
  <c r="T42" i="11"/>
  <c r="AB42" i="11"/>
  <c r="W42" i="11"/>
  <c r="Y42" i="11"/>
  <c r="H27" i="13"/>
  <c r="J36" i="11"/>
  <c r="I16" i="13"/>
  <c r="I17" i="13"/>
  <c r="C18" i="1" l="1"/>
  <c r="F4" i="22"/>
  <c r="G4" i="22" s="1"/>
  <c r="C6" i="22"/>
  <c r="D14" i="11"/>
  <c r="E14" i="11"/>
  <c r="D28" i="11"/>
  <c r="D30" i="11" s="1"/>
  <c r="E28" i="11"/>
  <c r="E30" i="11" s="1"/>
  <c r="Q82" i="11"/>
  <c r="S82" i="11"/>
  <c r="AB82" i="11"/>
  <c r="V82" i="11"/>
  <c r="AA82" i="11"/>
  <c r="G82" i="11"/>
  <c r="Z82" i="11"/>
  <c r="D82" i="11"/>
  <c r="T82" i="11"/>
  <c r="K82" i="11"/>
  <c r="O82" i="11"/>
  <c r="E82" i="11"/>
  <c r="W82" i="11"/>
  <c r="U82" i="11"/>
  <c r="R82" i="11"/>
  <c r="K35" i="5"/>
  <c r="AS53" i="11" s="1"/>
  <c r="AE53" i="11"/>
  <c r="K20" i="7"/>
  <c r="K21" i="7"/>
  <c r="Y82" i="11"/>
  <c r="X82" i="11"/>
  <c r="AD53" i="11"/>
  <c r="AI53" i="11"/>
  <c r="AJ53" i="11"/>
  <c r="AH53" i="11"/>
  <c r="AL53" i="11"/>
  <c r="AN53" i="11"/>
  <c r="AF53" i="11"/>
  <c r="AM53" i="11"/>
  <c r="AG53" i="11"/>
  <c r="AO53" i="11"/>
  <c r="CP22" i="11"/>
  <c r="K19" i="7"/>
  <c r="AA47" i="11"/>
  <c r="AH62" i="11"/>
  <c r="AO62" i="11"/>
  <c r="AJ62" i="11"/>
  <c r="AH50" i="11"/>
  <c r="AF62" i="11"/>
  <c r="K28" i="5"/>
  <c r="AZ43" i="11" s="1"/>
  <c r="AM43" i="11"/>
  <c r="AG62" i="11"/>
  <c r="AK62" i="11"/>
  <c r="AI62" i="11"/>
  <c r="AL62" i="11"/>
  <c r="AE62" i="11"/>
  <c r="AN62" i="11"/>
  <c r="K37" i="5"/>
  <c r="AD62" i="11"/>
  <c r="M53" i="13"/>
  <c r="N11" i="13"/>
  <c r="AJ43" i="11"/>
  <c r="AF43" i="11"/>
  <c r="AO43" i="11"/>
  <c r="K56" i="11"/>
  <c r="AL43" i="11"/>
  <c r="AN43" i="11"/>
  <c r="AG43" i="11"/>
  <c r="CP21" i="11"/>
  <c r="M10" i="11"/>
  <c r="L10" i="11"/>
  <c r="H10" i="11"/>
  <c r="F10" i="11"/>
  <c r="D10" i="11"/>
  <c r="J3" i="22" s="1"/>
  <c r="K10" i="11"/>
  <c r="I10" i="11"/>
  <c r="J10" i="11"/>
  <c r="G10" i="11"/>
  <c r="E10" i="11"/>
  <c r="N10" i="11"/>
  <c r="O10" i="11"/>
  <c r="AQ44" i="11"/>
  <c r="BA44" i="11"/>
  <c r="R47" i="11"/>
  <c r="J56" i="11"/>
  <c r="F82" i="11"/>
  <c r="I82" i="11"/>
  <c r="R36" i="11"/>
  <c r="J24" i="5"/>
  <c r="AM36" i="11" s="1"/>
  <c r="T36" i="11"/>
  <c r="H56" i="11"/>
  <c r="J36" i="5"/>
  <c r="AH54" i="11" s="1"/>
  <c r="CC27" i="11"/>
  <c r="R54" i="11"/>
  <c r="S49" i="11"/>
  <c r="L56" i="11"/>
  <c r="P21" i="11"/>
  <c r="AC53" i="11"/>
  <c r="D27" i="19" s="1"/>
  <c r="H82" i="11"/>
  <c r="N82" i="11"/>
  <c r="CC26" i="11"/>
  <c r="J82" i="11"/>
  <c r="M56" i="11"/>
  <c r="BC26" i="11"/>
  <c r="M82" i="11"/>
  <c r="AJ50" i="11"/>
  <c r="AI43" i="11"/>
  <c r="AN50" i="11"/>
  <c r="Q49" i="11"/>
  <c r="Q56" i="11" s="1"/>
  <c r="AK43" i="11"/>
  <c r="Y36" i="11"/>
  <c r="AD43" i="11"/>
  <c r="L82" i="11"/>
  <c r="G17" i="18"/>
  <c r="L10" i="13" s="1"/>
  <c r="D56" i="11"/>
  <c r="Y47" i="11"/>
  <c r="CP26" i="11"/>
  <c r="AH43" i="11"/>
  <c r="AM25" i="11"/>
  <c r="AF50" i="11"/>
  <c r="AL50" i="11"/>
  <c r="AC45" i="11"/>
  <c r="O56" i="11"/>
  <c r="F56" i="11"/>
  <c r="P26" i="11"/>
  <c r="AP21" i="11"/>
  <c r="AP26" i="11"/>
  <c r="AI25" i="11"/>
  <c r="AC22" i="11"/>
  <c r="AC50" i="11"/>
  <c r="D24" i="19" s="1"/>
  <c r="Z54" i="11"/>
  <c r="AC43" i="11"/>
  <c r="S54" i="11"/>
  <c r="U54" i="11"/>
  <c r="AB47" i="11"/>
  <c r="AW44" i="11"/>
  <c r="AN25" i="11"/>
  <c r="AY44" i="11"/>
  <c r="AD42" i="11"/>
  <c r="AR44" i="11"/>
  <c r="AC26" i="11"/>
  <c r="P49" i="11"/>
  <c r="C23" i="19" s="1"/>
  <c r="T47" i="11"/>
  <c r="CC21" i="11"/>
  <c r="N56" i="11"/>
  <c r="AC44" i="11"/>
  <c r="Z47" i="11"/>
  <c r="X47" i="11"/>
  <c r="BP21" i="11"/>
  <c r="W47" i="11"/>
  <c r="BC22" i="11"/>
  <c r="P27" i="11"/>
  <c r="V47" i="11"/>
  <c r="G56" i="11"/>
  <c r="U47" i="11"/>
  <c r="P54" i="11"/>
  <c r="C28" i="19" s="1"/>
  <c r="I56" i="11"/>
  <c r="K25" i="5"/>
  <c r="L25" i="5" s="1"/>
  <c r="AO37" i="11"/>
  <c r="AT44" i="11"/>
  <c r="AP44" i="11"/>
  <c r="AV44" i="11"/>
  <c r="AC52" i="11"/>
  <c r="D26" i="19" s="1"/>
  <c r="W49" i="11"/>
  <c r="AB49" i="11"/>
  <c r="Z49" i="11"/>
  <c r="U49" i="11"/>
  <c r="AJ37" i="11"/>
  <c r="BB44" i="11"/>
  <c r="AC24" i="11"/>
  <c r="BP26" i="11"/>
  <c r="P22" i="11"/>
  <c r="AX44" i="11"/>
  <c r="V49" i="11"/>
  <c r="AD37" i="11"/>
  <c r="Q47" i="11"/>
  <c r="E56" i="11"/>
  <c r="CC22" i="11"/>
  <c r="AC21" i="11"/>
  <c r="L29" i="5"/>
  <c r="BD44" i="11" s="1"/>
  <c r="S47" i="11"/>
  <c r="Y49" i="11"/>
  <c r="AS44" i="11"/>
  <c r="R49" i="11"/>
  <c r="AZ44" i="11"/>
  <c r="AA49" i="11"/>
  <c r="BP22" i="11"/>
  <c r="X49" i="11"/>
  <c r="BC21" i="11"/>
  <c r="J31" i="5"/>
  <c r="AF49" i="11" s="1"/>
  <c r="AD50" i="11"/>
  <c r="AK50" i="11"/>
  <c r="AG50" i="11"/>
  <c r="AM50" i="11"/>
  <c r="AI50" i="11"/>
  <c r="AE50" i="11"/>
  <c r="AO50" i="11"/>
  <c r="AP22" i="11"/>
  <c r="AG42" i="11"/>
  <c r="P24" i="11"/>
  <c r="AE45" i="11"/>
  <c r="AG45" i="11"/>
  <c r="AM45" i="11"/>
  <c r="AI45" i="11"/>
  <c r="AK45" i="11"/>
  <c r="AO45" i="11"/>
  <c r="AD45" i="11"/>
  <c r="AF45" i="11"/>
  <c r="AL45" i="11"/>
  <c r="AN45" i="11"/>
  <c r="AH45" i="11"/>
  <c r="AJ45" i="11"/>
  <c r="K30" i="5"/>
  <c r="P52" i="11"/>
  <c r="C26" i="19" s="1"/>
  <c r="W54" i="11"/>
  <c r="AB54" i="11"/>
  <c r="Y54" i="11"/>
  <c r="T54" i="11"/>
  <c r="T56" i="11" s="1"/>
  <c r="AA54" i="11"/>
  <c r="V54" i="11"/>
  <c r="X54" i="11"/>
  <c r="AI37" i="11"/>
  <c r="AE37" i="11"/>
  <c r="AG37" i="11"/>
  <c r="AM37" i="11"/>
  <c r="AF37" i="11"/>
  <c r="AL37" i="11"/>
  <c r="AN37" i="11"/>
  <c r="AH37" i="11"/>
  <c r="AN42" i="11"/>
  <c r="K34" i="5"/>
  <c r="AE52" i="11"/>
  <c r="AG52" i="11"/>
  <c r="AI52" i="11"/>
  <c r="AK52" i="11"/>
  <c r="AM52" i="11"/>
  <c r="AO52" i="11"/>
  <c r="AD52" i="11"/>
  <c r="AF52" i="11"/>
  <c r="AJ52" i="11"/>
  <c r="AL52" i="11"/>
  <c r="AN52" i="11"/>
  <c r="AH52" i="11"/>
  <c r="AH25" i="11"/>
  <c r="AE25" i="11"/>
  <c r="AF25" i="11"/>
  <c r="AG25" i="11"/>
  <c r="AA36" i="11"/>
  <c r="V36" i="11"/>
  <c r="Q36" i="11"/>
  <c r="S36" i="11"/>
  <c r="Z36" i="11"/>
  <c r="U36" i="11"/>
  <c r="AB36" i="11"/>
  <c r="W36" i="11"/>
  <c r="C17" i="1"/>
  <c r="C49" i="5"/>
  <c r="C50" i="5" s="1"/>
  <c r="D81" i="11" s="1"/>
  <c r="AI24" i="11"/>
  <c r="AD24" i="11"/>
  <c r="AF24" i="11"/>
  <c r="AH24" i="11"/>
  <c r="AJ24" i="11"/>
  <c r="AL24" i="11"/>
  <c r="AN24" i="11"/>
  <c r="AE24" i="11"/>
  <c r="AG24" i="11"/>
  <c r="AK24" i="11"/>
  <c r="AM24" i="11"/>
  <c r="AO24" i="11"/>
  <c r="P64" i="11"/>
  <c r="D19" i="12" s="1"/>
  <c r="D17" i="12"/>
  <c r="D35" i="20"/>
  <c r="K22" i="7"/>
  <c r="I22" i="7"/>
  <c r="H22" i="7"/>
  <c r="CP14" i="11"/>
  <c r="BC27" i="11"/>
  <c r="D1" i="11"/>
  <c r="CC14" i="11"/>
  <c r="AP27" i="11"/>
  <c r="G4" i="11"/>
  <c r="F2" i="11"/>
  <c r="F28" i="11" s="1"/>
  <c r="AC62" i="11"/>
  <c r="E1" i="11"/>
  <c r="CP27" i="11"/>
  <c r="AC27" i="11"/>
  <c r="AC25" i="11"/>
  <c r="AC37" i="11"/>
  <c r="D20" i="19" s="1"/>
  <c r="BP27" i="11"/>
  <c r="P51" i="11"/>
  <c r="AD51" i="11"/>
  <c r="AE51" i="11"/>
  <c r="AF51" i="11"/>
  <c r="AG51" i="11"/>
  <c r="AH51" i="11"/>
  <c r="AI51" i="11"/>
  <c r="AJ51" i="11"/>
  <c r="AK51" i="11"/>
  <c r="AL51" i="11"/>
  <c r="AM51" i="11"/>
  <c r="AN51" i="11"/>
  <c r="AO51" i="11"/>
  <c r="K33" i="5"/>
  <c r="AC51" i="11"/>
  <c r="D25" i="19" s="1"/>
  <c r="AF42" i="11"/>
  <c r="AE42" i="11"/>
  <c r="AH42" i="11"/>
  <c r="K27" i="5"/>
  <c r="AJ42" i="11"/>
  <c r="AK42" i="11"/>
  <c r="AL42" i="11"/>
  <c r="AM42" i="11"/>
  <c r="AC42" i="11"/>
  <c r="AI42" i="11"/>
  <c r="P42" i="11"/>
  <c r="P47" i="11" s="1"/>
  <c r="P36" i="11"/>
  <c r="C19" i="19" s="1"/>
  <c r="I21" i="13"/>
  <c r="I34" i="13" s="1"/>
  <c r="I62" i="13"/>
  <c r="I69" i="13"/>
  <c r="I55" i="13"/>
  <c r="C20" i="1" l="1"/>
  <c r="C45" i="5" s="1"/>
  <c r="C46" i="5" s="1"/>
  <c r="F5" i="22"/>
  <c r="D83" i="11"/>
  <c r="D87" i="11" s="1"/>
  <c r="AZ53" i="11"/>
  <c r="BB53" i="11"/>
  <c r="L35" i="5"/>
  <c r="AQ53" i="11"/>
  <c r="AR53" i="11"/>
  <c r="AW53" i="11"/>
  <c r="AU53" i="11"/>
  <c r="AT53" i="11"/>
  <c r="BA53" i="11"/>
  <c r="AV53" i="11"/>
  <c r="AX53" i="11"/>
  <c r="AY53" i="11"/>
  <c r="AC82" i="11"/>
  <c r="E24" i="20" s="1"/>
  <c r="BA43" i="11"/>
  <c r="AO47" i="11"/>
  <c r="AP53" i="11"/>
  <c r="E27" i="19" s="1"/>
  <c r="AP62" i="11"/>
  <c r="F17" i="12" s="1"/>
  <c r="AT43" i="11"/>
  <c r="AW43" i="11"/>
  <c r="BB43" i="11"/>
  <c r="AY43" i="11"/>
  <c r="AU43" i="11"/>
  <c r="L37" i="5"/>
  <c r="AS62" i="11"/>
  <c r="AQ62" i="11"/>
  <c r="AZ62" i="11"/>
  <c r="AX62" i="11"/>
  <c r="AT62" i="11"/>
  <c r="AY62" i="11"/>
  <c r="BA62" i="11"/>
  <c r="AW62" i="11"/>
  <c r="BB62" i="11"/>
  <c r="AV62" i="11"/>
  <c r="AU62" i="11"/>
  <c r="AR62" i="11"/>
  <c r="AR43" i="11"/>
  <c r="AQ43" i="11"/>
  <c r="AV43" i="11"/>
  <c r="AQ50" i="11"/>
  <c r="AX50" i="11"/>
  <c r="AY50" i="11"/>
  <c r="AU50" i="11"/>
  <c r="BA50" i="11"/>
  <c r="AW50" i="11"/>
  <c r="AS50" i="11"/>
  <c r="L32" i="5"/>
  <c r="AZ50" i="11"/>
  <c r="AT50" i="11"/>
  <c r="AV50" i="11"/>
  <c r="AR50" i="11"/>
  <c r="BB50" i="11"/>
  <c r="AX43" i="11"/>
  <c r="AI54" i="11"/>
  <c r="AD54" i="11"/>
  <c r="AS43" i="11"/>
  <c r="AO54" i="11"/>
  <c r="L28" i="5"/>
  <c r="M28" i="5" s="1"/>
  <c r="AN36" i="11"/>
  <c r="O11" i="13"/>
  <c r="N53" i="13"/>
  <c r="AF54" i="11"/>
  <c r="AF56" i="11" s="1"/>
  <c r="P10" i="11"/>
  <c r="C8" i="19" s="1"/>
  <c r="AA10" i="11"/>
  <c r="T10" i="11"/>
  <c r="U10" i="11"/>
  <c r="V10" i="11"/>
  <c r="S10" i="11"/>
  <c r="Y10" i="11"/>
  <c r="W10" i="11"/>
  <c r="X10" i="11"/>
  <c r="AB10" i="11"/>
  <c r="Q10" i="11"/>
  <c r="R10" i="11"/>
  <c r="Z10" i="11"/>
  <c r="AO36" i="11"/>
  <c r="K24" i="5"/>
  <c r="AW36" i="11" s="1"/>
  <c r="AL36" i="11"/>
  <c r="AG36" i="11"/>
  <c r="AI36" i="11"/>
  <c r="AH36" i="11"/>
  <c r="AE36" i="11"/>
  <c r="AD36" i="11"/>
  <c r="AJ36" i="11"/>
  <c r="AF36" i="11"/>
  <c r="AK36" i="11"/>
  <c r="BN44" i="11"/>
  <c r="K36" i="5"/>
  <c r="L36" i="5" s="1"/>
  <c r="AJ54" i="11"/>
  <c r="AK54" i="11"/>
  <c r="AL54" i="11"/>
  <c r="AM54" i="11"/>
  <c r="AN54" i="11"/>
  <c r="AB56" i="11"/>
  <c r="AE54" i="11"/>
  <c r="BK44" i="11"/>
  <c r="BJ44" i="11"/>
  <c r="K31" i="5"/>
  <c r="AT49" i="11" s="1"/>
  <c r="AG54" i="11"/>
  <c r="R56" i="11"/>
  <c r="U56" i="11"/>
  <c r="S56" i="11"/>
  <c r="H17" i="18"/>
  <c r="M10" i="13" s="1"/>
  <c r="Z56" i="11"/>
  <c r="AJ47" i="11"/>
  <c r="Y56" i="11"/>
  <c r="AP25" i="11"/>
  <c r="P82" i="11"/>
  <c r="D24" i="20" s="1"/>
  <c r="AP43" i="11"/>
  <c r="AC47" i="11"/>
  <c r="E9" i="12" s="1"/>
  <c r="BB37" i="11"/>
  <c r="AW37" i="11"/>
  <c r="AO49" i="11"/>
  <c r="W56" i="11"/>
  <c r="AU37" i="11"/>
  <c r="BF44" i="11"/>
  <c r="AK49" i="11"/>
  <c r="BA37" i="11"/>
  <c r="AQ37" i="11"/>
  <c r="AM49" i="11"/>
  <c r="AI49" i="11"/>
  <c r="AG49" i="11"/>
  <c r="AE49" i="11"/>
  <c r="AH47" i="11"/>
  <c r="AY37" i="11"/>
  <c r="AS37" i="11"/>
  <c r="BL44" i="11"/>
  <c r="BG44" i="11"/>
  <c r="AN47" i="11"/>
  <c r="AZ37" i="11"/>
  <c r="M29" i="5"/>
  <c r="BX44" i="11" s="1"/>
  <c r="AH49" i="11"/>
  <c r="AH56" i="11" s="1"/>
  <c r="V56" i="11"/>
  <c r="AP37" i="11"/>
  <c r="E20" i="19" s="1"/>
  <c r="BO44" i="11"/>
  <c r="AD49" i="11"/>
  <c r="AP50" i="11"/>
  <c r="E24" i="19" s="1"/>
  <c r="AC49" i="11"/>
  <c r="D23" i="19" s="1"/>
  <c r="E81" i="11"/>
  <c r="E83" i="11" s="1"/>
  <c r="E88" i="11" s="1"/>
  <c r="AC36" i="11"/>
  <c r="D19" i="19" s="1"/>
  <c r="X56" i="11"/>
  <c r="BC44" i="11"/>
  <c r="AC54" i="11"/>
  <c r="D28" i="19" s="1"/>
  <c r="BE44" i="11"/>
  <c r="AA56" i="11"/>
  <c r="AV37" i="11"/>
  <c r="BI44" i="11"/>
  <c r="AT37" i="11"/>
  <c r="AX37" i="11"/>
  <c r="AR37" i="11"/>
  <c r="AE47" i="11"/>
  <c r="AP45" i="11"/>
  <c r="AN49" i="11"/>
  <c r="BM44" i="11"/>
  <c r="AL49" i="11"/>
  <c r="BH44" i="11"/>
  <c r="BK53" i="11"/>
  <c r="AJ49" i="11"/>
  <c r="AP52" i="11"/>
  <c r="E26" i="19" s="1"/>
  <c r="AK47" i="11"/>
  <c r="CO81" i="11"/>
  <c r="CO83" i="11" s="1"/>
  <c r="CF81" i="11"/>
  <c r="CF83" i="11" s="1"/>
  <c r="CB81" i="11"/>
  <c r="CB83" i="11" s="1"/>
  <c r="BW81" i="11"/>
  <c r="BW83" i="11" s="1"/>
  <c r="CE81" i="11"/>
  <c r="CE83" i="11" s="1"/>
  <c r="CL81" i="11"/>
  <c r="CL83" i="11" s="1"/>
  <c r="BJ81" i="11"/>
  <c r="BJ83" i="11" s="1"/>
  <c r="BM81" i="11"/>
  <c r="BM83" i="11" s="1"/>
  <c r="CA81" i="11"/>
  <c r="CA83" i="11" s="1"/>
  <c r="BS81" i="11"/>
  <c r="BS83" i="11" s="1"/>
  <c r="BV81" i="11"/>
  <c r="BV83" i="11" s="1"/>
  <c r="BX81" i="11"/>
  <c r="BX83" i="11" s="1"/>
  <c r="CD81" i="11"/>
  <c r="CG81" i="11"/>
  <c r="CG83" i="11" s="1"/>
  <c r="CJ81" i="11"/>
  <c r="CJ83" i="11" s="1"/>
  <c r="CK81" i="11"/>
  <c r="CK83" i="11" s="1"/>
  <c r="BT81" i="11"/>
  <c r="BT83" i="11" s="1"/>
  <c r="CI81" i="11"/>
  <c r="CI83" i="11" s="1"/>
  <c r="BN81" i="11"/>
  <c r="BN83" i="11" s="1"/>
  <c r="BF81" i="11"/>
  <c r="BF83" i="11" s="1"/>
  <c r="BL81" i="11"/>
  <c r="BL83" i="11" s="1"/>
  <c r="BQ81" i="11"/>
  <c r="BG81" i="11"/>
  <c r="BG83" i="11" s="1"/>
  <c r="BH81" i="11"/>
  <c r="BH83" i="11" s="1"/>
  <c r="BI81" i="11"/>
  <c r="BI83" i="11" s="1"/>
  <c r="BO81" i="11"/>
  <c r="BO83" i="11" s="1"/>
  <c r="BK81" i="11"/>
  <c r="BK83" i="11" s="1"/>
  <c r="CH81" i="11"/>
  <c r="CH83" i="11" s="1"/>
  <c r="BR81" i="11"/>
  <c r="BR83" i="11" s="1"/>
  <c r="BU81" i="11"/>
  <c r="BU83" i="11" s="1"/>
  <c r="BE81" i="11"/>
  <c r="BE83" i="11" s="1"/>
  <c r="CN81" i="11"/>
  <c r="CN83" i="11" s="1"/>
  <c r="BZ81" i="11"/>
  <c r="BZ83" i="11" s="1"/>
  <c r="CM81" i="11"/>
  <c r="CM83" i="11" s="1"/>
  <c r="BY81" i="11"/>
  <c r="BY83" i="11" s="1"/>
  <c r="AG47" i="11"/>
  <c r="AD47" i="11"/>
  <c r="AF47" i="11"/>
  <c r="AT45" i="11"/>
  <c r="AR45" i="11"/>
  <c r="BA45" i="11"/>
  <c r="AY45" i="11"/>
  <c r="AW45" i="11"/>
  <c r="AU45" i="11"/>
  <c r="AS45" i="11"/>
  <c r="AZ45" i="11"/>
  <c r="AQ45" i="11"/>
  <c r="AX45" i="11"/>
  <c r="BB45" i="11"/>
  <c r="AV45" i="11"/>
  <c r="L30" i="5"/>
  <c r="BB25" i="11"/>
  <c r="AR25" i="11"/>
  <c r="AT25" i="11"/>
  <c r="AV25" i="11"/>
  <c r="AX25" i="11"/>
  <c r="AZ25" i="11"/>
  <c r="AS25" i="11"/>
  <c r="AQ25" i="11"/>
  <c r="AU25" i="11"/>
  <c r="AW25" i="11"/>
  <c r="AY25" i="11"/>
  <c r="BA25" i="11"/>
  <c r="AI47" i="11"/>
  <c r="AP24" i="11"/>
  <c r="AT52" i="11"/>
  <c r="L34" i="5"/>
  <c r="BA52" i="11"/>
  <c r="AR52" i="11"/>
  <c r="AY52" i="11"/>
  <c r="BB52" i="11"/>
  <c r="AW52" i="11"/>
  <c r="AU52" i="11"/>
  <c r="AS52" i="11"/>
  <c r="AZ52" i="11"/>
  <c r="AQ52" i="11"/>
  <c r="AX52" i="11"/>
  <c r="AV52" i="11"/>
  <c r="AM47" i="11"/>
  <c r="AY24" i="11"/>
  <c r="AW24" i="11"/>
  <c r="AU24" i="11"/>
  <c r="AS24" i="11"/>
  <c r="AQ24" i="11"/>
  <c r="AZ24" i="11"/>
  <c r="AX24" i="11"/>
  <c r="BB24" i="11"/>
  <c r="AV24" i="11"/>
  <c r="AT24" i="11"/>
  <c r="BA24" i="11"/>
  <c r="AR24" i="11"/>
  <c r="AL47" i="11"/>
  <c r="D9" i="12"/>
  <c r="C22" i="19"/>
  <c r="E17" i="12"/>
  <c r="E35" i="20"/>
  <c r="P56" i="11"/>
  <c r="D10" i="12" s="1"/>
  <c r="C25" i="19"/>
  <c r="H23" i="7"/>
  <c r="J23" i="7"/>
  <c r="I23" i="7"/>
  <c r="K23" i="7"/>
  <c r="F81" i="11"/>
  <c r="F1" i="11"/>
  <c r="F14" i="11"/>
  <c r="H4" i="11"/>
  <c r="G2" i="11"/>
  <c r="G28" i="11" s="1"/>
  <c r="BD37" i="11"/>
  <c r="BE37" i="11"/>
  <c r="BF37" i="11"/>
  <c r="BG37" i="11"/>
  <c r="BH37" i="11"/>
  <c r="BI37" i="11"/>
  <c r="BJ37" i="11"/>
  <c r="BK37" i="11"/>
  <c r="M25" i="5"/>
  <c r="BL37" i="11"/>
  <c r="BM37" i="11"/>
  <c r="BN37" i="11"/>
  <c r="BO37" i="11"/>
  <c r="L33" i="5"/>
  <c r="AV51" i="11"/>
  <c r="AU51" i="11"/>
  <c r="AT51" i="11"/>
  <c r="AS51" i="11"/>
  <c r="BB51" i="11"/>
  <c r="AR51" i="11"/>
  <c r="AQ51" i="11"/>
  <c r="BA51" i="11"/>
  <c r="AZ51" i="11"/>
  <c r="AY51" i="11"/>
  <c r="AX51" i="11"/>
  <c r="AW51" i="11"/>
  <c r="AP51" i="11"/>
  <c r="E25" i="19" s="1"/>
  <c r="AP42" i="11"/>
  <c r="AS42" i="11"/>
  <c r="AT42" i="11"/>
  <c r="AY42" i="11"/>
  <c r="AX42" i="11"/>
  <c r="BB42" i="11"/>
  <c r="L27" i="5"/>
  <c r="AW42" i="11"/>
  <c r="AV42" i="11"/>
  <c r="AR42" i="11"/>
  <c r="AU42" i="11"/>
  <c r="AQ42" i="11"/>
  <c r="AZ42" i="11"/>
  <c r="BA42" i="11"/>
  <c r="C33" i="5" l="1"/>
  <c r="C26" i="5"/>
  <c r="C17" i="5" s="1"/>
  <c r="P2" i="3" s="1"/>
  <c r="S2" i="3" s="1"/>
  <c r="T2" i="3" s="1"/>
  <c r="G5" i="22"/>
  <c r="F6" i="22"/>
  <c r="G6" i="22" s="1"/>
  <c r="BD53" i="11"/>
  <c r="BI53" i="11"/>
  <c r="E7" i="18"/>
  <c r="E18" i="18" s="1"/>
  <c r="J16" i="13" s="1"/>
  <c r="BG53" i="11"/>
  <c r="BE53" i="11"/>
  <c r="BJ53" i="11"/>
  <c r="BF53" i="11"/>
  <c r="BL53" i="11"/>
  <c r="BM53" i="11"/>
  <c r="BN53" i="11"/>
  <c r="BO53" i="11"/>
  <c r="M35" i="5"/>
  <c r="BY53" i="11" s="1"/>
  <c r="AO56" i="11"/>
  <c r="BO43" i="11"/>
  <c r="BH53" i="11"/>
  <c r="BC53" i="11"/>
  <c r="F27" i="19" s="1"/>
  <c r="BD43" i="11"/>
  <c r="BG43" i="11"/>
  <c r="BL43" i="11"/>
  <c r="AL56" i="11"/>
  <c r="F35" i="20"/>
  <c r="AK56" i="11"/>
  <c r="AZ54" i="11"/>
  <c r="BA54" i="11"/>
  <c r="AU54" i="11"/>
  <c r="BC43" i="11"/>
  <c r="AT54" i="11"/>
  <c r="AT56" i="11" s="1"/>
  <c r="AW54" i="11"/>
  <c r="BK43" i="11"/>
  <c r="I17" i="18"/>
  <c r="J17" i="18" s="1"/>
  <c r="BV43" i="11"/>
  <c r="BT43" i="11"/>
  <c r="N28" i="5"/>
  <c r="CL43" i="11" s="1"/>
  <c r="CB43" i="11"/>
  <c r="BC50" i="11"/>
  <c r="F24" i="19" s="1"/>
  <c r="AV54" i="11"/>
  <c r="BJ43" i="11"/>
  <c r="BE43" i="11"/>
  <c r="BM43" i="11"/>
  <c r="AQ54" i="11"/>
  <c r="AX54" i="11"/>
  <c r="AR54" i="11"/>
  <c r="BB54" i="11"/>
  <c r="AM56" i="11"/>
  <c r="AY54" i="11"/>
  <c r="BF43" i="11"/>
  <c r="BC62" i="11"/>
  <c r="BH43" i="11"/>
  <c r="AI56" i="11"/>
  <c r="BI50" i="11"/>
  <c r="BJ50" i="11"/>
  <c r="BK50" i="11"/>
  <c r="BL50" i="11"/>
  <c r="BM50" i="11"/>
  <c r="BO50" i="11"/>
  <c r="BN50" i="11"/>
  <c r="BD50" i="11"/>
  <c r="BF50" i="11"/>
  <c r="BH50" i="11"/>
  <c r="BE50" i="11"/>
  <c r="M32" i="5"/>
  <c r="BG50" i="11"/>
  <c r="AS54" i="11"/>
  <c r="AJ56" i="11"/>
  <c r="BI43" i="11"/>
  <c r="AD56" i="11"/>
  <c r="BN43" i="11"/>
  <c r="M37" i="5"/>
  <c r="BH62" i="11"/>
  <c r="BD62" i="11"/>
  <c r="BM62" i="11"/>
  <c r="BK62" i="11"/>
  <c r="BJ62" i="11"/>
  <c r="BF62" i="11"/>
  <c r="BI62" i="11"/>
  <c r="BO62" i="11"/>
  <c r="BG62" i="11"/>
  <c r="BE62" i="11"/>
  <c r="BL62" i="11"/>
  <c r="BN62" i="11"/>
  <c r="AP36" i="11"/>
  <c r="E19" i="19" s="1"/>
  <c r="P11" i="13"/>
  <c r="O53" i="13"/>
  <c r="BW43" i="11"/>
  <c r="BQ43" i="11"/>
  <c r="AV49" i="11"/>
  <c r="AQ49" i="11"/>
  <c r="AX49" i="11"/>
  <c r="BW44" i="11"/>
  <c r="AP54" i="11"/>
  <c r="E28" i="19" s="1"/>
  <c r="AG56" i="11"/>
  <c r="AX36" i="11"/>
  <c r="AS36" i="11"/>
  <c r="AV36" i="11"/>
  <c r="BA36" i="11"/>
  <c r="AZ36" i="11"/>
  <c r="L24" i="5"/>
  <c r="BJ36" i="11" s="1"/>
  <c r="AR36" i="11"/>
  <c r="AY36" i="11"/>
  <c r="AT36" i="11"/>
  <c r="BB36" i="11"/>
  <c r="AQ36" i="11"/>
  <c r="AC10" i="11"/>
  <c r="D8" i="19" s="1"/>
  <c r="AG10" i="11"/>
  <c r="AJ10" i="11"/>
  <c r="AL10" i="11"/>
  <c r="AB5" i="11"/>
  <c r="AE10" i="11"/>
  <c r="AF10" i="11"/>
  <c r="AD10" i="11"/>
  <c r="AK10" i="11"/>
  <c r="AI10" i="11"/>
  <c r="AN10" i="11"/>
  <c r="AO10" i="11"/>
  <c r="K3" i="22" s="1"/>
  <c r="AM10" i="11"/>
  <c r="AH10" i="11"/>
  <c r="AU36" i="11"/>
  <c r="BA49" i="11"/>
  <c r="AE56" i="11"/>
  <c r="BR44" i="11"/>
  <c r="CA44" i="11"/>
  <c r="BX43" i="11"/>
  <c r="BU44" i="11"/>
  <c r="BR43" i="11"/>
  <c r="N29" i="5"/>
  <c r="CE44" i="11" s="1"/>
  <c r="BY43" i="11"/>
  <c r="CB44" i="11"/>
  <c r="BS43" i="11"/>
  <c r="BT44" i="11"/>
  <c r="BV44" i="11"/>
  <c r="BZ43" i="11"/>
  <c r="AU49" i="11"/>
  <c r="BB49" i="11"/>
  <c r="L31" i="5"/>
  <c r="BI49" i="11" s="1"/>
  <c r="AZ49" i="11"/>
  <c r="AW49" i="11"/>
  <c r="AY49" i="11"/>
  <c r="AS49" i="11"/>
  <c r="AN56" i="11"/>
  <c r="AR49" i="11"/>
  <c r="D22" i="19"/>
  <c r="CA43" i="11"/>
  <c r="BU43" i="11"/>
  <c r="AP47" i="11"/>
  <c r="F9" i="12" s="1"/>
  <c r="BZ44" i="11"/>
  <c r="BY44" i="11"/>
  <c r="BS44" i="11"/>
  <c r="BQ44" i="11"/>
  <c r="BC37" i="11"/>
  <c r="F20" i="19" s="1"/>
  <c r="BP44" i="11"/>
  <c r="BA47" i="11"/>
  <c r="AR47" i="11"/>
  <c r="AZ47" i="11"/>
  <c r="AC56" i="11"/>
  <c r="E10" i="12" s="1"/>
  <c r="AP49" i="11"/>
  <c r="E23" i="19" s="1"/>
  <c r="AV47" i="11"/>
  <c r="AT47" i="11"/>
  <c r="BI45" i="11"/>
  <c r="BE45" i="11"/>
  <c r="BN45" i="11"/>
  <c r="BJ45" i="11"/>
  <c r="BF45" i="11"/>
  <c r="BO45" i="11"/>
  <c r="BK45" i="11"/>
  <c r="M30" i="5"/>
  <c r="BG45" i="11"/>
  <c r="BL45" i="11"/>
  <c r="BH45" i="11"/>
  <c r="BD45" i="11"/>
  <c r="BM45" i="11"/>
  <c r="CD83" i="11"/>
  <c r="CP81" i="11"/>
  <c r="BD52" i="11"/>
  <c r="BE52" i="11"/>
  <c r="BF52" i="11"/>
  <c r="BG52" i="11"/>
  <c r="BH52" i="11"/>
  <c r="BI52" i="11"/>
  <c r="BJ52" i="11"/>
  <c r="M34" i="5"/>
  <c r="BK52" i="11"/>
  <c r="BL52" i="11"/>
  <c r="BM52" i="11"/>
  <c r="BN52" i="11"/>
  <c r="BO52" i="11"/>
  <c r="BC24" i="11"/>
  <c r="BC45" i="11"/>
  <c r="AU47" i="11"/>
  <c r="BQ83" i="11"/>
  <c r="CC81" i="11"/>
  <c r="AY47" i="11"/>
  <c r="BC52" i="11"/>
  <c r="F26" i="19" s="1"/>
  <c r="AS47" i="11"/>
  <c r="BG25" i="11"/>
  <c r="BE25" i="11"/>
  <c r="BI25" i="11"/>
  <c r="BK25" i="11"/>
  <c r="BM25" i="11"/>
  <c r="BF25" i="11"/>
  <c r="BD25" i="11"/>
  <c r="BH25" i="11"/>
  <c r="BJ25" i="11"/>
  <c r="BL25" i="11"/>
  <c r="BO25" i="11"/>
  <c r="BN25" i="11"/>
  <c r="BB47" i="11"/>
  <c r="AX47" i="11"/>
  <c r="AW47" i="11"/>
  <c r="BC25" i="11"/>
  <c r="BE24" i="11"/>
  <c r="BN24" i="11"/>
  <c r="BJ24" i="11"/>
  <c r="BD24" i="11"/>
  <c r="BF24" i="11"/>
  <c r="BO24" i="11"/>
  <c r="BK24" i="11"/>
  <c r="BG24" i="11"/>
  <c r="BL24" i="11"/>
  <c r="BH24" i="11"/>
  <c r="BM24" i="11"/>
  <c r="BI24" i="11"/>
  <c r="H24" i="7"/>
  <c r="I24" i="7"/>
  <c r="K24" i="7"/>
  <c r="F30" i="11"/>
  <c r="F83" i="11"/>
  <c r="G81" i="11"/>
  <c r="G83" i="11" s="1"/>
  <c r="G1" i="11"/>
  <c r="G30" i="11"/>
  <c r="G14" i="11"/>
  <c r="H2" i="11"/>
  <c r="H28" i="11" s="1"/>
  <c r="I4" i="11"/>
  <c r="BP37" i="11"/>
  <c r="BZ37" i="11"/>
  <c r="BY37" i="11"/>
  <c r="CA37" i="11"/>
  <c r="BX37" i="11"/>
  <c r="CB37" i="11"/>
  <c r="BV37" i="11"/>
  <c r="BU37" i="11"/>
  <c r="N25" i="5"/>
  <c r="BQ37" i="11"/>
  <c r="BT37" i="11"/>
  <c r="BS37" i="11"/>
  <c r="BW37" i="11"/>
  <c r="BR37" i="11"/>
  <c r="BG54" i="11"/>
  <c r="M36" i="5"/>
  <c r="BH54" i="11"/>
  <c r="BI54" i="11"/>
  <c r="BJ54" i="11"/>
  <c r="BK54" i="11"/>
  <c r="BL54" i="11"/>
  <c r="BM54" i="11"/>
  <c r="BN54" i="11"/>
  <c r="BO54" i="11"/>
  <c r="BE54" i="11"/>
  <c r="BD54" i="11"/>
  <c r="BF54" i="11"/>
  <c r="BC51" i="11"/>
  <c r="F25" i="19" s="1"/>
  <c r="BD51" i="11"/>
  <c r="BE51" i="11"/>
  <c r="BF51" i="11"/>
  <c r="BG51" i="11"/>
  <c r="BH51" i="11"/>
  <c r="BI51" i="11"/>
  <c r="BJ51" i="11"/>
  <c r="BK51" i="11"/>
  <c r="BL51" i="11"/>
  <c r="BM51" i="11"/>
  <c r="BN51" i="11"/>
  <c r="BO51" i="11"/>
  <c r="M33" i="5"/>
  <c r="AQ47" i="11"/>
  <c r="BC42" i="11"/>
  <c r="BE42" i="11"/>
  <c r="BJ42" i="11"/>
  <c r="BK42" i="11"/>
  <c r="BI42" i="11"/>
  <c r="BO42" i="11"/>
  <c r="BD42" i="11"/>
  <c r="BH42" i="11"/>
  <c r="BN42" i="11"/>
  <c r="BG42" i="11"/>
  <c r="M27" i="5"/>
  <c r="BM42" i="11"/>
  <c r="BF42" i="11"/>
  <c r="BL42" i="11"/>
  <c r="K3" i="3" l="1"/>
  <c r="E93" i="11"/>
  <c r="E32" i="18"/>
  <c r="E43" i="18" s="1"/>
  <c r="CA53" i="11"/>
  <c r="CF43" i="11"/>
  <c r="BU53" i="11"/>
  <c r="CM43" i="11"/>
  <c r="N10" i="13"/>
  <c r="BZ53" i="11"/>
  <c r="BX53" i="11"/>
  <c r="BR53" i="11"/>
  <c r="BV53" i="11"/>
  <c r="BQ53" i="11"/>
  <c r="N35" i="5"/>
  <c r="BT53" i="11"/>
  <c r="CB53" i="11"/>
  <c r="BS53" i="11"/>
  <c r="BP53" i="11"/>
  <c r="BW53" i="11"/>
  <c r="J17" i="13"/>
  <c r="J62" i="13" s="1"/>
  <c r="BA56" i="11"/>
  <c r="BB56" i="11"/>
  <c r="AZ56" i="11"/>
  <c r="CN43" i="11"/>
  <c r="CH43" i="11"/>
  <c r="CI43" i="11"/>
  <c r="CO43" i="11"/>
  <c r="CD43" i="11"/>
  <c r="CE43" i="11"/>
  <c r="CG43" i="11"/>
  <c r="CJ43" i="11"/>
  <c r="CJ44" i="11"/>
  <c r="CD44" i="11"/>
  <c r="CK43" i="11"/>
  <c r="AU56" i="11"/>
  <c r="AV56" i="11"/>
  <c r="BC54" i="11"/>
  <c r="F28" i="19" s="1"/>
  <c r="AQ56" i="11"/>
  <c r="BP43" i="11"/>
  <c r="BP62" i="11"/>
  <c r="BG49" i="11"/>
  <c r="BG56" i="11" s="1"/>
  <c r="BE49" i="11"/>
  <c r="BE56" i="11" s="1"/>
  <c r="BD49" i="11"/>
  <c r="BD56" i="11" s="1"/>
  <c r="BC36" i="11"/>
  <c r="F19" i="19" s="1"/>
  <c r="N37" i="5"/>
  <c r="BR62" i="11"/>
  <c r="CB62" i="11"/>
  <c r="BW62" i="11"/>
  <c r="BX62" i="11"/>
  <c r="BZ62" i="11"/>
  <c r="BS62" i="11"/>
  <c r="BU62" i="11"/>
  <c r="BY62" i="11"/>
  <c r="BV62" i="11"/>
  <c r="CA62" i="11"/>
  <c r="BT62" i="11"/>
  <c r="BQ62" i="11"/>
  <c r="G17" i="12"/>
  <c r="AX56" i="11"/>
  <c r="BU50" i="11"/>
  <c r="BY50" i="11"/>
  <c r="BR50" i="11"/>
  <c r="BQ50" i="11"/>
  <c r="N32" i="5"/>
  <c r="BT50" i="11"/>
  <c r="BW50" i="11"/>
  <c r="BS50" i="11"/>
  <c r="CA50" i="11"/>
  <c r="BZ50" i="11"/>
  <c r="CB50" i="11"/>
  <c r="BV50" i="11"/>
  <c r="BX50" i="11"/>
  <c r="BP50" i="11"/>
  <c r="AS56" i="11"/>
  <c r="AY56" i="11"/>
  <c r="AR56" i="11"/>
  <c r="M24" i="5"/>
  <c r="N24" i="5" s="1"/>
  <c r="BH36" i="11"/>
  <c r="Q11" i="13"/>
  <c r="P53" i="13"/>
  <c r="BC49" i="11"/>
  <c r="F23" i="19" s="1"/>
  <c r="BF49" i="11"/>
  <c r="BF56" i="11" s="1"/>
  <c r="M31" i="5"/>
  <c r="N31" i="5" s="1"/>
  <c r="CK44" i="11"/>
  <c r="AW56" i="11"/>
  <c r="BE36" i="11"/>
  <c r="BO36" i="11"/>
  <c r="BD36" i="11"/>
  <c r="BL36" i="11"/>
  <c r="BK36" i="11"/>
  <c r="BF36" i="11"/>
  <c r="BN36" i="11"/>
  <c r="BM36" i="11"/>
  <c r="BI36" i="11"/>
  <c r="BG36" i="11"/>
  <c r="BB10" i="11"/>
  <c r="AQ10" i="11"/>
  <c r="BA10" i="11"/>
  <c r="AS10" i="11"/>
  <c r="AX10" i="11"/>
  <c r="AY10" i="11"/>
  <c r="AZ10" i="11"/>
  <c r="AR10" i="11"/>
  <c r="AV10" i="11"/>
  <c r="AU10" i="11"/>
  <c r="AT10" i="11"/>
  <c r="AW10" i="11"/>
  <c r="AP10" i="11"/>
  <c r="E8" i="19" s="1"/>
  <c r="CF44" i="11"/>
  <c r="CM44" i="11"/>
  <c r="CG44" i="11"/>
  <c r="CN44" i="11"/>
  <c r="CH44" i="11"/>
  <c r="BH49" i="11"/>
  <c r="BH56" i="11" s="1"/>
  <c r="CI44" i="11"/>
  <c r="CO44" i="11"/>
  <c r="BO49" i="11"/>
  <c r="BO56" i="11" s="1"/>
  <c r="BL49" i="11"/>
  <c r="BL56" i="11" s="1"/>
  <c r="BN49" i="11"/>
  <c r="BN56" i="11" s="1"/>
  <c r="BM49" i="11"/>
  <c r="BM56" i="11" s="1"/>
  <c r="BK49" i="11"/>
  <c r="BK56" i="11" s="1"/>
  <c r="CC43" i="11"/>
  <c r="CL44" i="11"/>
  <c r="BI47" i="11"/>
  <c r="BI28" i="11" s="1"/>
  <c r="E22" i="19"/>
  <c r="BJ49" i="11"/>
  <c r="BE47" i="11"/>
  <c r="BE28" i="11" s="1"/>
  <c r="CC44" i="11"/>
  <c r="BK47" i="11"/>
  <c r="BK28" i="11" s="1"/>
  <c r="BJ47" i="11"/>
  <c r="BJ28" i="11" s="1"/>
  <c r="BO47" i="11"/>
  <c r="BO28" i="11" s="1"/>
  <c r="BN47" i="11"/>
  <c r="BN28" i="11" s="1"/>
  <c r="BC47" i="11"/>
  <c r="G9" i="12" s="1"/>
  <c r="BP52" i="11"/>
  <c r="BL47" i="11"/>
  <c r="BL28" i="11" s="1"/>
  <c r="BF47" i="11"/>
  <c r="BF28" i="11" s="1"/>
  <c r="AP56" i="11"/>
  <c r="F10" i="12" s="1"/>
  <c r="BP45" i="11"/>
  <c r="CP83" i="11"/>
  <c r="BQ25" i="11"/>
  <c r="BS25" i="11"/>
  <c r="BR25" i="11"/>
  <c r="BX25" i="11"/>
  <c r="CB25" i="11"/>
  <c r="BZ25" i="11"/>
  <c r="BW25" i="11"/>
  <c r="BY25" i="11"/>
  <c r="BT25" i="11"/>
  <c r="BV25" i="11"/>
  <c r="BU25" i="11"/>
  <c r="CA25" i="11"/>
  <c r="CA24" i="11"/>
  <c r="BR24" i="11"/>
  <c r="BU24" i="11"/>
  <c r="BQ24" i="11"/>
  <c r="BX24" i="11"/>
  <c r="CB24" i="11"/>
  <c r="BT24" i="11"/>
  <c r="BW24" i="11"/>
  <c r="BZ24" i="11"/>
  <c r="BS24" i="11"/>
  <c r="BV24" i="11"/>
  <c r="BY24" i="11"/>
  <c r="BQ45" i="11"/>
  <c r="BX45" i="11"/>
  <c r="BW45" i="11"/>
  <c r="BV45" i="11"/>
  <c r="CB45" i="11"/>
  <c r="BU45" i="11"/>
  <c r="N30" i="5"/>
  <c r="CA45" i="11"/>
  <c r="BT45" i="11"/>
  <c r="BZ45" i="11"/>
  <c r="BS45" i="11"/>
  <c r="BY45" i="11"/>
  <c r="BR45" i="11"/>
  <c r="BP25" i="11"/>
  <c r="CC83" i="11"/>
  <c r="BM47" i="11"/>
  <c r="BM28" i="11" s="1"/>
  <c r="BP24" i="11"/>
  <c r="BG47" i="11"/>
  <c r="BG28" i="11" s="1"/>
  <c r="BS52" i="11"/>
  <c r="BV52" i="11"/>
  <c r="BU52" i="11"/>
  <c r="BR52" i="11"/>
  <c r="BY52" i="11"/>
  <c r="BX52" i="11"/>
  <c r="N34" i="5"/>
  <c r="BQ52" i="11"/>
  <c r="BT52" i="11"/>
  <c r="BW52" i="11"/>
  <c r="CA52" i="11"/>
  <c r="BZ52" i="11"/>
  <c r="CB52" i="11"/>
  <c r="BH47" i="11"/>
  <c r="BH28" i="11" s="1"/>
  <c r="K17" i="18"/>
  <c r="O10" i="13"/>
  <c r="H25" i="7"/>
  <c r="I25" i="7"/>
  <c r="J25" i="7"/>
  <c r="K25" i="7"/>
  <c r="BI56" i="11"/>
  <c r="BP54" i="11"/>
  <c r="J69" i="13"/>
  <c r="J4" i="11"/>
  <c r="I2" i="11"/>
  <c r="I28" i="11" s="1"/>
  <c r="H1" i="11"/>
  <c r="H81" i="11"/>
  <c r="H83" i="11" s="1"/>
  <c r="H14" i="11"/>
  <c r="H30" i="11"/>
  <c r="CM37" i="11"/>
  <c r="CN37" i="11"/>
  <c r="CI37" i="11"/>
  <c r="CJ37" i="11"/>
  <c r="CE37" i="11"/>
  <c r="CD37" i="11"/>
  <c r="CO37" i="11"/>
  <c r="CH37" i="11"/>
  <c r="CL37" i="11"/>
  <c r="CG37" i="11"/>
  <c r="CF37" i="11"/>
  <c r="CK37" i="11"/>
  <c r="CC37" i="11"/>
  <c r="BQ54" i="11"/>
  <c r="BU54" i="11"/>
  <c r="BY54" i="11"/>
  <c r="BZ54" i="11"/>
  <c r="BR54" i="11"/>
  <c r="BV54" i="11"/>
  <c r="CA54" i="11"/>
  <c r="CB54" i="11"/>
  <c r="BS54" i="11"/>
  <c r="BW54" i="11"/>
  <c r="BT54" i="11"/>
  <c r="N36" i="5"/>
  <c r="BX54" i="11"/>
  <c r="BW51" i="11"/>
  <c r="BZ51" i="11"/>
  <c r="CA51" i="11"/>
  <c r="CB51" i="11"/>
  <c r="BR51" i="11"/>
  <c r="BX51" i="11"/>
  <c r="BU51" i="11"/>
  <c r="BS51" i="11"/>
  <c r="BV51" i="11"/>
  <c r="BY51" i="11"/>
  <c r="BQ51" i="11"/>
  <c r="N33" i="5"/>
  <c r="BT51" i="11"/>
  <c r="BP51" i="11"/>
  <c r="BU42" i="11"/>
  <c r="BX42" i="11"/>
  <c r="CA42" i="11"/>
  <c r="BQ42" i="11"/>
  <c r="BT42" i="11"/>
  <c r="BZ42" i="11"/>
  <c r="BW42" i="11"/>
  <c r="BS42" i="11"/>
  <c r="BV42" i="11"/>
  <c r="BY42" i="11"/>
  <c r="CB42" i="11"/>
  <c r="BR42" i="11"/>
  <c r="N27" i="5"/>
  <c r="BD47" i="11"/>
  <c r="BD28" i="11" s="1"/>
  <c r="BP42" i="11"/>
  <c r="CH53" i="11" l="1"/>
  <c r="CK53" i="11"/>
  <c r="CM53" i="11"/>
  <c r="CN53" i="11"/>
  <c r="CD53" i="11"/>
  <c r="CI53" i="11"/>
  <c r="CF53" i="11"/>
  <c r="CO53" i="11"/>
  <c r="CP43" i="11"/>
  <c r="CL53" i="11"/>
  <c r="CJ53" i="11"/>
  <c r="CC53" i="11"/>
  <c r="CE53" i="11"/>
  <c r="CG53" i="11"/>
  <c r="J21" i="13"/>
  <c r="J34" i="13" s="1"/>
  <c r="J55" i="13"/>
  <c r="BV36" i="11"/>
  <c r="CB36" i="11"/>
  <c r="BS36" i="11"/>
  <c r="BC56" i="11"/>
  <c r="G10" i="12" s="1"/>
  <c r="BZ36" i="11"/>
  <c r="H17" i="12"/>
  <c r="BV49" i="11"/>
  <c r="BV56" i="11" s="1"/>
  <c r="BS49" i="11"/>
  <c r="BS56" i="11" s="1"/>
  <c r="BZ49" i="11"/>
  <c r="BZ56" i="11" s="1"/>
  <c r="CC62" i="11"/>
  <c r="BP47" i="11"/>
  <c r="CB49" i="11"/>
  <c r="CB56" i="11" s="1"/>
  <c r="CA49" i="11"/>
  <c r="CA56" i="11" s="1"/>
  <c r="BW49" i="11"/>
  <c r="BW56" i="11" s="1"/>
  <c r="BY49" i="11"/>
  <c r="BY56" i="11" s="1"/>
  <c r="CA36" i="11"/>
  <c r="BU36" i="11"/>
  <c r="BR36" i="11"/>
  <c r="BY36" i="11"/>
  <c r="BQ36" i="11"/>
  <c r="BX36" i="11"/>
  <c r="BW36" i="11"/>
  <c r="BT36" i="11"/>
  <c r="BM30" i="11"/>
  <c r="BG30" i="11"/>
  <c r="BE30" i="11"/>
  <c r="BF30" i="11"/>
  <c r="BT49" i="11"/>
  <c r="BT56" i="11" s="1"/>
  <c r="CC50" i="11"/>
  <c r="BL30" i="11"/>
  <c r="BQ49" i="11"/>
  <c r="BQ56" i="11" s="1"/>
  <c r="BK30" i="11"/>
  <c r="BJ30" i="11"/>
  <c r="BU49" i="11"/>
  <c r="BI30" i="11"/>
  <c r="BN30" i="11"/>
  <c r="BH30" i="11"/>
  <c r="BO30" i="11"/>
  <c r="BX49" i="11"/>
  <c r="BX56" i="11" s="1"/>
  <c r="BR49" i="11"/>
  <c r="BR56" i="11" s="1"/>
  <c r="CM50" i="11"/>
  <c r="CJ50" i="11"/>
  <c r="CG50" i="11"/>
  <c r="CD50" i="11"/>
  <c r="CH50" i="11"/>
  <c r="CE50" i="11"/>
  <c r="CN50" i="11"/>
  <c r="CL50" i="11"/>
  <c r="CI50" i="11"/>
  <c r="CF50" i="11"/>
  <c r="CO50" i="11"/>
  <c r="CK50" i="11"/>
  <c r="CL62" i="11"/>
  <c r="CG62" i="11"/>
  <c r="CH62" i="11"/>
  <c r="CD62" i="11"/>
  <c r="CF62" i="11"/>
  <c r="CJ62" i="11"/>
  <c r="CK62" i="11"/>
  <c r="CE62" i="11"/>
  <c r="CM62" i="11"/>
  <c r="CI62" i="11"/>
  <c r="CO62" i="11"/>
  <c r="CN62" i="11"/>
  <c r="R11" i="13"/>
  <c r="Q53" i="13"/>
  <c r="CP44" i="11"/>
  <c r="BP49" i="11"/>
  <c r="BP36" i="11"/>
  <c r="BC10" i="11"/>
  <c r="F8" i="19" s="1"/>
  <c r="BI10" i="11"/>
  <c r="BH10" i="11"/>
  <c r="BG10" i="11"/>
  <c r="BF10" i="11"/>
  <c r="BE10" i="11"/>
  <c r="BD10" i="11"/>
  <c r="BN10" i="11"/>
  <c r="BM10" i="11"/>
  <c r="BL10" i="11"/>
  <c r="BK10" i="11"/>
  <c r="BO10" i="11"/>
  <c r="BJ10" i="11"/>
  <c r="BJ56" i="11"/>
  <c r="BU47" i="11"/>
  <c r="BU28" i="11" s="1"/>
  <c r="F22" i="19"/>
  <c r="CA47" i="11"/>
  <c r="CA28" i="11" s="1"/>
  <c r="BX47" i="11"/>
  <c r="BX28" i="11" s="1"/>
  <c r="BY47" i="11"/>
  <c r="BY28" i="11" s="1"/>
  <c r="BS47" i="11"/>
  <c r="BS28" i="11" s="1"/>
  <c r="BR47" i="11"/>
  <c r="BR28" i="11" s="1"/>
  <c r="BW47" i="11"/>
  <c r="BW28" i="11" s="1"/>
  <c r="BV47" i="11"/>
  <c r="BV28" i="11" s="1"/>
  <c r="CC24" i="11"/>
  <c r="BZ47" i="11"/>
  <c r="BZ28" i="11" s="1"/>
  <c r="BT47" i="11"/>
  <c r="BT28" i="11" s="1"/>
  <c r="CN49" i="11"/>
  <c r="CI49" i="11"/>
  <c r="CF49" i="11"/>
  <c r="CO49" i="11"/>
  <c r="CK49" i="11"/>
  <c r="CM49" i="11"/>
  <c r="CH49" i="11"/>
  <c r="CL49" i="11"/>
  <c r="CE49" i="11"/>
  <c r="CJ49" i="11"/>
  <c r="CG49" i="11"/>
  <c r="CD49" i="11"/>
  <c r="CF45" i="11"/>
  <c r="CL45" i="11"/>
  <c r="CE45" i="11"/>
  <c r="CK45" i="11"/>
  <c r="CD45" i="11"/>
  <c r="CJ45" i="11"/>
  <c r="CI45" i="11"/>
  <c r="CO45" i="11"/>
  <c r="CH45" i="11"/>
  <c r="CN45" i="11"/>
  <c r="CG45" i="11"/>
  <c r="CM45" i="11"/>
  <c r="CC52" i="11"/>
  <c r="CM25" i="11"/>
  <c r="CI25" i="11"/>
  <c r="CD25" i="11"/>
  <c r="CK25" i="11"/>
  <c r="CL25" i="11"/>
  <c r="CE25" i="11"/>
  <c r="CH25" i="11"/>
  <c r="CG25" i="11"/>
  <c r="CO25" i="11"/>
  <c r="CN25" i="11"/>
  <c r="CF25" i="11"/>
  <c r="CJ25" i="11"/>
  <c r="CD52" i="11"/>
  <c r="CL52" i="11"/>
  <c r="CN52" i="11"/>
  <c r="CI52" i="11"/>
  <c r="CF52" i="11"/>
  <c r="CK52" i="11"/>
  <c r="CO52" i="11"/>
  <c r="CH52" i="11"/>
  <c r="CE52" i="11"/>
  <c r="CM52" i="11"/>
  <c r="CJ52" i="11"/>
  <c r="CG52" i="11"/>
  <c r="CC45" i="11"/>
  <c r="CI24" i="11"/>
  <c r="CN24" i="11"/>
  <c r="CF24" i="11"/>
  <c r="CK24" i="11"/>
  <c r="CH24" i="11"/>
  <c r="CO24" i="11"/>
  <c r="CE24" i="11"/>
  <c r="CM24" i="11"/>
  <c r="CJ24" i="11"/>
  <c r="CG24" i="11"/>
  <c r="CD24" i="11"/>
  <c r="CL24" i="11"/>
  <c r="CC25" i="11"/>
  <c r="CB47" i="11"/>
  <c r="CB28" i="11" s="1"/>
  <c r="L17" i="18"/>
  <c r="P10" i="13"/>
  <c r="I26" i="7"/>
  <c r="H26" i="7"/>
  <c r="J26" i="7"/>
  <c r="K26" i="7"/>
  <c r="I81" i="11"/>
  <c r="I1" i="11"/>
  <c r="I30" i="11"/>
  <c r="I14" i="11"/>
  <c r="K4" i="11"/>
  <c r="J2" i="11"/>
  <c r="J28" i="11" s="1"/>
  <c r="CP37" i="11"/>
  <c r="CG54" i="11"/>
  <c r="CH54" i="11"/>
  <c r="CI54" i="11"/>
  <c r="CJ54" i="11"/>
  <c r="CK54" i="11"/>
  <c r="CL54" i="11"/>
  <c r="CM54" i="11"/>
  <c r="CN54" i="11"/>
  <c r="CD54" i="11"/>
  <c r="CO54" i="11"/>
  <c r="CE54" i="11"/>
  <c r="CF54" i="11"/>
  <c r="CC54" i="11"/>
  <c r="CD51" i="11"/>
  <c r="CE51" i="11"/>
  <c r="CN51" i="11"/>
  <c r="CF51" i="11"/>
  <c r="CK51" i="11"/>
  <c r="CJ51" i="11"/>
  <c r="CI51" i="11"/>
  <c r="CG51" i="11"/>
  <c r="CL51" i="11"/>
  <c r="CO51" i="11"/>
  <c r="CH51" i="11"/>
  <c r="CM51" i="11"/>
  <c r="CC51" i="11"/>
  <c r="BD30" i="11"/>
  <c r="CO42" i="11"/>
  <c r="CF42" i="11"/>
  <c r="CI42" i="11"/>
  <c r="CH42" i="11"/>
  <c r="CG42" i="11"/>
  <c r="CJ42" i="11"/>
  <c r="CK42" i="11"/>
  <c r="CD42" i="11"/>
  <c r="CN42" i="11"/>
  <c r="CM42" i="11"/>
  <c r="CE42" i="11"/>
  <c r="CL42" i="11"/>
  <c r="BQ47" i="11"/>
  <c r="BQ28" i="11" s="1"/>
  <c r="CC42" i="11"/>
  <c r="CD36" i="11"/>
  <c r="CE36" i="11"/>
  <c r="CF36" i="11"/>
  <c r="CJ36" i="11"/>
  <c r="CK36" i="11"/>
  <c r="CL36" i="11"/>
  <c r="CM36" i="11"/>
  <c r="CI36" i="11"/>
  <c r="CH36" i="11"/>
  <c r="CO36" i="11"/>
  <c r="CG36" i="11"/>
  <c r="CN36" i="11"/>
  <c r="BP56" i="11" l="1"/>
  <c r="H10" i="12" s="1"/>
  <c r="CP53" i="11"/>
  <c r="I17" i="12"/>
  <c r="H9" i="12"/>
  <c r="CC36" i="11"/>
  <c r="CC49" i="11"/>
  <c r="BV30" i="11"/>
  <c r="BU56" i="11"/>
  <c r="BT30" i="11"/>
  <c r="BS30" i="11"/>
  <c r="BW30" i="11"/>
  <c r="CP50" i="11"/>
  <c r="BP28" i="11"/>
  <c r="BP30" i="11" s="1"/>
  <c r="H4" i="12" s="1"/>
  <c r="CP62" i="11"/>
  <c r="BZ30" i="11"/>
  <c r="BY30" i="11"/>
  <c r="BX30" i="11"/>
  <c r="CA30" i="11"/>
  <c r="BU30" i="11"/>
  <c r="CB30" i="11"/>
  <c r="S11" i="13"/>
  <c r="R53" i="13"/>
  <c r="CB10" i="11"/>
  <c r="CA10" i="11"/>
  <c r="BZ10" i="11"/>
  <c r="BY10" i="11"/>
  <c r="BX10" i="11"/>
  <c r="BT10" i="11"/>
  <c r="BV10" i="11"/>
  <c r="BU10" i="11"/>
  <c r="BS10" i="11"/>
  <c r="BR10" i="11"/>
  <c r="BQ10" i="11"/>
  <c r="BW10" i="11"/>
  <c r="BP10" i="11"/>
  <c r="CO47" i="11"/>
  <c r="CO28" i="11" s="1"/>
  <c r="CH47" i="11"/>
  <c r="CH28" i="11" s="1"/>
  <c r="CI47" i="11"/>
  <c r="CI28" i="11" s="1"/>
  <c r="CK47" i="11"/>
  <c r="CK28" i="11" s="1"/>
  <c r="CJ47" i="11"/>
  <c r="CJ28" i="11" s="1"/>
  <c r="CG47" i="11"/>
  <c r="CG28" i="11" s="1"/>
  <c r="CJ56" i="11"/>
  <c r="CP49" i="11"/>
  <c r="CF47" i="11"/>
  <c r="CF28" i="11" s="1"/>
  <c r="CP25" i="11"/>
  <c r="CP24" i="11"/>
  <c r="CC47" i="11"/>
  <c r="CL47" i="11"/>
  <c r="CL28" i="11" s="1"/>
  <c r="CE47" i="11"/>
  <c r="CE28" i="11" s="1"/>
  <c r="CP52" i="11"/>
  <c r="CM47" i="11"/>
  <c r="CM28" i="11" s="1"/>
  <c r="CG56" i="11"/>
  <c r="CP45" i="11"/>
  <c r="CN47" i="11"/>
  <c r="CN28" i="11" s="1"/>
  <c r="CI56" i="11"/>
  <c r="M17" i="18"/>
  <c r="Q10" i="13"/>
  <c r="I27" i="7"/>
  <c r="J27" i="7"/>
  <c r="H27" i="7"/>
  <c r="K27" i="7"/>
  <c r="CH56" i="11"/>
  <c r="CL56" i="11"/>
  <c r="CK56" i="11"/>
  <c r="J81" i="11"/>
  <c r="J83" i="11" s="1"/>
  <c r="J1" i="11"/>
  <c r="J14" i="11"/>
  <c r="K2" i="11"/>
  <c r="K28" i="11" s="1"/>
  <c r="L4" i="11"/>
  <c r="CM56" i="11"/>
  <c r="I83" i="11"/>
  <c r="CO56" i="11"/>
  <c r="CP54" i="11"/>
  <c r="CF56" i="11"/>
  <c r="CN56" i="11"/>
  <c r="CE56" i="11"/>
  <c r="CP51" i="11"/>
  <c r="CD56" i="11"/>
  <c r="CP42" i="11"/>
  <c r="CD47" i="11"/>
  <c r="CD28" i="11" s="1"/>
  <c r="BQ30" i="11"/>
  <c r="CP36" i="11"/>
  <c r="CC56" i="11" l="1"/>
  <c r="I10" i="12" s="1"/>
  <c r="CC28" i="11"/>
  <c r="CC30" i="11" s="1"/>
  <c r="I4" i="12" s="1"/>
  <c r="BR30" i="11"/>
  <c r="CF30" i="11"/>
  <c r="CJ30" i="11"/>
  <c r="J17" i="12"/>
  <c r="CH30" i="11"/>
  <c r="CM30" i="11"/>
  <c r="CE30" i="11"/>
  <c r="CL30" i="11"/>
  <c r="CG30" i="11"/>
  <c r="CK30" i="11"/>
  <c r="CI30" i="11"/>
  <c r="CO30" i="11"/>
  <c r="CN30" i="11"/>
  <c r="T11" i="13"/>
  <c r="S53" i="13"/>
  <c r="CC10" i="11"/>
  <c r="CD10" i="11"/>
  <c r="CO10" i="11"/>
  <c r="CN10" i="11"/>
  <c r="CL10" i="11"/>
  <c r="CK10" i="11"/>
  <c r="CI10" i="11"/>
  <c r="CH10" i="11"/>
  <c r="CG10" i="11"/>
  <c r="CM10" i="11"/>
  <c r="CJ10" i="11"/>
  <c r="CF10" i="11"/>
  <c r="CE10" i="11"/>
  <c r="I9" i="12"/>
  <c r="CP47" i="11"/>
  <c r="J9" i="12" s="1"/>
  <c r="N17" i="18"/>
  <c r="R10" i="13"/>
  <c r="J28" i="7"/>
  <c r="I28" i="7"/>
  <c r="H28" i="7"/>
  <c r="K28" i="7"/>
  <c r="K81" i="11"/>
  <c r="K83" i="11" s="1"/>
  <c r="K1" i="11"/>
  <c r="K14" i="11"/>
  <c r="K30" i="11"/>
  <c r="J30" i="11"/>
  <c r="L2" i="11"/>
  <c r="L28" i="11" s="1"/>
  <c r="M4" i="11"/>
  <c r="CP56" i="11"/>
  <c r="J10" i="12" s="1"/>
  <c r="CD30" i="11"/>
  <c r="CP28" i="11" l="1"/>
  <c r="U11" i="13"/>
  <c r="T53" i="13"/>
  <c r="CP10" i="11"/>
  <c r="O17" i="18"/>
  <c r="S10" i="13"/>
  <c r="J29" i="7"/>
  <c r="I29" i="7"/>
  <c r="H29" i="7"/>
  <c r="K29" i="7"/>
  <c r="M2" i="11"/>
  <c r="M28" i="11" s="1"/>
  <c r="N4" i="11"/>
  <c r="L81" i="11"/>
  <c r="L83" i="11" s="1"/>
  <c r="L1" i="11"/>
  <c r="L14" i="11"/>
  <c r="CP30" i="11" l="1"/>
  <c r="J4" i="12" s="1"/>
  <c r="V11" i="13"/>
  <c r="U53" i="13"/>
  <c r="P17" i="18"/>
  <c r="T10" i="13"/>
  <c r="J30" i="7"/>
  <c r="H30" i="7"/>
  <c r="K30" i="7"/>
  <c r="I30" i="7"/>
  <c r="L30" i="11"/>
  <c r="N2" i="11"/>
  <c r="N28" i="11" s="1"/>
  <c r="O4" i="11"/>
  <c r="M81" i="11"/>
  <c r="M83" i="11" s="1"/>
  <c r="M1" i="11"/>
  <c r="M14" i="11"/>
  <c r="M30" i="11"/>
  <c r="W11" i="13" l="1"/>
  <c r="V53" i="13"/>
  <c r="Q17" i="18"/>
  <c r="U10" i="13"/>
  <c r="J31" i="7"/>
  <c r="H31" i="7"/>
  <c r="K31" i="7"/>
  <c r="I31" i="7"/>
  <c r="N1" i="11"/>
  <c r="N81" i="11"/>
  <c r="N83" i="11" s="1"/>
  <c r="N14" i="11"/>
  <c r="N30" i="11"/>
  <c r="O2" i="11"/>
  <c r="Q4" i="11"/>
  <c r="O28" i="11" l="1"/>
  <c r="W53" i="13"/>
  <c r="X11" i="13"/>
  <c r="R17" i="18"/>
  <c r="V10" i="13"/>
  <c r="J32" i="7"/>
  <c r="K32" i="7"/>
  <c r="I32" i="7"/>
  <c r="Q2" i="11"/>
  <c r="R4" i="11"/>
  <c r="O1" i="11"/>
  <c r="O81" i="11"/>
  <c r="P81" i="11" s="1"/>
  <c r="P83" i="11" s="1"/>
  <c r="O14" i="11"/>
  <c r="P14" i="11" s="1"/>
  <c r="Q28" i="11" l="1"/>
  <c r="X53" i="13"/>
  <c r="Y11" i="13"/>
  <c r="S17" i="18"/>
  <c r="W10" i="13"/>
  <c r="O30" i="11"/>
  <c r="P28" i="11"/>
  <c r="O83" i="11"/>
  <c r="S4" i="11"/>
  <c r="R2" i="11"/>
  <c r="R28" i="11" s="1"/>
  <c r="Q81" i="11"/>
  <c r="Q83" i="11" s="1"/>
  <c r="Q1" i="11"/>
  <c r="Q14" i="11"/>
  <c r="Y53" i="13" l="1"/>
  <c r="Z11" i="13"/>
  <c r="D23" i="20"/>
  <c r="D33" i="20" s="1"/>
  <c r="P30" i="11"/>
  <c r="D4" i="12" s="1"/>
  <c r="C13" i="19"/>
  <c r="T17" i="18"/>
  <c r="X10" i="13"/>
  <c r="Q30" i="11"/>
  <c r="R1" i="11"/>
  <c r="R81" i="11"/>
  <c r="R83" i="11" s="1"/>
  <c r="R14" i="11"/>
  <c r="R30" i="11"/>
  <c r="S2" i="11"/>
  <c r="S28" i="11" s="1"/>
  <c r="T4" i="11"/>
  <c r="Z53" i="13" l="1"/>
  <c r="AA11" i="13"/>
  <c r="C14" i="19"/>
  <c r="U17" i="18"/>
  <c r="Y10" i="13"/>
  <c r="S1" i="11"/>
  <c r="S81" i="11"/>
  <c r="S83" i="11" s="1"/>
  <c r="S14" i="11"/>
  <c r="S30" i="11"/>
  <c r="U4" i="11"/>
  <c r="T2" i="11"/>
  <c r="T28" i="11" s="1"/>
  <c r="AA53" i="13" l="1"/>
  <c r="AB11" i="13"/>
  <c r="Z10" i="13"/>
  <c r="V17" i="18"/>
  <c r="T1" i="11"/>
  <c r="T81" i="11"/>
  <c r="T14" i="11"/>
  <c r="U2" i="11"/>
  <c r="U28" i="11" s="1"/>
  <c r="V4" i="11"/>
  <c r="AB53" i="13" l="1"/>
  <c r="AC11" i="13"/>
  <c r="AA10" i="13"/>
  <c r="W17" i="18"/>
  <c r="U81" i="11"/>
  <c r="U83" i="11" s="1"/>
  <c r="U14" i="11"/>
  <c r="U1" i="11"/>
  <c r="U30" i="11"/>
  <c r="T30" i="11"/>
  <c r="T83" i="11"/>
  <c r="V2" i="11"/>
  <c r="W4" i="11"/>
  <c r="V28" i="11" l="1"/>
  <c r="V14" i="11"/>
  <c r="AC53" i="13"/>
  <c r="AD11" i="13"/>
  <c r="AB10" i="13"/>
  <c r="X17" i="18"/>
  <c r="W2" i="11"/>
  <c r="X4" i="11"/>
  <c r="V81" i="11"/>
  <c r="V1" i="11"/>
  <c r="W28" i="11" l="1"/>
  <c r="W30" i="11" s="1"/>
  <c r="W14" i="11"/>
  <c r="AD53" i="13"/>
  <c r="AE11" i="13"/>
  <c r="AC10" i="13"/>
  <c r="Y17" i="18"/>
  <c r="V30" i="11"/>
  <c r="V83" i="11"/>
  <c r="X2" i="11"/>
  <c r="Y4" i="11"/>
  <c r="W81" i="11"/>
  <c r="W83" i="11" s="1"/>
  <c r="W1" i="11"/>
  <c r="X28" i="11" l="1"/>
  <c r="X30" i="11" s="1"/>
  <c r="X14" i="11"/>
  <c r="AF11" i="13"/>
  <c r="AE53" i="13"/>
  <c r="AD10" i="13"/>
  <c r="Z17" i="18"/>
  <c r="X1" i="11"/>
  <c r="X81" i="11"/>
  <c r="X83" i="11" s="1"/>
  <c r="Z4" i="11"/>
  <c r="Y2" i="11"/>
  <c r="Y28" i="11" l="1"/>
  <c r="Y30" i="11" s="1"/>
  <c r="Y14" i="11"/>
  <c r="AG11" i="13"/>
  <c r="AF53" i="13"/>
  <c r="AE10" i="13"/>
  <c r="AA17" i="18"/>
  <c r="Y1" i="11"/>
  <c r="Y81" i="11"/>
  <c r="Y83" i="11" s="1"/>
  <c r="Z2" i="11"/>
  <c r="AA4" i="11"/>
  <c r="Z28" i="11" l="1"/>
  <c r="Z30" i="11" s="1"/>
  <c r="Z14" i="11"/>
  <c r="AG53" i="13"/>
  <c r="AH11" i="13"/>
  <c r="AF10" i="13"/>
  <c r="AB17" i="18"/>
  <c r="Z81" i="11"/>
  <c r="Z83" i="11" s="1"/>
  <c r="Z1" i="11"/>
  <c r="AB4" i="11"/>
  <c r="AA2" i="11"/>
  <c r="J15" i="3"/>
  <c r="AA28" i="11" l="1"/>
  <c r="AA30" i="11" s="1"/>
  <c r="AA14" i="11"/>
  <c r="AI11" i="13"/>
  <c r="AH53" i="13"/>
  <c r="AG10" i="13"/>
  <c r="AC17" i="18"/>
  <c r="AB2" i="11"/>
  <c r="AD4" i="11"/>
  <c r="AA1" i="11"/>
  <c r="AA81" i="11"/>
  <c r="AA83" i="11" s="1"/>
  <c r="R64" i="11"/>
  <c r="AB28" i="11" l="1"/>
  <c r="AB14" i="11"/>
  <c r="AJ11" i="13"/>
  <c r="AI53" i="13"/>
  <c r="AH10" i="13"/>
  <c r="AD17" i="18"/>
  <c r="AD2" i="11"/>
  <c r="AD14" i="11" s="1"/>
  <c r="AE4" i="11"/>
  <c r="AB81" i="11"/>
  <c r="AB1" i="11"/>
  <c r="AD28" i="11" l="1"/>
  <c r="AK11" i="13"/>
  <c r="AJ53" i="13"/>
  <c r="AC14" i="11"/>
  <c r="AE17" i="18"/>
  <c r="AI10" i="13"/>
  <c r="AB30" i="11"/>
  <c r="AC28" i="11"/>
  <c r="AF4" i="11"/>
  <c r="AE2" i="11"/>
  <c r="AB83" i="11"/>
  <c r="AC81" i="11"/>
  <c r="AD1" i="11"/>
  <c r="AD81" i="11"/>
  <c r="J16" i="3"/>
  <c r="AE28" i="11" l="1"/>
  <c r="AE30" i="11" s="1"/>
  <c r="AE14" i="11"/>
  <c r="AL11" i="13"/>
  <c r="AK53" i="13"/>
  <c r="AC83" i="11"/>
  <c r="E23" i="20"/>
  <c r="E33" i="20" s="1"/>
  <c r="AF17" i="18"/>
  <c r="AJ10" i="13"/>
  <c r="AC30" i="11"/>
  <c r="E4" i="12" s="1"/>
  <c r="D13" i="19"/>
  <c r="AD83" i="11"/>
  <c r="AE81" i="11"/>
  <c r="AE83" i="11" s="1"/>
  <c r="AE1" i="11"/>
  <c r="AF2" i="11"/>
  <c r="AG4" i="11"/>
  <c r="AD30" i="11"/>
  <c r="S64" i="11"/>
  <c r="AF28" i="11" l="1"/>
  <c r="AF14" i="11"/>
  <c r="AM11" i="13"/>
  <c r="AL53" i="13"/>
  <c r="D14" i="19"/>
  <c r="AG17" i="18"/>
  <c r="AK10" i="13"/>
  <c r="AF81" i="11"/>
  <c r="AF83" i="11" s="1"/>
  <c r="AF1" i="11"/>
  <c r="AH4" i="11"/>
  <c r="AG2" i="11"/>
  <c r="AG28" i="11" l="1"/>
  <c r="AG30" i="11" s="1"/>
  <c r="AG14" i="11"/>
  <c r="AN11" i="13"/>
  <c r="AM53" i="13"/>
  <c r="AH17" i="18"/>
  <c r="AL10" i="13"/>
  <c r="AH2" i="11"/>
  <c r="AI4" i="11"/>
  <c r="AF30" i="11"/>
  <c r="AG1" i="11"/>
  <c r="AG81" i="11"/>
  <c r="J17" i="3"/>
  <c r="AH28" i="11" l="1"/>
  <c r="AH30" i="11" s="1"/>
  <c r="AH14" i="11"/>
  <c r="AO11" i="13"/>
  <c r="AN53" i="13"/>
  <c r="AI17" i="18"/>
  <c r="AM10" i="13"/>
  <c r="AG83" i="11"/>
  <c r="AH81" i="11"/>
  <c r="AH83" i="11" s="1"/>
  <c r="AH1" i="11"/>
  <c r="AJ4" i="11"/>
  <c r="AI2" i="11"/>
  <c r="T64" i="11"/>
  <c r="AI28" i="11" l="1"/>
  <c r="AI14" i="11"/>
  <c r="AP11" i="13"/>
  <c r="AO53" i="13"/>
  <c r="AJ17" i="18"/>
  <c r="AN10" i="13"/>
  <c r="AJ2" i="11"/>
  <c r="AK4" i="11"/>
  <c r="AI1" i="11"/>
  <c r="AI81" i="11"/>
  <c r="AI83" i="11" s="1"/>
  <c r="AJ28" i="11" l="1"/>
  <c r="AJ30" i="11" s="1"/>
  <c r="AJ14" i="11"/>
  <c r="AP53" i="13"/>
  <c r="AQ11" i="13"/>
  <c r="AK17" i="18"/>
  <c r="AO10" i="13"/>
  <c r="AI30" i="11"/>
  <c r="AL4" i="11"/>
  <c r="AK2" i="11"/>
  <c r="AJ81" i="11"/>
  <c r="AJ1" i="11"/>
  <c r="J18" i="3"/>
  <c r="AK28" i="11" l="1"/>
  <c r="AK30" i="11" s="1"/>
  <c r="AK14" i="11"/>
  <c r="AR11" i="13"/>
  <c r="AQ53" i="13"/>
  <c r="AL17" i="18"/>
  <c r="AP10" i="13"/>
  <c r="AJ83" i="11"/>
  <c r="AK81" i="11"/>
  <c r="AK83" i="11" s="1"/>
  <c r="AK1" i="11"/>
  <c r="AL2" i="11"/>
  <c r="AM4" i="11"/>
  <c r="U64" i="11"/>
  <c r="AL28" i="11" l="1"/>
  <c r="AL30" i="11" s="1"/>
  <c r="AL14" i="11"/>
  <c r="AR53" i="13"/>
  <c r="AS11" i="13"/>
  <c r="AM17" i="18"/>
  <c r="AQ10" i="13"/>
  <c r="AL81" i="11"/>
  <c r="AL83" i="11" s="1"/>
  <c r="AL1" i="11"/>
  <c r="AM2" i="11"/>
  <c r="AN4" i="11"/>
  <c r="AM28" i="11" l="1"/>
  <c r="AM30" i="11" s="1"/>
  <c r="AM14" i="11"/>
  <c r="AS53" i="13"/>
  <c r="AT11" i="13"/>
  <c r="AN17" i="18"/>
  <c r="AR10" i="13"/>
  <c r="AM81" i="11"/>
  <c r="AM83" i="11" s="1"/>
  <c r="AM1" i="11"/>
  <c r="AO4" i="11"/>
  <c r="AN2" i="11"/>
  <c r="J19" i="3"/>
  <c r="AN28" i="11" l="1"/>
  <c r="AN30" i="11" s="1"/>
  <c r="AN14" i="11"/>
  <c r="AT53" i="13"/>
  <c r="AU11" i="13"/>
  <c r="AO17" i="18"/>
  <c r="AS10" i="13"/>
  <c r="AN81" i="11"/>
  <c r="AN83" i="11" s="1"/>
  <c r="AN1" i="11"/>
  <c r="AO2" i="11"/>
  <c r="AQ4" i="11"/>
  <c r="V64" i="11"/>
  <c r="AO28" i="11" l="1"/>
  <c r="AO14" i="11"/>
  <c r="AP14" i="11" s="1"/>
  <c r="AU53" i="13"/>
  <c r="AV11" i="13"/>
  <c r="AT10" i="13"/>
  <c r="AP17" i="18"/>
  <c r="AR4" i="11"/>
  <c r="AQ2" i="11"/>
  <c r="AO1" i="11"/>
  <c r="AO81" i="11"/>
  <c r="AQ28" i="11" l="1"/>
  <c r="AQ14" i="11"/>
  <c r="X4" i="16"/>
  <c r="AV53" i="13"/>
  <c r="AW11" i="13"/>
  <c r="AU10" i="13"/>
  <c r="AQ17" i="18"/>
  <c r="AO30" i="11"/>
  <c r="K6" i="22" s="1"/>
  <c r="AP28" i="11"/>
  <c r="AO83" i="11"/>
  <c r="AP81" i="11"/>
  <c r="AQ81" i="11"/>
  <c r="AQ1" i="11"/>
  <c r="AR2" i="11"/>
  <c r="AS4" i="11"/>
  <c r="J20" i="3"/>
  <c r="AR28" i="11" l="1"/>
  <c r="AR30" i="11" s="1"/>
  <c r="AR14" i="11"/>
  <c r="T5" i="16"/>
  <c r="T7" i="16" s="1"/>
  <c r="AD8" i="5" s="1"/>
  <c r="X5" i="16"/>
  <c r="X7" i="16" s="1"/>
  <c r="AW53" i="13"/>
  <c r="AX11" i="13"/>
  <c r="AP83" i="11"/>
  <c r="F23" i="20"/>
  <c r="F33" i="20" s="1"/>
  <c r="AP30" i="11"/>
  <c r="F4" i="12" s="1"/>
  <c r="E13" i="19"/>
  <c r="AV10" i="13"/>
  <c r="AR17" i="18"/>
  <c r="AT4" i="11"/>
  <c r="AS2" i="11"/>
  <c r="AR81" i="11"/>
  <c r="AR83" i="11" s="1"/>
  <c r="AR1" i="11"/>
  <c r="AQ30" i="11"/>
  <c r="AQ83" i="11"/>
  <c r="W64" i="11"/>
  <c r="AS28" i="11" l="1"/>
  <c r="AS14" i="11"/>
  <c r="AD15" i="5"/>
  <c r="AD17" i="5" s="1"/>
  <c r="AD10" i="5"/>
  <c r="AD12" i="5" s="1"/>
  <c r="AX53" i="13"/>
  <c r="AY11" i="13"/>
  <c r="E14" i="19"/>
  <c r="AW10" i="13"/>
  <c r="AS17" i="18"/>
  <c r="AS81" i="11"/>
  <c r="AS1" i="11"/>
  <c r="AT2" i="11"/>
  <c r="AU4" i="11"/>
  <c r="AT28" i="11" l="1"/>
  <c r="AT30" i="11" s="1"/>
  <c r="AT14" i="11"/>
  <c r="AD18" i="5"/>
  <c r="AD21" i="5" s="1"/>
  <c r="C9" i="3" s="1"/>
  <c r="AD34" i="5"/>
  <c r="AZ11" i="13"/>
  <c r="AY53" i="13"/>
  <c r="AX10" i="13"/>
  <c r="AT17" i="18"/>
  <c r="AT1" i="11"/>
  <c r="AT81" i="11"/>
  <c r="AT83" i="11" s="1"/>
  <c r="AS83" i="11"/>
  <c r="AS30" i="11"/>
  <c r="AV4" i="11"/>
  <c r="AU2" i="11"/>
  <c r="J21" i="3"/>
  <c r="AU28" i="11" l="1"/>
  <c r="AU30" i="11" s="1"/>
  <c r="AU14" i="11"/>
  <c r="K8" i="7"/>
  <c r="C15" i="3"/>
  <c r="AD23" i="5" s="1"/>
  <c r="BA11" i="13"/>
  <c r="AZ53" i="13"/>
  <c r="AY10" i="13"/>
  <c r="AU17" i="18"/>
  <c r="AU1" i="11"/>
  <c r="AU81" i="11"/>
  <c r="AU83" i="11" s="1"/>
  <c r="AV2" i="11"/>
  <c r="AW4" i="11"/>
  <c r="X64" i="11"/>
  <c r="AV28" i="11" l="1"/>
  <c r="AV14" i="11"/>
  <c r="BA53" i="13"/>
  <c r="BB11" i="13"/>
  <c r="AZ10" i="13"/>
  <c r="AV17" i="18"/>
  <c r="AW2" i="11"/>
  <c r="AX4" i="11"/>
  <c r="AV1" i="11"/>
  <c r="AV81" i="11"/>
  <c r="AW28" i="11" l="1"/>
  <c r="AW30" i="11" s="1"/>
  <c r="AW14" i="11"/>
  <c r="BB53" i="13"/>
  <c r="BC11" i="13"/>
  <c r="BA10" i="13"/>
  <c r="AW17" i="18"/>
  <c r="AV30" i="11"/>
  <c r="AV83" i="11"/>
  <c r="AX2" i="11"/>
  <c r="AY4" i="11"/>
  <c r="AW1" i="11"/>
  <c r="AW81" i="11"/>
  <c r="AW83" i="11" s="1"/>
  <c r="J22" i="3"/>
  <c r="AX28" i="11" l="1"/>
  <c r="AX30" i="11" s="1"/>
  <c r="AX14" i="11"/>
  <c r="BD11" i="13"/>
  <c r="BC53" i="13"/>
  <c r="BB10" i="13"/>
  <c r="AX17" i="18"/>
  <c r="AX81" i="11"/>
  <c r="AX83" i="11" s="1"/>
  <c r="AX1" i="11"/>
  <c r="AY2" i="11"/>
  <c r="AZ4" i="11"/>
  <c r="Y64" i="11"/>
  <c r="AY28" i="11" l="1"/>
  <c r="AY30" i="11" s="1"/>
  <c r="AY14" i="11"/>
  <c r="BE11" i="13"/>
  <c r="BD53" i="13"/>
  <c r="AY17" i="18"/>
  <c r="BC10" i="13"/>
  <c r="AY81" i="11"/>
  <c r="AY83" i="11" s="1"/>
  <c r="AY1" i="11"/>
  <c r="BA4" i="11"/>
  <c r="AZ2" i="11"/>
  <c r="AZ28" i="11" l="1"/>
  <c r="AZ30" i="11" s="1"/>
  <c r="AZ14" i="11"/>
  <c r="BF11" i="13"/>
  <c r="BE53" i="13"/>
  <c r="AZ17" i="18"/>
  <c r="BD10" i="13"/>
  <c r="AZ1" i="11"/>
  <c r="AZ81" i="11"/>
  <c r="AZ83" i="11" s="1"/>
  <c r="BA2" i="11"/>
  <c r="BB4" i="11"/>
  <c r="BB2" i="11" s="1"/>
  <c r="J23" i="3"/>
  <c r="BB28" i="11" l="1"/>
  <c r="BB14" i="11"/>
  <c r="BA28" i="11"/>
  <c r="BA30" i="11" s="1"/>
  <c r="BA14" i="11"/>
  <c r="BG11" i="13"/>
  <c r="BF53" i="13"/>
  <c r="BA17" i="18"/>
  <c r="BE10" i="13"/>
  <c r="BA1" i="11"/>
  <c r="BA81" i="11"/>
  <c r="BA83" i="11" s="1"/>
  <c r="BB1" i="11"/>
  <c r="BB81" i="11"/>
  <c r="BD81" i="11"/>
  <c r="BD14" i="11"/>
  <c r="Z64" i="11"/>
  <c r="BH11" i="13" l="1"/>
  <c r="BG53" i="13"/>
  <c r="BC14" i="11"/>
  <c r="BB17" i="18"/>
  <c r="BF10" i="13"/>
  <c r="BP14" i="11"/>
  <c r="BB30" i="11"/>
  <c r="BC28" i="11"/>
  <c r="BD83" i="11"/>
  <c r="BP81" i="11"/>
  <c r="BB83" i="11"/>
  <c r="BC81" i="11"/>
  <c r="BI11" i="13" l="1"/>
  <c r="BH53" i="13"/>
  <c r="BC83" i="11"/>
  <c r="BP83" i="11"/>
  <c r="BC30" i="11"/>
  <c r="G4" i="12" s="1"/>
  <c r="F13" i="19"/>
  <c r="BC17" i="18"/>
  <c r="BG10" i="13"/>
  <c r="J24" i="3"/>
  <c r="BJ11" i="13" l="1"/>
  <c r="BI53" i="13"/>
  <c r="F14" i="19"/>
  <c r="BD17" i="18"/>
  <c r="BH10" i="13"/>
  <c r="AA64" i="11"/>
  <c r="BK11" i="13" l="1"/>
  <c r="BJ53" i="13"/>
  <c r="BE17" i="18"/>
  <c r="BI10" i="13"/>
  <c r="BK53" i="13" l="1"/>
  <c r="BL11" i="13"/>
  <c r="BF17" i="18"/>
  <c r="BJ10" i="13"/>
  <c r="J25" i="3"/>
  <c r="BL53" i="13" l="1"/>
  <c r="BM11" i="13"/>
  <c r="BG17" i="18"/>
  <c r="BK10" i="13"/>
  <c r="AB64" i="11"/>
  <c r="BM53" i="13" l="1"/>
  <c r="BN11" i="13"/>
  <c r="BH17" i="18"/>
  <c r="BL10" i="13"/>
  <c r="BN53" i="13" l="1"/>
  <c r="BO11" i="13"/>
  <c r="BI17" i="18"/>
  <c r="BM10" i="13"/>
  <c r="J26" i="3"/>
  <c r="BO53" i="13" l="1"/>
  <c r="BP11" i="13"/>
  <c r="BN10" i="13"/>
  <c r="BJ17" i="18"/>
  <c r="AD64" i="11"/>
  <c r="BP53" i="13" l="1"/>
  <c r="BQ11" i="13"/>
  <c r="BO10" i="13"/>
  <c r="BK17" i="18"/>
  <c r="BQ53" i="13" l="1"/>
  <c r="BR11" i="13"/>
  <c r="BP10" i="13"/>
  <c r="BL17" i="18"/>
  <c r="J27" i="3"/>
  <c r="BR53" i="13" l="1"/>
  <c r="BS11" i="13"/>
  <c r="BQ10" i="13"/>
  <c r="BM17" i="18"/>
  <c r="AE64" i="11"/>
  <c r="BT11" i="13" l="1"/>
  <c r="BS53" i="13"/>
  <c r="BR10" i="13"/>
  <c r="BN17" i="18"/>
  <c r="BU11" i="13" l="1"/>
  <c r="BT53" i="13"/>
  <c r="BS10" i="13"/>
  <c r="BO17" i="18"/>
  <c r="J28" i="3"/>
  <c r="BU53" i="13" l="1"/>
  <c r="BV11" i="13"/>
  <c r="BT10" i="13"/>
  <c r="BP17" i="18"/>
  <c r="AF64" i="11"/>
  <c r="BW11" i="13" l="1"/>
  <c r="BV53" i="13"/>
  <c r="BU10" i="13"/>
  <c r="BQ17" i="18"/>
  <c r="BX11" i="13" l="1"/>
  <c r="BW53" i="13"/>
  <c r="BV10" i="13"/>
  <c r="BR17" i="18"/>
  <c r="J29" i="3"/>
  <c r="BY11" i="13" l="1"/>
  <c r="BX53" i="13"/>
  <c r="BS17" i="18"/>
  <c r="BW10" i="13"/>
  <c r="AG64" i="11"/>
  <c r="BZ11" i="13" l="1"/>
  <c r="BY53" i="13"/>
  <c r="BT17" i="18"/>
  <c r="BX10" i="13"/>
  <c r="CA11" i="13" l="1"/>
  <c r="BZ53" i="13"/>
  <c r="BU17" i="18"/>
  <c r="BY10" i="13"/>
  <c r="J30" i="3"/>
  <c r="CB11" i="13" l="1"/>
  <c r="CA53" i="13"/>
  <c r="BV17" i="18"/>
  <c r="BZ10" i="13"/>
  <c r="AH64" i="11"/>
  <c r="CC11" i="13" l="1"/>
  <c r="CB53" i="13"/>
  <c r="BW17" i="18"/>
  <c r="CA10" i="13"/>
  <c r="CD11" i="13" l="1"/>
  <c r="CC53" i="13"/>
  <c r="BX17" i="18"/>
  <c r="CB10" i="13"/>
  <c r="J31" i="3"/>
  <c r="CE11" i="13" l="1"/>
  <c r="CD53" i="13"/>
  <c r="BY17" i="18"/>
  <c r="CC10" i="13"/>
  <c r="AI64" i="11"/>
  <c r="CE53" i="13" l="1"/>
  <c r="CF11" i="13"/>
  <c r="BZ17" i="18"/>
  <c r="CD10" i="13"/>
  <c r="CF53" i="13" l="1"/>
  <c r="CG11" i="13"/>
  <c r="CA17" i="18"/>
  <c r="CE10" i="13"/>
  <c r="J32" i="3"/>
  <c r="CG53" i="13" l="1"/>
  <c r="CH11" i="13"/>
  <c r="CB17" i="18"/>
  <c r="CF10" i="13"/>
  <c r="AJ64" i="11"/>
  <c r="CH53" i="13" l="1"/>
  <c r="CI11" i="13"/>
  <c r="CC17" i="18"/>
  <c r="CG10" i="13"/>
  <c r="CI53" i="13" l="1"/>
  <c r="CJ11" i="13"/>
  <c r="CH10" i="13"/>
  <c r="CD17" i="18"/>
  <c r="J33" i="3"/>
  <c r="CJ53" i="13" l="1"/>
  <c r="CK11" i="13"/>
  <c r="CI10" i="13"/>
  <c r="CE17" i="18"/>
  <c r="AK64" i="11"/>
  <c r="CK53" i="13" l="1"/>
  <c r="CL11" i="13"/>
  <c r="CJ10" i="13"/>
  <c r="CF17" i="18"/>
  <c r="CL53" i="13" l="1"/>
  <c r="CM11" i="13"/>
  <c r="CK10" i="13"/>
  <c r="CG17" i="18"/>
  <c r="J34" i="3"/>
  <c r="CN11" i="13" l="1"/>
  <c r="CN53" i="13" s="1"/>
  <c r="CM53" i="13"/>
  <c r="CL10" i="13"/>
  <c r="CH17" i="18"/>
  <c r="AL64" i="11"/>
  <c r="CM10" i="13" l="1"/>
  <c r="CI17" i="18"/>
  <c r="CN10" i="13" s="1"/>
  <c r="J35" i="3" l="1"/>
  <c r="AM64" i="11" l="1"/>
  <c r="J36" i="3" l="1"/>
  <c r="AN64" i="11" l="1"/>
  <c r="W14" i="18" l="1"/>
  <c r="AC14" i="18" l="1"/>
  <c r="BK13" i="18" l="1"/>
  <c r="BK38" i="18"/>
  <c r="BA14" i="18" l="1"/>
  <c r="BU39" i="18" l="1"/>
  <c r="V61" i="3" l="1"/>
  <c r="V63" i="3" l="1"/>
  <c r="BM38" i="18" l="1"/>
  <c r="BM13" i="18"/>
  <c r="V13" i="3" l="1"/>
  <c r="O13" i="18" l="1"/>
  <c r="O38" i="18"/>
  <c r="V11" i="3" l="1"/>
  <c r="M38" i="18" l="1"/>
  <c r="M13" i="18"/>
  <c r="V10" i="3" l="1"/>
  <c r="V5" i="3"/>
  <c r="V12" i="3"/>
  <c r="G38" i="18" l="1"/>
  <c r="G13" i="18"/>
  <c r="L13" i="18"/>
  <c r="L38" i="18"/>
  <c r="N13" i="18"/>
  <c r="N38" i="18"/>
  <c r="V6" i="3" l="1"/>
  <c r="H38" i="18" l="1"/>
  <c r="H13" i="18"/>
  <c r="CE14" i="18" l="1"/>
  <c r="CG14" i="18" l="1"/>
  <c r="BW14" i="18" l="1"/>
  <c r="V7" i="3" l="1"/>
  <c r="I13" i="18" l="1"/>
  <c r="D18" i="20" s="1"/>
  <c r="I38" i="18"/>
  <c r="AT7" i="18" l="1"/>
  <c r="AW93" i="11"/>
  <c r="AT18" i="18" l="1"/>
  <c r="AU7" i="18"/>
  <c r="AU18" i="18" s="1"/>
  <c r="AX93" i="11"/>
  <c r="AZ17" i="13" l="1"/>
  <c r="AZ16" i="13"/>
  <c r="AY17" i="13"/>
  <c r="AY16" i="13"/>
  <c r="AY21" i="13" l="1"/>
  <c r="AY62" i="13"/>
  <c r="AZ21" i="13"/>
  <c r="AZ62" i="13"/>
  <c r="AZ69" i="13"/>
  <c r="AZ55" i="13"/>
  <c r="AY55" i="13"/>
  <c r="AY69" i="13"/>
  <c r="AY34" i="13" l="1"/>
  <c r="AZ34" i="13"/>
  <c r="AV7" i="18" l="1"/>
  <c r="AY93" i="11"/>
  <c r="AW7" i="18" l="1"/>
  <c r="AW18" i="18" s="1"/>
  <c r="AZ93" i="11"/>
  <c r="AV18" i="18"/>
  <c r="BB17" i="13" l="1"/>
  <c r="BB16" i="13"/>
  <c r="BA17" i="13"/>
  <c r="BA16" i="13"/>
  <c r="BA55" i="13" l="1"/>
  <c r="BA69" i="13"/>
  <c r="BA21" i="13"/>
  <c r="BA62" i="13"/>
  <c r="BB55" i="13"/>
  <c r="BB69" i="13"/>
  <c r="BB21" i="13"/>
  <c r="BB62" i="13"/>
  <c r="BA34" i="13" l="1"/>
  <c r="BB34" i="13"/>
  <c r="AX7" i="18" l="1"/>
  <c r="BA93" i="11"/>
  <c r="AX18" i="18" l="1"/>
  <c r="AY7" i="18"/>
  <c r="AY18" i="18" s="1"/>
  <c r="BB93" i="11"/>
  <c r="BC17" i="13" l="1"/>
  <c r="BC16" i="13"/>
  <c r="BD17" i="13"/>
  <c r="BD16" i="13"/>
  <c r="BC69" i="13" l="1"/>
  <c r="BC55" i="13"/>
  <c r="BD55" i="13"/>
  <c r="BD69" i="13"/>
  <c r="BC21" i="13"/>
  <c r="BC62" i="13"/>
  <c r="BD21" i="13"/>
  <c r="BD62" i="13"/>
  <c r="BD34" i="13" l="1"/>
  <c r="BC34" i="13"/>
  <c r="AZ7" i="18" l="1"/>
  <c r="BD93" i="11"/>
  <c r="AZ18" i="18" l="1"/>
  <c r="BA7" i="18"/>
  <c r="BA18" i="18" s="1"/>
  <c r="BE93" i="11"/>
  <c r="BF17" i="13" l="1"/>
  <c r="BF16" i="13"/>
  <c r="BE17" i="13"/>
  <c r="BE16" i="13"/>
  <c r="BE21" i="13" l="1"/>
  <c r="BE62" i="13"/>
  <c r="BF21" i="13"/>
  <c r="BF62" i="13"/>
  <c r="BE55" i="13"/>
  <c r="BE69" i="13"/>
  <c r="BF55" i="13"/>
  <c r="BF69" i="13"/>
  <c r="BF34" i="13" l="1"/>
  <c r="BE34" i="13"/>
  <c r="BB7" i="18" l="1"/>
  <c r="BF93" i="11"/>
  <c r="BB18" i="18" l="1"/>
  <c r="BC7" i="18"/>
  <c r="BC18" i="18" s="1"/>
  <c r="BG93" i="11"/>
  <c r="BH17" i="13" l="1"/>
  <c r="BH16" i="13"/>
  <c r="BG17" i="13"/>
  <c r="BG16" i="13"/>
  <c r="BG55" i="13" l="1"/>
  <c r="BG69" i="13"/>
  <c r="BG21" i="13"/>
  <c r="BG62" i="13"/>
  <c r="BH55" i="13"/>
  <c r="BH69" i="13"/>
  <c r="BH21" i="13"/>
  <c r="BH62" i="13"/>
  <c r="BG34" i="13" l="1"/>
  <c r="BH34" i="13"/>
  <c r="BD7" i="18" l="1"/>
  <c r="BH93" i="11"/>
  <c r="BD18" i="18" l="1"/>
  <c r="BE7" i="18"/>
  <c r="BE18" i="18" s="1"/>
  <c r="BI93" i="11"/>
  <c r="BI16" i="13" l="1"/>
  <c r="BI17" i="13"/>
  <c r="BJ17" i="13"/>
  <c r="BJ16" i="13"/>
  <c r="BI21" i="13" l="1"/>
  <c r="BI62" i="13"/>
  <c r="BJ55" i="13"/>
  <c r="BJ69" i="13"/>
  <c r="BJ21" i="13"/>
  <c r="BJ62" i="13"/>
  <c r="BI55" i="13"/>
  <c r="BI69" i="13"/>
  <c r="BI34" i="13" l="1"/>
  <c r="BJ34" i="13"/>
  <c r="BF7" i="18" l="1"/>
  <c r="BJ93" i="11"/>
  <c r="BF18" i="18" l="1"/>
  <c r="BK17" i="13" l="1"/>
  <c r="BK16" i="13"/>
  <c r="BG7" i="18"/>
  <c r="BG18" i="18" s="1"/>
  <c r="BK93" i="11"/>
  <c r="BL17" i="13" l="1"/>
  <c r="BL16" i="13"/>
  <c r="BK21" i="13"/>
  <c r="BK62" i="13"/>
  <c r="BK55" i="13"/>
  <c r="BK69" i="13"/>
  <c r="BK34" i="13" l="1"/>
  <c r="BL69" i="13"/>
  <c r="BL55" i="13"/>
  <c r="BL21" i="13"/>
  <c r="BL62" i="13"/>
  <c r="BL34" i="13" l="1"/>
  <c r="BH7" i="18"/>
  <c r="BL93" i="11"/>
  <c r="BH18" i="18" l="1"/>
  <c r="BI7" i="18" l="1"/>
  <c r="BI18" i="18" s="1"/>
  <c r="BM93" i="11"/>
  <c r="BM17" i="13"/>
  <c r="BM16" i="13"/>
  <c r="BM21" i="13" l="1"/>
  <c r="BM62" i="13"/>
  <c r="BN17" i="13"/>
  <c r="BN16" i="13"/>
  <c r="BM55" i="13"/>
  <c r="BM69" i="13"/>
  <c r="BN21" i="13" l="1"/>
  <c r="BN62" i="13"/>
  <c r="BM34" i="13"/>
  <c r="BN55" i="13"/>
  <c r="BN69" i="13"/>
  <c r="BJ7" i="18" l="1"/>
  <c r="BN93" i="11"/>
  <c r="BN34" i="13"/>
  <c r="BK7" i="18" l="1"/>
  <c r="BK18" i="18" s="1"/>
  <c r="BO93" i="11"/>
  <c r="BJ18" i="18"/>
  <c r="BP17" i="13" l="1"/>
  <c r="BP16" i="13"/>
  <c r="BO17" i="13"/>
  <c r="BO16" i="13"/>
  <c r="BO55" i="13" l="1"/>
  <c r="BO69" i="13"/>
  <c r="BP55" i="13"/>
  <c r="BP69" i="13"/>
  <c r="BO21" i="13"/>
  <c r="BO62" i="13"/>
  <c r="BP21" i="13"/>
  <c r="BP62" i="13"/>
  <c r="BP34" i="13" l="1"/>
  <c r="BO34" i="13"/>
  <c r="BL7" i="18" l="1"/>
  <c r="BQ93" i="11"/>
  <c r="BL18" i="18" l="1"/>
  <c r="BM7" i="18"/>
  <c r="BM18" i="18" s="1"/>
  <c r="BR93" i="11"/>
  <c r="BR17" i="13" l="1"/>
  <c r="BR16" i="13"/>
  <c r="BQ16" i="13"/>
  <c r="BQ17" i="13"/>
  <c r="BQ21" i="13" l="1"/>
  <c r="BQ62" i="13"/>
  <c r="BR55" i="13"/>
  <c r="BR69" i="13"/>
  <c r="BQ55" i="13"/>
  <c r="BQ69" i="13"/>
  <c r="BR21" i="13"/>
  <c r="BR62" i="13"/>
  <c r="BR34" i="13" l="1"/>
  <c r="BQ34" i="13"/>
  <c r="BS93" i="11" l="1"/>
  <c r="BN7" i="18"/>
  <c r="BO7" i="18" l="1"/>
  <c r="BO18" i="18" s="1"/>
  <c r="BT93" i="11"/>
  <c r="BN18" i="18"/>
  <c r="BS16" i="13" l="1"/>
  <c r="BS17" i="13"/>
  <c r="BT17" i="13"/>
  <c r="BT16" i="13"/>
  <c r="BS69" i="13" l="1"/>
  <c r="BS55" i="13"/>
  <c r="BS62" i="13"/>
  <c r="BS21" i="13"/>
  <c r="BT69" i="13"/>
  <c r="BT55" i="13"/>
  <c r="BT62" i="13"/>
  <c r="BT21" i="13"/>
  <c r="BP7" i="18" l="1"/>
  <c r="BU93" i="11"/>
  <c r="BS34" i="13"/>
  <c r="BT34" i="13"/>
  <c r="BQ7" i="18" l="1"/>
  <c r="BQ18" i="18" s="1"/>
  <c r="BV93" i="11"/>
  <c r="BP18" i="18"/>
  <c r="BV16" i="13" l="1"/>
  <c r="BV17" i="13"/>
  <c r="BU16" i="13"/>
  <c r="BU17" i="13"/>
  <c r="BV55" i="13" l="1"/>
  <c r="BV69" i="13"/>
  <c r="BU21" i="13"/>
  <c r="BU62" i="13"/>
  <c r="BV62" i="13"/>
  <c r="BV21" i="13"/>
  <c r="BU55" i="13"/>
  <c r="BU69" i="13"/>
  <c r="BR7" i="18" l="1"/>
  <c r="BW93" i="11"/>
  <c r="BV34" i="13"/>
  <c r="BU34" i="13"/>
  <c r="BS7" i="18" l="1"/>
  <c r="BS18" i="18" s="1"/>
  <c r="BX93" i="11"/>
  <c r="BR18" i="18"/>
  <c r="BW16" i="13" l="1"/>
  <c r="BW17" i="13"/>
  <c r="BX17" i="13"/>
  <c r="BX16" i="13"/>
  <c r="BX55" i="13" l="1"/>
  <c r="BX69" i="13"/>
  <c r="BX62" i="13"/>
  <c r="BX21" i="13"/>
  <c r="BW62" i="13"/>
  <c r="BW21" i="13"/>
  <c r="BW55" i="13"/>
  <c r="BW69" i="13"/>
  <c r="BX34" i="13" l="1"/>
  <c r="BW34" i="13"/>
  <c r="BT7" i="18"/>
  <c r="BY93" i="11"/>
  <c r="BU7" i="18" l="1"/>
  <c r="BU18" i="18" s="1"/>
  <c r="BZ93" i="11"/>
  <c r="BT18" i="18"/>
  <c r="BZ17" i="13" l="1"/>
  <c r="BZ16" i="13"/>
  <c r="BY17" i="13"/>
  <c r="BY16" i="13"/>
  <c r="BY62" i="13" l="1"/>
  <c r="BY21" i="13"/>
  <c r="BY69" i="13"/>
  <c r="BY55" i="13"/>
  <c r="BZ55" i="13"/>
  <c r="BZ69" i="13"/>
  <c r="BZ62" i="13"/>
  <c r="BZ21" i="13"/>
  <c r="BZ34" i="13" l="1"/>
  <c r="BY34" i="13"/>
  <c r="CA93" i="11" l="1"/>
  <c r="BV7" i="18"/>
  <c r="BV18" i="18" l="1"/>
  <c r="BW7" i="18"/>
  <c r="BW18" i="18" s="1"/>
  <c r="CB93" i="11"/>
  <c r="CB16" i="13" l="1"/>
  <c r="CB17" i="13"/>
  <c r="CA17" i="13"/>
  <c r="CA16" i="13"/>
  <c r="CA55" i="13" l="1"/>
  <c r="CA69" i="13"/>
  <c r="CA21" i="13"/>
  <c r="CA62" i="13"/>
  <c r="CB62" i="13"/>
  <c r="CB21" i="13"/>
  <c r="CB69" i="13"/>
  <c r="CB55" i="13"/>
  <c r="CA34" i="13" l="1"/>
  <c r="CB34" i="13"/>
  <c r="CD93" i="11" l="1"/>
  <c r="BX7" i="18"/>
  <c r="BX18" i="18" l="1"/>
  <c r="CE93" i="11"/>
  <c r="BY7" i="18"/>
  <c r="BY18" i="18" s="1"/>
  <c r="CD16" i="13" l="1"/>
  <c r="CD17" i="13"/>
  <c r="CC16" i="13"/>
  <c r="CC17" i="13"/>
  <c r="CC62" i="13" l="1"/>
  <c r="CC21" i="13"/>
  <c r="CC55" i="13"/>
  <c r="CC69" i="13"/>
  <c r="CD21" i="13"/>
  <c r="CD62" i="13"/>
  <c r="CD55" i="13"/>
  <c r="CD69" i="13"/>
  <c r="CD34" i="13" l="1"/>
  <c r="CC34" i="13"/>
  <c r="CF93" i="11" l="1"/>
  <c r="BZ7" i="18"/>
  <c r="BZ18" i="18" l="1"/>
  <c r="CG93" i="11"/>
  <c r="CA7" i="18"/>
  <c r="CA18" i="18" s="1"/>
  <c r="CF17" i="13" l="1"/>
  <c r="CF16" i="13"/>
  <c r="CE17" i="13"/>
  <c r="CE16" i="13"/>
  <c r="CF21" i="13" l="1"/>
  <c r="CF62" i="13"/>
  <c r="CE69" i="13"/>
  <c r="CE55" i="13"/>
  <c r="CE21" i="13"/>
  <c r="CE62" i="13"/>
  <c r="CF69" i="13"/>
  <c r="CF55" i="13"/>
  <c r="CE34" i="13" l="1"/>
  <c r="CF34" i="13"/>
  <c r="CH93" i="11" l="1"/>
  <c r="CB7" i="18"/>
  <c r="CB18" i="18" l="1"/>
  <c r="CG16" i="13" l="1"/>
  <c r="CG17" i="13"/>
  <c r="CC7" i="18"/>
  <c r="CC18" i="18" s="1"/>
  <c r="CI93" i="11"/>
  <c r="CH16" i="13" l="1"/>
  <c r="CH17" i="13"/>
  <c r="CG21" i="13"/>
  <c r="CG62" i="13"/>
  <c r="CG55" i="13"/>
  <c r="CG69" i="13"/>
  <c r="CG34" i="13" l="1"/>
  <c r="CH62" i="13"/>
  <c r="CH21" i="13"/>
  <c r="CH55" i="13"/>
  <c r="CH69" i="13"/>
  <c r="CH34" i="13" l="1"/>
  <c r="CJ93" i="11"/>
  <c r="CD7" i="18"/>
  <c r="CD18" i="18" l="1"/>
  <c r="CI16" i="13" l="1"/>
  <c r="CI17" i="13"/>
  <c r="CK93" i="11"/>
  <c r="CE7" i="18"/>
  <c r="CE18" i="18" s="1"/>
  <c r="CI69" i="13" l="1"/>
  <c r="CI55" i="13"/>
  <c r="CJ17" i="13"/>
  <c r="CJ16" i="13"/>
  <c r="CI21" i="13"/>
  <c r="CI62" i="13"/>
  <c r="CJ55" i="13" l="1"/>
  <c r="CJ69" i="13"/>
  <c r="CI34" i="13"/>
  <c r="CJ62" i="13"/>
  <c r="CJ21" i="13"/>
  <c r="CJ34" i="13" l="1"/>
  <c r="CL93" i="11"/>
  <c r="CF7" i="18"/>
  <c r="CF18" i="18" l="1"/>
  <c r="CK17" i="13" l="1"/>
  <c r="CK16" i="13"/>
  <c r="CM93" i="11"/>
  <c r="CG7" i="18"/>
  <c r="CG18" i="18" s="1"/>
  <c r="CL16" i="13" l="1"/>
  <c r="CL17" i="13"/>
  <c r="CK55" i="13"/>
  <c r="CK69" i="13"/>
  <c r="CK62" i="13"/>
  <c r="CK21" i="13"/>
  <c r="CK34" i="13" l="1"/>
  <c r="CL21" i="13"/>
  <c r="CL62" i="13"/>
  <c r="CL55" i="13"/>
  <c r="CL69" i="13"/>
  <c r="CL34" i="13" l="1"/>
  <c r="CN93" i="11"/>
  <c r="CH7" i="18"/>
  <c r="CH18" i="18" l="1"/>
  <c r="CI7" i="18" l="1"/>
  <c r="CI18" i="18" s="1"/>
  <c r="CO93" i="11"/>
  <c r="CM17" i="13"/>
  <c r="CM16" i="13"/>
  <c r="CM21" i="13" l="1"/>
  <c r="CM62" i="13"/>
  <c r="CN17" i="13"/>
  <c r="CN16" i="13"/>
  <c r="CM55" i="13"/>
  <c r="CM69" i="13"/>
  <c r="CN69" i="13" l="1"/>
  <c r="CN55" i="13"/>
  <c r="CN21" i="13"/>
  <c r="CN62" i="13"/>
  <c r="CM34" i="13"/>
  <c r="CI12" i="18" l="1"/>
  <c r="CN34" i="13"/>
  <c r="BM14" i="18" l="1"/>
  <c r="CI14" i="18" l="1"/>
  <c r="CI15" i="18" s="1"/>
  <c r="CI58" i="18" s="1"/>
  <c r="CI59" i="18" s="1"/>
  <c r="CI55" i="18" l="1"/>
  <c r="CI56" i="18" s="1"/>
  <c r="CI52" i="18"/>
  <c r="CI53" i="18" s="1"/>
  <c r="CI19" i="18"/>
  <c r="CI61" i="18"/>
  <c r="CI62" i="18" s="1"/>
  <c r="CN56" i="13" l="1"/>
  <c r="CI20" i="18"/>
  <c r="CN13" i="13" s="1"/>
  <c r="CN29" i="13" s="1"/>
  <c r="CN37" i="13" l="1"/>
  <c r="CN23" i="13"/>
  <c r="CN57" i="13"/>
  <c r="CN81" i="13" l="1"/>
  <c r="CN26" i="13"/>
  <c r="CN27" i="13"/>
  <c r="CN36" i="13"/>
  <c r="CN82" i="13" s="1"/>
  <c r="CN40" i="13"/>
  <c r="CN41" i="13"/>
  <c r="CN42" i="13"/>
  <c r="CN44" i="13" l="1"/>
  <c r="CN49" i="13" l="1"/>
  <c r="CN71" i="13" s="1"/>
  <c r="CN47" i="13"/>
  <c r="CN63" i="13" s="1"/>
  <c r="CN64" i="13" s="1"/>
  <c r="CN48" i="13"/>
  <c r="CN70" i="13" s="1"/>
  <c r="CN72" i="13" l="1"/>
  <c r="CN76" i="13" s="1"/>
  <c r="CN51" i="13"/>
  <c r="BO14" i="18" l="1"/>
  <c r="J14" i="3" l="1"/>
  <c r="Q64" i="11" s="1"/>
  <c r="AC64" i="11" s="1"/>
  <c r="E19" i="12" s="1"/>
  <c r="AD24" i="5" l="1"/>
  <c r="E18" i="10" l="1"/>
  <c r="J22" i="7" s="1"/>
  <c r="E19" i="10"/>
  <c r="C12" i="11" s="1"/>
  <c r="AX12" i="11" l="1"/>
  <c r="AX15" i="11" s="1"/>
  <c r="J21" i="7"/>
  <c r="J20" i="7"/>
  <c r="J19" i="7"/>
  <c r="C13" i="11"/>
  <c r="C18" i="11" s="1"/>
  <c r="C32" i="11" s="1"/>
  <c r="J5" i="22"/>
  <c r="J8" i="22" s="1"/>
  <c r="Z12" i="11"/>
  <c r="K19" i="10"/>
  <c r="BZ12" i="11"/>
  <c r="J24" i="7"/>
  <c r="K12" i="11"/>
  <c r="AE12" i="11"/>
  <c r="AY12" i="11"/>
  <c r="BS12" i="11"/>
  <c r="CM12" i="11"/>
  <c r="L12" i="11"/>
  <c r="AF12" i="11"/>
  <c r="AZ12" i="11"/>
  <c r="BT12" i="11"/>
  <c r="CN12" i="11"/>
  <c r="M12" i="11"/>
  <c r="AG12" i="11"/>
  <c r="BA12" i="11"/>
  <c r="BU12" i="11"/>
  <c r="CO12" i="11"/>
  <c r="O12" i="11"/>
  <c r="AI12" i="11"/>
  <c r="BW12" i="11"/>
  <c r="J12" i="11"/>
  <c r="AL12" i="11"/>
  <c r="BJ12" i="11"/>
  <c r="CH12" i="11"/>
  <c r="N12" i="11"/>
  <c r="AM12" i="11"/>
  <c r="BK12" i="11"/>
  <c r="CI12" i="11"/>
  <c r="AN12" i="11"/>
  <c r="BL12" i="11"/>
  <c r="CJ12" i="11"/>
  <c r="Q12" i="11"/>
  <c r="AO12" i="11"/>
  <c r="K5" i="22" s="1"/>
  <c r="K8" i="22" s="1"/>
  <c r="BM12" i="11"/>
  <c r="CK12" i="11"/>
  <c r="R12" i="11"/>
  <c r="BN12" i="11"/>
  <c r="CL12" i="11"/>
  <c r="S12" i="11"/>
  <c r="AQ12" i="11"/>
  <c r="BO12" i="11"/>
  <c r="T12" i="11"/>
  <c r="AR12" i="11"/>
  <c r="U12" i="11"/>
  <c r="AS12" i="11"/>
  <c r="BQ12" i="11"/>
  <c r="V12" i="11"/>
  <c r="AT12" i="11"/>
  <c r="BR12" i="11"/>
  <c r="W12" i="11"/>
  <c r="AU12" i="11"/>
  <c r="BV12" i="11"/>
  <c r="X12" i="11"/>
  <c r="AV12" i="11"/>
  <c r="BX12" i="11"/>
  <c r="Y12" i="11"/>
  <c r="AW12" i="11"/>
  <c r="BY12" i="11"/>
  <c r="AA12" i="11"/>
  <c r="BB12" i="11"/>
  <c r="CA12" i="11"/>
  <c r="D12" i="11"/>
  <c r="AB12" i="11"/>
  <c r="BD12" i="11"/>
  <c r="CB12" i="11"/>
  <c r="E12" i="11"/>
  <c r="BE12" i="11"/>
  <c r="F12" i="11"/>
  <c r="AD12" i="11"/>
  <c r="BF12" i="11"/>
  <c r="CD12" i="11"/>
  <c r="G12" i="11"/>
  <c r="AH12" i="11"/>
  <c r="BG12" i="11"/>
  <c r="CE12" i="11"/>
  <c r="H12" i="11"/>
  <c r="AJ12" i="11"/>
  <c r="BH12" i="11"/>
  <c r="CF12" i="11"/>
  <c r="I12" i="11"/>
  <c r="AK12" i="11"/>
  <c r="BI12" i="11"/>
  <c r="CG12" i="11"/>
  <c r="AX13" i="11" l="1"/>
  <c r="AX11" i="11"/>
  <c r="AX16" i="11"/>
  <c r="J7" i="22"/>
  <c r="J4" i="22"/>
  <c r="K7" i="22"/>
  <c r="K4" i="22"/>
  <c r="Z15" i="11"/>
  <c r="Z16" i="11"/>
  <c r="Z13" i="11"/>
  <c r="Z11" i="11"/>
  <c r="A32" i="11"/>
  <c r="C38" i="11"/>
  <c r="C40" i="11" s="1"/>
  <c r="C58" i="11" s="1"/>
  <c r="AX18" i="11"/>
  <c r="AX32" i="11" s="1"/>
  <c r="AX38" i="11" s="1"/>
  <c r="AX40" i="11" s="1"/>
  <c r="AX58" i="11" s="1"/>
  <c r="AX60" i="11" s="1"/>
  <c r="BS13" i="11"/>
  <c r="BS16" i="11"/>
  <c r="BS11" i="11"/>
  <c r="BS15" i="11"/>
  <c r="V13" i="11"/>
  <c r="V15" i="11"/>
  <c r="V11" i="11"/>
  <c r="V16" i="11"/>
  <c r="BD11" i="11"/>
  <c r="BD15" i="11"/>
  <c r="BP12" i="11"/>
  <c r="BD13" i="11"/>
  <c r="BD16" i="11"/>
  <c r="AB15" i="11"/>
  <c r="AB16" i="11"/>
  <c r="AB13" i="11"/>
  <c r="AB11" i="11"/>
  <c r="AL15" i="11"/>
  <c r="AL11" i="11"/>
  <c r="AL16" i="11"/>
  <c r="AL13" i="11"/>
  <c r="AI15" i="11"/>
  <c r="AI11" i="11"/>
  <c r="AI13" i="11"/>
  <c r="AI16" i="11"/>
  <c r="AE11" i="11"/>
  <c r="AE15" i="11"/>
  <c r="AE16" i="11"/>
  <c r="AE13" i="11"/>
  <c r="BE11" i="11"/>
  <c r="BE15" i="11"/>
  <c r="BE13" i="11"/>
  <c r="BE16" i="11"/>
  <c r="AY13" i="11"/>
  <c r="AY16" i="11"/>
  <c r="AY11" i="11"/>
  <c r="AY15" i="11"/>
  <c r="BO11" i="11"/>
  <c r="BO16" i="11"/>
  <c r="BO15" i="11"/>
  <c r="BO13" i="11"/>
  <c r="BK11" i="11"/>
  <c r="BK13" i="11"/>
  <c r="BK16" i="11"/>
  <c r="BK15" i="11"/>
  <c r="AS11" i="11"/>
  <c r="AS16" i="11"/>
  <c r="AS15" i="11"/>
  <c r="AS13" i="11"/>
  <c r="CG11" i="11"/>
  <c r="CG16" i="11"/>
  <c r="CG13" i="11"/>
  <c r="CG15" i="11"/>
  <c r="AR11" i="11"/>
  <c r="AR16" i="11"/>
  <c r="AR15" i="11"/>
  <c r="AR13" i="11"/>
  <c r="D11" i="11"/>
  <c r="D15" i="11"/>
  <c r="D16" i="11"/>
  <c r="P12" i="11"/>
  <c r="D13" i="11"/>
  <c r="AK15" i="11"/>
  <c r="AK11" i="11"/>
  <c r="AK16" i="11"/>
  <c r="AK13" i="11"/>
  <c r="BB11" i="11"/>
  <c r="BB15" i="11"/>
  <c r="BB13" i="11"/>
  <c r="BB16" i="11"/>
  <c r="CF11" i="11"/>
  <c r="CF16" i="11"/>
  <c r="CF13" i="11"/>
  <c r="CF15" i="11"/>
  <c r="BY15" i="11"/>
  <c r="BY13" i="11"/>
  <c r="BY16" i="11"/>
  <c r="BY11" i="11"/>
  <c r="BN16" i="11"/>
  <c r="BN11" i="11"/>
  <c r="BN13" i="11"/>
  <c r="BN15" i="11"/>
  <c r="R13" i="11"/>
  <c r="R15" i="11"/>
  <c r="R16" i="11"/>
  <c r="R11" i="11"/>
  <c r="CE11" i="11"/>
  <c r="CE13" i="11"/>
  <c r="CE16" i="11"/>
  <c r="CE15" i="11"/>
  <c r="BM11" i="11"/>
  <c r="BM16" i="11"/>
  <c r="BM15" i="11"/>
  <c r="BM13" i="11"/>
  <c r="AH15" i="11"/>
  <c r="AH11" i="11"/>
  <c r="AH16" i="11"/>
  <c r="AH13" i="11"/>
  <c r="CN16" i="11"/>
  <c r="CN11" i="11"/>
  <c r="CN13" i="11"/>
  <c r="CN15" i="11"/>
  <c r="AM13" i="11"/>
  <c r="AM15" i="11"/>
  <c r="AM11" i="11"/>
  <c r="AM16" i="11"/>
  <c r="N15" i="11"/>
  <c r="N11" i="11"/>
  <c r="N16" i="11"/>
  <c r="N13" i="11"/>
  <c r="CH16" i="11"/>
  <c r="CH11" i="11"/>
  <c r="CH13" i="11"/>
  <c r="CH15" i="11"/>
  <c r="BJ11" i="11"/>
  <c r="BJ15" i="11"/>
  <c r="BJ13" i="11"/>
  <c r="BJ16" i="11"/>
  <c r="T13" i="11"/>
  <c r="T15" i="11"/>
  <c r="T11" i="11"/>
  <c r="T16" i="11"/>
  <c r="J15" i="11"/>
  <c r="J11" i="11"/>
  <c r="J16" i="11"/>
  <c r="J13" i="11"/>
  <c r="I15" i="11"/>
  <c r="I11" i="11"/>
  <c r="I16" i="11"/>
  <c r="I13" i="11"/>
  <c r="AA11" i="11"/>
  <c r="AA15" i="11"/>
  <c r="AA16" i="11"/>
  <c r="AA13" i="11"/>
  <c r="CL16" i="11"/>
  <c r="CL11" i="11"/>
  <c r="CL13" i="11"/>
  <c r="CL15" i="11"/>
  <c r="AJ15" i="11"/>
  <c r="AJ11" i="11"/>
  <c r="AJ16" i="11"/>
  <c r="AJ13" i="11"/>
  <c r="BU13" i="11"/>
  <c r="BU16" i="11"/>
  <c r="BU11" i="11"/>
  <c r="BU15" i="11"/>
  <c r="BX15" i="11"/>
  <c r="BX13" i="11"/>
  <c r="BX16" i="11"/>
  <c r="BX11" i="11"/>
  <c r="BG13" i="11"/>
  <c r="BG11" i="11"/>
  <c r="BG15" i="11"/>
  <c r="BG16" i="11"/>
  <c r="AO13" i="11"/>
  <c r="AO15" i="11"/>
  <c r="AO11" i="11"/>
  <c r="AO16" i="11"/>
  <c r="G11" i="11"/>
  <c r="G15" i="11"/>
  <c r="G16" i="11"/>
  <c r="G13" i="11"/>
  <c r="BT13" i="11"/>
  <c r="BT16" i="11"/>
  <c r="BT11" i="11"/>
  <c r="BT15" i="11"/>
  <c r="E11" i="11"/>
  <c r="E15" i="11"/>
  <c r="E16" i="11"/>
  <c r="E13" i="11"/>
  <c r="AQ11" i="11"/>
  <c r="BC12" i="11"/>
  <c r="AQ13" i="11"/>
  <c r="AQ16" i="11"/>
  <c r="AQ15" i="11"/>
  <c r="S13" i="11"/>
  <c r="S11" i="11"/>
  <c r="S16" i="11"/>
  <c r="S15" i="11"/>
  <c r="O15" i="11"/>
  <c r="O11" i="11"/>
  <c r="O13" i="11"/>
  <c r="O16" i="11"/>
  <c r="AW13" i="11"/>
  <c r="AW16" i="11"/>
  <c r="AW11" i="11"/>
  <c r="AW15" i="11"/>
  <c r="Y11" i="11"/>
  <c r="Y16" i="11"/>
  <c r="Y13" i="11"/>
  <c r="Y15" i="11"/>
  <c r="BA13" i="11"/>
  <c r="BA16" i="11"/>
  <c r="BA11" i="11"/>
  <c r="BA15" i="11"/>
  <c r="AG15" i="11"/>
  <c r="AG11" i="11"/>
  <c r="AG16" i="11"/>
  <c r="AG13" i="11"/>
  <c r="BZ11" i="11"/>
  <c r="BZ15" i="11"/>
  <c r="BZ13" i="11"/>
  <c r="BZ16" i="11"/>
  <c r="CD11" i="11"/>
  <c r="CP12" i="11"/>
  <c r="CD15" i="11"/>
  <c r="CD13" i="11"/>
  <c r="CD16" i="11"/>
  <c r="CD18" i="11" s="1"/>
  <c r="CD32" i="11" s="1"/>
  <c r="BL11" i="11"/>
  <c r="BL16" i="11"/>
  <c r="BL15" i="11"/>
  <c r="BL13" i="11"/>
  <c r="AZ15" i="11"/>
  <c r="AZ13" i="11"/>
  <c r="AZ16" i="11"/>
  <c r="AZ11" i="11"/>
  <c r="BQ16" i="11"/>
  <c r="BQ11" i="11"/>
  <c r="CC12" i="11"/>
  <c r="BQ15" i="11"/>
  <c r="BQ13" i="11"/>
  <c r="CB13" i="11"/>
  <c r="CB11" i="11"/>
  <c r="CB15" i="11"/>
  <c r="CB16" i="11"/>
  <c r="U13" i="11"/>
  <c r="U15" i="11"/>
  <c r="U11" i="11"/>
  <c r="U16" i="11"/>
  <c r="K11" i="11"/>
  <c r="K15" i="11"/>
  <c r="K16" i="11"/>
  <c r="K13" i="11"/>
  <c r="BI13" i="11"/>
  <c r="BI11" i="11"/>
  <c r="BI15" i="11"/>
  <c r="BI16" i="11"/>
  <c r="CA13" i="11"/>
  <c r="CA11" i="11"/>
  <c r="CA15" i="11"/>
  <c r="CA16" i="11"/>
  <c r="BW15" i="11"/>
  <c r="BW13" i="11"/>
  <c r="BW11" i="11"/>
  <c r="BW16" i="11"/>
  <c r="CO16" i="11"/>
  <c r="CO11" i="11"/>
  <c r="CO13" i="11"/>
  <c r="CO15" i="11"/>
  <c r="H15" i="11"/>
  <c r="H11" i="11"/>
  <c r="H16" i="11"/>
  <c r="H13" i="11"/>
  <c r="CK16" i="11"/>
  <c r="CK11" i="11"/>
  <c r="CK13" i="11"/>
  <c r="CK15" i="11"/>
  <c r="AV15" i="11"/>
  <c r="AV13" i="11"/>
  <c r="AV16" i="11"/>
  <c r="AV11" i="11"/>
  <c r="M15" i="11"/>
  <c r="M11" i="11"/>
  <c r="M16" i="11"/>
  <c r="M13" i="11"/>
  <c r="BV15" i="11"/>
  <c r="BV13" i="11"/>
  <c r="BV16" i="11"/>
  <c r="BV11" i="11"/>
  <c r="CJ16" i="11"/>
  <c r="CJ11" i="11"/>
  <c r="CJ13" i="11"/>
  <c r="CJ15" i="11"/>
  <c r="W11" i="11"/>
  <c r="W13" i="11"/>
  <c r="W16" i="11"/>
  <c r="W15" i="11"/>
  <c r="BR13" i="11"/>
  <c r="BR16" i="11"/>
  <c r="BR15" i="11"/>
  <c r="BR11" i="11"/>
  <c r="AN13" i="11"/>
  <c r="AN15" i="11"/>
  <c r="AN11" i="11"/>
  <c r="AN16" i="11"/>
  <c r="AF15" i="11"/>
  <c r="AF11" i="11"/>
  <c r="AF16" i="11"/>
  <c r="AF13" i="11"/>
  <c r="CM16" i="11"/>
  <c r="CM11" i="11"/>
  <c r="CM13" i="11"/>
  <c r="CM15" i="11"/>
  <c r="BH13" i="11"/>
  <c r="BH11" i="11"/>
  <c r="BH15" i="11"/>
  <c r="BH16" i="11"/>
  <c r="X11" i="11"/>
  <c r="X16" i="11"/>
  <c r="X13" i="11"/>
  <c r="X15" i="11"/>
  <c r="Q15" i="11"/>
  <c r="Q11" i="11"/>
  <c r="Q16" i="11"/>
  <c r="AC12" i="11"/>
  <c r="Q13" i="11"/>
  <c r="AU11" i="11"/>
  <c r="AU13" i="11"/>
  <c r="AU16" i="11"/>
  <c r="AU15" i="11"/>
  <c r="BF11" i="11"/>
  <c r="BF15" i="11"/>
  <c r="BF16" i="11"/>
  <c r="BF13" i="11"/>
  <c r="AD15" i="11"/>
  <c r="AD11" i="11"/>
  <c r="AP12" i="11"/>
  <c r="AD16" i="11"/>
  <c r="AD13" i="11"/>
  <c r="F11" i="11"/>
  <c r="F15" i="11"/>
  <c r="F16" i="11"/>
  <c r="F13" i="11"/>
  <c r="AT13" i="11"/>
  <c r="AT16" i="11"/>
  <c r="AT11" i="11"/>
  <c r="AT15" i="11"/>
  <c r="CI11" i="11"/>
  <c r="CI16" i="11"/>
  <c r="CI13" i="11"/>
  <c r="CI15" i="11"/>
  <c r="L15" i="11"/>
  <c r="L11" i="11"/>
  <c r="L16" i="11"/>
  <c r="L13" i="11"/>
  <c r="Z18" i="11" l="1"/>
  <c r="Z32" i="11" s="1"/>
  <c r="Z38" i="11" s="1"/>
  <c r="Z40" i="11" s="1"/>
  <c r="Z58" i="11" s="1"/>
  <c r="Z60" i="11" s="1"/>
  <c r="AR18" i="11"/>
  <c r="AR32" i="11" s="1"/>
  <c r="AR38" i="11" s="1"/>
  <c r="AR40" i="11" s="1"/>
  <c r="AR58" i="11" s="1"/>
  <c r="AR60" i="11" s="1"/>
  <c r="K9" i="22"/>
  <c r="J9" i="22"/>
  <c r="C60" i="11"/>
  <c r="C68" i="11" s="1"/>
  <c r="J10" i="22"/>
  <c r="CE18" i="11"/>
  <c r="CE32" i="11" s="1"/>
  <c r="CE38" i="11" s="1"/>
  <c r="CE40" i="11" s="1"/>
  <c r="CE58" i="11" s="1"/>
  <c r="CE60" i="11" s="1"/>
  <c r="W18" i="11"/>
  <c r="W32" i="11" s="1"/>
  <c r="W38" i="11" s="1"/>
  <c r="W40" i="11" s="1"/>
  <c r="W58" i="11" s="1"/>
  <c r="W60" i="11" s="1"/>
  <c r="BF18" i="11"/>
  <c r="BF32" i="11" s="1"/>
  <c r="BF38" i="11" s="1"/>
  <c r="BF40" i="11" s="1"/>
  <c r="BF58" i="11" s="1"/>
  <c r="BF60" i="11" s="1"/>
  <c r="E18" i="11"/>
  <c r="E32" i="11" s="1"/>
  <c r="E38" i="11" s="1"/>
  <c r="E40" i="11" s="1"/>
  <c r="E58" i="11" s="1"/>
  <c r="E60" i="11" s="1"/>
  <c r="M18" i="11"/>
  <c r="M32" i="11" s="1"/>
  <c r="M38" i="11" s="1"/>
  <c r="M40" i="11" s="1"/>
  <c r="M58" i="11" s="1"/>
  <c r="M60" i="11" s="1"/>
  <c r="AZ18" i="11"/>
  <c r="AZ32" i="11" s="1"/>
  <c r="AZ38" i="11" s="1"/>
  <c r="AZ40" i="11" s="1"/>
  <c r="AZ58" i="11" s="1"/>
  <c r="AZ60" i="11" s="1"/>
  <c r="BO18" i="11"/>
  <c r="BO32" i="11" s="1"/>
  <c r="BO38" i="11" s="1"/>
  <c r="BO40" i="11" s="1"/>
  <c r="BO58" i="11" s="1"/>
  <c r="BO60" i="11" s="1"/>
  <c r="CK18" i="11"/>
  <c r="CK32" i="11" s="1"/>
  <c r="CK38" i="11" s="1"/>
  <c r="CK40" i="11" s="1"/>
  <c r="CK58" i="11" s="1"/>
  <c r="CK60" i="11" s="1"/>
  <c r="CG18" i="11"/>
  <c r="CG32" i="11" s="1"/>
  <c r="CG38" i="11" s="1"/>
  <c r="CG40" i="11" s="1"/>
  <c r="CG58" i="11" s="1"/>
  <c r="CG60" i="11" s="1"/>
  <c r="AH18" i="11"/>
  <c r="AH32" i="11" s="1"/>
  <c r="AH38" i="11" s="1"/>
  <c r="AH40" i="11" s="1"/>
  <c r="AH58" i="11" s="1"/>
  <c r="AH60" i="11" s="1"/>
  <c r="CI18" i="11"/>
  <c r="CI32" i="11" s="1"/>
  <c r="CI38" i="11" s="1"/>
  <c r="CI40" i="11" s="1"/>
  <c r="CI58" i="11" s="1"/>
  <c r="CI60" i="11" s="1"/>
  <c r="F18" i="11"/>
  <c r="F32" i="11" s="1"/>
  <c r="F38" i="11" s="1"/>
  <c r="F40" i="11" s="1"/>
  <c r="F58" i="11" s="1"/>
  <c r="F60" i="11" s="1"/>
  <c r="CA18" i="11"/>
  <c r="CA32" i="11" s="1"/>
  <c r="CA38" i="11" s="1"/>
  <c r="CA40" i="11" s="1"/>
  <c r="CA58" i="11" s="1"/>
  <c r="CA60" i="11" s="1"/>
  <c r="AW18" i="11"/>
  <c r="AW32" i="11" s="1"/>
  <c r="AW38" i="11" s="1"/>
  <c r="AW40" i="11" s="1"/>
  <c r="AW58" i="11" s="1"/>
  <c r="AW60" i="11" s="1"/>
  <c r="AL18" i="11"/>
  <c r="AL32" i="11" s="1"/>
  <c r="AL38" i="11" s="1"/>
  <c r="AL40" i="11" s="1"/>
  <c r="AL58" i="11" s="1"/>
  <c r="AL60" i="11" s="1"/>
  <c r="G18" i="11"/>
  <c r="G32" i="11" s="1"/>
  <c r="G38" i="11" s="1"/>
  <c r="G40" i="11" s="1"/>
  <c r="G58" i="11" s="1"/>
  <c r="G60" i="11" s="1"/>
  <c r="AU18" i="11"/>
  <c r="AU32" i="11" s="1"/>
  <c r="AU38" i="11" s="1"/>
  <c r="AU40" i="11" s="1"/>
  <c r="AU58" i="11" s="1"/>
  <c r="AU60" i="11" s="1"/>
  <c r="CJ18" i="11"/>
  <c r="CJ32" i="11" s="1"/>
  <c r="CJ38" i="11" s="1"/>
  <c r="CJ40" i="11" s="1"/>
  <c r="CJ58" i="11" s="1"/>
  <c r="CJ60" i="11" s="1"/>
  <c r="O18" i="11"/>
  <c r="O32" i="11" s="1"/>
  <c r="O38" i="11" s="1"/>
  <c r="O40" i="11" s="1"/>
  <c r="O58" i="11" s="1"/>
  <c r="O60" i="11" s="1"/>
  <c r="AJ18" i="11"/>
  <c r="AJ32" i="11" s="1"/>
  <c r="AJ38" i="11" s="1"/>
  <c r="AJ40" i="11" s="1"/>
  <c r="AJ58" i="11" s="1"/>
  <c r="AJ60" i="11" s="1"/>
  <c r="AG18" i="11"/>
  <c r="AG32" i="11" s="1"/>
  <c r="AG38" i="11" s="1"/>
  <c r="AG40" i="11" s="1"/>
  <c r="AG58" i="11" s="1"/>
  <c r="AG60" i="11" s="1"/>
  <c r="CB18" i="11"/>
  <c r="CB32" i="11" s="1"/>
  <c r="CB38" i="11" s="1"/>
  <c r="CB40" i="11" s="1"/>
  <c r="CB58" i="11" s="1"/>
  <c r="CB60" i="11" s="1"/>
  <c r="J18" i="11"/>
  <c r="J32" i="11" s="1"/>
  <c r="J38" i="11" s="1"/>
  <c r="J40" i="11" s="1"/>
  <c r="J58" i="11" s="1"/>
  <c r="J60" i="11" s="1"/>
  <c r="S18" i="11"/>
  <c r="S32" i="11" s="1"/>
  <c r="S38" i="11" s="1"/>
  <c r="S40" i="11" s="1"/>
  <c r="S58" i="11" s="1"/>
  <c r="S60" i="11" s="1"/>
  <c r="AT18" i="11"/>
  <c r="AT32" i="11" s="1"/>
  <c r="AT38" i="11" s="1"/>
  <c r="AT40" i="11" s="1"/>
  <c r="AT58" i="11" s="1"/>
  <c r="AY18" i="11"/>
  <c r="AY32" i="11" s="1"/>
  <c r="AY38" i="11" s="1"/>
  <c r="AY40" i="11" s="1"/>
  <c r="AY58" i="11" s="1"/>
  <c r="AY60" i="11" s="1"/>
  <c r="BR18" i="11"/>
  <c r="BR32" i="11" s="1"/>
  <c r="BR38" i="11" s="1"/>
  <c r="BR40" i="11" s="1"/>
  <c r="BR58" i="11" s="1"/>
  <c r="BR60" i="11" s="1"/>
  <c r="CF18" i="11"/>
  <c r="CF32" i="11" s="1"/>
  <c r="CF38" i="11" s="1"/>
  <c r="CF40" i="11" s="1"/>
  <c r="CF58" i="11" s="1"/>
  <c r="CF60" i="11" s="1"/>
  <c r="BN18" i="11"/>
  <c r="BN32" i="11" s="1"/>
  <c r="BN38" i="11" s="1"/>
  <c r="BN40" i="11" s="1"/>
  <c r="BN58" i="11" s="1"/>
  <c r="BN60" i="11" s="1"/>
  <c r="AN18" i="11"/>
  <c r="AN32" i="11" s="1"/>
  <c r="AN38" i="11" s="1"/>
  <c r="AN40" i="11" s="1"/>
  <c r="AN58" i="11" s="1"/>
  <c r="AN60" i="11" s="1"/>
  <c r="I18" i="11"/>
  <c r="I32" i="11" s="1"/>
  <c r="I38" i="11" s="1"/>
  <c r="I40" i="11" s="1"/>
  <c r="I58" i="11" s="1"/>
  <c r="I60" i="11" s="1"/>
  <c r="N18" i="11"/>
  <c r="N32" i="11" s="1"/>
  <c r="N38" i="11" s="1"/>
  <c r="N40" i="11" s="1"/>
  <c r="N58" i="11" s="1"/>
  <c r="N60" i="11" s="1"/>
  <c r="AM18" i="11"/>
  <c r="AM32" i="11" s="1"/>
  <c r="AM38" i="11" s="1"/>
  <c r="AM40" i="11" s="1"/>
  <c r="AM58" i="11" s="1"/>
  <c r="AM60" i="11" s="1"/>
  <c r="AS18" i="11"/>
  <c r="AS32" i="11" s="1"/>
  <c r="AS38" i="11" s="1"/>
  <c r="AS40" i="11" s="1"/>
  <c r="AS58" i="11" s="1"/>
  <c r="AS60" i="11" s="1"/>
  <c r="BJ18" i="11"/>
  <c r="BJ32" i="11" s="1"/>
  <c r="BJ38" i="11" s="1"/>
  <c r="BJ40" i="11" s="1"/>
  <c r="BJ58" i="11" s="1"/>
  <c r="BJ60" i="11" s="1"/>
  <c r="AF18" i="11"/>
  <c r="AF32" i="11" s="1"/>
  <c r="AF38" i="11" s="1"/>
  <c r="AF40" i="11" s="1"/>
  <c r="AF58" i="11" s="1"/>
  <c r="AF60" i="11" s="1"/>
  <c r="AQ18" i="11"/>
  <c r="AQ32" i="11" s="1"/>
  <c r="AQ38" i="11" s="1"/>
  <c r="AO18" i="11"/>
  <c r="AO32" i="11" s="1"/>
  <c r="AO38" i="11" s="1"/>
  <c r="AO40" i="11" s="1"/>
  <c r="AO58" i="11" s="1"/>
  <c r="AV18" i="11"/>
  <c r="AV32" i="11" s="1"/>
  <c r="AV38" i="11" s="1"/>
  <c r="AV40" i="11" s="1"/>
  <c r="AV58" i="11" s="1"/>
  <c r="AV60" i="11" s="1"/>
  <c r="AI18" i="11"/>
  <c r="AI32" i="11" s="1"/>
  <c r="AI38" i="11" s="1"/>
  <c r="AI40" i="11" s="1"/>
  <c r="AI58" i="11" s="1"/>
  <c r="Y18" i="11"/>
  <c r="Y32" i="11" s="1"/>
  <c r="BG18" i="11"/>
  <c r="BG32" i="11" s="1"/>
  <c r="BG38" i="11" s="1"/>
  <c r="BG40" i="11" s="1"/>
  <c r="BG58" i="11" s="1"/>
  <c r="BG60" i="11" s="1"/>
  <c r="AA18" i="11"/>
  <c r="AA32" i="11" s="1"/>
  <c r="BY18" i="11"/>
  <c r="BY32" i="11" s="1"/>
  <c r="BY38" i="11" s="1"/>
  <c r="BY40" i="11" s="1"/>
  <c r="BY58" i="11" s="1"/>
  <c r="BY60" i="11" s="1"/>
  <c r="CL18" i="11"/>
  <c r="CL32" i="11" s="1"/>
  <c r="CL38" i="11" s="1"/>
  <c r="CL40" i="11" s="1"/>
  <c r="CL58" i="11" s="1"/>
  <c r="CL60" i="11" s="1"/>
  <c r="BC11" i="11"/>
  <c r="F9" i="19" s="1"/>
  <c r="BM18" i="11"/>
  <c r="BM32" i="11" s="1"/>
  <c r="BM38" i="11" s="1"/>
  <c r="BM40" i="11" s="1"/>
  <c r="BM58" i="11" s="1"/>
  <c r="BM60" i="11" s="1"/>
  <c r="BU18" i="11"/>
  <c r="BU32" i="11" s="1"/>
  <c r="BU38" i="11" s="1"/>
  <c r="BU40" i="11" s="1"/>
  <c r="BU58" i="11" s="1"/>
  <c r="BU60" i="11" s="1"/>
  <c r="BB18" i="11"/>
  <c r="BB32" i="11" s="1"/>
  <c r="BB38" i="11" s="1"/>
  <c r="BB40" i="11" s="1"/>
  <c r="BB58" i="11" s="1"/>
  <c r="BB60" i="11" s="1"/>
  <c r="CC11" i="11"/>
  <c r="BP11" i="11"/>
  <c r="CC15" i="11"/>
  <c r="BI18" i="11"/>
  <c r="BI32" i="11" s="1"/>
  <c r="BI38" i="11" s="1"/>
  <c r="BI40" i="11" s="1"/>
  <c r="BI58" i="11" s="1"/>
  <c r="BI60" i="11" s="1"/>
  <c r="T18" i="11"/>
  <c r="T32" i="11" s="1"/>
  <c r="T38" i="11" s="1"/>
  <c r="T40" i="11" s="1"/>
  <c r="T58" i="11" s="1"/>
  <c r="T60" i="11" s="1"/>
  <c r="R18" i="11"/>
  <c r="R32" i="11" s="1"/>
  <c r="R38" i="11" s="1"/>
  <c r="R40" i="11" s="1"/>
  <c r="R58" i="11" s="1"/>
  <c r="R60" i="11" s="1"/>
  <c r="AK18" i="11"/>
  <c r="AK32" i="11" s="1"/>
  <c r="AK38" i="11" s="1"/>
  <c r="AK40" i="11" s="1"/>
  <c r="AK58" i="11" s="1"/>
  <c r="AK60" i="11" s="1"/>
  <c r="AE18" i="11"/>
  <c r="AE32" i="11" s="1"/>
  <c r="AE38" i="11" s="1"/>
  <c r="AE40" i="11" s="1"/>
  <c r="AE58" i="11" s="1"/>
  <c r="AE60" i="11" s="1"/>
  <c r="BE18" i="11"/>
  <c r="BE32" i="11" s="1"/>
  <c r="BE38" i="11" s="1"/>
  <c r="BE40" i="11" s="1"/>
  <c r="BE58" i="11" s="1"/>
  <c r="BE60" i="11" s="1"/>
  <c r="CM18" i="11"/>
  <c r="CM32" i="11" s="1"/>
  <c r="CM38" i="11" s="1"/>
  <c r="CM40" i="11" s="1"/>
  <c r="CM58" i="11" s="1"/>
  <c r="H6" i="16" s="1"/>
  <c r="H18" i="11"/>
  <c r="H32" i="11" s="1"/>
  <c r="H38" i="11" s="1"/>
  <c r="H40" i="11" s="1"/>
  <c r="H58" i="11" s="1"/>
  <c r="K18" i="11"/>
  <c r="K32" i="11" s="1"/>
  <c r="K38" i="11" s="1"/>
  <c r="K40" i="11" s="1"/>
  <c r="K58" i="11" s="1"/>
  <c r="K60" i="11" s="1"/>
  <c r="BT18" i="11"/>
  <c r="BT32" i="11" s="1"/>
  <c r="BT38" i="11" s="1"/>
  <c r="BT40" i="11" s="1"/>
  <c r="BT58" i="11" s="1"/>
  <c r="BT60" i="11" s="1"/>
  <c r="Q18" i="11"/>
  <c r="Q32" i="11" s="1"/>
  <c r="Q38" i="11" s="1"/>
  <c r="BL18" i="11"/>
  <c r="BL32" i="11" s="1"/>
  <c r="BA18" i="11"/>
  <c r="BA32" i="11" s="1"/>
  <c r="BA38" i="11" s="1"/>
  <c r="BA40" i="11" s="1"/>
  <c r="BA58" i="11" s="1"/>
  <c r="BA60" i="11" s="1"/>
  <c r="CN18" i="11"/>
  <c r="CN32" i="11" s="1"/>
  <c r="CN38" i="11" s="1"/>
  <c r="CN40" i="11" s="1"/>
  <c r="CN58" i="11" s="1"/>
  <c r="CN60" i="11" s="1"/>
  <c r="V18" i="11"/>
  <c r="V32" i="11" s="1"/>
  <c r="V38" i="11" s="1"/>
  <c r="V40" i="11" s="1"/>
  <c r="V58" i="11" s="1"/>
  <c r="V60" i="11" s="1"/>
  <c r="AC11" i="11"/>
  <c r="D9" i="19" s="1"/>
  <c r="X18" i="11"/>
  <c r="X32" i="11" s="1"/>
  <c r="X38" i="11" s="1"/>
  <c r="X40" i="11" s="1"/>
  <c r="X58" i="11" s="1"/>
  <c r="X60" i="11" s="1"/>
  <c r="P11" i="11"/>
  <c r="C9" i="19" s="1"/>
  <c r="BK18" i="11"/>
  <c r="BK32" i="11" s="1"/>
  <c r="BK38" i="11" s="1"/>
  <c r="BK40" i="11" s="1"/>
  <c r="BK58" i="11" s="1"/>
  <c r="BK60" i="11" s="1"/>
  <c r="BV18" i="11"/>
  <c r="BV32" i="11" s="1"/>
  <c r="CP11" i="11"/>
  <c r="BX18" i="11"/>
  <c r="BX32" i="11" s="1"/>
  <c r="BX38" i="11" s="1"/>
  <c r="BX40" i="11" s="1"/>
  <c r="BX58" i="11" s="1"/>
  <c r="BX60" i="11" s="1"/>
  <c r="CO18" i="11"/>
  <c r="CO32" i="11" s="1"/>
  <c r="CO38" i="11" s="1"/>
  <c r="CO40" i="11" s="1"/>
  <c r="CO58" i="11" s="1"/>
  <c r="CO60" i="11" s="1"/>
  <c r="CH18" i="11"/>
  <c r="CH32" i="11" s="1"/>
  <c r="CH38" i="11" s="1"/>
  <c r="CH40" i="11" s="1"/>
  <c r="CH58" i="11" s="1"/>
  <c r="CH60" i="11" s="1"/>
  <c r="BS18" i="11"/>
  <c r="BS32" i="11" s="1"/>
  <c r="BS38" i="11" s="1"/>
  <c r="BS40" i="11" s="1"/>
  <c r="BS58" i="11" s="1"/>
  <c r="BS60" i="11" s="1"/>
  <c r="AP11" i="11"/>
  <c r="E9" i="19" s="1"/>
  <c r="BH18" i="11"/>
  <c r="BH32" i="11" s="1"/>
  <c r="BH38" i="11" s="1"/>
  <c r="BH40" i="11" s="1"/>
  <c r="BH58" i="11" s="1"/>
  <c r="BH60" i="11" s="1"/>
  <c r="BW18" i="11"/>
  <c r="BW32" i="11" s="1"/>
  <c r="BW38" i="11" s="1"/>
  <c r="BW40" i="11" s="1"/>
  <c r="BW58" i="11" s="1"/>
  <c r="BW60" i="11" s="1"/>
  <c r="U18" i="11"/>
  <c r="U32" i="11" s="1"/>
  <c r="U38" i="11" s="1"/>
  <c r="U40" i="11" s="1"/>
  <c r="U58" i="11" s="1"/>
  <c r="U60" i="11" s="1"/>
  <c r="L18" i="11"/>
  <c r="L32" i="11" s="1"/>
  <c r="L38" i="11" s="1"/>
  <c r="L40" i="11" s="1"/>
  <c r="L58" i="11" s="1"/>
  <c r="L60" i="11" s="1"/>
  <c r="AP15" i="11"/>
  <c r="BZ18" i="11"/>
  <c r="BZ32" i="11" s="1"/>
  <c r="BZ38" i="11" s="1"/>
  <c r="BZ40" i="11" s="1"/>
  <c r="BZ58" i="11" s="1"/>
  <c r="BZ60" i="11" s="1"/>
  <c r="AB18" i="11"/>
  <c r="AB32" i="11" s="1"/>
  <c r="AB38" i="11" s="1"/>
  <c r="AB40" i="11" s="1"/>
  <c r="AB58" i="11" s="1"/>
  <c r="CD38" i="11"/>
  <c r="C10" i="19"/>
  <c r="BP13" i="11"/>
  <c r="P16" i="11"/>
  <c r="C12" i="19" s="1"/>
  <c r="P15" i="11"/>
  <c r="BD18" i="11"/>
  <c r="BD32" i="11" s="1"/>
  <c r="BP15" i="11"/>
  <c r="AC16" i="11"/>
  <c r="D12" i="19" s="1"/>
  <c r="D10" i="19"/>
  <c r="AC15" i="11"/>
  <c r="CP13" i="11"/>
  <c r="BC15" i="11"/>
  <c r="AD18" i="11"/>
  <c r="AD32" i="11" s="1"/>
  <c r="AP13" i="11"/>
  <c r="E11" i="19" s="1"/>
  <c r="CP15" i="11"/>
  <c r="BC16" i="11"/>
  <c r="F12" i="19" s="1"/>
  <c r="AP16" i="11"/>
  <c r="E12" i="19" s="1"/>
  <c r="CC13" i="11"/>
  <c r="BC13" i="11"/>
  <c r="F11" i="19" s="1"/>
  <c r="D18" i="11"/>
  <c r="D32" i="11" s="1"/>
  <c r="CC16" i="11"/>
  <c r="AC13" i="11"/>
  <c r="D11" i="19" s="1"/>
  <c r="CP16" i="11"/>
  <c r="E10" i="19"/>
  <c r="BQ18" i="11"/>
  <c r="BQ32" i="11" s="1"/>
  <c r="F10" i="19"/>
  <c r="P13" i="11"/>
  <c r="C11" i="19" s="1"/>
  <c r="BP16" i="11"/>
  <c r="W8" i="5" l="1"/>
  <c r="W15" i="5" s="1"/>
  <c r="W17" i="5" s="1"/>
  <c r="A60" i="11"/>
  <c r="C12" i="5" s="1"/>
  <c r="W9" i="5" s="1"/>
  <c r="AO60" i="11"/>
  <c r="K10" i="22"/>
  <c r="K11" i="22" s="1"/>
  <c r="AI60" i="11"/>
  <c r="J11" i="22"/>
  <c r="Q5" i="16"/>
  <c r="Q4" i="16"/>
  <c r="E5" i="16"/>
  <c r="AB60" i="11"/>
  <c r="Y38" i="11"/>
  <c r="Y40" i="11" s="1"/>
  <c r="Y58" i="11" s="1"/>
  <c r="Y60" i="11" s="1"/>
  <c r="AA38" i="11"/>
  <c r="AA40" i="11" s="1"/>
  <c r="AA58" i="11" s="1"/>
  <c r="AA60" i="11" s="1"/>
  <c r="H60" i="11"/>
  <c r="H5" i="16"/>
  <c r="D15" i="19"/>
  <c r="BL38" i="11"/>
  <c r="BL40" i="11" s="1"/>
  <c r="BL58" i="11" s="1"/>
  <c r="BL60" i="11" s="1"/>
  <c r="F15" i="19"/>
  <c r="BP18" i="11"/>
  <c r="H3" i="12" s="1"/>
  <c r="BV38" i="11"/>
  <c r="BV40" i="11" s="1"/>
  <c r="BV58" i="11" s="1"/>
  <c r="BV60" i="11" s="1"/>
  <c r="BC18" i="11"/>
  <c r="G3" i="12" s="1"/>
  <c r="BC38" i="11"/>
  <c r="AQ40" i="11"/>
  <c r="AQ58" i="11" s="1"/>
  <c r="AQ60" i="11" s="1"/>
  <c r="CM60" i="11"/>
  <c r="BQ38" i="11"/>
  <c r="AP18" i="11"/>
  <c r="CP38" i="11"/>
  <c r="CD40" i="11"/>
  <c r="CD58" i="11" s="1"/>
  <c r="CD60" i="11" s="1"/>
  <c r="Q40" i="11"/>
  <c r="Q58" i="11" s="1"/>
  <c r="Q60" i="11" s="1"/>
  <c r="AT60" i="11"/>
  <c r="CC18" i="11"/>
  <c r="AD38" i="11"/>
  <c r="C15" i="19"/>
  <c r="D38" i="11"/>
  <c r="E15" i="19"/>
  <c r="BD38" i="11"/>
  <c r="CP18" i="11"/>
  <c r="AC18" i="11"/>
  <c r="P18" i="11"/>
  <c r="W10" i="5" l="1"/>
  <c r="W12" i="5" s="1"/>
  <c r="F17" i="19"/>
  <c r="E17" i="19"/>
  <c r="D16" i="19"/>
  <c r="D17" i="19"/>
  <c r="Q7" i="16"/>
  <c r="AK8" i="5" s="1"/>
  <c r="AK15" i="5" s="1"/>
  <c r="AK17" i="5" s="1"/>
  <c r="AK18" i="5" s="1"/>
  <c r="D5" i="16"/>
  <c r="P18" i="22"/>
  <c r="W40" i="5"/>
  <c r="W18" i="5"/>
  <c r="AC38" i="11"/>
  <c r="E6" i="16"/>
  <c r="P19" i="22" s="1"/>
  <c r="F5" i="16"/>
  <c r="BP32" i="11"/>
  <c r="H5" i="12" s="1"/>
  <c r="BC32" i="11"/>
  <c r="G5" i="12" s="1"/>
  <c r="F16" i="19"/>
  <c r="F3" i="12"/>
  <c r="AP32" i="11"/>
  <c r="AP38" i="11"/>
  <c r="AD40" i="11"/>
  <c r="AD58" i="11" s="1"/>
  <c r="AD60" i="11" s="1"/>
  <c r="C16" i="19"/>
  <c r="P38" i="11"/>
  <c r="D40" i="11"/>
  <c r="D58" i="11" s="1"/>
  <c r="D60" i="11" s="1"/>
  <c r="BC40" i="11"/>
  <c r="F21" i="19"/>
  <c r="F29" i="19" s="1"/>
  <c r="E16" i="19"/>
  <c r="E3" i="12"/>
  <c r="AC32" i="11"/>
  <c r="BP38" i="11"/>
  <c r="BD40" i="11"/>
  <c r="BD58" i="11" s="1"/>
  <c r="BD60" i="11" s="1"/>
  <c r="I3" i="12"/>
  <c r="CC32" i="11"/>
  <c r="J3" i="12"/>
  <c r="CP32" i="11"/>
  <c r="CC38" i="11"/>
  <c r="BQ40" i="11"/>
  <c r="BQ58" i="11" s="1"/>
  <c r="BQ60" i="11" s="1"/>
  <c r="D3" i="12"/>
  <c r="P32" i="11"/>
  <c r="CP40" i="11"/>
  <c r="O18" i="22" l="1"/>
  <c r="C5" i="16"/>
  <c r="N18" i="22" s="1"/>
  <c r="G5" i="16"/>
  <c r="R18" i="22" s="1"/>
  <c r="Q18" i="22"/>
  <c r="D21" i="19"/>
  <c r="D29" i="19" s="1"/>
  <c r="D33" i="19" s="1"/>
  <c r="AC40" i="11"/>
  <c r="D6" i="16"/>
  <c r="F6" i="16"/>
  <c r="AK29" i="5"/>
  <c r="J5" i="12"/>
  <c r="CC40" i="11"/>
  <c r="I5" i="12"/>
  <c r="F30" i="19"/>
  <c r="F31" i="19"/>
  <c r="F33" i="19"/>
  <c r="P40" i="11"/>
  <c r="C21" i="19"/>
  <c r="C29" i="19" s="1"/>
  <c r="G8" i="12"/>
  <c r="BC58" i="11"/>
  <c r="BP40" i="11"/>
  <c r="J8" i="12"/>
  <c r="CP58" i="11"/>
  <c r="J11" i="12" s="1"/>
  <c r="D5" i="12"/>
  <c r="E21" i="19"/>
  <c r="E29" i="19" s="1"/>
  <c r="AP40" i="11"/>
  <c r="F5" i="12"/>
  <c r="E5" i="12"/>
  <c r="C6" i="16" l="1"/>
  <c r="N19" i="22" s="1"/>
  <c r="O19" i="22"/>
  <c r="G6" i="16"/>
  <c r="R19" i="22" s="1"/>
  <c r="Q19" i="22"/>
  <c r="AC58" i="11"/>
  <c r="E8" i="12"/>
  <c r="D31" i="19"/>
  <c r="D30" i="19"/>
  <c r="J12" i="12"/>
  <c r="H8" i="12"/>
  <c r="BP58" i="11"/>
  <c r="D8" i="12"/>
  <c r="P58" i="11"/>
  <c r="G11" i="12"/>
  <c r="G12" i="12" s="1"/>
  <c r="BC60" i="11"/>
  <c r="CP60" i="11"/>
  <c r="C31" i="19"/>
  <c r="C30" i="19"/>
  <c r="C33" i="19"/>
  <c r="D36" i="19" s="1"/>
  <c r="F34" i="19"/>
  <c r="F35" i="19"/>
  <c r="D34" i="19"/>
  <c r="D35" i="19"/>
  <c r="I8" i="12"/>
  <c r="CC58" i="11"/>
  <c r="F8" i="12"/>
  <c r="AP58" i="11"/>
  <c r="E30" i="19"/>
  <c r="E31" i="19"/>
  <c r="E33" i="19"/>
  <c r="E11" i="12" l="1"/>
  <c r="E12" i="12" s="1"/>
  <c r="AC60" i="11"/>
  <c r="E13" i="12" s="1"/>
  <c r="E8" i="20" s="1"/>
  <c r="E34" i="19"/>
  <c r="E35" i="19"/>
  <c r="E36" i="19"/>
  <c r="F36" i="19"/>
  <c r="F11" i="12"/>
  <c r="F12" i="12" s="1"/>
  <c r="AP60" i="11"/>
  <c r="J13" i="12"/>
  <c r="C35" i="19"/>
  <c r="C34" i="19"/>
  <c r="G13" i="12"/>
  <c r="D11" i="12"/>
  <c r="D12" i="12" s="1"/>
  <c r="P60" i="11"/>
  <c r="H11" i="12"/>
  <c r="H12" i="12" s="1"/>
  <c r="BP60" i="11"/>
  <c r="I11" i="12"/>
  <c r="I12" i="12" s="1"/>
  <c r="CC60" i="11"/>
  <c r="F13" i="12" l="1"/>
  <c r="H13" i="12"/>
  <c r="I13" i="12"/>
  <c r="D13" i="12"/>
  <c r="F8" i="20" l="1"/>
  <c r="D8" i="20"/>
  <c r="AN7" i="18" l="1"/>
  <c r="AQ93" i="11"/>
  <c r="AO7" i="18" l="1"/>
  <c r="AO18" i="18" s="1"/>
  <c r="AR93" i="11"/>
  <c r="AN18" i="18"/>
  <c r="AT17" i="13" l="1"/>
  <c r="AT16" i="13"/>
  <c r="AS16" i="13"/>
  <c r="AS17" i="13"/>
  <c r="AT55" i="13" l="1"/>
  <c r="AT69" i="13"/>
  <c r="AS69" i="13"/>
  <c r="AS55" i="13"/>
  <c r="AT21" i="13"/>
  <c r="AT62" i="13"/>
  <c r="AS21" i="13"/>
  <c r="AS62" i="13"/>
  <c r="AS34" i="13" l="1"/>
  <c r="AT34" i="13"/>
  <c r="AP7" i="18" l="1"/>
  <c r="AS93" i="11"/>
  <c r="AP18" i="18" l="1"/>
  <c r="AQ7" i="18"/>
  <c r="AQ18" i="18" s="1"/>
  <c r="AT93" i="11"/>
  <c r="AV17" i="13" l="1"/>
  <c r="AV16" i="13"/>
  <c r="AU17" i="13"/>
  <c r="AU16" i="13"/>
  <c r="AU21" i="13" l="1"/>
  <c r="AU62" i="13"/>
  <c r="AU55" i="13"/>
  <c r="AU69" i="13"/>
  <c r="AV69" i="13"/>
  <c r="AV55" i="13"/>
  <c r="AV62" i="13"/>
  <c r="AV21" i="13"/>
  <c r="AU34" i="13" l="1"/>
  <c r="AV34" i="13"/>
  <c r="AR7" i="18" l="1"/>
  <c r="AU93" i="11"/>
  <c r="AR18" i="18" l="1"/>
  <c r="AS7" i="18"/>
  <c r="AS18" i="18" s="1"/>
  <c r="AV93" i="11"/>
  <c r="AX17" i="13" l="1"/>
  <c r="AX16" i="13"/>
  <c r="AW17" i="13"/>
  <c r="AW16" i="13"/>
  <c r="AW62" i="13" l="1"/>
  <c r="AW21" i="13"/>
  <c r="AW55" i="13"/>
  <c r="AW69" i="13"/>
  <c r="AX55" i="13"/>
  <c r="AX69" i="13"/>
  <c r="AX62" i="13"/>
  <c r="AX21" i="13"/>
  <c r="AW34" i="13" l="1"/>
  <c r="AX34" i="13"/>
  <c r="AN14" i="18" l="1"/>
  <c r="AP14" i="18" l="1"/>
  <c r="AS14" i="18" l="1"/>
  <c r="BF14" i="18" l="1"/>
  <c r="N27" i="22" l="1"/>
  <c r="AN13" i="18" l="1"/>
  <c r="AN38" i="18"/>
  <c r="AY14" i="18" l="1"/>
  <c r="AM13" i="18" l="1"/>
  <c r="AM38" i="18"/>
  <c r="BK14" i="18" l="1"/>
  <c r="F7" i="18" l="1"/>
  <c r="F18" i="18" s="1"/>
  <c r="G7" i="18"/>
  <c r="G18" i="18" s="1"/>
  <c r="H7" i="18"/>
  <c r="H18" i="18" s="1"/>
  <c r="I7" i="18"/>
  <c r="I18" i="18" s="1"/>
  <c r="J7" i="18"/>
  <c r="J18" i="18" s="1"/>
  <c r="K7" i="18"/>
  <c r="K18" i="18" s="1"/>
  <c r="L7" i="18"/>
  <c r="L18" i="18" s="1"/>
  <c r="M7" i="18"/>
  <c r="M18" i="18" s="1"/>
  <c r="N7" i="18"/>
  <c r="N18" i="18" s="1"/>
  <c r="O7" i="18"/>
  <c r="O18" i="18" s="1"/>
  <c r="T17" i="13" s="1"/>
  <c r="T21" i="13" s="1"/>
  <c r="T34" i="13" s="1"/>
  <c r="P7" i="18"/>
  <c r="P18" i="18" s="1"/>
  <c r="Q7" i="18"/>
  <c r="Q18" i="18" s="1"/>
  <c r="V16" i="13" s="1"/>
  <c r="R7" i="18"/>
  <c r="R18" i="18" s="1"/>
  <c r="W17" i="13" s="1"/>
  <c r="S7" i="18"/>
  <c r="S18" i="18" s="1"/>
  <c r="T7" i="18"/>
  <c r="T18" i="18" s="1"/>
  <c r="U7" i="18"/>
  <c r="U18" i="18" s="1"/>
  <c r="V7" i="18"/>
  <c r="V18" i="18" s="1"/>
  <c r="AA16" i="13" s="1"/>
  <c r="W7" i="18"/>
  <c r="W18" i="18" s="1"/>
  <c r="X7" i="18"/>
  <c r="Y7" i="18"/>
  <c r="Y18" i="18" s="1"/>
  <c r="AD16" i="13" s="1"/>
  <c r="AD69" i="13" s="1"/>
  <c r="Z7" i="18"/>
  <c r="Z18" i="18" s="1"/>
  <c r="AA7" i="18"/>
  <c r="AA18" i="18" s="1"/>
  <c r="AB7" i="18"/>
  <c r="AB18" i="18" s="1"/>
  <c r="AC7" i="18"/>
  <c r="AC18" i="18" s="1"/>
  <c r="AD7" i="18"/>
  <c r="AD18" i="18" s="1"/>
  <c r="AE7" i="18"/>
  <c r="AE18" i="18" s="1"/>
  <c r="AJ17" i="13" s="1"/>
  <c r="AF7" i="18"/>
  <c r="AF18" i="18" s="1"/>
  <c r="AG7" i="18"/>
  <c r="AG18" i="18" s="1"/>
  <c r="AL17" i="13" s="1"/>
  <c r="AH7" i="18"/>
  <c r="AH18" i="18" s="1"/>
  <c r="AM16" i="13" s="1"/>
  <c r="AI7" i="18"/>
  <c r="AI18" i="18" s="1"/>
  <c r="AJ7" i="18"/>
  <c r="AJ18" i="18" s="1"/>
  <c r="AK7" i="18"/>
  <c r="AK18" i="18" s="1"/>
  <c r="AL7" i="18"/>
  <c r="AL18" i="18" s="1"/>
  <c r="AQ16" i="13" s="1"/>
  <c r="AM7" i="18"/>
  <c r="AM18" i="18" s="1"/>
  <c r="X18" i="18"/>
  <c r="AC17" i="13" s="1"/>
  <c r="F32" i="18"/>
  <c r="G32" i="18"/>
  <c r="G43" i="18" s="1"/>
  <c r="H32" i="18"/>
  <c r="H43" i="18" s="1"/>
  <c r="I32" i="18"/>
  <c r="I43" i="18" s="1"/>
  <c r="J32" i="18"/>
  <c r="J43" i="18" s="1"/>
  <c r="K32" i="18"/>
  <c r="K43" i="18" s="1"/>
  <c r="L32" i="18"/>
  <c r="L43" i="18" s="1"/>
  <c r="M32" i="18"/>
  <c r="M43" i="18" s="1"/>
  <c r="N32" i="18"/>
  <c r="N43" i="18" s="1"/>
  <c r="O32" i="18"/>
  <c r="O43" i="18" s="1"/>
  <c r="P32" i="18"/>
  <c r="P43" i="18" s="1"/>
  <c r="Q32" i="18"/>
  <c r="Q43" i="18" s="1"/>
  <c r="R32" i="18"/>
  <c r="R43" i="18" s="1"/>
  <c r="S32" i="18"/>
  <c r="S43" i="18" s="1"/>
  <c r="T32" i="18"/>
  <c r="T43" i="18" s="1"/>
  <c r="U32" i="18"/>
  <c r="U43" i="18" s="1"/>
  <c r="V32" i="18"/>
  <c r="V43" i="18" s="1"/>
  <c r="W32" i="18"/>
  <c r="W43" i="18" s="1"/>
  <c r="X32" i="18"/>
  <c r="X43" i="18" s="1"/>
  <c r="Y32" i="18"/>
  <c r="Y43" i="18" s="1"/>
  <c r="Z32" i="18"/>
  <c r="Z43" i="18" s="1"/>
  <c r="AA32" i="18"/>
  <c r="AA43" i="18" s="1"/>
  <c r="AB32" i="18"/>
  <c r="AB43" i="18" s="1"/>
  <c r="AC32" i="18"/>
  <c r="AD32" i="18"/>
  <c r="AE32" i="18"/>
  <c r="AE43" i="18" s="1"/>
  <c r="AF32" i="18"/>
  <c r="AF43" i="18" s="1"/>
  <c r="AG32" i="18"/>
  <c r="AH32" i="18"/>
  <c r="AH43" i="18" s="1"/>
  <c r="AI32" i="18"/>
  <c r="AI43" i="18" s="1"/>
  <c r="AJ32" i="18"/>
  <c r="AJ43" i="18" s="1"/>
  <c r="AK32" i="18"/>
  <c r="AK43" i="18" s="1"/>
  <c r="AL32" i="18"/>
  <c r="AL43" i="18" s="1"/>
  <c r="AM32" i="18"/>
  <c r="AM43" i="18" s="1"/>
  <c r="AN32" i="18"/>
  <c r="AN43" i="18" s="1"/>
  <c r="AO32" i="18"/>
  <c r="AO43" i="18" s="1"/>
  <c r="AP32" i="18"/>
  <c r="AP43" i="18" s="1"/>
  <c r="AQ32" i="18"/>
  <c r="AQ43" i="18" s="1"/>
  <c r="AR32" i="18"/>
  <c r="AR43" i="18" s="1"/>
  <c r="AS32" i="18"/>
  <c r="AS43" i="18" s="1"/>
  <c r="AT32" i="18"/>
  <c r="AT43" i="18" s="1"/>
  <c r="AU32" i="18"/>
  <c r="AU43" i="18" s="1"/>
  <c r="AV32" i="18"/>
  <c r="AV43" i="18" s="1"/>
  <c r="AW32" i="18"/>
  <c r="AX32" i="18"/>
  <c r="AY32" i="18"/>
  <c r="AY43" i="18" s="1"/>
  <c r="AZ32" i="18"/>
  <c r="BA32" i="18"/>
  <c r="BB32" i="18"/>
  <c r="BC32" i="18"/>
  <c r="BC43" i="18" s="1"/>
  <c r="BD32" i="18"/>
  <c r="BD43" i="18" s="1"/>
  <c r="BE32" i="18"/>
  <c r="BE43" i="18" s="1"/>
  <c r="BF32" i="18"/>
  <c r="BF43" i="18" s="1"/>
  <c r="BG32" i="18"/>
  <c r="BG43" i="18" s="1"/>
  <c r="BH32" i="18"/>
  <c r="BH43" i="18" s="1"/>
  <c r="BI32" i="18"/>
  <c r="BI43" i="18" s="1"/>
  <c r="BJ32" i="18"/>
  <c r="BJ43" i="18" s="1"/>
  <c r="BK32" i="18"/>
  <c r="BK43" i="18" s="1"/>
  <c r="BL32" i="18"/>
  <c r="BL43" i="18" s="1"/>
  <c r="BM32" i="18"/>
  <c r="BM43" i="18" s="1"/>
  <c r="BN32" i="18"/>
  <c r="BN43" i="18" s="1"/>
  <c r="BO32" i="18"/>
  <c r="BO43" i="18" s="1"/>
  <c r="BP32" i="18"/>
  <c r="BP43" i="18" s="1"/>
  <c r="BQ32" i="18"/>
  <c r="BQ43" i="18" s="1"/>
  <c r="BR32" i="18"/>
  <c r="BR43" i="18" s="1"/>
  <c r="BS32" i="18"/>
  <c r="BS43" i="18" s="1"/>
  <c r="BT32" i="18"/>
  <c r="BT43" i="18" s="1"/>
  <c r="BU32" i="18"/>
  <c r="BU43" i="18" s="1"/>
  <c r="BV32" i="18"/>
  <c r="BV43" i="18" s="1"/>
  <c r="BW32" i="18"/>
  <c r="BW43" i="18" s="1"/>
  <c r="BX32" i="18"/>
  <c r="BX43" i="18" s="1"/>
  <c r="BY32" i="18"/>
  <c r="BY43" i="18" s="1"/>
  <c r="BZ32" i="18"/>
  <c r="BZ43" i="18" s="1"/>
  <c r="CA32" i="18"/>
  <c r="CA43" i="18" s="1"/>
  <c r="CB32" i="18"/>
  <c r="CB43" i="18" s="1"/>
  <c r="CC32" i="18"/>
  <c r="CC43" i="18" s="1"/>
  <c r="CD32" i="18"/>
  <c r="CD43" i="18" s="1"/>
  <c r="CE32" i="18"/>
  <c r="CE43" i="18" s="1"/>
  <c r="CF32" i="18"/>
  <c r="CF43" i="18" s="1"/>
  <c r="CG32" i="18"/>
  <c r="CG43" i="18" s="1"/>
  <c r="CH32" i="18"/>
  <c r="CH43" i="18" s="1"/>
  <c r="CI32" i="18"/>
  <c r="CI43" i="18" s="1"/>
  <c r="F43" i="18"/>
  <c r="AC43" i="18"/>
  <c r="AD43" i="18"/>
  <c r="AG43" i="18"/>
  <c r="AW43" i="18"/>
  <c r="AX43" i="18"/>
  <c r="AZ43" i="18"/>
  <c r="BA43" i="18"/>
  <c r="BB43" i="18"/>
  <c r="F88" i="11"/>
  <c r="G88" i="11"/>
  <c r="H88" i="11"/>
  <c r="K6" i="3" s="1"/>
  <c r="I88" i="11"/>
  <c r="K7" i="3" s="1"/>
  <c r="J88" i="11"/>
  <c r="K8" i="3" s="1"/>
  <c r="K88" i="11"/>
  <c r="K9" i="3" s="1"/>
  <c r="L88" i="11"/>
  <c r="K10" i="3" s="1"/>
  <c r="M88" i="11"/>
  <c r="K11" i="3" s="1"/>
  <c r="N88" i="11"/>
  <c r="O88" i="11"/>
  <c r="K13" i="3" s="1"/>
  <c r="Q88" i="11"/>
  <c r="K14" i="3" s="1"/>
  <c r="R88" i="11"/>
  <c r="K15" i="3" s="1"/>
  <c r="S88" i="11"/>
  <c r="K16" i="3" s="1"/>
  <c r="T88" i="11"/>
  <c r="U88" i="11"/>
  <c r="K18" i="3" s="1"/>
  <c r="V88" i="11"/>
  <c r="W88" i="11"/>
  <c r="K20" i="3" s="1"/>
  <c r="X88" i="11"/>
  <c r="Y88" i="11"/>
  <c r="K22" i="3" s="1"/>
  <c r="Z88" i="11"/>
  <c r="K23" i="3" s="1"/>
  <c r="AA88" i="11"/>
  <c r="K24" i="3" s="1"/>
  <c r="AB88" i="11"/>
  <c r="AD88" i="11"/>
  <c r="AE88" i="11"/>
  <c r="AF88" i="11"/>
  <c r="AG88" i="11"/>
  <c r="K29" i="3" s="1"/>
  <c r="AH88" i="11"/>
  <c r="K30" i="3" s="1"/>
  <c r="AI88" i="11"/>
  <c r="K31" i="3" s="1"/>
  <c r="AJ88" i="11"/>
  <c r="K32" i="3" s="1"/>
  <c r="AK88" i="11"/>
  <c r="AL88" i="11"/>
  <c r="K34" i="3" s="1"/>
  <c r="AM88" i="11"/>
  <c r="AN88" i="11"/>
  <c r="AO88" i="11"/>
  <c r="AQ88" i="11"/>
  <c r="K38" i="3" s="1"/>
  <c r="AR88" i="11"/>
  <c r="K39" i="3" s="1"/>
  <c r="AS88" i="11"/>
  <c r="K40" i="3" s="1"/>
  <c r="AT88" i="11"/>
  <c r="K41" i="3" s="1"/>
  <c r="AU88" i="11"/>
  <c r="K42" i="3" s="1"/>
  <c r="AV88" i="11"/>
  <c r="K43" i="3" s="1"/>
  <c r="AW88" i="11"/>
  <c r="K44" i="3" s="1"/>
  <c r="AX88" i="11"/>
  <c r="K45" i="3" s="1"/>
  <c r="AY88" i="11"/>
  <c r="K46" i="3" s="1"/>
  <c r="AZ88" i="11"/>
  <c r="K47" i="3" s="1"/>
  <c r="BA88" i="11"/>
  <c r="K48" i="3" s="1"/>
  <c r="BB88" i="11"/>
  <c r="K49" i="3" s="1"/>
  <c r="BD88" i="11"/>
  <c r="K50" i="3" s="1"/>
  <c r="BE88" i="11"/>
  <c r="K51" i="3" s="1"/>
  <c r="BF88" i="11"/>
  <c r="K52" i="3" s="1"/>
  <c r="BG88" i="11"/>
  <c r="K53" i="3" s="1"/>
  <c r="BH88" i="11"/>
  <c r="K54" i="3" s="1"/>
  <c r="BI88" i="11"/>
  <c r="K55" i="3" s="1"/>
  <c r="BJ88" i="11"/>
  <c r="K56" i="3" s="1"/>
  <c r="BK88" i="11"/>
  <c r="K57" i="3" s="1"/>
  <c r="BL88" i="11"/>
  <c r="K58" i="3" s="1"/>
  <c r="BM88" i="11"/>
  <c r="K59" i="3" s="1"/>
  <c r="BN88" i="11"/>
  <c r="K60" i="3" s="1"/>
  <c r="BO88" i="11"/>
  <c r="K61" i="3" s="1"/>
  <c r="BQ88" i="11"/>
  <c r="K62" i="3" s="1"/>
  <c r="BR88" i="11"/>
  <c r="K63" i="3" s="1"/>
  <c r="BS88" i="11"/>
  <c r="K64" i="3" s="1"/>
  <c r="BT88" i="11"/>
  <c r="K65" i="3" s="1"/>
  <c r="BU88" i="11"/>
  <c r="K66" i="3" s="1"/>
  <c r="BV88" i="11"/>
  <c r="K67" i="3" s="1"/>
  <c r="BW88" i="11"/>
  <c r="K68" i="3" s="1"/>
  <c r="BX88" i="11"/>
  <c r="K69" i="3" s="1"/>
  <c r="BY88" i="11"/>
  <c r="K70" i="3" s="1"/>
  <c r="BZ88" i="11"/>
  <c r="K71" i="3" s="1"/>
  <c r="CA88" i="11"/>
  <c r="K72" i="3" s="1"/>
  <c r="CB88" i="11"/>
  <c r="K73" i="3" s="1"/>
  <c r="CD88" i="11"/>
  <c r="K74" i="3" s="1"/>
  <c r="CE88" i="11"/>
  <c r="K75" i="3" s="1"/>
  <c r="CF88" i="11"/>
  <c r="K76" i="3" s="1"/>
  <c r="CG88" i="11"/>
  <c r="K77" i="3" s="1"/>
  <c r="CH88" i="11"/>
  <c r="K78" i="3" s="1"/>
  <c r="CI88" i="11"/>
  <c r="K79" i="3" s="1"/>
  <c r="CJ88" i="11"/>
  <c r="K80" i="3" s="1"/>
  <c r="CK88" i="11"/>
  <c r="K81" i="3" s="1"/>
  <c r="CL88" i="11"/>
  <c r="K82" i="3" s="1"/>
  <c r="CM88" i="11"/>
  <c r="K83" i="3" s="1"/>
  <c r="CN88" i="11"/>
  <c r="K84" i="3" s="1"/>
  <c r="CO88" i="11"/>
  <c r="H93" i="11"/>
  <c r="I93" i="11"/>
  <c r="J93" i="11"/>
  <c r="K93" i="11"/>
  <c r="L93" i="11"/>
  <c r="AG93" i="11"/>
  <c r="AH93" i="11"/>
  <c r="AJ93" i="11"/>
  <c r="AL93" i="11"/>
  <c r="L16" i="13"/>
  <c r="L69" i="13" s="1"/>
  <c r="N16" i="13"/>
  <c r="N69" i="13" s="1"/>
  <c r="AB16" i="13"/>
  <c r="AB69" i="13" s="1"/>
  <c r="AR16" i="13"/>
  <c r="AR69" i="13" s="1"/>
  <c r="L17" i="13"/>
  <c r="L62" i="13" s="1"/>
  <c r="N17" i="13"/>
  <c r="AB17" i="13"/>
  <c r="AB21" i="13" s="1"/>
  <c r="AR17" i="13"/>
  <c r="AR21" i="13" s="1"/>
  <c r="K17" i="13" l="1"/>
  <c r="K21" i="13" s="1"/>
  <c r="K16" i="13"/>
  <c r="K69" i="13" s="1"/>
  <c r="M17" i="13"/>
  <c r="M62" i="13" s="1"/>
  <c r="M16" i="13"/>
  <c r="M69" i="13" s="1"/>
  <c r="L21" i="13"/>
  <c r="L34" i="13" s="1"/>
  <c r="AQ17" i="13"/>
  <c r="AQ21" i="13" s="1"/>
  <c r="AQ34" i="13" s="1"/>
  <c r="AE16" i="13"/>
  <c r="AE17" i="13"/>
  <c r="AE21" i="13" s="1"/>
  <c r="AE34" i="13" s="1"/>
  <c r="AD17" i="13"/>
  <c r="AD21" i="13" s="1"/>
  <c r="AD34" i="13" s="1"/>
  <c r="Q17" i="13"/>
  <c r="Q21" i="13" s="1"/>
  <c r="Q34" i="13" s="1"/>
  <c r="Q16" i="13"/>
  <c r="Q69" i="13" s="1"/>
  <c r="Z93" i="11"/>
  <c r="U93" i="11"/>
  <c r="R93" i="11"/>
  <c r="Q93" i="11"/>
  <c r="L55" i="13"/>
  <c r="S93" i="11"/>
  <c r="AB55" i="13"/>
  <c r="M55" i="13"/>
  <c r="AA93" i="11"/>
  <c r="AR62" i="13"/>
  <c r="K62" i="13"/>
  <c r="M21" i="13"/>
  <c r="M34" i="13" s="1"/>
  <c r="Z16" i="13"/>
  <c r="Z69" i="13" s="1"/>
  <c r="Z17" i="13"/>
  <c r="U16" i="13"/>
  <c r="U17" i="13"/>
  <c r="S16" i="13"/>
  <c r="S17" i="13"/>
  <c r="S21" i="13" s="1"/>
  <c r="S34" i="13" s="1"/>
  <c r="R16" i="13"/>
  <c r="R17" i="13"/>
  <c r="AP16" i="13"/>
  <c r="AP69" i="13" s="1"/>
  <c r="AP17" i="13"/>
  <c r="AO16" i="13"/>
  <c r="AO17" i="13"/>
  <c r="X17" i="13"/>
  <c r="X62" i="13" s="1"/>
  <c r="X16" i="13"/>
  <c r="AL62" i="13"/>
  <c r="AL21" i="13"/>
  <c r="AL34" i="13" s="1"/>
  <c r="AK16" i="13"/>
  <c r="AK17" i="13"/>
  <c r="AH16" i="13"/>
  <c r="AH17" i="13"/>
  <c r="AC62" i="13"/>
  <c r="AC21" i="13"/>
  <c r="AC34" i="13" s="1"/>
  <c r="P17" i="13"/>
  <c r="P21" i="13" s="1"/>
  <c r="P34" i="13" s="1"/>
  <c r="P16" i="13"/>
  <c r="P69" i="13" s="1"/>
  <c r="Y17" i="13"/>
  <c r="Y16" i="13"/>
  <c r="AN16" i="13"/>
  <c r="AN17" i="13"/>
  <c r="AN62" i="13" s="1"/>
  <c r="AM69" i="13"/>
  <c r="V69" i="13"/>
  <c r="AJ62" i="13"/>
  <c r="AJ21" i="13"/>
  <c r="AJ34" i="13" s="1"/>
  <c r="AI16" i="13"/>
  <c r="AI17" i="13"/>
  <c r="AG16" i="13"/>
  <c r="AG69" i="13" s="1"/>
  <c r="AG17" i="13"/>
  <c r="AF17" i="13"/>
  <c r="AF21" i="13" s="1"/>
  <c r="AF34" i="13" s="1"/>
  <c r="AF16" i="13"/>
  <c r="AF69" i="13" s="1"/>
  <c r="O16" i="13"/>
  <c r="O17" i="13"/>
  <c r="AA17" i="13"/>
  <c r="AA55" i="13" s="1"/>
  <c r="AC16" i="13"/>
  <c r="AM17" i="13"/>
  <c r="AM21" i="13" s="1"/>
  <c r="V17" i="13"/>
  <c r="V21" i="13" s="1"/>
  <c r="V34" i="13" s="1"/>
  <c r="AB62" i="13"/>
  <c r="W16" i="13"/>
  <c r="W69" i="13" s="1"/>
  <c r="AJ16" i="13"/>
  <c r="T16" i="13"/>
  <c r="AL16" i="13"/>
  <c r="AR55" i="13"/>
  <c r="K26" i="3"/>
  <c r="AD93" i="11"/>
  <c r="N55" i="13"/>
  <c r="N62" i="13"/>
  <c r="N21" i="13"/>
  <c r="K25" i="3"/>
  <c r="AB93" i="11"/>
  <c r="AB34" i="13"/>
  <c r="AQ69" i="13"/>
  <c r="AQ55" i="13"/>
  <c r="AA69" i="13"/>
  <c r="W21" i="13"/>
  <c r="W62" i="13"/>
  <c r="K28" i="3"/>
  <c r="AF93" i="11"/>
  <c r="K12" i="3"/>
  <c r="N93" i="11"/>
  <c r="K27" i="3"/>
  <c r="AE93" i="11"/>
  <c r="AR34" i="13"/>
  <c r="K34" i="13"/>
  <c r="K95" i="3"/>
  <c r="K179" i="3"/>
  <c r="K331" i="3"/>
  <c r="K336" i="3"/>
  <c r="K328" i="3"/>
  <c r="K297" i="3"/>
  <c r="K324" i="3"/>
  <c r="K358" i="3"/>
  <c r="K229" i="3"/>
  <c r="K354" i="3"/>
  <c r="K141" i="3"/>
  <c r="K224" i="3"/>
  <c r="K265" i="3"/>
  <c r="K266" i="3"/>
  <c r="K107" i="3"/>
  <c r="K88" i="3"/>
  <c r="K294" i="3"/>
  <c r="K334" i="3"/>
  <c r="K280" i="3"/>
  <c r="K333" i="3"/>
  <c r="K117" i="3"/>
  <c r="K85" i="3"/>
  <c r="K176" i="3"/>
  <c r="K344" i="3"/>
  <c r="K268" i="3"/>
  <c r="K216" i="3"/>
  <c r="K194" i="3"/>
  <c r="K315" i="3"/>
  <c r="K232" i="3"/>
  <c r="K256" i="3"/>
  <c r="K273" i="3"/>
  <c r="K351" i="3"/>
  <c r="K284" i="3"/>
  <c r="K154" i="3"/>
  <c r="K264" i="3"/>
  <c r="K203" i="3"/>
  <c r="K115" i="3"/>
  <c r="K239" i="3"/>
  <c r="K112" i="3"/>
  <c r="K356" i="3"/>
  <c r="K329" i="3"/>
  <c r="K317" i="3"/>
  <c r="K129" i="3"/>
  <c r="K159" i="3"/>
  <c r="K111" i="3"/>
  <c r="K100" i="3"/>
  <c r="K261" i="3"/>
  <c r="K325" i="3"/>
  <c r="K285" i="3"/>
  <c r="K286" i="3"/>
  <c r="K127" i="3"/>
  <c r="K108" i="3"/>
  <c r="K89" i="3"/>
  <c r="K91" i="3"/>
  <c r="K319" i="3"/>
  <c r="K207" i="3"/>
  <c r="K118" i="3"/>
  <c r="K86" i="3"/>
  <c r="K102" i="3"/>
  <c r="K106" i="3"/>
  <c r="K361" i="3"/>
  <c r="K184" i="3"/>
  <c r="K236" i="3"/>
  <c r="K166" i="3"/>
  <c r="K217" i="3"/>
  <c r="K123" i="3"/>
  <c r="K257" i="3"/>
  <c r="K226" i="3"/>
  <c r="K283" i="3"/>
  <c r="K121" i="3"/>
  <c r="K135" i="3"/>
  <c r="K279" i="3"/>
  <c r="K173" i="3"/>
  <c r="K298" i="3"/>
  <c r="K310" i="3"/>
  <c r="K337" i="3"/>
  <c r="K151" i="3"/>
  <c r="K259" i="3"/>
  <c r="K292" i="3"/>
  <c r="K220" i="3"/>
  <c r="K222" i="3"/>
  <c r="K249" i="3"/>
  <c r="K209" i="3"/>
  <c r="K306" i="3"/>
  <c r="K147" i="3"/>
  <c r="K128" i="3"/>
  <c r="K113" i="3"/>
  <c r="K251" i="3"/>
  <c r="K282" i="3"/>
  <c r="K188" i="3"/>
  <c r="K122" i="3"/>
  <c r="K327" i="3"/>
  <c r="K137" i="3"/>
  <c r="K288" i="3"/>
  <c r="K178" i="3"/>
  <c r="K146" i="3"/>
  <c r="K161" i="3"/>
  <c r="K271" i="3"/>
  <c r="K343" i="3"/>
  <c r="K132" i="3"/>
  <c r="K258" i="3"/>
  <c r="K316" i="3"/>
  <c r="K193" i="3"/>
  <c r="K155" i="3"/>
  <c r="K120" i="3"/>
  <c r="K314" i="3"/>
  <c r="K119" i="3"/>
  <c r="K92" i="3"/>
  <c r="K357" i="3"/>
  <c r="K192" i="3"/>
  <c r="K359" i="3"/>
  <c r="K253" i="3"/>
  <c r="K281" i="3"/>
  <c r="K183" i="3"/>
  <c r="K191" i="3"/>
  <c r="K131" i="3"/>
  <c r="K326" i="3"/>
  <c r="K167" i="3"/>
  <c r="K148" i="3"/>
  <c r="K90" i="3"/>
  <c r="K93" i="3"/>
  <c r="K274" i="3"/>
  <c r="K213" i="3"/>
  <c r="K130" i="3"/>
  <c r="K240" i="3"/>
  <c r="K144" i="3"/>
  <c r="K267" i="3"/>
  <c r="K255" i="3"/>
  <c r="K140" i="3"/>
  <c r="K342" i="3"/>
  <c r="K105" i="3"/>
  <c r="K248" i="3"/>
  <c r="K347" i="3"/>
  <c r="K177" i="3"/>
  <c r="K242" i="3"/>
  <c r="K145" i="3"/>
  <c r="K290" i="3"/>
  <c r="K124" i="3"/>
  <c r="K198" i="3"/>
  <c r="K103" i="3"/>
  <c r="K349" i="3"/>
  <c r="K244" i="3"/>
  <c r="K218" i="3"/>
  <c r="K185" i="3"/>
  <c r="K270" i="3"/>
  <c r="K104" i="3"/>
  <c r="K163" i="3"/>
  <c r="K233" i="3"/>
  <c r="K99" i="3"/>
  <c r="K345" i="3"/>
  <c r="K245" i="3"/>
  <c r="K175" i="3"/>
  <c r="K200" i="3"/>
  <c r="K96" i="3"/>
  <c r="K199" i="3"/>
  <c r="K352" i="3"/>
  <c r="K338" i="3"/>
  <c r="K153" i="3"/>
  <c r="K180" i="3"/>
  <c r="K114" i="3"/>
  <c r="K162" i="3"/>
  <c r="K164" i="3"/>
  <c r="K332" i="3"/>
  <c r="K272" i="3"/>
  <c r="K346" i="3"/>
  <c r="K187" i="3"/>
  <c r="K168" i="3"/>
  <c r="K110" i="3"/>
  <c r="K254" i="3"/>
  <c r="K304" i="3"/>
  <c r="K299" i="3"/>
  <c r="K170" i="3"/>
  <c r="K138" i="3"/>
  <c r="K303" i="3"/>
  <c r="K149" i="3"/>
  <c r="K223" i="3"/>
  <c r="K341" i="3"/>
  <c r="K186" i="3"/>
  <c r="K212" i="3"/>
  <c r="K252" i="3"/>
  <c r="K278" i="3"/>
  <c r="K246" i="3"/>
  <c r="K195" i="3"/>
  <c r="K300" i="3"/>
  <c r="K116" i="3"/>
  <c r="K339" i="3"/>
  <c r="K94" i="3"/>
  <c r="K139" i="3"/>
  <c r="K247" i="3"/>
  <c r="K307" i="3"/>
  <c r="K340" i="3"/>
  <c r="K250" i="3"/>
  <c r="K262" i="3"/>
  <c r="K277" i="3"/>
  <c r="K214" i="3"/>
  <c r="K215" i="3"/>
  <c r="K221" i="3"/>
  <c r="K136" i="3"/>
  <c r="K160" i="3"/>
  <c r="K97" i="3"/>
  <c r="K219" i="3"/>
  <c r="K98" i="3"/>
  <c r="K360" i="3"/>
  <c r="K241" i="3"/>
  <c r="K263" i="3"/>
  <c r="K109" i="3"/>
  <c r="K174" i="3"/>
  <c r="K234" i="3"/>
  <c r="K287" i="3"/>
  <c r="K227" i="3"/>
  <c r="K208" i="3"/>
  <c r="K150" i="3"/>
  <c r="K235" i="3"/>
  <c r="K301" i="3"/>
  <c r="K156" i="3"/>
  <c r="K201" i="3"/>
  <c r="K231" i="3"/>
  <c r="K228" i="3"/>
  <c r="K320" i="3"/>
  <c r="K321" i="3"/>
  <c r="K312" i="3"/>
  <c r="K190" i="3"/>
  <c r="K295" i="3"/>
  <c r="K211" i="3"/>
  <c r="K308" i="3"/>
  <c r="K182" i="3"/>
  <c r="K305" i="3"/>
  <c r="K165" i="3"/>
  <c r="K269" i="3"/>
  <c r="K335" i="3"/>
  <c r="K189" i="3"/>
  <c r="K350" i="3"/>
  <c r="K322" i="3"/>
  <c r="K225" i="3"/>
  <c r="K152" i="3"/>
  <c r="K330" i="3"/>
  <c r="K293" i="3"/>
  <c r="K133" i="3"/>
  <c r="K275" i="3"/>
  <c r="K302" i="3"/>
  <c r="K196" i="3"/>
  <c r="K181" i="3"/>
  <c r="K157" i="3"/>
  <c r="K260" i="3"/>
  <c r="K158" i="3"/>
  <c r="K142" i="3"/>
  <c r="K323" i="3"/>
  <c r="K169" i="3"/>
  <c r="K353" i="3"/>
  <c r="K125" i="3"/>
  <c r="K126" i="3"/>
  <c r="K289" i="3"/>
  <c r="K210" i="3"/>
  <c r="K230" i="3"/>
  <c r="K197" i="3"/>
  <c r="K355" i="3"/>
  <c r="K348" i="3"/>
  <c r="K276" i="3"/>
  <c r="K243" i="3"/>
  <c r="K237" i="3"/>
  <c r="K202" i="3"/>
  <c r="K238" i="3"/>
  <c r="K204" i="3"/>
  <c r="K171" i="3"/>
  <c r="K134" i="3"/>
  <c r="K143" i="3"/>
  <c r="K205" i="3"/>
  <c r="K206" i="3"/>
  <c r="K313" i="3"/>
  <c r="K172" i="3"/>
  <c r="K291" i="3"/>
  <c r="K311" i="3"/>
  <c r="K318" i="3"/>
  <c r="K309" i="3"/>
  <c r="K296" i="3"/>
  <c r="K101" i="3"/>
  <c r="K87" i="3"/>
  <c r="K37" i="3"/>
  <c r="AO93" i="11"/>
  <c r="K21" i="3"/>
  <c r="X93" i="11"/>
  <c r="K5" i="3"/>
  <c r="G93" i="11"/>
  <c r="K36" i="3"/>
  <c r="AN93" i="11"/>
  <c r="K4" i="3"/>
  <c r="F93" i="11"/>
  <c r="V62" i="13"/>
  <c r="K35" i="3"/>
  <c r="AM93" i="11"/>
  <c r="K19" i="3"/>
  <c r="V93" i="11"/>
  <c r="T62" i="13"/>
  <c r="Y93" i="11"/>
  <c r="W93" i="11"/>
  <c r="K33" i="3"/>
  <c r="AK93" i="11"/>
  <c r="K17" i="3"/>
  <c r="T93" i="11"/>
  <c r="AI93" i="11"/>
  <c r="O93" i="11"/>
  <c r="M93" i="11"/>
  <c r="AE55" i="13" l="1"/>
  <c r="AE62" i="13"/>
  <c r="AQ62" i="13"/>
  <c r="K55" i="13"/>
  <c r="Q55" i="13"/>
  <c r="AM62" i="13"/>
  <c r="AE69" i="13"/>
  <c r="Z55" i="13"/>
  <c r="Q62" i="13"/>
  <c r="AD55" i="13"/>
  <c r="AP55" i="13"/>
  <c r="AD62" i="13"/>
  <c r="AM55" i="13"/>
  <c r="B93" i="11"/>
  <c r="S62" i="13"/>
  <c r="AN55" i="13"/>
  <c r="AN69" i="13"/>
  <c r="Y62" i="13"/>
  <c r="Y21" i="13"/>
  <c r="Y34" i="13" s="1"/>
  <c r="X21" i="13"/>
  <c r="X34" i="13" s="1"/>
  <c r="AP21" i="13"/>
  <c r="AP62" i="13"/>
  <c r="T55" i="13"/>
  <c r="T69" i="13"/>
  <c r="R21" i="13"/>
  <c r="R62" i="13"/>
  <c r="AJ55" i="13"/>
  <c r="AJ69" i="13"/>
  <c r="R69" i="13"/>
  <c r="R55" i="13"/>
  <c r="P62" i="13"/>
  <c r="U62" i="13"/>
  <c r="U21" i="13"/>
  <c r="U34" i="13" s="1"/>
  <c r="AF55" i="13"/>
  <c r="AH55" i="13"/>
  <c r="AH69" i="13"/>
  <c r="U55" i="13"/>
  <c r="U69" i="13"/>
  <c r="O21" i="13"/>
  <c r="O62" i="13"/>
  <c r="O69" i="13"/>
  <c r="O55" i="13"/>
  <c r="AO62" i="13"/>
  <c r="AO21" i="13"/>
  <c r="AO55" i="13"/>
  <c r="AO69" i="13"/>
  <c r="AI21" i="13"/>
  <c r="AI34" i="13" s="1"/>
  <c r="AI62" i="13"/>
  <c r="V55" i="13"/>
  <c r="AK62" i="13"/>
  <c r="AK21" i="13"/>
  <c r="AK34" i="13" s="1"/>
  <c r="Z62" i="13"/>
  <c r="Z21" i="13"/>
  <c r="AA62" i="13"/>
  <c r="AA21" i="13"/>
  <c r="AN21" i="13"/>
  <c r="X55" i="13"/>
  <c r="X69" i="13"/>
  <c r="Y55" i="13"/>
  <c r="Y69" i="13"/>
  <c r="AG55" i="13"/>
  <c r="AG62" i="13"/>
  <c r="AG21" i="13"/>
  <c r="E17" i="20"/>
  <c r="AL69" i="13"/>
  <c r="AL55" i="13"/>
  <c r="D17" i="20"/>
  <c r="AI69" i="13"/>
  <c r="AI55" i="13"/>
  <c r="P55" i="13"/>
  <c r="S69" i="13"/>
  <c r="S55" i="13"/>
  <c r="AF62" i="13"/>
  <c r="W55" i="13"/>
  <c r="AH21" i="13"/>
  <c r="AH34" i="13" s="1"/>
  <c r="AH62" i="13"/>
  <c r="AC55" i="13"/>
  <c r="AC69" i="13"/>
  <c r="AK55" i="13"/>
  <c r="AK69" i="13"/>
  <c r="F17" i="20"/>
  <c r="AM34" i="13"/>
  <c r="W34" i="13"/>
  <c r="N34" i="13"/>
  <c r="AO34" i="13" l="1"/>
  <c r="R34" i="13"/>
  <c r="AN34" i="13"/>
  <c r="O34" i="13"/>
  <c r="AG34" i="13"/>
  <c r="AA34" i="13"/>
  <c r="Z34" i="13"/>
  <c r="AP34" i="13"/>
  <c r="AM14" i="18"/>
  <c r="E20" i="20" l="1"/>
  <c r="E27" i="20"/>
  <c r="E28" i="20"/>
  <c r="Z14" i="18"/>
  <c r="G36" i="3" l="1"/>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I36" i="3" l="1"/>
  <c r="AN63" i="11" s="1"/>
  <c r="L36" i="3"/>
  <c r="G37" i="3" l="1"/>
  <c r="F20" i="20" l="1"/>
  <c r="I37" i="3"/>
  <c r="AO63" i="11" l="1"/>
  <c r="J37" i="3"/>
  <c r="AO64" i="11" l="1"/>
  <c r="AP64" i="11" s="1"/>
  <c r="F19" i="12" s="1"/>
  <c r="L37" i="3"/>
  <c r="G38" i="3" s="1"/>
  <c r="I38" i="3" l="1"/>
  <c r="AQ63" i="11" l="1"/>
  <c r="J38" i="3"/>
  <c r="AQ64" i="11" l="1"/>
  <c r="L38" i="3"/>
  <c r="G39" i="3" s="1"/>
  <c r="I39" i="3" l="1"/>
  <c r="AR63" i="11" l="1"/>
  <c r="J39" i="3"/>
  <c r="AR64" i="11" l="1"/>
  <c r="L39" i="3"/>
  <c r="G40" i="3" s="1"/>
  <c r="I40" i="3" l="1"/>
  <c r="AS63" i="11" l="1"/>
  <c r="J40" i="3"/>
  <c r="AS64" i="11" l="1"/>
  <c r="L40" i="3"/>
  <c r="G41" i="3" s="1"/>
  <c r="I41" i="3" l="1"/>
  <c r="AT63" i="11" l="1"/>
  <c r="J41" i="3"/>
  <c r="AT64" i="11" l="1"/>
  <c r="L41" i="3"/>
  <c r="G42" i="3" s="1"/>
  <c r="I42" i="3" l="1"/>
  <c r="AU63" i="11" l="1"/>
  <c r="J42" i="3"/>
  <c r="AU64" i="11" l="1"/>
  <c r="L42" i="3"/>
  <c r="G43" i="3" s="1"/>
  <c r="I43" i="3" l="1"/>
  <c r="AV63" i="11" l="1"/>
  <c r="J43" i="3"/>
  <c r="AV64" i="11" l="1"/>
  <c r="L43" i="3"/>
  <c r="G44" i="3" s="1"/>
  <c r="I44" i="3" l="1"/>
  <c r="AW63" i="11" l="1"/>
  <c r="J44" i="3"/>
  <c r="AW64" i="11" l="1"/>
  <c r="L44" i="3"/>
  <c r="G45" i="3" s="1"/>
  <c r="I45" i="3" l="1"/>
  <c r="AX63" i="11" l="1"/>
  <c r="J45" i="3"/>
  <c r="AX64" i="11" l="1"/>
  <c r="L45" i="3"/>
  <c r="G46" i="3" s="1"/>
  <c r="I46" i="3" l="1"/>
  <c r="AY63" i="11" l="1"/>
  <c r="J46" i="3"/>
  <c r="AY64" i="11" l="1"/>
  <c r="L46" i="3"/>
  <c r="G47" i="3" s="1"/>
  <c r="I47" i="3" l="1"/>
  <c r="AZ63" i="11" l="1"/>
  <c r="J47" i="3"/>
  <c r="AZ64" i="11" l="1"/>
  <c r="L47" i="3"/>
  <c r="G48" i="3" s="1"/>
  <c r="I48" i="3" l="1"/>
  <c r="BA63" i="11" l="1"/>
  <c r="J48" i="3"/>
  <c r="BA64" i="11" l="1"/>
  <c r="L48" i="3"/>
  <c r="G49" i="3" s="1"/>
  <c r="I49" i="3" l="1"/>
  <c r="BB63" i="11" l="1"/>
  <c r="J49" i="3"/>
  <c r="BB64" i="11" l="1"/>
  <c r="BC64" i="11" s="1"/>
  <c r="G19" i="12" s="1"/>
  <c r="L49" i="3"/>
  <c r="G50" i="3" s="1"/>
  <c r="BC63" i="11"/>
  <c r="I50" i="3" l="1"/>
  <c r="G18" i="12"/>
  <c r="BD63" i="11" l="1"/>
  <c r="J50" i="3"/>
  <c r="BD64" i="11" l="1"/>
  <c r="L50" i="3"/>
  <c r="G51" i="3" s="1"/>
  <c r="I51" i="3" l="1"/>
  <c r="BE63" i="11" l="1"/>
  <c r="J51" i="3"/>
  <c r="BE64" i="11" l="1"/>
  <c r="L51" i="3"/>
  <c r="G52" i="3" s="1"/>
  <c r="I52" i="3" l="1"/>
  <c r="BF63" i="11" l="1"/>
  <c r="J52" i="3"/>
  <c r="BF64" i="11" l="1"/>
  <c r="L52" i="3"/>
  <c r="G53" i="3" s="1"/>
  <c r="I53" i="3" l="1"/>
  <c r="BG63" i="11" l="1"/>
  <c r="J53" i="3"/>
  <c r="BG64" i="11" l="1"/>
  <c r="L53" i="3"/>
  <c r="G54" i="3" s="1"/>
  <c r="I54" i="3" l="1"/>
  <c r="BH63" i="11" l="1"/>
  <c r="J54" i="3"/>
  <c r="BH64" i="11" l="1"/>
  <c r="L54" i="3"/>
  <c r="G55" i="3" s="1"/>
  <c r="I55" i="3" l="1"/>
  <c r="BI63" i="11" l="1"/>
  <c r="J55" i="3"/>
  <c r="BI64" i="11" l="1"/>
  <c r="L55" i="3"/>
  <c r="G56" i="3" s="1"/>
  <c r="I56" i="3" l="1"/>
  <c r="BJ63" i="11" l="1"/>
  <c r="J56" i="3"/>
  <c r="BJ64" i="11" l="1"/>
  <c r="L56" i="3"/>
  <c r="G57" i="3" s="1"/>
  <c r="I57" i="3" l="1"/>
  <c r="BK63" i="11" l="1"/>
  <c r="J57" i="3"/>
  <c r="BK64" i="11" l="1"/>
  <c r="L57" i="3"/>
  <c r="G58" i="3" s="1"/>
  <c r="I58" i="3" l="1"/>
  <c r="BL63" i="11" l="1"/>
  <c r="J58" i="3"/>
  <c r="BL64" i="11" l="1"/>
  <c r="L58" i="3"/>
  <c r="G59" i="3" s="1"/>
  <c r="I59" i="3" l="1"/>
  <c r="BM63" i="11" l="1"/>
  <c r="J59" i="3"/>
  <c r="BM64" i="11" l="1"/>
  <c r="L59" i="3"/>
  <c r="G60" i="3" s="1"/>
  <c r="I60" i="3" l="1"/>
  <c r="BN63" i="11" l="1"/>
  <c r="J60" i="3"/>
  <c r="BN64" i="11" l="1"/>
  <c r="L60" i="3"/>
  <c r="G61" i="3" s="1"/>
  <c r="I61" i="3" l="1"/>
  <c r="BO63" i="11" l="1"/>
  <c r="J61" i="3"/>
  <c r="BO64" i="11" l="1"/>
  <c r="BP64" i="11" s="1"/>
  <c r="H19" i="12" s="1"/>
  <c r="L61" i="3"/>
  <c r="G62" i="3" s="1"/>
  <c r="BP63" i="11"/>
  <c r="H18" i="12" l="1"/>
  <c r="I62" i="3"/>
  <c r="BQ63" i="11" l="1"/>
  <c r="J62" i="3"/>
  <c r="BQ64" i="11" l="1"/>
  <c r="L62" i="3"/>
  <c r="G63" i="3" s="1"/>
  <c r="I63" i="3" l="1"/>
  <c r="BR63" i="11" l="1"/>
  <c r="J63" i="3"/>
  <c r="BR64" i="11" l="1"/>
  <c r="L63" i="3"/>
  <c r="G64" i="3" s="1"/>
  <c r="I64" i="3" l="1"/>
  <c r="BS63" i="11" l="1"/>
  <c r="J64" i="3"/>
  <c r="BS64" i="11" l="1"/>
  <c r="L64" i="3"/>
  <c r="G65" i="3" s="1"/>
  <c r="I65" i="3" l="1"/>
  <c r="J65" i="3" l="1"/>
  <c r="BT63" i="11"/>
  <c r="BT64" i="11" l="1"/>
  <c r="L65" i="3"/>
  <c r="G66" i="3" s="1"/>
  <c r="I66" i="3" l="1"/>
  <c r="J66" i="3" l="1"/>
  <c r="BU63" i="11"/>
  <c r="BU64" i="11" l="1"/>
  <c r="L66" i="3"/>
  <c r="G67" i="3" s="1"/>
  <c r="I67" i="3" l="1"/>
  <c r="BV63" i="11" l="1"/>
  <c r="J67" i="3"/>
  <c r="BV64" i="11" l="1"/>
  <c r="L67" i="3"/>
  <c r="G68" i="3" s="1"/>
  <c r="I68" i="3" l="1"/>
  <c r="J68" i="3" l="1"/>
  <c r="BW63" i="11"/>
  <c r="BW64" i="11" l="1"/>
  <c r="L68" i="3"/>
  <c r="G69" i="3" s="1"/>
  <c r="I69" i="3" l="1"/>
  <c r="BX63" i="11" l="1"/>
  <c r="J69" i="3"/>
  <c r="BX64" i="11" l="1"/>
  <c r="L69" i="3"/>
  <c r="G70" i="3" s="1"/>
  <c r="I70" i="3" l="1"/>
  <c r="BY63" i="11" l="1"/>
  <c r="J70" i="3"/>
  <c r="BY64" i="11" l="1"/>
  <c r="L70" i="3"/>
  <c r="G71" i="3" s="1"/>
  <c r="I71" i="3" l="1"/>
  <c r="BZ63" i="11" l="1"/>
  <c r="J71" i="3"/>
  <c r="BZ64" i="11" l="1"/>
  <c r="L71" i="3"/>
  <c r="G72" i="3" s="1"/>
  <c r="I72" i="3" l="1"/>
  <c r="J72" i="3" l="1"/>
  <c r="CA63" i="11"/>
  <c r="CA64" i="11" l="1"/>
  <c r="L72" i="3"/>
  <c r="G73" i="3" s="1"/>
  <c r="I73" i="3" l="1"/>
  <c r="J73" i="3" l="1"/>
  <c r="CB63" i="11"/>
  <c r="CC63" i="11" l="1"/>
  <c r="CB64" i="11"/>
  <c r="CC64" i="11" s="1"/>
  <c r="I19" i="12" s="1"/>
  <c r="L73" i="3"/>
  <c r="G74" i="3" s="1"/>
  <c r="I74" i="3" l="1"/>
  <c r="I18" i="12"/>
  <c r="CD63" i="11" l="1"/>
  <c r="J74" i="3"/>
  <c r="CD64" i="11" l="1"/>
  <c r="L74" i="3"/>
  <c r="G75" i="3" s="1"/>
  <c r="I75" i="3" l="1"/>
  <c r="CE63" i="11" l="1"/>
  <c r="J75" i="3"/>
  <c r="CE64" i="11" l="1"/>
  <c r="L75" i="3"/>
  <c r="G76" i="3" s="1"/>
  <c r="I76" i="3" l="1"/>
  <c r="J76" i="3" l="1"/>
  <c r="CF63" i="11"/>
  <c r="CF64" i="11" l="1"/>
  <c r="L76" i="3"/>
  <c r="G77" i="3" s="1"/>
  <c r="I77" i="3" l="1"/>
  <c r="CG63" i="11" l="1"/>
  <c r="J77" i="3"/>
  <c r="CG64" i="11" l="1"/>
  <c r="L77" i="3"/>
  <c r="G78" i="3" s="1"/>
  <c r="I78" i="3" l="1"/>
  <c r="J78" i="3" l="1"/>
  <c r="CH63" i="11"/>
  <c r="CH64" i="11" l="1"/>
  <c r="L78" i="3"/>
  <c r="G79" i="3" s="1"/>
  <c r="I79" i="3" l="1"/>
  <c r="CI63" i="11" l="1"/>
  <c r="J79" i="3"/>
  <c r="CI64" i="11" l="1"/>
  <c r="L79" i="3"/>
  <c r="G80" i="3" s="1"/>
  <c r="I80" i="3" l="1"/>
  <c r="CJ63" i="11" l="1"/>
  <c r="J80" i="3"/>
  <c r="CJ64" i="11" l="1"/>
  <c r="L80" i="3"/>
  <c r="G81" i="3" s="1"/>
  <c r="I81" i="3" l="1"/>
  <c r="J81" i="3" l="1"/>
  <c r="CK63" i="11"/>
  <c r="CK64" i="11" l="1"/>
  <c r="L81" i="3"/>
  <c r="G82" i="3" s="1"/>
  <c r="I82" i="3" l="1"/>
  <c r="J82" i="3" l="1"/>
  <c r="CL63" i="11"/>
  <c r="CL64" i="11" l="1"/>
  <c r="L82" i="3"/>
  <c r="G83" i="3" s="1"/>
  <c r="I83" i="3" l="1"/>
  <c r="CM63" i="11" l="1"/>
  <c r="J83" i="3"/>
  <c r="CM64" i="11" l="1"/>
  <c r="L83" i="3"/>
  <c r="G84" i="3" s="1"/>
  <c r="I84" i="3" l="1"/>
  <c r="J84" i="3" l="1"/>
  <c r="CN63" i="11"/>
  <c r="CN64" i="11" l="1"/>
  <c r="L84" i="3"/>
  <c r="G85" i="3" l="1"/>
  <c r="E13" i="16"/>
  <c r="I85" i="3"/>
  <c r="P26" i="22" l="1"/>
  <c r="F13" i="16"/>
  <c r="Q26" i="22" s="1"/>
  <c r="C13" i="16"/>
  <c r="N26" i="22" s="1"/>
  <c r="G13" i="16"/>
  <c r="R26" i="22" s="1"/>
  <c r="D13" i="16"/>
  <c r="O26" i="22" s="1"/>
  <c r="CO63" i="11"/>
  <c r="J85" i="3"/>
  <c r="CO64" i="11" l="1"/>
  <c r="CP64" i="11" s="1"/>
  <c r="J19" i="12" s="1"/>
  <c r="L85" i="3"/>
  <c r="CP63" i="11"/>
  <c r="G86" i="3" l="1"/>
  <c r="H13" i="16"/>
  <c r="J18" i="12"/>
  <c r="I86" i="3" l="1"/>
  <c r="J86" i="3" s="1"/>
  <c r="L86" i="3" s="1"/>
  <c r="G87" i="3" s="1"/>
  <c r="I87" i="3" l="1"/>
  <c r="J87" i="3" s="1"/>
  <c r="L87" i="3" s="1"/>
  <c r="G88" i="3" s="1"/>
  <c r="I88" i="3" l="1"/>
  <c r="J88" i="3" s="1"/>
  <c r="L88" i="3" s="1"/>
  <c r="G89" i="3" s="1"/>
  <c r="I89" i="3" l="1"/>
  <c r="J89" i="3" s="1"/>
  <c r="L89" i="3" s="1"/>
  <c r="G90" i="3" s="1"/>
  <c r="I90" i="3" l="1"/>
  <c r="J90" i="3" s="1"/>
  <c r="L90" i="3"/>
  <c r="G91" i="3" s="1"/>
  <c r="I91" i="3" l="1"/>
  <c r="J91" i="3" s="1"/>
  <c r="L91" i="3" s="1"/>
  <c r="G92" i="3" s="1"/>
  <c r="I92" i="3" l="1"/>
  <c r="J92" i="3" s="1"/>
  <c r="L92" i="3" s="1"/>
  <c r="G93" i="3" s="1"/>
  <c r="I93" i="3" l="1"/>
  <c r="J93" i="3" s="1"/>
  <c r="L93" i="3" s="1"/>
  <c r="G94" i="3" s="1"/>
  <c r="I94" i="3" l="1"/>
  <c r="J94" i="3" s="1"/>
  <c r="L94" i="3" s="1"/>
  <c r="G95" i="3" s="1"/>
  <c r="I95" i="3" l="1"/>
  <c r="J95" i="3" s="1"/>
  <c r="L95" i="3" s="1"/>
  <c r="G96" i="3" s="1"/>
  <c r="I96" i="3" l="1"/>
  <c r="J96" i="3" s="1"/>
  <c r="L96" i="3" s="1"/>
  <c r="G97" i="3" s="1"/>
  <c r="I97" i="3" l="1"/>
  <c r="J97" i="3" s="1"/>
  <c r="L97" i="3" s="1"/>
  <c r="G98" i="3" s="1"/>
  <c r="I98" i="3" l="1"/>
  <c r="J98" i="3" s="1"/>
  <c r="L98" i="3" s="1"/>
  <c r="G99" i="3" s="1"/>
  <c r="I99" i="3" l="1"/>
  <c r="J99" i="3" s="1"/>
  <c r="L99" i="3" s="1"/>
  <c r="G100" i="3" s="1"/>
  <c r="I100" i="3" l="1"/>
  <c r="J100" i="3" s="1"/>
  <c r="L100" i="3" s="1"/>
  <c r="G101" i="3" s="1"/>
  <c r="I101" i="3" l="1"/>
  <c r="J101" i="3" s="1"/>
  <c r="L101" i="3" s="1"/>
  <c r="G102" i="3" s="1"/>
  <c r="I102" i="3" l="1"/>
  <c r="J102" i="3" s="1"/>
  <c r="L102" i="3" s="1"/>
  <c r="G103" i="3" s="1"/>
  <c r="I103" i="3" l="1"/>
  <c r="J103" i="3" s="1"/>
  <c r="L103" i="3" s="1"/>
  <c r="G104" i="3" s="1"/>
  <c r="I104" i="3" l="1"/>
  <c r="J104" i="3" s="1"/>
  <c r="L104" i="3" s="1"/>
  <c r="G105" i="3" s="1"/>
  <c r="I105" i="3" l="1"/>
  <c r="J105" i="3" s="1"/>
  <c r="L105" i="3" s="1"/>
  <c r="G106" i="3" s="1"/>
  <c r="I106" i="3" l="1"/>
  <c r="J106" i="3" s="1"/>
  <c r="L106" i="3" s="1"/>
  <c r="G107" i="3" s="1"/>
  <c r="I107" i="3" l="1"/>
  <c r="J107" i="3" s="1"/>
  <c r="L107" i="3" s="1"/>
  <c r="G108" i="3" s="1"/>
  <c r="I108" i="3" l="1"/>
  <c r="J108" i="3" s="1"/>
  <c r="L108" i="3" s="1"/>
  <c r="G109" i="3" s="1"/>
  <c r="I109" i="3" l="1"/>
  <c r="J109" i="3" s="1"/>
  <c r="L109" i="3" s="1"/>
  <c r="G110" i="3" s="1"/>
  <c r="I110" i="3" l="1"/>
  <c r="J110" i="3" s="1"/>
  <c r="L110" i="3" s="1"/>
  <c r="G111" i="3" s="1"/>
  <c r="I111" i="3" l="1"/>
  <c r="J111" i="3" s="1"/>
  <c r="L111" i="3" s="1"/>
  <c r="G112" i="3" s="1"/>
  <c r="I112" i="3" l="1"/>
  <c r="J112" i="3" s="1"/>
  <c r="L112" i="3" s="1"/>
  <c r="G113" i="3" s="1"/>
  <c r="I113" i="3" l="1"/>
  <c r="J113" i="3" s="1"/>
  <c r="L113" i="3" s="1"/>
  <c r="G114" i="3" s="1"/>
  <c r="I114" i="3" l="1"/>
  <c r="J114" i="3" s="1"/>
  <c r="L114" i="3" s="1"/>
  <c r="G115" i="3" s="1"/>
  <c r="I115" i="3" l="1"/>
  <c r="J115" i="3" s="1"/>
  <c r="L115" i="3" s="1"/>
  <c r="G116" i="3" s="1"/>
  <c r="I116" i="3" l="1"/>
  <c r="J116" i="3" s="1"/>
  <c r="L116" i="3" s="1"/>
  <c r="G117" i="3" s="1"/>
  <c r="I117" i="3" l="1"/>
  <c r="J117" i="3" s="1"/>
  <c r="L117" i="3" s="1"/>
  <c r="G118" i="3" s="1"/>
  <c r="I118" i="3" l="1"/>
  <c r="J118" i="3" s="1"/>
  <c r="L118" i="3" s="1"/>
  <c r="G119" i="3" s="1"/>
  <c r="I119" i="3" l="1"/>
  <c r="J119" i="3" s="1"/>
  <c r="L119" i="3" s="1"/>
  <c r="G120" i="3" s="1"/>
  <c r="I120" i="3" l="1"/>
  <c r="J120" i="3" s="1"/>
  <c r="L120" i="3" s="1"/>
  <c r="G121" i="3" s="1"/>
  <c r="I121" i="3" l="1"/>
  <c r="J121" i="3" s="1"/>
  <c r="L121" i="3" s="1"/>
  <c r="G122" i="3" s="1"/>
  <c r="I122" i="3" l="1"/>
  <c r="J122" i="3" s="1"/>
  <c r="L122" i="3" s="1"/>
  <c r="G123" i="3" s="1"/>
  <c r="I123" i="3" l="1"/>
  <c r="J123" i="3" s="1"/>
  <c r="L123" i="3" s="1"/>
  <c r="G124" i="3" s="1"/>
  <c r="I124" i="3" l="1"/>
  <c r="J124" i="3" s="1"/>
  <c r="L124" i="3" s="1"/>
  <c r="G125" i="3" s="1"/>
  <c r="I125" i="3" l="1"/>
  <c r="J125" i="3" s="1"/>
  <c r="L125" i="3" s="1"/>
  <c r="G126" i="3" s="1"/>
  <c r="I126" i="3" l="1"/>
  <c r="J126" i="3" s="1"/>
  <c r="L126" i="3" s="1"/>
  <c r="G127" i="3" s="1"/>
  <c r="I127" i="3" l="1"/>
  <c r="J127" i="3" s="1"/>
  <c r="L127" i="3" s="1"/>
  <c r="G128" i="3" s="1"/>
  <c r="I128" i="3" l="1"/>
  <c r="J128" i="3" s="1"/>
  <c r="L128" i="3" s="1"/>
  <c r="G129" i="3" s="1"/>
  <c r="I129" i="3" l="1"/>
  <c r="J129" i="3" s="1"/>
  <c r="L129" i="3" s="1"/>
  <c r="G130" i="3" s="1"/>
  <c r="I130" i="3" l="1"/>
  <c r="J130" i="3" s="1"/>
  <c r="L130" i="3" s="1"/>
  <c r="G131" i="3" s="1"/>
  <c r="I131" i="3" l="1"/>
  <c r="J131" i="3" s="1"/>
  <c r="L131" i="3" s="1"/>
  <c r="G132" i="3" s="1"/>
  <c r="I132" i="3" l="1"/>
  <c r="J132" i="3" s="1"/>
  <c r="L132" i="3" s="1"/>
  <c r="G133" i="3" s="1"/>
  <c r="I133" i="3" l="1"/>
  <c r="J133" i="3" s="1"/>
  <c r="L133" i="3" s="1"/>
  <c r="G134" i="3" s="1"/>
  <c r="I134" i="3" l="1"/>
  <c r="J134" i="3" s="1"/>
  <c r="L134" i="3" s="1"/>
  <c r="G135" i="3" s="1"/>
  <c r="I135" i="3" l="1"/>
  <c r="J135" i="3" s="1"/>
  <c r="L135" i="3" s="1"/>
  <c r="G136" i="3" s="1"/>
  <c r="I136" i="3" l="1"/>
  <c r="J136" i="3" s="1"/>
  <c r="L136" i="3" s="1"/>
  <c r="G137" i="3" s="1"/>
  <c r="I137" i="3" l="1"/>
  <c r="J137" i="3" s="1"/>
  <c r="L137" i="3" s="1"/>
  <c r="G138" i="3" s="1"/>
  <c r="I138" i="3" l="1"/>
  <c r="J138" i="3" s="1"/>
  <c r="L138" i="3" s="1"/>
  <c r="G139" i="3" s="1"/>
  <c r="I139" i="3" l="1"/>
  <c r="J139" i="3" s="1"/>
  <c r="L139" i="3" s="1"/>
  <c r="G140" i="3" s="1"/>
  <c r="I140" i="3" l="1"/>
  <c r="J140" i="3" s="1"/>
  <c r="L140" i="3" s="1"/>
  <c r="G141" i="3" s="1"/>
  <c r="I141" i="3" l="1"/>
  <c r="J141" i="3" s="1"/>
  <c r="L141" i="3" s="1"/>
  <c r="G142" i="3" s="1"/>
  <c r="I142" i="3" l="1"/>
  <c r="J142" i="3" s="1"/>
  <c r="L142" i="3" s="1"/>
  <c r="G143" i="3" s="1"/>
  <c r="I143" i="3" l="1"/>
  <c r="J143" i="3" s="1"/>
  <c r="L143" i="3" s="1"/>
  <c r="G144" i="3" s="1"/>
  <c r="I144" i="3" l="1"/>
  <c r="J144" i="3" s="1"/>
  <c r="L144" i="3" s="1"/>
  <c r="G145" i="3" s="1"/>
  <c r="I145" i="3" l="1"/>
  <c r="J145" i="3" s="1"/>
  <c r="L145" i="3" s="1"/>
  <c r="G146" i="3" s="1"/>
  <c r="I146" i="3" l="1"/>
  <c r="J146" i="3" s="1"/>
  <c r="L146" i="3" s="1"/>
  <c r="G147" i="3" s="1"/>
  <c r="I147" i="3" l="1"/>
  <c r="J147" i="3" s="1"/>
  <c r="L147" i="3"/>
  <c r="G148" i="3" s="1"/>
  <c r="I148" i="3" l="1"/>
  <c r="J148" i="3" s="1"/>
  <c r="L148" i="3" s="1"/>
  <c r="G149" i="3" s="1"/>
  <c r="I149" i="3" l="1"/>
  <c r="J149" i="3" s="1"/>
  <c r="L149" i="3" s="1"/>
  <c r="G150" i="3" s="1"/>
  <c r="I150" i="3" l="1"/>
  <c r="J150" i="3" s="1"/>
  <c r="L150" i="3" s="1"/>
  <c r="G151" i="3" s="1"/>
  <c r="I151" i="3" l="1"/>
  <c r="J151" i="3" s="1"/>
  <c r="L151" i="3" s="1"/>
  <c r="G152" i="3" s="1"/>
  <c r="I152" i="3" l="1"/>
  <c r="J152" i="3" s="1"/>
  <c r="L152" i="3"/>
  <c r="G153" i="3" s="1"/>
  <c r="I153" i="3" l="1"/>
  <c r="J153" i="3" s="1"/>
  <c r="L153" i="3" s="1"/>
  <c r="G154" i="3" s="1"/>
  <c r="I154" i="3" l="1"/>
  <c r="J154" i="3" s="1"/>
  <c r="L154" i="3"/>
  <c r="G155" i="3" s="1"/>
  <c r="I155" i="3" l="1"/>
  <c r="J155" i="3" s="1"/>
  <c r="L155" i="3" s="1"/>
  <c r="G156" i="3" s="1"/>
  <c r="I156" i="3" l="1"/>
  <c r="J156" i="3" s="1"/>
  <c r="L156" i="3" s="1"/>
  <c r="G157" i="3" s="1"/>
  <c r="I157" i="3" l="1"/>
  <c r="J157" i="3" s="1"/>
  <c r="L157" i="3" s="1"/>
  <c r="G158" i="3" s="1"/>
  <c r="I158" i="3" l="1"/>
  <c r="J158" i="3" s="1"/>
  <c r="L158" i="3" s="1"/>
  <c r="G159" i="3" s="1"/>
  <c r="I159" i="3" l="1"/>
  <c r="J159" i="3" s="1"/>
  <c r="L159" i="3" s="1"/>
  <c r="G160" i="3" s="1"/>
  <c r="I160" i="3" l="1"/>
  <c r="J160" i="3" s="1"/>
  <c r="L160" i="3" s="1"/>
  <c r="G161" i="3" s="1"/>
  <c r="I161" i="3" l="1"/>
  <c r="J161" i="3" s="1"/>
  <c r="L161" i="3" s="1"/>
  <c r="G162" i="3" s="1"/>
  <c r="I162" i="3" l="1"/>
  <c r="J162" i="3" s="1"/>
  <c r="L162" i="3" s="1"/>
  <c r="G163" i="3" s="1"/>
  <c r="I163" i="3" l="1"/>
  <c r="J163" i="3" s="1"/>
  <c r="L163" i="3"/>
  <c r="G164" i="3" s="1"/>
  <c r="I164" i="3" l="1"/>
  <c r="J164" i="3" s="1"/>
  <c r="L164" i="3" s="1"/>
  <c r="G165" i="3" s="1"/>
  <c r="I165" i="3" l="1"/>
  <c r="J165" i="3" s="1"/>
  <c r="L165" i="3" s="1"/>
  <c r="G166" i="3" s="1"/>
  <c r="I166" i="3" l="1"/>
  <c r="J166" i="3" s="1"/>
  <c r="L166" i="3" s="1"/>
  <c r="G167" i="3" s="1"/>
  <c r="I167" i="3" l="1"/>
  <c r="J167" i="3" s="1"/>
  <c r="L167" i="3"/>
  <c r="G168" i="3" s="1"/>
  <c r="I168" i="3" l="1"/>
  <c r="J168" i="3" s="1"/>
  <c r="L168" i="3" s="1"/>
  <c r="G169" i="3" s="1"/>
  <c r="I169" i="3" l="1"/>
  <c r="J169" i="3" s="1"/>
  <c r="L169" i="3" s="1"/>
  <c r="G170" i="3" s="1"/>
  <c r="I170" i="3" l="1"/>
  <c r="J170" i="3" s="1"/>
  <c r="L170" i="3" s="1"/>
  <c r="G171" i="3" s="1"/>
  <c r="I171" i="3" l="1"/>
  <c r="J171" i="3" s="1"/>
  <c r="L171" i="3" s="1"/>
  <c r="G172" i="3" s="1"/>
  <c r="I172" i="3" l="1"/>
  <c r="J172" i="3" s="1"/>
  <c r="L172" i="3" s="1"/>
  <c r="G173" i="3" s="1"/>
  <c r="I173" i="3" l="1"/>
  <c r="J173" i="3" s="1"/>
  <c r="L173" i="3" s="1"/>
  <c r="G174" i="3" s="1"/>
  <c r="I174" i="3" l="1"/>
  <c r="J174" i="3" s="1"/>
  <c r="L174" i="3" s="1"/>
  <c r="G175" i="3" s="1"/>
  <c r="I175" i="3" l="1"/>
  <c r="J175" i="3" s="1"/>
  <c r="L175" i="3" s="1"/>
  <c r="G176" i="3" s="1"/>
  <c r="I176" i="3" l="1"/>
  <c r="J176" i="3" s="1"/>
  <c r="L176" i="3" s="1"/>
  <c r="G177" i="3" s="1"/>
  <c r="I177" i="3" l="1"/>
  <c r="J177" i="3" s="1"/>
  <c r="L177" i="3" s="1"/>
  <c r="G178" i="3" s="1"/>
  <c r="I178" i="3" l="1"/>
  <c r="J178" i="3" s="1"/>
  <c r="L178" i="3" s="1"/>
  <c r="G179" i="3" s="1"/>
  <c r="I179" i="3" l="1"/>
  <c r="J179" i="3" s="1"/>
  <c r="L179" i="3"/>
  <c r="G180" i="3" s="1"/>
  <c r="I180" i="3" l="1"/>
  <c r="J180" i="3" s="1"/>
  <c r="L180" i="3" s="1"/>
  <c r="G181" i="3" s="1"/>
  <c r="I181" i="3" l="1"/>
  <c r="J181" i="3" s="1"/>
  <c r="L181" i="3" s="1"/>
  <c r="G182" i="3" s="1"/>
  <c r="I182" i="3" l="1"/>
  <c r="J182" i="3" s="1"/>
  <c r="L182" i="3" s="1"/>
  <c r="G183" i="3" s="1"/>
  <c r="I183" i="3" l="1"/>
  <c r="J183" i="3" s="1"/>
  <c r="L183" i="3" s="1"/>
  <c r="G184" i="3" s="1"/>
  <c r="I184" i="3" l="1"/>
  <c r="J184" i="3" s="1"/>
  <c r="L184" i="3" s="1"/>
  <c r="G185" i="3" s="1"/>
  <c r="I185" i="3" l="1"/>
  <c r="J185" i="3" s="1"/>
  <c r="L185" i="3" s="1"/>
  <c r="G186" i="3" s="1"/>
  <c r="I186" i="3" l="1"/>
  <c r="J186" i="3" s="1"/>
  <c r="L186" i="3" s="1"/>
  <c r="G187" i="3" s="1"/>
  <c r="I187" i="3" l="1"/>
  <c r="J187" i="3" s="1"/>
  <c r="L187" i="3" s="1"/>
  <c r="G188" i="3" s="1"/>
  <c r="I188" i="3" l="1"/>
  <c r="J188" i="3" s="1"/>
  <c r="L188" i="3" s="1"/>
  <c r="G189" i="3" s="1"/>
  <c r="I189" i="3" l="1"/>
  <c r="J189" i="3" s="1"/>
  <c r="L189" i="3" s="1"/>
  <c r="G190" i="3" s="1"/>
  <c r="I190" i="3" l="1"/>
  <c r="J190" i="3" s="1"/>
  <c r="L190" i="3" s="1"/>
  <c r="G191" i="3" s="1"/>
  <c r="I191" i="3" l="1"/>
  <c r="J191" i="3" s="1"/>
  <c r="L191" i="3" s="1"/>
  <c r="G192" i="3" s="1"/>
  <c r="I192" i="3" l="1"/>
  <c r="J192" i="3" s="1"/>
  <c r="L192" i="3" s="1"/>
  <c r="G193" i="3" s="1"/>
  <c r="I193" i="3" l="1"/>
  <c r="J193" i="3" s="1"/>
  <c r="L193" i="3" s="1"/>
  <c r="G194" i="3" s="1"/>
  <c r="I194" i="3" l="1"/>
  <c r="J194" i="3" s="1"/>
  <c r="L194" i="3" s="1"/>
  <c r="G195" i="3" s="1"/>
  <c r="I195" i="3" l="1"/>
  <c r="J195" i="3" s="1"/>
  <c r="L195" i="3" s="1"/>
  <c r="G196" i="3" s="1"/>
  <c r="I196" i="3" l="1"/>
  <c r="J196" i="3" s="1"/>
  <c r="L196" i="3" s="1"/>
  <c r="G197" i="3" s="1"/>
  <c r="I197" i="3" l="1"/>
  <c r="J197" i="3" s="1"/>
  <c r="L197" i="3" s="1"/>
  <c r="G198" i="3" s="1"/>
  <c r="I198" i="3" l="1"/>
  <c r="J198" i="3" s="1"/>
  <c r="L198" i="3"/>
  <c r="G199" i="3" s="1"/>
  <c r="I199" i="3" l="1"/>
  <c r="J199" i="3" s="1"/>
  <c r="L199" i="3" s="1"/>
  <c r="G200" i="3" s="1"/>
  <c r="I200" i="3" l="1"/>
  <c r="J200" i="3" s="1"/>
  <c r="L200" i="3" s="1"/>
  <c r="G201" i="3" s="1"/>
  <c r="I201" i="3" l="1"/>
  <c r="J201" i="3" s="1"/>
  <c r="L201" i="3" s="1"/>
  <c r="G202" i="3" s="1"/>
  <c r="I202" i="3" l="1"/>
  <c r="J202" i="3" s="1"/>
  <c r="L202" i="3" s="1"/>
  <c r="G203" i="3" s="1"/>
  <c r="I203" i="3" l="1"/>
  <c r="J203" i="3" s="1"/>
  <c r="L203" i="3" s="1"/>
  <c r="G204" i="3" s="1"/>
  <c r="I204" i="3" l="1"/>
  <c r="J204" i="3" s="1"/>
  <c r="L204" i="3" s="1"/>
  <c r="G205" i="3" s="1"/>
  <c r="I205" i="3" l="1"/>
  <c r="J205" i="3" s="1"/>
  <c r="L205" i="3" s="1"/>
  <c r="G206" i="3" s="1"/>
  <c r="I206" i="3" l="1"/>
  <c r="J206" i="3" s="1"/>
  <c r="L206" i="3" s="1"/>
  <c r="G207" i="3" s="1"/>
  <c r="I207" i="3" l="1"/>
  <c r="J207" i="3" s="1"/>
  <c r="L207" i="3" s="1"/>
  <c r="G208" i="3" s="1"/>
  <c r="I208" i="3" l="1"/>
  <c r="J208" i="3" s="1"/>
  <c r="L208" i="3" s="1"/>
  <c r="G209" i="3" s="1"/>
  <c r="I209" i="3" l="1"/>
  <c r="J209" i="3" s="1"/>
  <c r="L209" i="3" s="1"/>
  <c r="G210" i="3" s="1"/>
  <c r="I210" i="3" l="1"/>
  <c r="J210" i="3" s="1"/>
  <c r="L210" i="3" s="1"/>
  <c r="G211" i="3" s="1"/>
  <c r="I211" i="3" l="1"/>
  <c r="J211" i="3" s="1"/>
  <c r="L211" i="3" s="1"/>
  <c r="G212" i="3" s="1"/>
  <c r="I212" i="3" l="1"/>
  <c r="J212" i="3" s="1"/>
  <c r="L212" i="3" s="1"/>
  <c r="G213" i="3" s="1"/>
  <c r="I213" i="3" l="1"/>
  <c r="J213" i="3" s="1"/>
  <c r="L213" i="3" s="1"/>
  <c r="G214" i="3" s="1"/>
  <c r="I214" i="3" l="1"/>
  <c r="J214" i="3" s="1"/>
  <c r="L214" i="3" s="1"/>
  <c r="G215" i="3" s="1"/>
  <c r="I215" i="3" l="1"/>
  <c r="J215" i="3" s="1"/>
  <c r="L215" i="3" s="1"/>
  <c r="G216" i="3" s="1"/>
  <c r="I216" i="3" l="1"/>
  <c r="J216" i="3" s="1"/>
  <c r="L216" i="3" s="1"/>
  <c r="G217" i="3" s="1"/>
  <c r="I217" i="3" l="1"/>
  <c r="J217" i="3" s="1"/>
  <c r="L217" i="3" s="1"/>
  <c r="G218" i="3" s="1"/>
  <c r="I218" i="3" l="1"/>
  <c r="J218" i="3" s="1"/>
  <c r="L218" i="3" s="1"/>
  <c r="G219" i="3" s="1"/>
  <c r="I219" i="3" l="1"/>
  <c r="J219" i="3" s="1"/>
  <c r="L219" i="3" s="1"/>
  <c r="G220" i="3" s="1"/>
  <c r="I220" i="3" l="1"/>
  <c r="J220" i="3" s="1"/>
  <c r="L220" i="3" s="1"/>
  <c r="G221" i="3" s="1"/>
  <c r="I221" i="3" l="1"/>
  <c r="J221" i="3" s="1"/>
  <c r="L221" i="3" s="1"/>
  <c r="G222" i="3" s="1"/>
  <c r="I222" i="3" l="1"/>
  <c r="J222" i="3" s="1"/>
  <c r="L222" i="3" s="1"/>
  <c r="G223" i="3" s="1"/>
  <c r="I223" i="3" l="1"/>
  <c r="J223" i="3" s="1"/>
  <c r="L223" i="3" s="1"/>
  <c r="G224" i="3" s="1"/>
  <c r="I224" i="3" l="1"/>
  <c r="J224" i="3" s="1"/>
  <c r="L224" i="3" s="1"/>
  <c r="G225" i="3" s="1"/>
  <c r="I225" i="3" l="1"/>
  <c r="J225" i="3" s="1"/>
  <c r="L225" i="3" s="1"/>
  <c r="G226" i="3" s="1"/>
  <c r="I226" i="3" l="1"/>
  <c r="J226" i="3" s="1"/>
  <c r="L226" i="3" s="1"/>
  <c r="G227" i="3" s="1"/>
  <c r="I227" i="3" l="1"/>
  <c r="J227" i="3" s="1"/>
  <c r="L227" i="3" s="1"/>
  <c r="G228" i="3" s="1"/>
  <c r="I228" i="3" l="1"/>
  <c r="J228" i="3" s="1"/>
  <c r="L228" i="3" s="1"/>
  <c r="G229" i="3" s="1"/>
  <c r="I229" i="3" l="1"/>
  <c r="J229" i="3" s="1"/>
  <c r="L229" i="3" s="1"/>
  <c r="G230" i="3" s="1"/>
  <c r="I230" i="3" l="1"/>
  <c r="J230" i="3" s="1"/>
  <c r="L230" i="3" s="1"/>
  <c r="G231" i="3" s="1"/>
  <c r="I231" i="3" l="1"/>
  <c r="J231" i="3" s="1"/>
  <c r="L231" i="3" s="1"/>
  <c r="G232" i="3" s="1"/>
  <c r="I232" i="3" l="1"/>
  <c r="J232" i="3" s="1"/>
  <c r="L232" i="3" s="1"/>
  <c r="G233" i="3" s="1"/>
  <c r="I233" i="3" l="1"/>
  <c r="J233" i="3" s="1"/>
  <c r="L233" i="3" s="1"/>
  <c r="G234" i="3" s="1"/>
  <c r="I234" i="3" l="1"/>
  <c r="J234" i="3" s="1"/>
  <c r="L234" i="3" s="1"/>
  <c r="G235" i="3" s="1"/>
  <c r="I235" i="3" l="1"/>
  <c r="J235" i="3" s="1"/>
  <c r="L235" i="3" s="1"/>
  <c r="G236" i="3" s="1"/>
  <c r="I236" i="3" l="1"/>
  <c r="J236" i="3" s="1"/>
  <c r="L236" i="3" s="1"/>
  <c r="G237" i="3" s="1"/>
  <c r="I237" i="3" l="1"/>
  <c r="J237" i="3" s="1"/>
  <c r="L237" i="3" s="1"/>
  <c r="G238" i="3" s="1"/>
  <c r="I238" i="3" l="1"/>
  <c r="J238" i="3" s="1"/>
  <c r="L238" i="3" s="1"/>
  <c r="G239" i="3" s="1"/>
  <c r="I239" i="3" l="1"/>
  <c r="J239" i="3" s="1"/>
  <c r="L239" i="3" s="1"/>
  <c r="G240" i="3" s="1"/>
  <c r="I240" i="3" l="1"/>
  <c r="J240" i="3" s="1"/>
  <c r="L240" i="3" s="1"/>
  <c r="G241" i="3" s="1"/>
  <c r="I241" i="3" l="1"/>
  <c r="J241" i="3" s="1"/>
  <c r="L241" i="3" s="1"/>
  <c r="G242" i="3" s="1"/>
  <c r="I242" i="3" l="1"/>
  <c r="J242" i="3" s="1"/>
  <c r="L242" i="3" s="1"/>
  <c r="G243" i="3" s="1"/>
  <c r="I243" i="3" l="1"/>
  <c r="J243" i="3" s="1"/>
  <c r="L243" i="3" s="1"/>
  <c r="G244" i="3" s="1"/>
  <c r="I244" i="3" l="1"/>
  <c r="J244" i="3" s="1"/>
  <c r="L244" i="3" s="1"/>
  <c r="G245" i="3" s="1"/>
  <c r="I245" i="3" l="1"/>
  <c r="J245" i="3" s="1"/>
  <c r="L245" i="3" s="1"/>
  <c r="G246" i="3" s="1"/>
  <c r="I246" i="3" l="1"/>
  <c r="J246" i="3" s="1"/>
  <c r="L246" i="3"/>
  <c r="G247" i="3" s="1"/>
  <c r="I247" i="3" l="1"/>
  <c r="J247" i="3" s="1"/>
  <c r="L247" i="3" s="1"/>
  <c r="G248" i="3" s="1"/>
  <c r="I248" i="3" l="1"/>
  <c r="J248" i="3" s="1"/>
  <c r="L248" i="3"/>
  <c r="G249" i="3" s="1"/>
  <c r="I249" i="3" l="1"/>
  <c r="J249" i="3" s="1"/>
  <c r="L249" i="3"/>
  <c r="G250" i="3" s="1"/>
  <c r="I250" i="3" l="1"/>
  <c r="J250" i="3" s="1"/>
  <c r="L250" i="3" s="1"/>
  <c r="G251" i="3" s="1"/>
  <c r="I251" i="3" l="1"/>
  <c r="J251" i="3" s="1"/>
  <c r="L251" i="3" s="1"/>
  <c r="G252" i="3" s="1"/>
  <c r="I252" i="3" l="1"/>
  <c r="J252" i="3" s="1"/>
  <c r="L252" i="3" s="1"/>
  <c r="G253" i="3" s="1"/>
  <c r="I253" i="3" l="1"/>
  <c r="J253" i="3" s="1"/>
  <c r="L253" i="3" s="1"/>
  <c r="G254" i="3" s="1"/>
  <c r="I254" i="3" l="1"/>
  <c r="J254" i="3" s="1"/>
  <c r="L254" i="3" s="1"/>
  <c r="G255" i="3" s="1"/>
  <c r="I255" i="3" l="1"/>
  <c r="J255" i="3" s="1"/>
  <c r="L255" i="3" s="1"/>
  <c r="G256" i="3" s="1"/>
  <c r="I256" i="3" l="1"/>
  <c r="J256" i="3" s="1"/>
  <c r="L256" i="3" s="1"/>
  <c r="G257" i="3" s="1"/>
  <c r="I257" i="3" l="1"/>
  <c r="J257" i="3" s="1"/>
  <c r="L257" i="3" s="1"/>
  <c r="G258" i="3" s="1"/>
  <c r="I258" i="3" l="1"/>
  <c r="J258" i="3" s="1"/>
  <c r="L258" i="3" s="1"/>
  <c r="G259" i="3" s="1"/>
  <c r="I259" i="3" l="1"/>
  <c r="J259" i="3" s="1"/>
  <c r="L259" i="3" s="1"/>
  <c r="G260" i="3" s="1"/>
  <c r="I260" i="3" l="1"/>
  <c r="J260" i="3" s="1"/>
  <c r="L260" i="3" s="1"/>
  <c r="G261" i="3" s="1"/>
  <c r="I261" i="3" l="1"/>
  <c r="J261" i="3" s="1"/>
  <c r="L261" i="3"/>
  <c r="G262" i="3" s="1"/>
  <c r="I262" i="3" l="1"/>
  <c r="J262" i="3" s="1"/>
  <c r="L262" i="3" s="1"/>
  <c r="G263" i="3" s="1"/>
  <c r="I263" i="3" l="1"/>
  <c r="J263" i="3" s="1"/>
  <c r="L263" i="3" s="1"/>
  <c r="G264" i="3" s="1"/>
  <c r="I264" i="3" l="1"/>
  <c r="J264" i="3" s="1"/>
  <c r="L264" i="3" s="1"/>
  <c r="G265" i="3" s="1"/>
  <c r="I265" i="3" l="1"/>
  <c r="J265" i="3" s="1"/>
  <c r="L265" i="3" s="1"/>
  <c r="G266" i="3" s="1"/>
  <c r="I266" i="3" l="1"/>
  <c r="J266" i="3" s="1"/>
  <c r="L266" i="3" s="1"/>
  <c r="G267" i="3" s="1"/>
  <c r="I267" i="3" l="1"/>
  <c r="J267" i="3" s="1"/>
  <c r="L267" i="3" s="1"/>
  <c r="G268" i="3" s="1"/>
  <c r="I268" i="3" l="1"/>
  <c r="J268" i="3" s="1"/>
  <c r="L268" i="3"/>
  <c r="G269" i="3" s="1"/>
  <c r="I269" i="3" l="1"/>
  <c r="J269" i="3" s="1"/>
  <c r="L269" i="3" s="1"/>
  <c r="G270" i="3" s="1"/>
  <c r="I270" i="3" l="1"/>
  <c r="J270" i="3" s="1"/>
  <c r="L270" i="3" s="1"/>
  <c r="G271" i="3" s="1"/>
  <c r="I271" i="3" l="1"/>
  <c r="J271" i="3" s="1"/>
  <c r="L271" i="3"/>
  <c r="G272" i="3" s="1"/>
  <c r="I272" i="3" l="1"/>
  <c r="J272" i="3" s="1"/>
  <c r="L272" i="3" s="1"/>
  <c r="G273" i="3" s="1"/>
  <c r="I273" i="3" l="1"/>
  <c r="J273" i="3" s="1"/>
  <c r="L273" i="3" s="1"/>
  <c r="G274" i="3" s="1"/>
  <c r="I274" i="3" l="1"/>
  <c r="J274" i="3" s="1"/>
  <c r="L274" i="3" s="1"/>
  <c r="G275" i="3" s="1"/>
  <c r="I275" i="3" l="1"/>
  <c r="J275" i="3" s="1"/>
  <c r="L275" i="3" s="1"/>
  <c r="G276" i="3" s="1"/>
  <c r="I276" i="3" l="1"/>
  <c r="J276" i="3" s="1"/>
  <c r="L276" i="3" s="1"/>
  <c r="G277" i="3" s="1"/>
  <c r="I277" i="3" l="1"/>
  <c r="J277" i="3" s="1"/>
  <c r="L277" i="3" s="1"/>
  <c r="G278" i="3" s="1"/>
  <c r="I278" i="3" l="1"/>
  <c r="J278" i="3" s="1"/>
  <c r="L278" i="3" s="1"/>
  <c r="G279" i="3" s="1"/>
  <c r="I279" i="3" l="1"/>
  <c r="J279" i="3" s="1"/>
  <c r="L279" i="3" s="1"/>
  <c r="G280" i="3" s="1"/>
  <c r="I280" i="3" l="1"/>
  <c r="J280" i="3" s="1"/>
  <c r="L280" i="3" s="1"/>
  <c r="G281" i="3" s="1"/>
  <c r="I281" i="3" l="1"/>
  <c r="J281" i="3" s="1"/>
  <c r="L281" i="3"/>
  <c r="G282" i="3" s="1"/>
  <c r="I282" i="3" l="1"/>
  <c r="J282" i="3" s="1"/>
  <c r="L282" i="3" s="1"/>
  <c r="G283" i="3" s="1"/>
  <c r="I283" i="3" l="1"/>
  <c r="J283" i="3" s="1"/>
  <c r="L283" i="3" s="1"/>
  <c r="G284" i="3" s="1"/>
  <c r="I284" i="3" l="1"/>
  <c r="J284" i="3" s="1"/>
  <c r="L284" i="3" s="1"/>
  <c r="G285" i="3" s="1"/>
  <c r="I285" i="3" l="1"/>
  <c r="J285" i="3" s="1"/>
  <c r="L285" i="3" s="1"/>
  <c r="G286" i="3" s="1"/>
  <c r="I286" i="3" l="1"/>
  <c r="J286" i="3" s="1"/>
  <c r="L286" i="3"/>
  <c r="G287" i="3" s="1"/>
  <c r="I287" i="3" l="1"/>
  <c r="J287" i="3" s="1"/>
  <c r="L287" i="3" s="1"/>
  <c r="G288" i="3" s="1"/>
  <c r="I288" i="3" l="1"/>
  <c r="J288" i="3" s="1"/>
  <c r="L288" i="3" s="1"/>
  <c r="G289" i="3" s="1"/>
  <c r="I289" i="3" l="1"/>
  <c r="J289" i="3" s="1"/>
  <c r="L289" i="3" s="1"/>
  <c r="G290" i="3" s="1"/>
  <c r="I290" i="3" l="1"/>
  <c r="J290" i="3" s="1"/>
  <c r="L290" i="3" s="1"/>
  <c r="G291" i="3" s="1"/>
  <c r="I291" i="3" l="1"/>
  <c r="J291" i="3" s="1"/>
  <c r="L291" i="3" s="1"/>
  <c r="G292" i="3" s="1"/>
  <c r="I292" i="3" l="1"/>
  <c r="J292" i="3" s="1"/>
  <c r="L292" i="3" s="1"/>
  <c r="G293" i="3" s="1"/>
  <c r="I293" i="3" l="1"/>
  <c r="J293" i="3" s="1"/>
  <c r="L293" i="3" s="1"/>
  <c r="G294" i="3" s="1"/>
  <c r="I294" i="3" l="1"/>
  <c r="J294" i="3" s="1"/>
  <c r="L294" i="3" s="1"/>
  <c r="G295" i="3" s="1"/>
  <c r="I295" i="3" l="1"/>
  <c r="J295" i="3" s="1"/>
  <c r="L295" i="3" s="1"/>
  <c r="G296" i="3" s="1"/>
  <c r="I296" i="3" l="1"/>
  <c r="J296" i="3" s="1"/>
  <c r="L296" i="3" s="1"/>
  <c r="G297" i="3" s="1"/>
  <c r="I297" i="3" l="1"/>
  <c r="J297" i="3" s="1"/>
  <c r="L297" i="3" s="1"/>
  <c r="G298" i="3" s="1"/>
  <c r="I298" i="3" l="1"/>
  <c r="J298" i="3" s="1"/>
  <c r="L298" i="3" s="1"/>
  <c r="G299" i="3" s="1"/>
  <c r="I299" i="3" l="1"/>
  <c r="J299" i="3" s="1"/>
  <c r="L299" i="3" s="1"/>
  <c r="G300" i="3" s="1"/>
  <c r="I300" i="3" l="1"/>
  <c r="J300" i="3" s="1"/>
  <c r="L300" i="3" s="1"/>
  <c r="G301" i="3" s="1"/>
  <c r="I301" i="3" l="1"/>
  <c r="J301" i="3" s="1"/>
  <c r="L301" i="3" s="1"/>
  <c r="G302" i="3" s="1"/>
  <c r="I302" i="3" l="1"/>
  <c r="J302" i="3" s="1"/>
  <c r="L302" i="3" s="1"/>
  <c r="G303" i="3" s="1"/>
  <c r="I303" i="3" l="1"/>
  <c r="J303" i="3" s="1"/>
  <c r="L303" i="3" s="1"/>
  <c r="G304" i="3" s="1"/>
  <c r="I304" i="3" l="1"/>
  <c r="J304" i="3" s="1"/>
  <c r="L304" i="3" s="1"/>
  <c r="G305" i="3" s="1"/>
  <c r="I305" i="3" l="1"/>
  <c r="J305" i="3" s="1"/>
  <c r="L305" i="3" s="1"/>
  <c r="G306" i="3" s="1"/>
  <c r="I306" i="3" l="1"/>
  <c r="J306" i="3" s="1"/>
  <c r="L306" i="3" s="1"/>
  <c r="G307" i="3" s="1"/>
  <c r="I307" i="3" l="1"/>
  <c r="J307" i="3" s="1"/>
  <c r="L307" i="3" s="1"/>
  <c r="G308" i="3" s="1"/>
  <c r="I308" i="3" l="1"/>
  <c r="J308" i="3" s="1"/>
  <c r="L308" i="3" s="1"/>
  <c r="G309" i="3" s="1"/>
  <c r="I309" i="3" l="1"/>
  <c r="J309" i="3" s="1"/>
  <c r="L309" i="3" s="1"/>
  <c r="G310" i="3" s="1"/>
  <c r="I310" i="3" l="1"/>
  <c r="J310" i="3" s="1"/>
  <c r="L310" i="3" s="1"/>
  <c r="G311" i="3" s="1"/>
  <c r="I311" i="3" l="1"/>
  <c r="J311" i="3" s="1"/>
  <c r="L311" i="3" s="1"/>
  <c r="G312" i="3" s="1"/>
  <c r="I312" i="3" l="1"/>
  <c r="J312" i="3" s="1"/>
  <c r="L312" i="3" s="1"/>
  <c r="G313" i="3" s="1"/>
  <c r="I313" i="3" l="1"/>
  <c r="J313" i="3" s="1"/>
  <c r="L313" i="3" s="1"/>
  <c r="G314" i="3" s="1"/>
  <c r="I314" i="3" l="1"/>
  <c r="J314" i="3" s="1"/>
  <c r="L314" i="3" s="1"/>
  <c r="G315" i="3" s="1"/>
  <c r="I315" i="3" l="1"/>
  <c r="J315" i="3" s="1"/>
  <c r="L315" i="3" s="1"/>
  <c r="G316" i="3" s="1"/>
  <c r="I316" i="3" l="1"/>
  <c r="J316" i="3" s="1"/>
  <c r="L316" i="3" s="1"/>
  <c r="G317" i="3" s="1"/>
  <c r="I317" i="3" l="1"/>
  <c r="J317" i="3" s="1"/>
  <c r="L317" i="3" s="1"/>
  <c r="G318" i="3" s="1"/>
  <c r="I318" i="3" l="1"/>
  <c r="J318" i="3" s="1"/>
  <c r="L318" i="3" s="1"/>
  <c r="G319" i="3" s="1"/>
  <c r="I319" i="3" l="1"/>
  <c r="J319" i="3" s="1"/>
  <c r="L319" i="3" s="1"/>
  <c r="G320" i="3" s="1"/>
  <c r="I320" i="3" l="1"/>
  <c r="J320" i="3" s="1"/>
  <c r="L320" i="3" s="1"/>
  <c r="G321" i="3" s="1"/>
  <c r="I321" i="3" l="1"/>
  <c r="J321" i="3" s="1"/>
  <c r="L321" i="3" s="1"/>
  <c r="G322" i="3" s="1"/>
  <c r="I322" i="3" l="1"/>
  <c r="J322" i="3" s="1"/>
  <c r="L322" i="3" s="1"/>
  <c r="G323" i="3" s="1"/>
  <c r="I323" i="3" l="1"/>
  <c r="J323" i="3" s="1"/>
  <c r="L323" i="3" s="1"/>
  <c r="G324" i="3" s="1"/>
  <c r="I324" i="3" l="1"/>
  <c r="J324" i="3" s="1"/>
  <c r="L324" i="3" s="1"/>
  <c r="G325" i="3" s="1"/>
  <c r="I325" i="3" l="1"/>
  <c r="J325" i="3" s="1"/>
  <c r="L325" i="3" s="1"/>
  <c r="G326" i="3" s="1"/>
  <c r="I326" i="3" l="1"/>
  <c r="J326" i="3" s="1"/>
  <c r="L326" i="3" s="1"/>
  <c r="G327" i="3" s="1"/>
  <c r="I327" i="3" l="1"/>
  <c r="J327" i="3" s="1"/>
  <c r="L327" i="3" s="1"/>
  <c r="G328" i="3" s="1"/>
  <c r="I328" i="3" l="1"/>
  <c r="J328" i="3" s="1"/>
  <c r="L328" i="3" s="1"/>
  <c r="G329" i="3" s="1"/>
  <c r="I329" i="3" l="1"/>
  <c r="J329" i="3" s="1"/>
  <c r="L329" i="3" s="1"/>
  <c r="G330" i="3" s="1"/>
  <c r="I330" i="3" l="1"/>
  <c r="J330" i="3" s="1"/>
  <c r="L330" i="3" s="1"/>
  <c r="G331" i="3" s="1"/>
  <c r="I331" i="3" l="1"/>
  <c r="J331" i="3" s="1"/>
  <c r="L331" i="3" s="1"/>
  <c r="G332" i="3" s="1"/>
  <c r="I332" i="3" l="1"/>
  <c r="J332" i="3" s="1"/>
  <c r="L332" i="3" s="1"/>
  <c r="G333" i="3" s="1"/>
  <c r="I333" i="3" l="1"/>
  <c r="J333" i="3" s="1"/>
  <c r="L333" i="3" s="1"/>
  <c r="G334" i="3" s="1"/>
  <c r="I334" i="3" l="1"/>
  <c r="J334" i="3" s="1"/>
  <c r="L334" i="3" s="1"/>
  <c r="G335" i="3" s="1"/>
  <c r="I335" i="3" l="1"/>
  <c r="J335" i="3" s="1"/>
  <c r="L335" i="3" s="1"/>
  <c r="G336" i="3" s="1"/>
  <c r="I336" i="3" l="1"/>
  <c r="J336" i="3" s="1"/>
  <c r="L336" i="3" s="1"/>
  <c r="G337" i="3" s="1"/>
  <c r="I337" i="3" l="1"/>
  <c r="J337" i="3" s="1"/>
  <c r="L337" i="3" s="1"/>
  <c r="G338" i="3" s="1"/>
  <c r="I338" i="3" l="1"/>
  <c r="J338" i="3" s="1"/>
  <c r="L338" i="3" s="1"/>
  <c r="G339" i="3" s="1"/>
  <c r="I339" i="3" l="1"/>
  <c r="J339" i="3" s="1"/>
  <c r="L339" i="3" s="1"/>
  <c r="G340" i="3" s="1"/>
  <c r="I340" i="3" l="1"/>
  <c r="J340" i="3" s="1"/>
  <c r="L340" i="3" s="1"/>
  <c r="G341" i="3" s="1"/>
  <c r="I341" i="3" l="1"/>
  <c r="J341" i="3" s="1"/>
  <c r="L341" i="3" s="1"/>
  <c r="G342" i="3" s="1"/>
  <c r="I342" i="3" l="1"/>
  <c r="J342" i="3" s="1"/>
  <c r="L342" i="3" s="1"/>
  <c r="G343" i="3" s="1"/>
  <c r="I343" i="3" l="1"/>
  <c r="J343" i="3" s="1"/>
  <c r="L343" i="3" s="1"/>
  <c r="G344" i="3" s="1"/>
  <c r="I344" i="3" l="1"/>
  <c r="J344" i="3" s="1"/>
  <c r="L344" i="3" s="1"/>
  <c r="G345" i="3" s="1"/>
  <c r="I345" i="3" l="1"/>
  <c r="J345" i="3" s="1"/>
  <c r="L345" i="3" s="1"/>
  <c r="G346" i="3" s="1"/>
  <c r="I346" i="3" l="1"/>
  <c r="J346" i="3" s="1"/>
  <c r="L346" i="3" s="1"/>
  <c r="G347" i="3" s="1"/>
  <c r="I347" i="3" l="1"/>
  <c r="J347" i="3" s="1"/>
  <c r="L347" i="3" s="1"/>
  <c r="G348" i="3" s="1"/>
  <c r="I348" i="3" l="1"/>
  <c r="J348" i="3" s="1"/>
  <c r="L348" i="3" s="1"/>
  <c r="G349" i="3" s="1"/>
  <c r="I349" i="3" l="1"/>
  <c r="J349" i="3" s="1"/>
  <c r="L349" i="3" s="1"/>
  <c r="G350" i="3" s="1"/>
  <c r="I350" i="3" l="1"/>
  <c r="J350" i="3" s="1"/>
  <c r="L350" i="3" s="1"/>
  <c r="G351" i="3" s="1"/>
  <c r="I351" i="3" l="1"/>
  <c r="J351" i="3" s="1"/>
  <c r="L351" i="3" s="1"/>
  <c r="G352" i="3" s="1"/>
  <c r="I352" i="3" l="1"/>
  <c r="J352" i="3" s="1"/>
  <c r="L352" i="3" s="1"/>
  <c r="G353" i="3" s="1"/>
  <c r="I353" i="3" l="1"/>
  <c r="J353" i="3" s="1"/>
  <c r="L353" i="3" s="1"/>
  <c r="G354" i="3" s="1"/>
  <c r="I354" i="3" l="1"/>
  <c r="J354" i="3" s="1"/>
  <c r="L354" i="3" s="1"/>
  <c r="G355" i="3" s="1"/>
  <c r="I355" i="3" l="1"/>
  <c r="J355" i="3" s="1"/>
  <c r="L355" i="3" s="1"/>
  <c r="G356" i="3" s="1"/>
  <c r="I356" i="3" l="1"/>
  <c r="J356" i="3" s="1"/>
  <c r="L356" i="3" s="1"/>
  <c r="G357" i="3" s="1"/>
  <c r="I357" i="3" l="1"/>
  <c r="J357" i="3" s="1"/>
  <c r="L357" i="3"/>
  <c r="G358" i="3" s="1"/>
  <c r="I358" i="3" l="1"/>
  <c r="J358" i="3" s="1"/>
  <c r="L358" i="3" s="1"/>
  <c r="G359" i="3" s="1"/>
  <c r="I359" i="3" l="1"/>
  <c r="J359" i="3" s="1"/>
  <c r="L359" i="3" s="1"/>
  <c r="G360" i="3" s="1"/>
  <c r="I360" i="3" l="1"/>
  <c r="J360" i="3" s="1"/>
  <c r="L360" i="3" s="1"/>
  <c r="G361" i="3" s="1"/>
  <c r="I361" i="3" l="1"/>
  <c r="J361" i="3" s="1"/>
  <c r="L361" i="3" s="1"/>
  <c r="F27" i="20"/>
  <c r="F28" i="20"/>
  <c r="AL14" i="18"/>
  <c r="F7" i="22" l="1"/>
  <c r="G7" i="22"/>
  <c r="F9" i="22"/>
  <c r="G9" i="22"/>
  <c r="J12" i="22"/>
  <c r="K12" i="22"/>
  <c r="N20" i="22"/>
  <c r="O20" i="22"/>
  <c r="P20" i="22"/>
  <c r="Q20" i="22"/>
  <c r="R20" i="22"/>
  <c r="N21" i="22"/>
  <c r="O21" i="22"/>
  <c r="P21" i="22"/>
  <c r="Q21" i="22"/>
  <c r="R21" i="22"/>
  <c r="N23" i="22"/>
  <c r="O23" i="22"/>
  <c r="P23" i="22"/>
  <c r="Q23" i="22"/>
  <c r="R23" i="22"/>
  <c r="N24" i="22"/>
  <c r="O24" i="22"/>
  <c r="P24" i="22"/>
  <c r="Q24" i="22"/>
  <c r="R24" i="22"/>
  <c r="N25" i="22"/>
  <c r="O25" i="22"/>
  <c r="P25" i="22"/>
  <c r="Q25" i="22"/>
  <c r="R25" i="22"/>
  <c r="O27" i="22"/>
  <c r="P27" i="22"/>
  <c r="Q27" i="22"/>
  <c r="R27" i="22"/>
  <c r="N28" i="22"/>
  <c r="O28" i="22"/>
  <c r="P28" i="22"/>
  <c r="Q28" i="22"/>
  <c r="R28" i="22"/>
  <c r="O31" i="22"/>
  <c r="P31" i="22"/>
  <c r="Q31" i="22"/>
  <c r="R31" i="22"/>
  <c r="O33" i="22"/>
  <c r="P33" i="22"/>
  <c r="Q33" i="22"/>
  <c r="R33" i="22"/>
  <c r="N34" i="22"/>
  <c r="O34" i="22"/>
  <c r="P34" i="22"/>
  <c r="Q34" i="22"/>
  <c r="R34" i="22"/>
  <c r="N35" i="22"/>
  <c r="O35" i="22"/>
  <c r="P35" i="22"/>
  <c r="Q35" i="22"/>
  <c r="R35" i="22"/>
  <c r="N36" i="22"/>
  <c r="O36" i="22"/>
  <c r="P36" i="22"/>
  <c r="Q36" i="22"/>
  <c r="R36" i="22"/>
  <c r="U40" i="22"/>
  <c r="U41" i="22"/>
  <c r="U42" i="22"/>
  <c r="U43" i="22"/>
  <c r="U44" i="22"/>
  <c r="AK10" i="5"/>
  <c r="AK12" i="5"/>
  <c r="C16" i="5"/>
  <c r="C18" i="5"/>
  <c r="C20" i="5"/>
  <c r="AK21" i="5"/>
  <c r="AD22" i="5"/>
  <c r="C24" i="5"/>
  <c r="W26" i="5"/>
  <c r="AD26" i="5"/>
  <c r="AE26" i="5"/>
  <c r="C27" i="5"/>
  <c r="C28" i="5"/>
  <c r="C29" i="5"/>
  <c r="C32" i="5"/>
  <c r="W32" i="5"/>
  <c r="C34" i="5"/>
  <c r="D34" i="5"/>
  <c r="C36" i="5"/>
  <c r="D36" i="5"/>
  <c r="C39" i="5"/>
  <c r="C41" i="5"/>
  <c r="C42" i="5"/>
  <c r="C14" i="20"/>
  <c r="C17" i="20"/>
  <c r="F18" i="20"/>
  <c r="D19" i="20"/>
  <c r="E19" i="20"/>
  <c r="F19" i="20"/>
  <c r="C31" i="20"/>
  <c r="D32" i="20"/>
  <c r="E32" i="20"/>
  <c r="F32" i="20"/>
  <c r="C37" i="20"/>
  <c r="D37" i="20"/>
  <c r="E37" i="20"/>
  <c r="F37" i="20"/>
  <c r="C40" i="20"/>
  <c r="D40" i="20"/>
  <c r="E40" i="20"/>
  <c r="F40" i="20"/>
  <c r="D42" i="20"/>
  <c r="E42" i="20"/>
  <c r="F42" i="20"/>
  <c r="D43" i="20"/>
  <c r="E43" i="20"/>
  <c r="F43" i="20"/>
  <c r="C45" i="20"/>
  <c r="C46" i="20"/>
  <c r="C48" i="20"/>
  <c r="C49" i="20"/>
  <c r="D15" i="12"/>
  <c r="E15" i="12"/>
  <c r="F15" i="12"/>
  <c r="G15" i="12"/>
  <c r="H15" i="12"/>
  <c r="I15" i="12"/>
  <c r="J15" i="12"/>
  <c r="D18" i="12"/>
  <c r="E18" i="12"/>
  <c r="F18" i="12"/>
  <c r="D20" i="12"/>
  <c r="E20" i="12"/>
  <c r="F20" i="12"/>
  <c r="G20" i="12"/>
  <c r="H20" i="12"/>
  <c r="I20" i="12"/>
  <c r="J20" i="12"/>
  <c r="D22" i="12"/>
  <c r="E22" i="12"/>
  <c r="F22" i="12"/>
  <c r="G22" i="12"/>
  <c r="H22" i="12"/>
  <c r="I22" i="12"/>
  <c r="J22" i="12"/>
  <c r="D25" i="12"/>
  <c r="E25" i="12"/>
  <c r="F25" i="12"/>
  <c r="G25" i="12"/>
  <c r="H25" i="12"/>
  <c r="I25" i="12"/>
  <c r="J25" i="12"/>
  <c r="D27" i="12"/>
  <c r="E27" i="12"/>
  <c r="F27" i="12"/>
  <c r="G27" i="12"/>
  <c r="H27" i="12"/>
  <c r="I27" i="12"/>
  <c r="J27" i="12"/>
  <c r="D30" i="12"/>
  <c r="E30" i="12"/>
  <c r="F30" i="12"/>
  <c r="G30" i="12"/>
  <c r="H30" i="12"/>
  <c r="I30" i="12"/>
  <c r="J30" i="12"/>
  <c r="D32" i="12"/>
  <c r="E32" i="12"/>
  <c r="F32" i="12"/>
  <c r="G32" i="12"/>
  <c r="H32" i="12"/>
  <c r="I32" i="12"/>
  <c r="J32" i="12"/>
  <c r="D34" i="12"/>
  <c r="E34" i="12"/>
  <c r="F34" i="12"/>
  <c r="G34" i="12"/>
  <c r="H34" i="12"/>
  <c r="I34" i="12"/>
  <c r="J34" i="12"/>
  <c r="C6" i="18"/>
  <c r="C8" i="18"/>
  <c r="D8"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AG8" i="18"/>
  <c r="AH8" i="18"/>
  <c r="AI8" i="18"/>
  <c r="AJ8" i="18"/>
  <c r="AK8" i="18"/>
  <c r="AL8" i="18"/>
  <c r="AM8" i="18"/>
  <c r="AN8" i="18"/>
  <c r="AO8" i="18"/>
  <c r="AP8" i="18"/>
  <c r="AQ8" i="18"/>
  <c r="AR8" i="18"/>
  <c r="AS8" i="18"/>
  <c r="AT8" i="18"/>
  <c r="AU8" i="18"/>
  <c r="AV8" i="18"/>
  <c r="AW8" i="18"/>
  <c r="AX8" i="18"/>
  <c r="AY8" i="18"/>
  <c r="AZ8" i="18"/>
  <c r="BA8" i="18"/>
  <c r="BB8" i="18"/>
  <c r="BC8" i="18"/>
  <c r="BD8" i="18"/>
  <c r="BE8" i="18"/>
  <c r="BF8" i="18"/>
  <c r="BG8" i="18"/>
  <c r="BH8" i="18"/>
  <c r="BI8" i="18"/>
  <c r="BJ8" i="18"/>
  <c r="BK8" i="18"/>
  <c r="BL8" i="18"/>
  <c r="BM8" i="18"/>
  <c r="BN8" i="18"/>
  <c r="BO8" i="18"/>
  <c r="BP8" i="18"/>
  <c r="BQ8" i="18"/>
  <c r="BR8" i="18"/>
  <c r="BS8" i="18"/>
  <c r="BT8" i="18"/>
  <c r="BU8" i="18"/>
  <c r="BV8" i="18"/>
  <c r="BW8" i="18"/>
  <c r="BX8" i="18"/>
  <c r="BY8" i="18"/>
  <c r="BZ8" i="18"/>
  <c r="CA8" i="18"/>
  <c r="CB8" i="18"/>
  <c r="CC8" i="18"/>
  <c r="CD8" i="18"/>
  <c r="CE8" i="18"/>
  <c r="CF8" i="18"/>
  <c r="CG8" i="18"/>
  <c r="CH8" i="18"/>
  <c r="CI8" i="18"/>
  <c r="D12" i="18"/>
  <c r="E12" i="18"/>
  <c r="F12" i="18"/>
  <c r="G12" i="18"/>
  <c r="H12" i="18"/>
  <c r="I12" i="18"/>
  <c r="J12" i="18"/>
  <c r="K12" i="18"/>
  <c r="L12" i="18"/>
  <c r="M12" i="18"/>
  <c r="N12" i="18"/>
  <c r="O12" i="18"/>
  <c r="P12" i="18"/>
  <c r="Q12" i="18"/>
  <c r="R12" i="18"/>
  <c r="S12" i="18"/>
  <c r="T12" i="18"/>
  <c r="U12" i="18"/>
  <c r="V12" i="18"/>
  <c r="W12" i="18"/>
  <c r="X12" i="18"/>
  <c r="Y12" i="18"/>
  <c r="Z12" i="18"/>
  <c r="AA12" i="18"/>
  <c r="AB12" i="18"/>
  <c r="AC12" i="18"/>
  <c r="AD12" i="18"/>
  <c r="AE12" i="18"/>
  <c r="AF12" i="18"/>
  <c r="AG12" i="18"/>
  <c r="AH12" i="18"/>
  <c r="AI12" i="18"/>
  <c r="AJ12" i="18"/>
  <c r="AK12" i="18"/>
  <c r="AL12" i="18"/>
  <c r="AM12" i="18"/>
  <c r="AN12" i="18"/>
  <c r="AO12" i="18"/>
  <c r="AP12" i="18"/>
  <c r="AQ12" i="18"/>
  <c r="AR12" i="18"/>
  <c r="AS12" i="18"/>
  <c r="AT12" i="18"/>
  <c r="AU12" i="18"/>
  <c r="AV12" i="18"/>
  <c r="AW12" i="18"/>
  <c r="AX12" i="18"/>
  <c r="AY12" i="18"/>
  <c r="AZ12" i="18"/>
  <c r="BA12" i="18"/>
  <c r="BB12" i="18"/>
  <c r="BC12" i="18"/>
  <c r="BD12" i="18"/>
  <c r="BE12" i="18"/>
  <c r="BF12" i="18"/>
  <c r="BG12" i="18"/>
  <c r="BH12" i="18"/>
  <c r="BI12" i="18"/>
  <c r="BJ12" i="18"/>
  <c r="BK12" i="18"/>
  <c r="BL12" i="18"/>
  <c r="BM12" i="18"/>
  <c r="BN12" i="18"/>
  <c r="BO12" i="18"/>
  <c r="BP12" i="18"/>
  <c r="BQ12" i="18"/>
  <c r="BR12" i="18"/>
  <c r="BS12" i="18"/>
  <c r="BT12" i="18"/>
  <c r="BU12" i="18"/>
  <c r="BV12" i="18"/>
  <c r="BW12" i="18"/>
  <c r="BX12" i="18"/>
  <c r="BY12" i="18"/>
  <c r="BZ12" i="18"/>
  <c r="CA12" i="18"/>
  <c r="CB12" i="18"/>
  <c r="CC12" i="18"/>
  <c r="CD12" i="18"/>
  <c r="CE12" i="18"/>
  <c r="CF12" i="18"/>
  <c r="CG12" i="18"/>
  <c r="CH12" i="18"/>
  <c r="AL13" i="18"/>
  <c r="CH14" i="18"/>
  <c r="D15" i="18"/>
  <c r="E15" i="18"/>
  <c r="F15"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AF15" i="18"/>
  <c r="AG15" i="18"/>
  <c r="AH15" i="18"/>
  <c r="AI15" i="18"/>
  <c r="AJ15" i="18"/>
  <c r="AK15" i="18"/>
  <c r="AL15" i="18"/>
  <c r="AM15" i="18"/>
  <c r="AN15" i="18"/>
  <c r="AO15" i="18"/>
  <c r="AP15" i="18"/>
  <c r="AQ15" i="18"/>
  <c r="AR15" i="18"/>
  <c r="AS15" i="18"/>
  <c r="AT15" i="18"/>
  <c r="AU15" i="18"/>
  <c r="AV15" i="18"/>
  <c r="AW15" i="18"/>
  <c r="AX15" i="18"/>
  <c r="AY15" i="18"/>
  <c r="AZ15" i="18"/>
  <c r="BA15" i="18"/>
  <c r="BB15" i="18"/>
  <c r="BC15" i="18"/>
  <c r="BD15" i="18"/>
  <c r="BE15" i="18"/>
  <c r="BF15" i="18"/>
  <c r="BG15" i="18"/>
  <c r="BH15" i="18"/>
  <c r="BI15" i="18"/>
  <c r="BJ15" i="18"/>
  <c r="BK15" i="18"/>
  <c r="BL15" i="18"/>
  <c r="BM15" i="18"/>
  <c r="BN15" i="18"/>
  <c r="BO15" i="18"/>
  <c r="BP15" i="18"/>
  <c r="BQ15" i="18"/>
  <c r="BR15" i="18"/>
  <c r="BS15" i="18"/>
  <c r="BT15" i="18"/>
  <c r="BU15" i="18"/>
  <c r="BV15" i="18"/>
  <c r="BW15" i="18"/>
  <c r="BX15" i="18"/>
  <c r="BY15" i="18"/>
  <c r="BZ15" i="18"/>
  <c r="CA15" i="18"/>
  <c r="CB15" i="18"/>
  <c r="CC15" i="18"/>
  <c r="CD15" i="18"/>
  <c r="CE15" i="18"/>
  <c r="CF15" i="18"/>
  <c r="CG15" i="18"/>
  <c r="CH15" i="18"/>
  <c r="C18" i="18"/>
  <c r="D19" i="18"/>
  <c r="E19" i="18"/>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AF19" i="18"/>
  <c r="AG19" i="18"/>
  <c r="AH19" i="18"/>
  <c r="AI19" i="18"/>
  <c r="AJ19" i="18"/>
  <c r="AK19" i="18"/>
  <c r="AL19" i="18"/>
  <c r="AM19" i="18"/>
  <c r="AN19" i="18"/>
  <c r="AO19" i="18"/>
  <c r="AP19" i="18"/>
  <c r="AQ19" i="18"/>
  <c r="AR19" i="18"/>
  <c r="AS19" i="18"/>
  <c r="AT19" i="18"/>
  <c r="AU19" i="18"/>
  <c r="AV19" i="18"/>
  <c r="AW19" i="18"/>
  <c r="AX19" i="18"/>
  <c r="AY19" i="18"/>
  <c r="AZ19" i="18"/>
  <c r="BA19" i="18"/>
  <c r="BB19" i="18"/>
  <c r="BC19" i="18"/>
  <c r="BD19" i="18"/>
  <c r="BE19" i="18"/>
  <c r="BF19" i="18"/>
  <c r="BG19" i="18"/>
  <c r="BH19" i="18"/>
  <c r="BI19" i="18"/>
  <c r="BJ19" i="18"/>
  <c r="BK19" i="18"/>
  <c r="BL19" i="18"/>
  <c r="BM19" i="18"/>
  <c r="BN19" i="18"/>
  <c r="BO19" i="18"/>
  <c r="BP19" i="18"/>
  <c r="BQ19" i="18"/>
  <c r="BR19" i="18"/>
  <c r="BS19" i="18"/>
  <c r="BT19" i="18"/>
  <c r="BU19" i="18"/>
  <c r="BV19" i="18"/>
  <c r="BW19" i="18"/>
  <c r="BX19" i="18"/>
  <c r="BY19" i="18"/>
  <c r="BZ19" i="18"/>
  <c r="CA19" i="18"/>
  <c r="CB19" i="18"/>
  <c r="CC19" i="18"/>
  <c r="CD19" i="18"/>
  <c r="CE19" i="18"/>
  <c r="CF19" i="18"/>
  <c r="CG19" i="18"/>
  <c r="CH19" i="18"/>
  <c r="C20" i="18"/>
  <c r="D20" i="18"/>
  <c r="E20" i="18"/>
  <c r="F20" i="18"/>
  <c r="G20" i="18"/>
  <c r="H20" i="18"/>
  <c r="I20" i="18"/>
  <c r="J20" i="18"/>
  <c r="K20" i="18"/>
  <c r="L20" i="18"/>
  <c r="M20" i="18"/>
  <c r="N20" i="18"/>
  <c r="O20" i="18"/>
  <c r="P20" i="18"/>
  <c r="Q20" i="18"/>
  <c r="R20" i="18"/>
  <c r="S20" i="18"/>
  <c r="T20" i="18"/>
  <c r="U20" i="18"/>
  <c r="V20" i="18"/>
  <c r="W20" i="18"/>
  <c r="X20" i="18"/>
  <c r="Y20" i="18"/>
  <c r="Z20" i="18"/>
  <c r="AA20" i="18"/>
  <c r="AB20" i="18"/>
  <c r="AC20" i="18"/>
  <c r="AD20" i="18"/>
  <c r="AE20" i="18"/>
  <c r="AF20" i="18"/>
  <c r="AG20" i="18"/>
  <c r="AH20" i="18"/>
  <c r="AI20" i="18"/>
  <c r="AJ20" i="18"/>
  <c r="AK20" i="18"/>
  <c r="AL20" i="18"/>
  <c r="AM20" i="18"/>
  <c r="AN20" i="18"/>
  <c r="AO20" i="18"/>
  <c r="AP20" i="18"/>
  <c r="AQ20" i="18"/>
  <c r="AR20" i="18"/>
  <c r="AS20" i="18"/>
  <c r="AT20" i="18"/>
  <c r="AU20" i="18"/>
  <c r="AV20" i="18"/>
  <c r="AW20" i="18"/>
  <c r="AX20" i="18"/>
  <c r="AY20" i="18"/>
  <c r="AZ20" i="18"/>
  <c r="BA20" i="18"/>
  <c r="BB20" i="18"/>
  <c r="BC20" i="18"/>
  <c r="BD20" i="18"/>
  <c r="BE20" i="18"/>
  <c r="BF20" i="18"/>
  <c r="BG20" i="18"/>
  <c r="BH20" i="18"/>
  <c r="BI20" i="18"/>
  <c r="BJ20" i="18"/>
  <c r="BK20" i="18"/>
  <c r="BL20" i="18"/>
  <c r="BM20" i="18"/>
  <c r="BN20" i="18"/>
  <c r="BO20" i="18"/>
  <c r="BP20" i="18"/>
  <c r="BQ20" i="18"/>
  <c r="BR20" i="18"/>
  <c r="BS20" i="18"/>
  <c r="BT20" i="18"/>
  <c r="BU20" i="18"/>
  <c r="BV20" i="18"/>
  <c r="BW20" i="18"/>
  <c r="BX20" i="18"/>
  <c r="BY20" i="18"/>
  <c r="BZ20" i="18"/>
  <c r="CA20" i="18"/>
  <c r="CB20" i="18"/>
  <c r="CC20" i="18"/>
  <c r="CD20" i="18"/>
  <c r="CE20" i="18"/>
  <c r="CF20" i="18"/>
  <c r="CG20" i="18"/>
  <c r="CH20" i="18"/>
  <c r="C21" i="18"/>
  <c r="D21" i="18"/>
  <c r="E21" i="18"/>
  <c r="F21" i="18"/>
  <c r="G21" i="18"/>
  <c r="H21" i="18"/>
  <c r="I21" i="18"/>
  <c r="J21" i="18"/>
  <c r="K21" i="18"/>
  <c r="L21" i="18"/>
  <c r="M21" i="18"/>
  <c r="N21" i="18"/>
  <c r="O21" i="18"/>
  <c r="P21" i="18"/>
  <c r="Q21" i="18"/>
  <c r="R21" i="18"/>
  <c r="S21" i="18"/>
  <c r="T21" i="18"/>
  <c r="U21" i="18"/>
  <c r="V21" i="18"/>
  <c r="W21" i="18"/>
  <c r="X21" i="18"/>
  <c r="Y21" i="18"/>
  <c r="Z21" i="18"/>
  <c r="AA21" i="18"/>
  <c r="AB21" i="18"/>
  <c r="AC21" i="18"/>
  <c r="AD21" i="18"/>
  <c r="AE21" i="18"/>
  <c r="AF21" i="18"/>
  <c r="AG21" i="18"/>
  <c r="AH21" i="18"/>
  <c r="AI21" i="18"/>
  <c r="AJ21" i="18"/>
  <c r="AK21" i="18"/>
  <c r="AL21" i="18"/>
  <c r="AM21" i="18"/>
  <c r="AN21" i="18"/>
  <c r="AO21" i="18"/>
  <c r="AP21" i="18"/>
  <c r="AQ21" i="18"/>
  <c r="AR21" i="18"/>
  <c r="AS21" i="18"/>
  <c r="AT21" i="18"/>
  <c r="AU21" i="18"/>
  <c r="AV21" i="18"/>
  <c r="AW21" i="18"/>
  <c r="AX21" i="18"/>
  <c r="AY21" i="18"/>
  <c r="AZ21" i="18"/>
  <c r="BA21" i="18"/>
  <c r="BB21" i="18"/>
  <c r="BC21" i="18"/>
  <c r="BD21" i="18"/>
  <c r="BE21" i="18"/>
  <c r="BF21" i="18"/>
  <c r="BG21" i="18"/>
  <c r="BH21" i="18"/>
  <c r="BI21" i="18"/>
  <c r="BJ21" i="18"/>
  <c r="BK21" i="18"/>
  <c r="BL21" i="18"/>
  <c r="BM21" i="18"/>
  <c r="BN21" i="18"/>
  <c r="BO21" i="18"/>
  <c r="BP21" i="18"/>
  <c r="BQ21" i="18"/>
  <c r="BR21" i="18"/>
  <c r="BS21" i="18"/>
  <c r="BT21" i="18"/>
  <c r="BU21" i="18"/>
  <c r="BV21" i="18"/>
  <c r="BW21" i="18"/>
  <c r="BX21" i="18"/>
  <c r="BY21" i="18"/>
  <c r="BZ21" i="18"/>
  <c r="CA21" i="18"/>
  <c r="CB21" i="18"/>
  <c r="CC21" i="18"/>
  <c r="CD21" i="18"/>
  <c r="CE21" i="18"/>
  <c r="CF21" i="18"/>
  <c r="CG21" i="18"/>
  <c r="CH21" i="18"/>
  <c r="CI21" i="18"/>
  <c r="C31" i="18"/>
  <c r="C33" i="18"/>
  <c r="D33" i="18"/>
  <c r="E33" i="18"/>
  <c r="F33" i="18"/>
  <c r="G33" i="18"/>
  <c r="H33" i="18"/>
  <c r="I33" i="18"/>
  <c r="J33" i="18"/>
  <c r="K33" i="18"/>
  <c r="L33" i="18"/>
  <c r="M33" i="18"/>
  <c r="N33" i="18"/>
  <c r="O33" i="18"/>
  <c r="P33" i="18"/>
  <c r="Q33" i="18"/>
  <c r="R33" i="18"/>
  <c r="S33" i="18"/>
  <c r="T33" i="18"/>
  <c r="U33" i="18"/>
  <c r="V33" i="18"/>
  <c r="W33" i="18"/>
  <c r="X33" i="18"/>
  <c r="Y33" i="18"/>
  <c r="Z33" i="18"/>
  <c r="AA33" i="18"/>
  <c r="AB33" i="18"/>
  <c r="AC33" i="18"/>
  <c r="AD33" i="18"/>
  <c r="AE33" i="18"/>
  <c r="AF33" i="18"/>
  <c r="AG33" i="18"/>
  <c r="AH33" i="18"/>
  <c r="AI33" i="18"/>
  <c r="AJ33" i="18"/>
  <c r="AK33" i="18"/>
  <c r="AL33" i="18"/>
  <c r="AM33" i="18"/>
  <c r="AN33" i="18"/>
  <c r="AO33" i="18"/>
  <c r="AP33" i="18"/>
  <c r="AQ33" i="18"/>
  <c r="AR33" i="18"/>
  <c r="AS33" i="18"/>
  <c r="AT33" i="18"/>
  <c r="AU33" i="18"/>
  <c r="AV33" i="18"/>
  <c r="AW33" i="18"/>
  <c r="AX33" i="18"/>
  <c r="AY33" i="18"/>
  <c r="AZ33" i="18"/>
  <c r="BA33" i="18"/>
  <c r="BB33" i="18"/>
  <c r="BC33" i="18"/>
  <c r="BD33" i="18"/>
  <c r="BE33" i="18"/>
  <c r="BF33" i="18"/>
  <c r="BG33" i="18"/>
  <c r="BH33" i="18"/>
  <c r="BI33" i="18"/>
  <c r="BJ33" i="18"/>
  <c r="BK33" i="18"/>
  <c r="BL33" i="18"/>
  <c r="BM33" i="18"/>
  <c r="BN33" i="18"/>
  <c r="BO33" i="18"/>
  <c r="BP33" i="18"/>
  <c r="BQ33" i="18"/>
  <c r="BR33" i="18"/>
  <c r="BS33" i="18"/>
  <c r="BT33" i="18"/>
  <c r="BU33" i="18"/>
  <c r="BV33" i="18"/>
  <c r="BW33" i="18"/>
  <c r="BX33" i="18"/>
  <c r="BY33" i="18"/>
  <c r="BZ33" i="18"/>
  <c r="CA33" i="18"/>
  <c r="CB33" i="18"/>
  <c r="CC33" i="18"/>
  <c r="CD33" i="18"/>
  <c r="CE33" i="18"/>
  <c r="CF33" i="18"/>
  <c r="CG33" i="18"/>
  <c r="CH33" i="18"/>
  <c r="CI33" i="18"/>
  <c r="D37" i="18"/>
  <c r="E37" i="18"/>
  <c r="F37" i="18"/>
  <c r="G37" i="18"/>
  <c r="H37" i="18"/>
  <c r="I37" i="18"/>
  <c r="J37" i="18"/>
  <c r="K37" i="18"/>
  <c r="L37" i="18"/>
  <c r="M37" i="18"/>
  <c r="N37" i="18"/>
  <c r="O37" i="18"/>
  <c r="P37" i="18"/>
  <c r="Q37" i="18"/>
  <c r="R37" i="18"/>
  <c r="S37" i="18"/>
  <c r="T37" i="18"/>
  <c r="U37" i="18"/>
  <c r="V37" i="18"/>
  <c r="W37" i="18"/>
  <c r="X37" i="18"/>
  <c r="Y37" i="18"/>
  <c r="Z37" i="18"/>
  <c r="AA37" i="18"/>
  <c r="AB37" i="18"/>
  <c r="AC37" i="18"/>
  <c r="AD37" i="18"/>
  <c r="AE37" i="18"/>
  <c r="AF37" i="18"/>
  <c r="AG37" i="18"/>
  <c r="AH37" i="18"/>
  <c r="AI37" i="18"/>
  <c r="AJ37" i="18"/>
  <c r="AK37" i="18"/>
  <c r="AL37" i="18"/>
  <c r="AM37" i="18"/>
  <c r="AN37" i="18"/>
  <c r="AO37" i="18"/>
  <c r="AP37" i="18"/>
  <c r="AQ37" i="18"/>
  <c r="AR37" i="18"/>
  <c r="AS37" i="18"/>
  <c r="AT37" i="18"/>
  <c r="AU37" i="18"/>
  <c r="AV37" i="18"/>
  <c r="AW37" i="18"/>
  <c r="AX37" i="18"/>
  <c r="AY37" i="18"/>
  <c r="AZ37" i="18"/>
  <c r="BA37" i="18"/>
  <c r="BB37" i="18"/>
  <c r="BC37" i="18"/>
  <c r="BD37" i="18"/>
  <c r="BE37" i="18"/>
  <c r="BF37" i="18"/>
  <c r="BG37" i="18"/>
  <c r="BH37" i="18"/>
  <c r="BI37" i="18"/>
  <c r="BJ37" i="18"/>
  <c r="BK37" i="18"/>
  <c r="BL37" i="18"/>
  <c r="BM37" i="18"/>
  <c r="BN37" i="18"/>
  <c r="BO37" i="18"/>
  <c r="BP37" i="18"/>
  <c r="BQ37" i="18"/>
  <c r="BR37" i="18"/>
  <c r="BS37" i="18"/>
  <c r="BT37" i="18"/>
  <c r="BU37" i="18"/>
  <c r="BV37" i="18"/>
  <c r="BW37" i="18"/>
  <c r="BX37" i="18"/>
  <c r="BY37" i="18"/>
  <c r="BZ37" i="18"/>
  <c r="CA37" i="18"/>
  <c r="CB37" i="18"/>
  <c r="CC37" i="18"/>
  <c r="CD37" i="18"/>
  <c r="CE37" i="18"/>
  <c r="CF37" i="18"/>
  <c r="CG37" i="18"/>
  <c r="CH37" i="18"/>
  <c r="CI37" i="18"/>
  <c r="AL38" i="18"/>
  <c r="CI39" i="18"/>
  <c r="D40" i="18"/>
  <c r="E40" i="18"/>
  <c r="F40" i="18"/>
  <c r="G40" i="18"/>
  <c r="H40" i="18"/>
  <c r="I40" i="18"/>
  <c r="J40" i="18"/>
  <c r="K40" i="18"/>
  <c r="L40" i="18"/>
  <c r="M40" i="18"/>
  <c r="N40" i="18"/>
  <c r="O40" i="18"/>
  <c r="P40" i="18"/>
  <c r="Q40" i="18"/>
  <c r="R40" i="18"/>
  <c r="S40" i="18"/>
  <c r="T40" i="18"/>
  <c r="U40" i="18"/>
  <c r="V40" i="18"/>
  <c r="W40" i="18"/>
  <c r="X40" i="18"/>
  <c r="Y40" i="18"/>
  <c r="Z40" i="18"/>
  <c r="AA40" i="18"/>
  <c r="AB40" i="18"/>
  <c r="AC40" i="18"/>
  <c r="AD40" i="18"/>
  <c r="AE40" i="18"/>
  <c r="AF40" i="18"/>
  <c r="AG40" i="18"/>
  <c r="AH40" i="18"/>
  <c r="AI40" i="18"/>
  <c r="AJ40" i="18"/>
  <c r="AK40" i="18"/>
  <c r="AL40" i="18"/>
  <c r="AM40" i="18"/>
  <c r="AN40" i="18"/>
  <c r="AO40" i="18"/>
  <c r="AP40" i="18"/>
  <c r="AQ40" i="18"/>
  <c r="AR40" i="18"/>
  <c r="AS40" i="18"/>
  <c r="AT40" i="18"/>
  <c r="AU40" i="18"/>
  <c r="AV40" i="18"/>
  <c r="AW40" i="18"/>
  <c r="AX40" i="18"/>
  <c r="AY40" i="18"/>
  <c r="AZ40" i="18"/>
  <c r="BA40" i="18"/>
  <c r="BB40" i="18"/>
  <c r="BC40" i="18"/>
  <c r="BD40" i="18"/>
  <c r="BE40" i="18"/>
  <c r="BF40" i="18"/>
  <c r="BG40" i="18"/>
  <c r="BH40" i="18"/>
  <c r="BI40" i="18"/>
  <c r="BJ40" i="18"/>
  <c r="BK40" i="18"/>
  <c r="BL40" i="18"/>
  <c r="BM40" i="18"/>
  <c r="BN40" i="18"/>
  <c r="BO40" i="18"/>
  <c r="BP40" i="18"/>
  <c r="BQ40" i="18"/>
  <c r="BR40" i="18"/>
  <c r="BS40" i="18"/>
  <c r="BT40" i="18"/>
  <c r="BU40" i="18"/>
  <c r="BV40" i="18"/>
  <c r="BW40" i="18"/>
  <c r="BX40" i="18"/>
  <c r="BY40" i="18"/>
  <c r="BZ40" i="18"/>
  <c r="CA40" i="18"/>
  <c r="CB40" i="18"/>
  <c r="CC40" i="18"/>
  <c r="CD40" i="18"/>
  <c r="CE40" i="18"/>
  <c r="CF40" i="18"/>
  <c r="CG40" i="18"/>
  <c r="CH40" i="18"/>
  <c r="CI40" i="18"/>
  <c r="C43" i="18"/>
  <c r="D44"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AG44" i="18"/>
  <c r="AH44" i="18"/>
  <c r="AI44" i="18"/>
  <c r="AJ44" i="18"/>
  <c r="AK44" i="18"/>
  <c r="AL44" i="18"/>
  <c r="AM44" i="18"/>
  <c r="AN44" i="18"/>
  <c r="AO44" i="18"/>
  <c r="AP44" i="18"/>
  <c r="AQ44" i="18"/>
  <c r="AR44" i="18"/>
  <c r="AS44" i="18"/>
  <c r="AT44" i="18"/>
  <c r="AU44" i="18"/>
  <c r="AV44" i="18"/>
  <c r="AW44" i="18"/>
  <c r="AX44" i="18"/>
  <c r="AY44" i="18"/>
  <c r="AZ44" i="18"/>
  <c r="BA44" i="18"/>
  <c r="BB44" i="18"/>
  <c r="BC44" i="18"/>
  <c r="BD44" i="18"/>
  <c r="BE44" i="18"/>
  <c r="BF44" i="18"/>
  <c r="BG44" i="18"/>
  <c r="BH44" i="18"/>
  <c r="BI44" i="18"/>
  <c r="BJ44" i="18"/>
  <c r="BK44" i="18"/>
  <c r="BL44" i="18"/>
  <c r="BM44" i="18"/>
  <c r="BN44" i="18"/>
  <c r="BO44" i="18"/>
  <c r="BP44" i="18"/>
  <c r="BQ44" i="18"/>
  <c r="BR44" i="18"/>
  <c r="BS44" i="18"/>
  <c r="BT44" i="18"/>
  <c r="BU44" i="18"/>
  <c r="BV44" i="18"/>
  <c r="BW44" i="18"/>
  <c r="BX44" i="18"/>
  <c r="BY44" i="18"/>
  <c r="BZ44" i="18"/>
  <c r="CA44" i="18"/>
  <c r="CB44" i="18"/>
  <c r="CC44" i="18"/>
  <c r="CD44" i="18"/>
  <c r="CE44" i="18"/>
  <c r="CF44" i="18"/>
  <c r="CG44" i="18"/>
  <c r="CH44" i="18"/>
  <c r="CI44" i="18"/>
  <c r="C45" i="18"/>
  <c r="D45" i="18"/>
  <c r="E45" i="18"/>
  <c r="F45" i="18"/>
  <c r="G45" i="18"/>
  <c r="H45" i="18"/>
  <c r="I45" i="18"/>
  <c r="J45" i="18"/>
  <c r="K45" i="18"/>
  <c r="L45" i="18"/>
  <c r="M45" i="18"/>
  <c r="N45" i="18"/>
  <c r="O45" i="18"/>
  <c r="P45" i="18"/>
  <c r="Q45" i="18"/>
  <c r="R45" i="18"/>
  <c r="S45" i="18"/>
  <c r="T45" i="18"/>
  <c r="U45" i="18"/>
  <c r="V45" i="18"/>
  <c r="W45" i="18"/>
  <c r="X45" i="18"/>
  <c r="Y45" i="18"/>
  <c r="Z45" i="18"/>
  <c r="AA45" i="18"/>
  <c r="AB45" i="18"/>
  <c r="AC45" i="18"/>
  <c r="AD45" i="18"/>
  <c r="AE45" i="18"/>
  <c r="AF45" i="18"/>
  <c r="AG45" i="18"/>
  <c r="AH45" i="18"/>
  <c r="AI45" i="18"/>
  <c r="AJ45" i="18"/>
  <c r="AK45" i="18"/>
  <c r="AL45" i="18"/>
  <c r="AM45" i="18"/>
  <c r="AN45" i="18"/>
  <c r="AO45" i="18"/>
  <c r="AP45" i="18"/>
  <c r="AQ45" i="18"/>
  <c r="AR45" i="18"/>
  <c r="AS45" i="18"/>
  <c r="AT45" i="18"/>
  <c r="AU45" i="18"/>
  <c r="AV45" i="18"/>
  <c r="AW45" i="18"/>
  <c r="AX45" i="18"/>
  <c r="AY45" i="18"/>
  <c r="AZ45" i="18"/>
  <c r="BA45" i="18"/>
  <c r="BB45" i="18"/>
  <c r="BC45" i="18"/>
  <c r="BD45" i="18"/>
  <c r="BE45" i="18"/>
  <c r="BF45" i="18"/>
  <c r="BG45" i="18"/>
  <c r="BH45" i="18"/>
  <c r="BI45" i="18"/>
  <c r="BJ45" i="18"/>
  <c r="BK45" i="18"/>
  <c r="BL45" i="18"/>
  <c r="BM45" i="18"/>
  <c r="BN45" i="18"/>
  <c r="BO45" i="18"/>
  <c r="BP45" i="18"/>
  <c r="BQ45" i="18"/>
  <c r="BR45" i="18"/>
  <c r="BS45" i="18"/>
  <c r="BT45" i="18"/>
  <c r="BU45" i="18"/>
  <c r="BV45" i="18"/>
  <c r="BW45" i="18"/>
  <c r="BX45" i="18"/>
  <c r="BY45" i="18"/>
  <c r="BZ45" i="18"/>
  <c r="CA45" i="18"/>
  <c r="CB45" i="18"/>
  <c r="CC45" i="18"/>
  <c r="CD45" i="18"/>
  <c r="CE45" i="18"/>
  <c r="CF45" i="18"/>
  <c r="CG45" i="18"/>
  <c r="CH45" i="18"/>
  <c r="CI45" i="18"/>
  <c r="C46" i="18"/>
  <c r="D46" i="18"/>
  <c r="E46" i="18"/>
  <c r="F46" i="18"/>
  <c r="G46" i="18"/>
  <c r="H46" i="18"/>
  <c r="I46" i="18"/>
  <c r="J46" i="18"/>
  <c r="K46" i="18"/>
  <c r="L46" i="18"/>
  <c r="M46" i="18"/>
  <c r="N46" i="18"/>
  <c r="O46" i="18"/>
  <c r="P46" i="18"/>
  <c r="Q46" i="18"/>
  <c r="R46" i="18"/>
  <c r="S46" i="18"/>
  <c r="T46" i="18"/>
  <c r="U46" i="18"/>
  <c r="V46" i="18"/>
  <c r="W46" i="18"/>
  <c r="X46" i="18"/>
  <c r="Y46" i="18"/>
  <c r="Z46" i="18"/>
  <c r="AA46" i="18"/>
  <c r="AB46" i="18"/>
  <c r="AC46" i="18"/>
  <c r="AD46" i="18"/>
  <c r="AE46" i="18"/>
  <c r="AF46" i="18"/>
  <c r="AG46" i="18"/>
  <c r="AH46" i="18"/>
  <c r="AI46" i="18"/>
  <c r="AJ46" i="18"/>
  <c r="AK46" i="18"/>
  <c r="AL46" i="18"/>
  <c r="AM46" i="18"/>
  <c r="AN46" i="18"/>
  <c r="AO46" i="18"/>
  <c r="AP46" i="18"/>
  <c r="AQ46" i="18"/>
  <c r="AR46" i="18"/>
  <c r="AS46" i="18"/>
  <c r="AT46" i="18"/>
  <c r="AU46" i="18"/>
  <c r="AV46" i="18"/>
  <c r="AW46" i="18"/>
  <c r="AX46" i="18"/>
  <c r="AY46" i="18"/>
  <c r="AZ46" i="18"/>
  <c r="BA46" i="18"/>
  <c r="BB46" i="18"/>
  <c r="BC46" i="18"/>
  <c r="BD46" i="18"/>
  <c r="BE46" i="18"/>
  <c r="BF46" i="18"/>
  <c r="BG46" i="18"/>
  <c r="BH46" i="18"/>
  <c r="BI46" i="18"/>
  <c r="BJ46" i="18"/>
  <c r="BK46" i="18"/>
  <c r="BL46" i="18"/>
  <c r="BM46" i="18"/>
  <c r="BN46" i="18"/>
  <c r="BO46" i="18"/>
  <c r="BP46" i="18"/>
  <c r="BQ46" i="18"/>
  <c r="BR46" i="18"/>
  <c r="BS46" i="18"/>
  <c r="BT46" i="18"/>
  <c r="BU46" i="18"/>
  <c r="BV46" i="18"/>
  <c r="BW46" i="18"/>
  <c r="BX46" i="18"/>
  <c r="BY46" i="18"/>
  <c r="BZ46" i="18"/>
  <c r="CA46" i="18"/>
  <c r="CB46" i="18"/>
  <c r="CC46" i="18"/>
  <c r="CD46" i="18"/>
  <c r="CE46" i="18"/>
  <c r="CF46" i="18"/>
  <c r="CG46" i="18"/>
  <c r="CH46" i="18"/>
  <c r="CI46" i="18"/>
  <c r="D52" i="18"/>
  <c r="E52" i="18"/>
  <c r="F52" i="18"/>
  <c r="G52" i="18"/>
  <c r="H52" i="18"/>
  <c r="I52" i="18"/>
  <c r="J52" i="18"/>
  <c r="K52" i="18"/>
  <c r="L52" i="18"/>
  <c r="M52" i="18"/>
  <c r="N52" i="18"/>
  <c r="O52" i="18"/>
  <c r="P52" i="18"/>
  <c r="Q52" i="18"/>
  <c r="R52" i="18"/>
  <c r="S52" i="18"/>
  <c r="T52" i="18"/>
  <c r="U52" i="18"/>
  <c r="V52" i="18"/>
  <c r="W52" i="18"/>
  <c r="X52" i="18"/>
  <c r="Y52" i="18"/>
  <c r="Z52" i="18"/>
  <c r="AA52" i="18"/>
  <c r="AB52" i="18"/>
  <c r="AC52" i="18"/>
  <c r="AD52" i="18"/>
  <c r="AE52" i="18"/>
  <c r="AF52" i="18"/>
  <c r="AG52" i="18"/>
  <c r="AH52" i="18"/>
  <c r="AI52" i="18"/>
  <c r="AJ52" i="18"/>
  <c r="AK52" i="18"/>
  <c r="AL52" i="18"/>
  <c r="AM52" i="18"/>
  <c r="AN52" i="18"/>
  <c r="AO52" i="18"/>
  <c r="AP52" i="18"/>
  <c r="AQ52" i="18"/>
  <c r="AR52" i="18"/>
  <c r="AS52" i="18"/>
  <c r="AT52" i="18"/>
  <c r="AU52" i="18"/>
  <c r="AV52" i="18"/>
  <c r="AW52" i="18"/>
  <c r="AX52" i="18"/>
  <c r="AY52" i="18"/>
  <c r="AZ52" i="18"/>
  <c r="BA52" i="18"/>
  <c r="BB52" i="18"/>
  <c r="BC52" i="18"/>
  <c r="BD52" i="18"/>
  <c r="BE52" i="18"/>
  <c r="BF52" i="18"/>
  <c r="BG52" i="18"/>
  <c r="BH52" i="18"/>
  <c r="BI52" i="18"/>
  <c r="BJ52" i="18"/>
  <c r="BK52" i="18"/>
  <c r="BL52" i="18"/>
  <c r="BM52" i="18"/>
  <c r="BN52" i="18"/>
  <c r="BO52" i="18"/>
  <c r="BP52" i="18"/>
  <c r="BQ52" i="18"/>
  <c r="BR52" i="18"/>
  <c r="BS52" i="18"/>
  <c r="BT52" i="18"/>
  <c r="BU52" i="18"/>
  <c r="BV52" i="18"/>
  <c r="BW52" i="18"/>
  <c r="BX52" i="18"/>
  <c r="BY52" i="18"/>
  <c r="BZ52" i="18"/>
  <c r="CA52" i="18"/>
  <c r="CB52" i="18"/>
  <c r="CC52" i="18"/>
  <c r="CD52" i="18"/>
  <c r="CE52" i="18"/>
  <c r="CF52" i="18"/>
  <c r="CG52" i="18"/>
  <c r="CH52" i="18"/>
  <c r="C53" i="18"/>
  <c r="D53" i="18"/>
  <c r="E53" i="18"/>
  <c r="F53" i="18"/>
  <c r="G53" i="18"/>
  <c r="H53" i="18"/>
  <c r="I53" i="18"/>
  <c r="J53" i="18"/>
  <c r="K53" i="18"/>
  <c r="L53" i="18"/>
  <c r="M53" i="18"/>
  <c r="N53" i="18"/>
  <c r="O53" i="18"/>
  <c r="P53" i="18"/>
  <c r="Q53" i="18"/>
  <c r="R53" i="18"/>
  <c r="S53" i="18"/>
  <c r="T53" i="18"/>
  <c r="U53" i="18"/>
  <c r="V53" i="18"/>
  <c r="W53" i="18"/>
  <c r="X53" i="18"/>
  <c r="Y53" i="18"/>
  <c r="Z53" i="18"/>
  <c r="AA53" i="18"/>
  <c r="AB53" i="18"/>
  <c r="AC53" i="18"/>
  <c r="AD53" i="18"/>
  <c r="AE53" i="18"/>
  <c r="AF53" i="18"/>
  <c r="AG53" i="18"/>
  <c r="AH53" i="18"/>
  <c r="AI53" i="18"/>
  <c r="AJ53" i="18"/>
  <c r="AK53" i="18"/>
  <c r="AL53" i="18"/>
  <c r="AM53" i="18"/>
  <c r="AN53" i="18"/>
  <c r="AO53" i="18"/>
  <c r="AP53" i="18"/>
  <c r="AQ53" i="18"/>
  <c r="AR53" i="18"/>
  <c r="AS53" i="18"/>
  <c r="AT53" i="18"/>
  <c r="AU53" i="18"/>
  <c r="AV53" i="18"/>
  <c r="AW53" i="18"/>
  <c r="AX53" i="18"/>
  <c r="AY53" i="18"/>
  <c r="AZ53" i="18"/>
  <c r="BA53" i="18"/>
  <c r="BB53" i="18"/>
  <c r="BC53" i="18"/>
  <c r="BD53" i="18"/>
  <c r="BE53" i="18"/>
  <c r="BF53" i="18"/>
  <c r="BG53" i="18"/>
  <c r="BH53" i="18"/>
  <c r="BI53" i="18"/>
  <c r="BJ53" i="18"/>
  <c r="BK53" i="18"/>
  <c r="BL53" i="18"/>
  <c r="BM53" i="18"/>
  <c r="BN53" i="18"/>
  <c r="BO53" i="18"/>
  <c r="BP53" i="18"/>
  <c r="BQ53" i="18"/>
  <c r="BR53" i="18"/>
  <c r="BS53" i="18"/>
  <c r="BT53" i="18"/>
  <c r="BU53" i="18"/>
  <c r="BV53" i="18"/>
  <c r="BW53" i="18"/>
  <c r="BX53" i="18"/>
  <c r="BY53" i="18"/>
  <c r="BZ53" i="18"/>
  <c r="CA53" i="18"/>
  <c r="CB53" i="18"/>
  <c r="CC53" i="18"/>
  <c r="CD53" i="18"/>
  <c r="CE53" i="18"/>
  <c r="CF53" i="18"/>
  <c r="CG53" i="18"/>
  <c r="CH53" i="18"/>
  <c r="D55" i="18"/>
  <c r="E55" i="18"/>
  <c r="F55" i="18"/>
  <c r="G55" i="18"/>
  <c r="H55" i="18"/>
  <c r="I55" i="18"/>
  <c r="J55" i="18"/>
  <c r="K55" i="18"/>
  <c r="L55" i="18"/>
  <c r="M55" i="18"/>
  <c r="N55" i="18"/>
  <c r="O55" i="18"/>
  <c r="P55" i="18"/>
  <c r="Q55" i="18"/>
  <c r="R55" i="18"/>
  <c r="S55" i="18"/>
  <c r="T55" i="18"/>
  <c r="U55" i="18"/>
  <c r="V55" i="18"/>
  <c r="W55" i="18"/>
  <c r="X55" i="18"/>
  <c r="Y55" i="18"/>
  <c r="Z55" i="18"/>
  <c r="AA55" i="18"/>
  <c r="AB55" i="18"/>
  <c r="AC55" i="18"/>
  <c r="AD55" i="18"/>
  <c r="AE55" i="18"/>
  <c r="AF55" i="18"/>
  <c r="AG55" i="18"/>
  <c r="AH55" i="18"/>
  <c r="AI55" i="18"/>
  <c r="AJ55" i="18"/>
  <c r="AK55" i="18"/>
  <c r="AL55" i="18"/>
  <c r="AM55" i="18"/>
  <c r="AN55" i="18"/>
  <c r="AO55" i="18"/>
  <c r="AP55" i="18"/>
  <c r="AQ55" i="18"/>
  <c r="AR55" i="18"/>
  <c r="AS55" i="18"/>
  <c r="AT55" i="18"/>
  <c r="AU55" i="18"/>
  <c r="AV55" i="18"/>
  <c r="AW55" i="18"/>
  <c r="AX55" i="18"/>
  <c r="AY55" i="18"/>
  <c r="AZ55" i="18"/>
  <c r="BA55" i="18"/>
  <c r="BB55" i="18"/>
  <c r="BC55" i="18"/>
  <c r="BD55" i="18"/>
  <c r="BE55" i="18"/>
  <c r="BF55" i="18"/>
  <c r="BG55" i="18"/>
  <c r="BH55" i="18"/>
  <c r="BI55" i="18"/>
  <c r="BJ55" i="18"/>
  <c r="BK55" i="18"/>
  <c r="BL55" i="18"/>
  <c r="BM55" i="18"/>
  <c r="BN55" i="18"/>
  <c r="BO55" i="18"/>
  <c r="BP55" i="18"/>
  <c r="BQ55" i="18"/>
  <c r="BR55" i="18"/>
  <c r="BS55" i="18"/>
  <c r="BT55" i="18"/>
  <c r="BU55" i="18"/>
  <c r="BV55" i="18"/>
  <c r="BW55" i="18"/>
  <c r="BX55" i="18"/>
  <c r="BY55" i="18"/>
  <c r="BZ55" i="18"/>
  <c r="CA55" i="18"/>
  <c r="CB55" i="18"/>
  <c r="CC55" i="18"/>
  <c r="CD55" i="18"/>
  <c r="CE55" i="18"/>
  <c r="CF55" i="18"/>
  <c r="CG55" i="18"/>
  <c r="CH55" i="18"/>
  <c r="C56" i="18"/>
  <c r="D56" i="18"/>
  <c r="E56" i="18"/>
  <c r="F56" i="18"/>
  <c r="G56" i="18"/>
  <c r="H56" i="18"/>
  <c r="I56" i="18"/>
  <c r="J56" i="18"/>
  <c r="K56" i="18"/>
  <c r="L56" i="18"/>
  <c r="M56" i="18"/>
  <c r="N56" i="18"/>
  <c r="O56" i="18"/>
  <c r="P56" i="18"/>
  <c r="Q56" i="18"/>
  <c r="R56" i="18"/>
  <c r="S56" i="18"/>
  <c r="T56" i="18"/>
  <c r="U56" i="18"/>
  <c r="V56" i="18"/>
  <c r="W56" i="18"/>
  <c r="X56" i="18"/>
  <c r="Y56" i="18"/>
  <c r="Z56" i="18"/>
  <c r="AA56" i="18"/>
  <c r="AB56" i="18"/>
  <c r="AC56" i="18"/>
  <c r="AD56" i="18"/>
  <c r="AE56" i="18"/>
  <c r="AF56" i="18"/>
  <c r="AG56" i="18"/>
  <c r="AH56" i="18"/>
  <c r="AI56" i="18"/>
  <c r="AJ56" i="18"/>
  <c r="AK56" i="18"/>
  <c r="AL56" i="18"/>
  <c r="AM56" i="18"/>
  <c r="AN56" i="18"/>
  <c r="AO56" i="18"/>
  <c r="AP56" i="18"/>
  <c r="AQ56" i="18"/>
  <c r="AR56" i="18"/>
  <c r="AS56" i="18"/>
  <c r="AT56" i="18"/>
  <c r="AU56" i="18"/>
  <c r="AV56" i="18"/>
  <c r="AW56" i="18"/>
  <c r="AX56" i="18"/>
  <c r="AY56" i="18"/>
  <c r="AZ56" i="18"/>
  <c r="BA56" i="18"/>
  <c r="BB56" i="18"/>
  <c r="BC56" i="18"/>
  <c r="BD56" i="18"/>
  <c r="BE56" i="18"/>
  <c r="BF56" i="18"/>
  <c r="BG56" i="18"/>
  <c r="BH56" i="18"/>
  <c r="BI56" i="18"/>
  <c r="BJ56" i="18"/>
  <c r="BK56" i="18"/>
  <c r="BL56" i="18"/>
  <c r="BM56" i="18"/>
  <c r="BN56" i="18"/>
  <c r="BO56" i="18"/>
  <c r="BP56" i="18"/>
  <c r="BQ56" i="18"/>
  <c r="BR56" i="18"/>
  <c r="BS56" i="18"/>
  <c r="BT56" i="18"/>
  <c r="BU56" i="18"/>
  <c r="BV56" i="18"/>
  <c r="BW56" i="18"/>
  <c r="BX56" i="18"/>
  <c r="BY56" i="18"/>
  <c r="BZ56" i="18"/>
  <c r="CA56" i="18"/>
  <c r="CB56" i="18"/>
  <c r="CC56" i="18"/>
  <c r="CD56" i="18"/>
  <c r="CE56" i="18"/>
  <c r="CF56" i="18"/>
  <c r="CG56" i="18"/>
  <c r="CH56" i="18"/>
  <c r="D58" i="18"/>
  <c r="E58" i="18"/>
  <c r="F58" i="18"/>
  <c r="G58" i="18"/>
  <c r="H58" i="18"/>
  <c r="I58" i="18"/>
  <c r="J58" i="18"/>
  <c r="K58" i="18"/>
  <c r="L58" i="18"/>
  <c r="M58" i="18"/>
  <c r="N58" i="18"/>
  <c r="O58" i="18"/>
  <c r="P58" i="18"/>
  <c r="Q58" i="18"/>
  <c r="R58" i="18"/>
  <c r="S58" i="18"/>
  <c r="T58" i="18"/>
  <c r="U58" i="18"/>
  <c r="V58" i="18"/>
  <c r="W58" i="18"/>
  <c r="X58" i="18"/>
  <c r="Y58" i="18"/>
  <c r="Z58" i="18"/>
  <c r="AA58" i="18"/>
  <c r="AB58" i="18"/>
  <c r="AC58" i="18"/>
  <c r="AD58" i="18"/>
  <c r="AE58" i="18"/>
  <c r="AF58" i="18"/>
  <c r="AG58" i="18"/>
  <c r="AH58" i="18"/>
  <c r="AI58" i="18"/>
  <c r="AJ58" i="18"/>
  <c r="AK58" i="18"/>
  <c r="AL58" i="18"/>
  <c r="AM58" i="18"/>
  <c r="AN58" i="18"/>
  <c r="AO58" i="18"/>
  <c r="AP58" i="18"/>
  <c r="AQ58" i="18"/>
  <c r="AR58" i="18"/>
  <c r="AS58" i="18"/>
  <c r="AT58" i="18"/>
  <c r="AU58" i="18"/>
  <c r="AV58" i="18"/>
  <c r="AW58" i="18"/>
  <c r="AX58" i="18"/>
  <c r="AY58" i="18"/>
  <c r="AZ58" i="18"/>
  <c r="BA58" i="18"/>
  <c r="BB58" i="18"/>
  <c r="BC58" i="18"/>
  <c r="BD58" i="18"/>
  <c r="BE58" i="18"/>
  <c r="BF58" i="18"/>
  <c r="BG58" i="18"/>
  <c r="BH58" i="18"/>
  <c r="BI58" i="18"/>
  <c r="BJ58" i="18"/>
  <c r="BK58" i="18"/>
  <c r="BL58" i="18"/>
  <c r="BM58" i="18"/>
  <c r="BN58" i="18"/>
  <c r="BO58" i="18"/>
  <c r="BP58" i="18"/>
  <c r="BQ58" i="18"/>
  <c r="BR58" i="18"/>
  <c r="BS58" i="18"/>
  <c r="BT58" i="18"/>
  <c r="BU58" i="18"/>
  <c r="BV58" i="18"/>
  <c r="BW58" i="18"/>
  <c r="BX58" i="18"/>
  <c r="BY58" i="18"/>
  <c r="BZ58" i="18"/>
  <c r="CA58" i="18"/>
  <c r="CB58" i="18"/>
  <c r="CC58" i="18"/>
  <c r="CD58" i="18"/>
  <c r="CE58" i="18"/>
  <c r="CF58" i="18"/>
  <c r="CG58" i="18"/>
  <c r="CH58" i="18"/>
  <c r="C59" i="18"/>
  <c r="D59" i="18"/>
  <c r="E59" i="18"/>
  <c r="F59" i="18"/>
  <c r="G59" i="18"/>
  <c r="H59" i="18"/>
  <c r="I59" i="18"/>
  <c r="J59" i="18"/>
  <c r="K59" i="18"/>
  <c r="L59" i="18"/>
  <c r="M59" i="18"/>
  <c r="N59" i="18"/>
  <c r="O59" i="18"/>
  <c r="P59" i="18"/>
  <c r="Q59" i="18"/>
  <c r="R59" i="18"/>
  <c r="S59" i="18"/>
  <c r="T59" i="18"/>
  <c r="U59" i="18"/>
  <c r="V59" i="18"/>
  <c r="W59" i="18"/>
  <c r="X59" i="18"/>
  <c r="Y59" i="18"/>
  <c r="Z59" i="18"/>
  <c r="AA59" i="18"/>
  <c r="AB59" i="18"/>
  <c r="AC59" i="18"/>
  <c r="AD59" i="18"/>
  <c r="AE59" i="18"/>
  <c r="AF59" i="18"/>
  <c r="AG59" i="18"/>
  <c r="AH59" i="18"/>
  <c r="AI59" i="18"/>
  <c r="AJ59" i="18"/>
  <c r="AK59" i="18"/>
  <c r="AL59" i="18"/>
  <c r="AM59" i="18"/>
  <c r="AN59" i="18"/>
  <c r="AO59" i="18"/>
  <c r="AP59" i="18"/>
  <c r="AQ59" i="18"/>
  <c r="AR59" i="18"/>
  <c r="AS59" i="18"/>
  <c r="AT59" i="18"/>
  <c r="AU59" i="18"/>
  <c r="AV59" i="18"/>
  <c r="AW59" i="18"/>
  <c r="AX59" i="18"/>
  <c r="AY59" i="18"/>
  <c r="AZ59" i="18"/>
  <c r="BA59" i="18"/>
  <c r="BB59" i="18"/>
  <c r="BC59" i="18"/>
  <c r="BD59" i="18"/>
  <c r="BE59" i="18"/>
  <c r="BF59" i="18"/>
  <c r="BG59" i="18"/>
  <c r="BH59" i="18"/>
  <c r="BI59" i="18"/>
  <c r="BJ59" i="18"/>
  <c r="BK59" i="18"/>
  <c r="BL59" i="18"/>
  <c r="BM59" i="18"/>
  <c r="BN59" i="18"/>
  <c r="BO59" i="18"/>
  <c r="BP59" i="18"/>
  <c r="BQ59" i="18"/>
  <c r="BR59" i="18"/>
  <c r="BS59" i="18"/>
  <c r="BT59" i="18"/>
  <c r="BU59" i="18"/>
  <c r="BV59" i="18"/>
  <c r="BW59" i="18"/>
  <c r="BX59" i="18"/>
  <c r="BY59" i="18"/>
  <c r="BZ59" i="18"/>
  <c r="CA59" i="18"/>
  <c r="CB59" i="18"/>
  <c r="CC59" i="18"/>
  <c r="CD59" i="18"/>
  <c r="CE59" i="18"/>
  <c r="CF59" i="18"/>
  <c r="CG59" i="18"/>
  <c r="CH59" i="18"/>
  <c r="D61" i="18"/>
  <c r="E61" i="18"/>
  <c r="F61" i="18"/>
  <c r="G61" i="18"/>
  <c r="H61" i="18"/>
  <c r="I61" i="18"/>
  <c r="J61" i="18"/>
  <c r="K61" i="18"/>
  <c r="L61" i="18"/>
  <c r="M61" i="18"/>
  <c r="N61" i="18"/>
  <c r="O61" i="18"/>
  <c r="P61" i="18"/>
  <c r="Q61" i="18"/>
  <c r="R61" i="18"/>
  <c r="S61" i="18"/>
  <c r="T61" i="18"/>
  <c r="U61" i="18"/>
  <c r="V61" i="18"/>
  <c r="W61" i="18"/>
  <c r="X61" i="18"/>
  <c r="Y61" i="18"/>
  <c r="Z61" i="18"/>
  <c r="AA61" i="18"/>
  <c r="AB61" i="18"/>
  <c r="AC61" i="18"/>
  <c r="AD61" i="18"/>
  <c r="AE61" i="18"/>
  <c r="AF61" i="18"/>
  <c r="AG61" i="18"/>
  <c r="AH61" i="18"/>
  <c r="AI61" i="18"/>
  <c r="AJ61" i="18"/>
  <c r="AK61" i="18"/>
  <c r="AL61" i="18"/>
  <c r="AM61" i="18"/>
  <c r="AN61" i="18"/>
  <c r="AO61" i="18"/>
  <c r="AP61" i="18"/>
  <c r="AQ61" i="18"/>
  <c r="AR61" i="18"/>
  <c r="AS61" i="18"/>
  <c r="AT61" i="18"/>
  <c r="AU61" i="18"/>
  <c r="AV61" i="18"/>
  <c r="AW61" i="18"/>
  <c r="AX61" i="18"/>
  <c r="AY61" i="18"/>
  <c r="AZ61" i="18"/>
  <c r="BA61" i="18"/>
  <c r="BB61" i="18"/>
  <c r="BC61" i="18"/>
  <c r="BD61" i="18"/>
  <c r="BE61" i="18"/>
  <c r="BF61" i="18"/>
  <c r="BG61" i="18"/>
  <c r="BH61" i="18"/>
  <c r="BI61" i="18"/>
  <c r="BJ61" i="18"/>
  <c r="BK61" i="18"/>
  <c r="BL61" i="18"/>
  <c r="BM61" i="18"/>
  <c r="BN61" i="18"/>
  <c r="BO61" i="18"/>
  <c r="BP61" i="18"/>
  <c r="BQ61" i="18"/>
  <c r="BR61" i="18"/>
  <c r="BS61" i="18"/>
  <c r="BT61" i="18"/>
  <c r="BU61" i="18"/>
  <c r="BV61" i="18"/>
  <c r="BW61" i="18"/>
  <c r="BX61" i="18"/>
  <c r="BY61" i="18"/>
  <c r="BZ61" i="18"/>
  <c r="CA61" i="18"/>
  <c r="CB61" i="18"/>
  <c r="CC61" i="18"/>
  <c r="CD61" i="18"/>
  <c r="CE61" i="18"/>
  <c r="CF61" i="18"/>
  <c r="CG61" i="18"/>
  <c r="CH61" i="18"/>
  <c r="C62" i="18"/>
  <c r="D62" i="18"/>
  <c r="E62" i="18"/>
  <c r="F62" i="18"/>
  <c r="G62" i="18"/>
  <c r="H62" i="18"/>
  <c r="I62" i="18"/>
  <c r="J62" i="18"/>
  <c r="K62" i="18"/>
  <c r="L62" i="18"/>
  <c r="M62" i="18"/>
  <c r="N62" i="18"/>
  <c r="O62" i="18"/>
  <c r="P62" i="18"/>
  <c r="Q62" i="18"/>
  <c r="R62" i="18"/>
  <c r="S62" i="18"/>
  <c r="T62" i="18"/>
  <c r="U62" i="18"/>
  <c r="V62" i="18"/>
  <c r="W62" i="18"/>
  <c r="X62" i="18"/>
  <c r="Y62" i="18"/>
  <c r="Z62" i="18"/>
  <c r="AA62" i="18"/>
  <c r="AB62" i="18"/>
  <c r="AC62" i="18"/>
  <c r="AD62" i="18"/>
  <c r="AE62" i="18"/>
  <c r="AF62" i="18"/>
  <c r="AG62" i="18"/>
  <c r="AH62" i="18"/>
  <c r="AI62" i="18"/>
  <c r="AJ62" i="18"/>
  <c r="AK62" i="18"/>
  <c r="AL62" i="18"/>
  <c r="AM62" i="18"/>
  <c r="AN62" i="18"/>
  <c r="AO62" i="18"/>
  <c r="AP62" i="18"/>
  <c r="AQ62" i="18"/>
  <c r="AR62" i="18"/>
  <c r="AS62" i="18"/>
  <c r="AT62" i="18"/>
  <c r="AU62" i="18"/>
  <c r="AV62" i="18"/>
  <c r="AW62" i="18"/>
  <c r="AX62" i="18"/>
  <c r="AY62" i="18"/>
  <c r="AZ62" i="18"/>
  <c r="BA62" i="18"/>
  <c r="BB62" i="18"/>
  <c r="BC62" i="18"/>
  <c r="BD62" i="18"/>
  <c r="BE62" i="18"/>
  <c r="BF62" i="18"/>
  <c r="BG62" i="18"/>
  <c r="BH62" i="18"/>
  <c r="BI62" i="18"/>
  <c r="BJ62" i="18"/>
  <c r="BK62" i="18"/>
  <c r="BL62" i="18"/>
  <c r="BM62" i="18"/>
  <c r="BN62" i="18"/>
  <c r="BO62" i="18"/>
  <c r="BP62" i="18"/>
  <c r="BQ62" i="18"/>
  <c r="BR62" i="18"/>
  <c r="BS62" i="18"/>
  <c r="BT62" i="18"/>
  <c r="BU62" i="18"/>
  <c r="BV62" i="18"/>
  <c r="BW62" i="18"/>
  <c r="BX62" i="18"/>
  <c r="BY62" i="18"/>
  <c r="BZ62" i="18"/>
  <c r="CA62" i="18"/>
  <c r="CB62" i="18"/>
  <c r="CC62" i="18"/>
  <c r="CD62" i="18"/>
  <c r="CE62" i="18"/>
  <c r="CF62" i="18"/>
  <c r="CG62" i="18"/>
  <c r="CH62" i="18"/>
  <c r="I8" i="7"/>
  <c r="F9" i="7"/>
  <c r="F10" i="7"/>
  <c r="F11" i="7"/>
  <c r="I11" i="7"/>
  <c r="K11" i="7"/>
  <c r="F12" i="7"/>
  <c r="G12" i="7"/>
  <c r="K12" i="7"/>
  <c r="F13" i="7"/>
  <c r="G13" i="7"/>
  <c r="F19" i="7"/>
  <c r="C20" i="7"/>
  <c r="F20" i="7"/>
  <c r="C21" i="7"/>
  <c r="C22" i="7"/>
  <c r="C23" i="7"/>
  <c r="C25" i="7"/>
  <c r="C26" i="7"/>
  <c r="C27" i="7"/>
  <c r="G27" i="7"/>
  <c r="C28" i="7"/>
  <c r="G28" i="7"/>
  <c r="G29" i="7"/>
  <c r="G30" i="7"/>
  <c r="G31" i="7"/>
  <c r="G32" i="7"/>
  <c r="G33" i="7"/>
  <c r="C2" i="3"/>
  <c r="G2" i="3"/>
  <c r="H2" i="3"/>
  <c r="I2" i="3"/>
  <c r="L2" i="3"/>
  <c r="U2" i="3"/>
  <c r="W2" i="3"/>
  <c r="G3" i="3"/>
  <c r="H3" i="3"/>
  <c r="I3" i="3"/>
  <c r="L3" i="3"/>
  <c r="S3" i="3"/>
  <c r="T3" i="3"/>
  <c r="U3" i="3"/>
  <c r="W3" i="3"/>
  <c r="G4" i="3"/>
  <c r="H4" i="3"/>
  <c r="I4" i="3"/>
  <c r="L4" i="3"/>
  <c r="S4" i="3"/>
  <c r="T4" i="3"/>
  <c r="U4" i="3"/>
  <c r="W4" i="3"/>
  <c r="G5" i="3"/>
  <c r="H5" i="3"/>
  <c r="I5" i="3"/>
  <c r="L5" i="3"/>
  <c r="S5" i="3"/>
  <c r="T5" i="3"/>
  <c r="U5" i="3"/>
  <c r="W5" i="3"/>
  <c r="G6" i="3"/>
  <c r="H6" i="3"/>
  <c r="I6" i="3"/>
  <c r="L6" i="3"/>
  <c r="S6" i="3"/>
  <c r="T6" i="3"/>
  <c r="U6" i="3"/>
  <c r="W6" i="3"/>
  <c r="G7" i="3"/>
  <c r="H7" i="3"/>
  <c r="I7" i="3"/>
  <c r="L7" i="3"/>
  <c r="S7" i="3"/>
  <c r="T7" i="3"/>
  <c r="U7" i="3"/>
  <c r="W7" i="3"/>
  <c r="G8" i="3"/>
  <c r="H8" i="3"/>
  <c r="I8" i="3"/>
  <c r="L8" i="3"/>
  <c r="S8" i="3"/>
  <c r="T8" i="3"/>
  <c r="U8" i="3"/>
  <c r="W8" i="3"/>
  <c r="G9" i="3"/>
  <c r="H9" i="3"/>
  <c r="I9" i="3"/>
  <c r="L9" i="3"/>
  <c r="S9" i="3"/>
  <c r="T9" i="3"/>
  <c r="U9" i="3"/>
  <c r="W9" i="3"/>
  <c r="G10" i="3"/>
  <c r="H10" i="3"/>
  <c r="I10" i="3"/>
  <c r="L10" i="3"/>
  <c r="S10" i="3"/>
  <c r="T10" i="3"/>
  <c r="U10" i="3"/>
  <c r="W10" i="3"/>
  <c r="G11" i="3"/>
  <c r="H11" i="3"/>
  <c r="I11" i="3"/>
  <c r="L11" i="3"/>
  <c r="S11" i="3"/>
  <c r="T11" i="3"/>
  <c r="U11" i="3"/>
  <c r="W11" i="3"/>
  <c r="G12" i="3"/>
  <c r="H12" i="3"/>
  <c r="I12" i="3"/>
  <c r="L12" i="3"/>
  <c r="S12" i="3"/>
  <c r="T12" i="3"/>
  <c r="U12" i="3"/>
  <c r="W12" i="3"/>
  <c r="G13" i="3"/>
  <c r="H13" i="3"/>
  <c r="I13" i="3"/>
  <c r="L13" i="3"/>
  <c r="S13" i="3"/>
  <c r="T13" i="3"/>
  <c r="U13" i="3"/>
  <c r="W13" i="3"/>
  <c r="G14" i="3"/>
  <c r="H14" i="3"/>
  <c r="I14" i="3"/>
  <c r="L14" i="3"/>
  <c r="S14" i="3"/>
  <c r="T14" i="3"/>
  <c r="U14" i="3"/>
  <c r="W14" i="3"/>
  <c r="G15" i="3"/>
  <c r="H15" i="3"/>
  <c r="I15" i="3"/>
  <c r="L15" i="3"/>
  <c r="S15" i="3"/>
  <c r="T15" i="3"/>
  <c r="U15" i="3"/>
  <c r="W15" i="3"/>
  <c r="G16" i="3"/>
  <c r="H16" i="3"/>
  <c r="I16" i="3"/>
  <c r="L16" i="3"/>
  <c r="S16" i="3"/>
  <c r="T16" i="3"/>
  <c r="U16" i="3"/>
  <c r="W16" i="3"/>
  <c r="G17" i="3"/>
  <c r="H17" i="3"/>
  <c r="I17" i="3"/>
  <c r="L17" i="3"/>
  <c r="S17" i="3"/>
  <c r="T17" i="3"/>
  <c r="U17" i="3"/>
  <c r="W17" i="3"/>
  <c r="G18" i="3"/>
  <c r="H18" i="3"/>
  <c r="I18" i="3"/>
  <c r="L18" i="3"/>
  <c r="S18" i="3"/>
  <c r="T18" i="3"/>
  <c r="U18" i="3"/>
  <c r="W18" i="3"/>
  <c r="G19" i="3"/>
  <c r="H19" i="3"/>
  <c r="I19" i="3"/>
  <c r="L19" i="3"/>
  <c r="S19" i="3"/>
  <c r="T19" i="3"/>
  <c r="U19" i="3"/>
  <c r="W19" i="3"/>
  <c r="G20" i="3"/>
  <c r="H20" i="3"/>
  <c r="I20" i="3"/>
  <c r="L20" i="3"/>
  <c r="S20" i="3"/>
  <c r="T20" i="3"/>
  <c r="U20" i="3"/>
  <c r="W20" i="3"/>
  <c r="G21" i="3"/>
  <c r="H21" i="3"/>
  <c r="I21" i="3"/>
  <c r="L21" i="3"/>
  <c r="S21" i="3"/>
  <c r="T21" i="3"/>
  <c r="U21" i="3"/>
  <c r="W21" i="3"/>
  <c r="G22" i="3"/>
  <c r="H22" i="3"/>
  <c r="I22" i="3"/>
  <c r="L22" i="3"/>
  <c r="S22" i="3"/>
  <c r="T22" i="3"/>
  <c r="U22" i="3"/>
  <c r="W22" i="3"/>
  <c r="G23" i="3"/>
  <c r="H23" i="3"/>
  <c r="I23" i="3"/>
  <c r="L23" i="3"/>
  <c r="S23" i="3"/>
  <c r="T23" i="3"/>
  <c r="U23" i="3"/>
  <c r="W23" i="3"/>
  <c r="G24" i="3"/>
  <c r="H24" i="3"/>
  <c r="I24" i="3"/>
  <c r="L24" i="3"/>
  <c r="S24" i="3"/>
  <c r="T24" i="3"/>
  <c r="U24" i="3"/>
  <c r="W24" i="3"/>
  <c r="G25" i="3"/>
  <c r="H25" i="3"/>
  <c r="I25" i="3"/>
  <c r="L25" i="3"/>
  <c r="S25" i="3"/>
  <c r="T25" i="3"/>
  <c r="U25" i="3"/>
  <c r="W25" i="3"/>
  <c r="G26" i="3"/>
  <c r="H26" i="3"/>
  <c r="I26" i="3"/>
  <c r="L26" i="3"/>
  <c r="S26" i="3"/>
  <c r="T26" i="3"/>
  <c r="U26" i="3"/>
  <c r="W26" i="3"/>
  <c r="G27" i="3"/>
  <c r="H27" i="3"/>
  <c r="I27" i="3"/>
  <c r="L27" i="3"/>
  <c r="S27" i="3"/>
  <c r="T27" i="3"/>
  <c r="U27" i="3"/>
  <c r="W27" i="3"/>
  <c r="G28" i="3"/>
  <c r="H28" i="3"/>
  <c r="I28" i="3"/>
  <c r="L28" i="3"/>
  <c r="S28" i="3"/>
  <c r="T28" i="3"/>
  <c r="U28" i="3"/>
  <c r="W28" i="3"/>
  <c r="G29" i="3"/>
  <c r="H29" i="3"/>
  <c r="I29" i="3"/>
  <c r="L29" i="3"/>
  <c r="S29" i="3"/>
  <c r="T29" i="3"/>
  <c r="U29" i="3"/>
  <c r="W29" i="3"/>
  <c r="G30" i="3"/>
  <c r="H30" i="3"/>
  <c r="I30" i="3"/>
  <c r="L30" i="3"/>
  <c r="S30" i="3"/>
  <c r="T30" i="3"/>
  <c r="U30" i="3"/>
  <c r="W30" i="3"/>
  <c r="G31" i="3"/>
  <c r="H31" i="3"/>
  <c r="I31" i="3"/>
  <c r="L31" i="3"/>
  <c r="S31" i="3"/>
  <c r="T31" i="3"/>
  <c r="U31" i="3"/>
  <c r="W31" i="3"/>
  <c r="G32" i="3"/>
  <c r="H32" i="3"/>
  <c r="I32" i="3"/>
  <c r="L32" i="3"/>
  <c r="S32" i="3"/>
  <c r="T32" i="3"/>
  <c r="U32" i="3"/>
  <c r="W32" i="3"/>
  <c r="G33" i="3"/>
  <c r="H33" i="3"/>
  <c r="I33" i="3"/>
  <c r="L33" i="3"/>
  <c r="S33" i="3"/>
  <c r="T33" i="3"/>
  <c r="U33" i="3"/>
  <c r="W33" i="3"/>
  <c r="G34" i="3"/>
  <c r="H34" i="3"/>
  <c r="I34" i="3"/>
  <c r="L34" i="3"/>
  <c r="S34" i="3"/>
  <c r="T34" i="3"/>
  <c r="U34" i="3"/>
  <c r="W34" i="3"/>
  <c r="G35" i="3"/>
  <c r="H35" i="3"/>
  <c r="I35" i="3"/>
  <c r="L35" i="3"/>
  <c r="S35" i="3"/>
  <c r="T35" i="3"/>
  <c r="U35" i="3"/>
  <c r="W35" i="3"/>
  <c r="S36" i="3"/>
  <c r="T36" i="3"/>
  <c r="U36" i="3"/>
  <c r="W36" i="3"/>
  <c r="S37" i="3"/>
  <c r="T37" i="3"/>
  <c r="U37" i="3"/>
  <c r="W37" i="3"/>
  <c r="S38" i="3"/>
  <c r="T38" i="3"/>
  <c r="U38" i="3"/>
  <c r="W38" i="3"/>
  <c r="S39" i="3"/>
  <c r="T39" i="3"/>
  <c r="U39" i="3"/>
  <c r="W39" i="3"/>
  <c r="S40" i="3"/>
  <c r="T40" i="3"/>
  <c r="U40" i="3"/>
  <c r="W40" i="3"/>
  <c r="S41" i="3"/>
  <c r="T41" i="3"/>
  <c r="U41" i="3"/>
  <c r="W41" i="3"/>
  <c r="S42" i="3"/>
  <c r="T42" i="3"/>
  <c r="U42" i="3"/>
  <c r="W42" i="3"/>
  <c r="S43" i="3"/>
  <c r="T43" i="3"/>
  <c r="U43" i="3"/>
  <c r="W43" i="3"/>
  <c r="S44" i="3"/>
  <c r="T44" i="3"/>
  <c r="U44" i="3"/>
  <c r="W44" i="3"/>
  <c r="S45" i="3"/>
  <c r="T45" i="3"/>
  <c r="U45" i="3"/>
  <c r="W45" i="3"/>
  <c r="S46" i="3"/>
  <c r="T46" i="3"/>
  <c r="U46" i="3"/>
  <c r="W46" i="3"/>
  <c r="S47" i="3"/>
  <c r="T47" i="3"/>
  <c r="U47" i="3"/>
  <c r="W47" i="3"/>
  <c r="S48" i="3"/>
  <c r="T48" i="3"/>
  <c r="U48" i="3"/>
  <c r="W48" i="3"/>
  <c r="S49" i="3"/>
  <c r="T49" i="3"/>
  <c r="U49" i="3"/>
  <c r="W49" i="3"/>
  <c r="S50" i="3"/>
  <c r="T50" i="3"/>
  <c r="U50" i="3"/>
  <c r="W50" i="3"/>
  <c r="S51" i="3"/>
  <c r="T51" i="3"/>
  <c r="U51" i="3"/>
  <c r="W51" i="3"/>
  <c r="S52" i="3"/>
  <c r="T52" i="3"/>
  <c r="U52" i="3"/>
  <c r="W52" i="3"/>
  <c r="S53" i="3"/>
  <c r="T53" i="3"/>
  <c r="U53" i="3"/>
  <c r="W53" i="3"/>
  <c r="S54" i="3"/>
  <c r="T54" i="3"/>
  <c r="U54" i="3"/>
  <c r="W54" i="3"/>
  <c r="S55" i="3"/>
  <c r="T55" i="3"/>
  <c r="U55" i="3"/>
  <c r="W55" i="3"/>
  <c r="S56" i="3"/>
  <c r="T56" i="3"/>
  <c r="U56" i="3"/>
  <c r="W56" i="3"/>
  <c r="S57" i="3"/>
  <c r="T57" i="3"/>
  <c r="U57" i="3"/>
  <c r="W57" i="3"/>
  <c r="S58" i="3"/>
  <c r="T58" i="3"/>
  <c r="U58" i="3"/>
  <c r="W58" i="3"/>
  <c r="S59" i="3"/>
  <c r="T59" i="3"/>
  <c r="U59" i="3"/>
  <c r="W59" i="3"/>
  <c r="S60" i="3"/>
  <c r="T60" i="3"/>
  <c r="U60" i="3"/>
  <c r="W60" i="3"/>
  <c r="S61" i="3"/>
  <c r="T61" i="3"/>
  <c r="U61" i="3"/>
  <c r="W61" i="3"/>
  <c r="S62" i="3"/>
  <c r="T62" i="3"/>
  <c r="U62" i="3"/>
  <c r="W62" i="3"/>
  <c r="S63" i="3"/>
  <c r="T63" i="3"/>
  <c r="U63" i="3"/>
  <c r="W63" i="3"/>
  <c r="S64" i="3"/>
  <c r="T64" i="3"/>
  <c r="U64" i="3"/>
  <c r="W64" i="3"/>
  <c r="S65" i="3"/>
  <c r="T65" i="3"/>
  <c r="U65" i="3"/>
  <c r="W65" i="3"/>
  <c r="S66" i="3"/>
  <c r="T66" i="3"/>
  <c r="U66" i="3"/>
  <c r="W66" i="3"/>
  <c r="S67" i="3"/>
  <c r="T67" i="3"/>
  <c r="U67" i="3"/>
  <c r="W67" i="3"/>
  <c r="S68" i="3"/>
  <c r="T68" i="3"/>
  <c r="U68" i="3"/>
  <c r="W68" i="3"/>
  <c r="S69" i="3"/>
  <c r="T69" i="3"/>
  <c r="U69" i="3"/>
  <c r="W69" i="3"/>
  <c r="S70" i="3"/>
  <c r="T70" i="3"/>
  <c r="U70" i="3"/>
  <c r="W70" i="3"/>
  <c r="S71" i="3"/>
  <c r="T71" i="3"/>
  <c r="U71" i="3"/>
  <c r="W71" i="3"/>
  <c r="S72" i="3"/>
  <c r="T72" i="3"/>
  <c r="U72" i="3"/>
  <c r="W72" i="3"/>
  <c r="S73" i="3"/>
  <c r="T73" i="3"/>
  <c r="U73" i="3"/>
  <c r="W73" i="3"/>
  <c r="S74" i="3"/>
  <c r="T74" i="3"/>
  <c r="U74" i="3"/>
  <c r="W74" i="3"/>
  <c r="S75" i="3"/>
  <c r="T75" i="3"/>
  <c r="U75" i="3"/>
  <c r="W75" i="3"/>
  <c r="S76" i="3"/>
  <c r="T76" i="3"/>
  <c r="U76" i="3"/>
  <c r="W76" i="3"/>
  <c r="S77" i="3"/>
  <c r="T77" i="3"/>
  <c r="U77" i="3"/>
  <c r="W77" i="3"/>
  <c r="S78" i="3"/>
  <c r="T78" i="3"/>
  <c r="U78" i="3"/>
  <c r="W78" i="3"/>
  <c r="S79" i="3"/>
  <c r="T79" i="3"/>
  <c r="U79" i="3"/>
  <c r="W79" i="3"/>
  <c r="S80" i="3"/>
  <c r="T80" i="3"/>
  <c r="U80" i="3"/>
  <c r="W80" i="3"/>
  <c r="S81" i="3"/>
  <c r="T81" i="3"/>
  <c r="U81" i="3"/>
  <c r="W81" i="3"/>
  <c r="S82" i="3"/>
  <c r="T82" i="3"/>
  <c r="U82" i="3"/>
  <c r="W82" i="3"/>
  <c r="S83" i="3"/>
  <c r="T83" i="3"/>
  <c r="U83" i="3"/>
  <c r="W83" i="3"/>
  <c r="S84" i="3"/>
  <c r="T84" i="3"/>
  <c r="U84" i="3"/>
  <c r="W84" i="3"/>
  <c r="S85" i="3"/>
  <c r="T85" i="3"/>
  <c r="U85" i="3"/>
  <c r="W85" i="3"/>
  <c r="S86" i="3"/>
  <c r="T86" i="3"/>
  <c r="U86" i="3"/>
  <c r="W86" i="3"/>
  <c r="S87" i="3"/>
  <c r="T87" i="3"/>
  <c r="U87" i="3"/>
  <c r="W87" i="3"/>
  <c r="S88" i="3"/>
  <c r="T88" i="3"/>
  <c r="U88" i="3"/>
  <c r="W88" i="3"/>
  <c r="S89" i="3"/>
  <c r="T89" i="3"/>
  <c r="U89" i="3"/>
  <c r="W89" i="3"/>
  <c r="S90" i="3"/>
  <c r="T90" i="3"/>
  <c r="U90" i="3"/>
  <c r="W90" i="3"/>
  <c r="S91" i="3"/>
  <c r="T91" i="3"/>
  <c r="U91" i="3"/>
  <c r="W91" i="3"/>
  <c r="S92" i="3"/>
  <c r="T92" i="3"/>
  <c r="U92" i="3"/>
  <c r="W92" i="3"/>
  <c r="S93" i="3"/>
  <c r="T93" i="3"/>
  <c r="U93" i="3"/>
  <c r="W93" i="3"/>
  <c r="S94" i="3"/>
  <c r="T94" i="3"/>
  <c r="U94" i="3"/>
  <c r="W94" i="3"/>
  <c r="S95" i="3"/>
  <c r="T95" i="3"/>
  <c r="U95" i="3"/>
  <c r="W95" i="3"/>
  <c r="S96" i="3"/>
  <c r="T96" i="3"/>
  <c r="U96" i="3"/>
  <c r="W96" i="3"/>
  <c r="S97" i="3"/>
  <c r="T97" i="3"/>
  <c r="U97" i="3"/>
  <c r="W97" i="3"/>
  <c r="S98" i="3"/>
  <c r="T98" i="3"/>
  <c r="U98" i="3"/>
  <c r="W98" i="3"/>
  <c r="S99" i="3"/>
  <c r="T99" i="3"/>
  <c r="U99" i="3"/>
  <c r="W99" i="3"/>
  <c r="S100" i="3"/>
  <c r="T100" i="3"/>
  <c r="U100" i="3"/>
  <c r="W100" i="3"/>
  <c r="S101" i="3"/>
  <c r="T101" i="3"/>
  <c r="U101" i="3"/>
  <c r="W101" i="3"/>
  <c r="S102" i="3"/>
  <c r="T102" i="3"/>
  <c r="U102" i="3"/>
  <c r="W102" i="3"/>
  <c r="S103" i="3"/>
  <c r="T103" i="3"/>
  <c r="U103" i="3"/>
  <c r="W103" i="3"/>
  <c r="S104" i="3"/>
  <c r="T104" i="3"/>
  <c r="U104" i="3"/>
  <c r="W104" i="3"/>
  <c r="S105" i="3"/>
  <c r="T105" i="3"/>
  <c r="U105" i="3"/>
  <c r="W105" i="3"/>
  <c r="S106" i="3"/>
  <c r="T106" i="3"/>
  <c r="U106" i="3"/>
  <c r="W106" i="3"/>
  <c r="S107" i="3"/>
  <c r="T107" i="3"/>
  <c r="U107" i="3"/>
  <c r="W107" i="3"/>
  <c r="S108" i="3"/>
  <c r="T108" i="3"/>
  <c r="U108" i="3"/>
  <c r="W108" i="3"/>
  <c r="S109" i="3"/>
  <c r="T109" i="3"/>
  <c r="U109" i="3"/>
  <c r="W109" i="3"/>
  <c r="S110" i="3"/>
  <c r="T110" i="3"/>
  <c r="U110" i="3"/>
  <c r="W110" i="3"/>
  <c r="S111" i="3"/>
  <c r="T111" i="3"/>
  <c r="U111" i="3"/>
  <c r="W111" i="3"/>
  <c r="S112" i="3"/>
  <c r="T112" i="3"/>
  <c r="U112" i="3"/>
  <c r="W112" i="3"/>
  <c r="S113" i="3"/>
  <c r="T113" i="3"/>
  <c r="U113" i="3"/>
  <c r="W113" i="3"/>
  <c r="S114" i="3"/>
  <c r="T114" i="3"/>
  <c r="U114" i="3"/>
  <c r="W114" i="3"/>
  <c r="S115" i="3"/>
  <c r="T115" i="3"/>
  <c r="U115" i="3"/>
  <c r="W115" i="3"/>
  <c r="S116" i="3"/>
  <c r="T116" i="3"/>
  <c r="U116" i="3"/>
  <c r="W116" i="3"/>
  <c r="S117" i="3"/>
  <c r="T117" i="3"/>
  <c r="U117" i="3"/>
  <c r="W117" i="3"/>
  <c r="S118" i="3"/>
  <c r="T118" i="3"/>
  <c r="U118" i="3"/>
  <c r="W118" i="3"/>
  <c r="S119" i="3"/>
  <c r="T119" i="3"/>
  <c r="U119" i="3"/>
  <c r="W119" i="3"/>
  <c r="S120" i="3"/>
  <c r="T120" i="3"/>
  <c r="U120" i="3"/>
  <c r="W120" i="3"/>
  <c r="S121" i="3"/>
  <c r="T121" i="3"/>
  <c r="U121" i="3"/>
  <c r="W121" i="3"/>
  <c r="S122" i="3"/>
  <c r="T122" i="3"/>
  <c r="U122" i="3"/>
  <c r="W122" i="3"/>
  <c r="S123" i="3"/>
  <c r="T123" i="3"/>
  <c r="U123" i="3"/>
  <c r="W123" i="3"/>
  <c r="S124" i="3"/>
  <c r="T124" i="3"/>
  <c r="U124" i="3"/>
  <c r="W124" i="3"/>
  <c r="S125" i="3"/>
  <c r="T125" i="3"/>
  <c r="U125" i="3"/>
  <c r="W125" i="3"/>
  <c r="S126" i="3"/>
  <c r="T126" i="3"/>
  <c r="U126" i="3"/>
  <c r="W126" i="3"/>
  <c r="S127" i="3"/>
  <c r="T127" i="3"/>
  <c r="U127" i="3"/>
  <c r="W127" i="3"/>
  <c r="S128" i="3"/>
  <c r="T128" i="3"/>
  <c r="U128" i="3"/>
  <c r="W128" i="3"/>
  <c r="S129" i="3"/>
  <c r="T129" i="3"/>
  <c r="U129" i="3"/>
  <c r="W129" i="3"/>
  <c r="S130" i="3"/>
  <c r="T130" i="3"/>
  <c r="U130" i="3"/>
  <c r="W130" i="3"/>
  <c r="S131" i="3"/>
  <c r="T131" i="3"/>
  <c r="U131" i="3"/>
  <c r="W131" i="3"/>
  <c r="S132" i="3"/>
  <c r="T132" i="3"/>
  <c r="U132" i="3"/>
  <c r="W132" i="3"/>
  <c r="S133" i="3"/>
  <c r="T133" i="3"/>
  <c r="U133" i="3"/>
  <c r="W133" i="3"/>
  <c r="S134" i="3"/>
  <c r="T134" i="3"/>
  <c r="U134" i="3"/>
  <c r="W134" i="3"/>
  <c r="S135" i="3"/>
  <c r="T135" i="3"/>
  <c r="U135" i="3"/>
  <c r="W135" i="3"/>
  <c r="S136" i="3"/>
  <c r="T136" i="3"/>
  <c r="U136" i="3"/>
  <c r="W136" i="3"/>
  <c r="S137" i="3"/>
  <c r="T137" i="3"/>
  <c r="U137" i="3"/>
  <c r="W137" i="3"/>
  <c r="S138" i="3"/>
  <c r="T138" i="3"/>
  <c r="U138" i="3"/>
  <c r="W138" i="3"/>
  <c r="S139" i="3"/>
  <c r="T139" i="3"/>
  <c r="U139" i="3"/>
  <c r="W139" i="3"/>
  <c r="S140" i="3"/>
  <c r="T140" i="3"/>
  <c r="U140" i="3"/>
  <c r="W140" i="3"/>
  <c r="S141" i="3"/>
  <c r="T141" i="3"/>
  <c r="U141" i="3"/>
  <c r="W141" i="3"/>
  <c r="S142" i="3"/>
  <c r="T142" i="3"/>
  <c r="U142" i="3"/>
  <c r="W142" i="3"/>
  <c r="S143" i="3"/>
  <c r="T143" i="3"/>
  <c r="U143" i="3"/>
  <c r="W143" i="3"/>
  <c r="S144" i="3"/>
  <c r="T144" i="3"/>
  <c r="U144" i="3"/>
  <c r="W144" i="3"/>
  <c r="S145" i="3"/>
  <c r="T145" i="3"/>
  <c r="U145" i="3"/>
  <c r="W145" i="3"/>
  <c r="S146" i="3"/>
  <c r="T146" i="3"/>
  <c r="U146" i="3"/>
  <c r="W146" i="3"/>
  <c r="S147" i="3"/>
  <c r="T147" i="3"/>
  <c r="U147" i="3"/>
  <c r="W147" i="3"/>
  <c r="S148" i="3"/>
  <c r="T148" i="3"/>
  <c r="U148" i="3"/>
  <c r="W148" i="3"/>
  <c r="S149" i="3"/>
  <c r="T149" i="3"/>
  <c r="U149" i="3"/>
  <c r="W149" i="3"/>
  <c r="S150" i="3"/>
  <c r="T150" i="3"/>
  <c r="U150" i="3"/>
  <c r="W150" i="3"/>
  <c r="S151" i="3"/>
  <c r="T151" i="3"/>
  <c r="U151" i="3"/>
  <c r="W151" i="3"/>
  <c r="S152" i="3"/>
  <c r="T152" i="3"/>
  <c r="U152" i="3"/>
  <c r="W152" i="3"/>
  <c r="S153" i="3"/>
  <c r="T153" i="3"/>
  <c r="U153" i="3"/>
  <c r="W153" i="3"/>
  <c r="S154" i="3"/>
  <c r="T154" i="3"/>
  <c r="U154" i="3"/>
  <c r="W154" i="3"/>
  <c r="S155" i="3"/>
  <c r="T155" i="3"/>
  <c r="U155" i="3"/>
  <c r="W155" i="3"/>
  <c r="S156" i="3"/>
  <c r="T156" i="3"/>
  <c r="U156" i="3"/>
  <c r="W156" i="3"/>
  <c r="S157" i="3"/>
  <c r="T157" i="3"/>
  <c r="U157" i="3"/>
  <c r="W157" i="3"/>
  <c r="S158" i="3"/>
  <c r="T158" i="3"/>
  <c r="U158" i="3"/>
  <c r="W158" i="3"/>
  <c r="S159" i="3"/>
  <c r="T159" i="3"/>
  <c r="U159" i="3"/>
  <c r="W159" i="3"/>
  <c r="S160" i="3"/>
  <c r="T160" i="3"/>
  <c r="U160" i="3"/>
  <c r="W160" i="3"/>
  <c r="S161" i="3"/>
  <c r="T161" i="3"/>
  <c r="U161" i="3"/>
  <c r="W161" i="3"/>
  <c r="S162" i="3"/>
  <c r="T162" i="3"/>
  <c r="U162" i="3"/>
  <c r="W162" i="3"/>
  <c r="S163" i="3"/>
  <c r="T163" i="3"/>
  <c r="U163" i="3"/>
  <c r="W163" i="3"/>
  <c r="S164" i="3"/>
  <c r="T164" i="3"/>
  <c r="U164" i="3"/>
  <c r="W164" i="3"/>
  <c r="S165" i="3"/>
  <c r="T165" i="3"/>
  <c r="U165" i="3"/>
  <c r="W165" i="3"/>
  <c r="S166" i="3"/>
  <c r="T166" i="3"/>
  <c r="U166" i="3"/>
  <c r="W166" i="3"/>
  <c r="S167" i="3"/>
  <c r="T167" i="3"/>
  <c r="U167" i="3"/>
  <c r="W167" i="3"/>
  <c r="S168" i="3"/>
  <c r="T168" i="3"/>
  <c r="U168" i="3"/>
  <c r="W168" i="3"/>
  <c r="S169" i="3"/>
  <c r="T169" i="3"/>
  <c r="U169" i="3"/>
  <c r="W169" i="3"/>
  <c r="S170" i="3"/>
  <c r="T170" i="3"/>
  <c r="U170" i="3"/>
  <c r="W170" i="3"/>
  <c r="S171" i="3"/>
  <c r="T171" i="3"/>
  <c r="U171" i="3"/>
  <c r="W171" i="3"/>
  <c r="S172" i="3"/>
  <c r="T172" i="3"/>
  <c r="U172" i="3"/>
  <c r="W172" i="3"/>
  <c r="S173" i="3"/>
  <c r="T173" i="3"/>
  <c r="U173" i="3"/>
  <c r="W173" i="3"/>
  <c r="S174" i="3"/>
  <c r="T174" i="3"/>
  <c r="U174" i="3"/>
  <c r="W174" i="3"/>
  <c r="S175" i="3"/>
  <c r="T175" i="3"/>
  <c r="U175" i="3"/>
  <c r="W175" i="3"/>
  <c r="S176" i="3"/>
  <c r="T176" i="3"/>
  <c r="U176" i="3"/>
  <c r="W176" i="3"/>
  <c r="S177" i="3"/>
  <c r="T177" i="3"/>
  <c r="U177" i="3"/>
  <c r="W177" i="3"/>
  <c r="S178" i="3"/>
  <c r="T178" i="3"/>
  <c r="U178" i="3"/>
  <c r="W178" i="3"/>
  <c r="S179" i="3"/>
  <c r="T179" i="3"/>
  <c r="U179" i="3"/>
  <c r="W179" i="3"/>
  <c r="S180" i="3"/>
  <c r="T180" i="3"/>
  <c r="U180" i="3"/>
  <c r="W180" i="3"/>
  <c r="S181" i="3"/>
  <c r="T181" i="3"/>
  <c r="U181" i="3"/>
  <c r="W181" i="3"/>
  <c r="S182" i="3"/>
  <c r="T182" i="3"/>
  <c r="U182" i="3"/>
  <c r="W182" i="3"/>
  <c r="S183" i="3"/>
  <c r="T183" i="3"/>
  <c r="U183" i="3"/>
  <c r="W183" i="3"/>
  <c r="S184" i="3"/>
  <c r="T184" i="3"/>
  <c r="U184" i="3"/>
  <c r="W184" i="3"/>
  <c r="S185" i="3"/>
  <c r="T185" i="3"/>
  <c r="U185" i="3"/>
  <c r="W185" i="3"/>
  <c r="S186" i="3"/>
  <c r="T186" i="3"/>
  <c r="U186" i="3"/>
  <c r="W186" i="3"/>
  <c r="S187" i="3"/>
  <c r="T187" i="3"/>
  <c r="U187" i="3"/>
  <c r="W187" i="3"/>
  <c r="S188" i="3"/>
  <c r="T188" i="3"/>
  <c r="U188" i="3"/>
  <c r="W188" i="3"/>
  <c r="S189" i="3"/>
  <c r="T189" i="3"/>
  <c r="U189" i="3"/>
  <c r="W189" i="3"/>
  <c r="S190" i="3"/>
  <c r="T190" i="3"/>
  <c r="U190" i="3"/>
  <c r="W190" i="3"/>
  <c r="S191" i="3"/>
  <c r="T191" i="3"/>
  <c r="U191" i="3"/>
  <c r="W191" i="3"/>
  <c r="S192" i="3"/>
  <c r="T192" i="3"/>
  <c r="U192" i="3"/>
  <c r="W192" i="3"/>
  <c r="S193" i="3"/>
  <c r="T193" i="3"/>
  <c r="U193" i="3"/>
  <c r="W193" i="3"/>
  <c r="S194" i="3"/>
  <c r="T194" i="3"/>
  <c r="U194" i="3"/>
  <c r="W194" i="3"/>
  <c r="S195" i="3"/>
  <c r="T195" i="3"/>
  <c r="U195" i="3"/>
  <c r="W195" i="3"/>
  <c r="S196" i="3"/>
  <c r="T196" i="3"/>
  <c r="U196" i="3"/>
  <c r="W196" i="3"/>
  <c r="S197" i="3"/>
  <c r="T197" i="3"/>
  <c r="U197" i="3"/>
  <c r="W197" i="3"/>
  <c r="S198" i="3"/>
  <c r="T198" i="3"/>
  <c r="U198" i="3"/>
  <c r="W198" i="3"/>
  <c r="S199" i="3"/>
  <c r="T199" i="3"/>
  <c r="U199" i="3"/>
  <c r="W199" i="3"/>
  <c r="S200" i="3"/>
  <c r="T200" i="3"/>
  <c r="U200" i="3"/>
  <c r="W200" i="3"/>
  <c r="S201" i="3"/>
  <c r="T201" i="3"/>
  <c r="U201" i="3"/>
  <c r="W201" i="3"/>
  <c r="S202" i="3"/>
  <c r="T202" i="3"/>
  <c r="U202" i="3"/>
  <c r="W202" i="3"/>
  <c r="S203" i="3"/>
  <c r="T203" i="3"/>
  <c r="U203" i="3"/>
  <c r="W203" i="3"/>
  <c r="S204" i="3"/>
  <c r="T204" i="3"/>
  <c r="U204" i="3"/>
  <c r="W204" i="3"/>
  <c r="S205" i="3"/>
  <c r="T205" i="3"/>
  <c r="U205" i="3"/>
  <c r="W205" i="3"/>
  <c r="S206" i="3"/>
  <c r="T206" i="3"/>
  <c r="U206" i="3"/>
  <c r="W206" i="3"/>
  <c r="S207" i="3"/>
  <c r="T207" i="3"/>
  <c r="U207" i="3"/>
  <c r="W207" i="3"/>
  <c r="S208" i="3"/>
  <c r="T208" i="3"/>
  <c r="U208" i="3"/>
  <c r="W208" i="3"/>
  <c r="S209" i="3"/>
  <c r="T209" i="3"/>
  <c r="U209" i="3"/>
  <c r="W209" i="3"/>
  <c r="S210" i="3"/>
  <c r="T210" i="3"/>
  <c r="U210" i="3"/>
  <c r="W210" i="3"/>
  <c r="S211" i="3"/>
  <c r="T211" i="3"/>
  <c r="U211" i="3"/>
  <c r="W211" i="3"/>
  <c r="S212" i="3"/>
  <c r="T212" i="3"/>
  <c r="U212" i="3"/>
  <c r="W212" i="3"/>
  <c r="S213" i="3"/>
  <c r="T213" i="3"/>
  <c r="U213" i="3"/>
  <c r="W213" i="3"/>
  <c r="S214" i="3"/>
  <c r="T214" i="3"/>
  <c r="U214" i="3"/>
  <c r="W214" i="3"/>
  <c r="S215" i="3"/>
  <c r="T215" i="3"/>
  <c r="U215" i="3"/>
  <c r="W215" i="3"/>
  <c r="S216" i="3"/>
  <c r="T216" i="3"/>
  <c r="U216" i="3"/>
  <c r="W216" i="3"/>
  <c r="S217" i="3"/>
  <c r="T217" i="3"/>
  <c r="U217" i="3"/>
  <c r="W217" i="3"/>
  <c r="S218" i="3"/>
  <c r="T218" i="3"/>
  <c r="U218" i="3"/>
  <c r="W218" i="3"/>
  <c r="S219" i="3"/>
  <c r="T219" i="3"/>
  <c r="U219" i="3"/>
  <c r="W219" i="3"/>
  <c r="S220" i="3"/>
  <c r="T220" i="3"/>
  <c r="U220" i="3"/>
  <c r="W220" i="3"/>
  <c r="S221" i="3"/>
  <c r="T221" i="3"/>
  <c r="U221" i="3"/>
  <c r="W221" i="3"/>
  <c r="S222" i="3"/>
  <c r="T222" i="3"/>
  <c r="U222" i="3"/>
  <c r="W222" i="3"/>
  <c r="S223" i="3"/>
  <c r="T223" i="3"/>
  <c r="U223" i="3"/>
  <c r="W223" i="3"/>
  <c r="S224" i="3"/>
  <c r="T224" i="3"/>
  <c r="U224" i="3"/>
  <c r="W224" i="3"/>
  <c r="S225" i="3"/>
  <c r="T225" i="3"/>
  <c r="U225" i="3"/>
  <c r="W225" i="3"/>
  <c r="S226" i="3"/>
  <c r="T226" i="3"/>
  <c r="U226" i="3"/>
  <c r="W226" i="3"/>
  <c r="S227" i="3"/>
  <c r="T227" i="3"/>
  <c r="U227" i="3"/>
  <c r="W227" i="3"/>
  <c r="S228" i="3"/>
  <c r="T228" i="3"/>
  <c r="U228" i="3"/>
  <c r="W228" i="3"/>
  <c r="S229" i="3"/>
  <c r="T229" i="3"/>
  <c r="U229" i="3"/>
  <c r="W229" i="3"/>
  <c r="S230" i="3"/>
  <c r="T230" i="3"/>
  <c r="U230" i="3"/>
  <c r="W230" i="3"/>
  <c r="S231" i="3"/>
  <c r="T231" i="3"/>
  <c r="U231" i="3"/>
  <c r="W231" i="3"/>
  <c r="S232" i="3"/>
  <c r="T232" i="3"/>
  <c r="U232" i="3"/>
  <c r="W232" i="3"/>
  <c r="S233" i="3"/>
  <c r="T233" i="3"/>
  <c r="U233" i="3"/>
  <c r="W233" i="3"/>
  <c r="S234" i="3"/>
  <c r="T234" i="3"/>
  <c r="U234" i="3"/>
  <c r="W234" i="3"/>
  <c r="S235" i="3"/>
  <c r="T235" i="3"/>
  <c r="U235" i="3"/>
  <c r="W235" i="3"/>
  <c r="S236" i="3"/>
  <c r="T236" i="3"/>
  <c r="U236" i="3"/>
  <c r="W236" i="3"/>
  <c r="S237" i="3"/>
  <c r="T237" i="3"/>
  <c r="U237" i="3"/>
  <c r="W237" i="3"/>
  <c r="S238" i="3"/>
  <c r="T238" i="3"/>
  <c r="U238" i="3"/>
  <c r="W238" i="3"/>
  <c r="S239" i="3"/>
  <c r="T239" i="3"/>
  <c r="U239" i="3"/>
  <c r="W239" i="3"/>
  <c r="S240" i="3"/>
  <c r="T240" i="3"/>
  <c r="U240" i="3"/>
  <c r="W240" i="3"/>
  <c r="S241" i="3"/>
  <c r="T241" i="3"/>
  <c r="U241" i="3"/>
  <c r="W241" i="3"/>
  <c r="S242" i="3"/>
  <c r="T242" i="3"/>
  <c r="U242" i="3"/>
  <c r="W242" i="3"/>
  <c r="S243" i="3"/>
  <c r="T243" i="3"/>
  <c r="U243" i="3"/>
  <c r="W243" i="3"/>
  <c r="S244" i="3"/>
  <c r="T244" i="3"/>
  <c r="U244" i="3"/>
  <c r="W244" i="3"/>
  <c r="S245" i="3"/>
  <c r="T245" i="3"/>
  <c r="U245" i="3"/>
  <c r="W245" i="3"/>
  <c r="S246" i="3"/>
  <c r="T246" i="3"/>
  <c r="U246" i="3"/>
  <c r="W246" i="3"/>
  <c r="S247" i="3"/>
  <c r="T247" i="3"/>
  <c r="U247" i="3"/>
  <c r="W247" i="3"/>
  <c r="S248" i="3"/>
  <c r="T248" i="3"/>
  <c r="U248" i="3"/>
  <c r="W248" i="3"/>
  <c r="S249" i="3"/>
  <c r="T249" i="3"/>
  <c r="U249" i="3"/>
  <c r="W249" i="3"/>
  <c r="S250" i="3"/>
  <c r="T250" i="3"/>
  <c r="U250" i="3"/>
  <c r="W250" i="3"/>
  <c r="S251" i="3"/>
  <c r="T251" i="3"/>
  <c r="U251" i="3"/>
  <c r="W251" i="3"/>
  <c r="S252" i="3"/>
  <c r="T252" i="3"/>
  <c r="U252" i="3"/>
  <c r="W252" i="3"/>
  <c r="S253" i="3"/>
  <c r="T253" i="3"/>
  <c r="U253" i="3"/>
  <c r="W253" i="3"/>
  <c r="S254" i="3"/>
  <c r="T254" i="3"/>
  <c r="U254" i="3"/>
  <c r="W254" i="3"/>
  <c r="S255" i="3"/>
  <c r="T255" i="3"/>
  <c r="U255" i="3"/>
  <c r="W255" i="3"/>
  <c r="S256" i="3"/>
  <c r="T256" i="3"/>
  <c r="U256" i="3"/>
  <c r="W256" i="3"/>
  <c r="S257" i="3"/>
  <c r="T257" i="3"/>
  <c r="U257" i="3"/>
  <c r="W257" i="3"/>
  <c r="S258" i="3"/>
  <c r="T258" i="3"/>
  <c r="U258" i="3"/>
  <c r="W258" i="3"/>
  <c r="S259" i="3"/>
  <c r="T259" i="3"/>
  <c r="U259" i="3"/>
  <c r="W259" i="3"/>
  <c r="S260" i="3"/>
  <c r="T260" i="3"/>
  <c r="U260" i="3"/>
  <c r="W260" i="3"/>
  <c r="S261" i="3"/>
  <c r="T261" i="3"/>
  <c r="U261" i="3"/>
  <c r="W261" i="3"/>
  <c r="S262" i="3"/>
  <c r="T262" i="3"/>
  <c r="U262" i="3"/>
  <c r="W262" i="3"/>
  <c r="S263" i="3"/>
  <c r="T263" i="3"/>
  <c r="U263" i="3"/>
  <c r="W263" i="3"/>
  <c r="S264" i="3"/>
  <c r="T264" i="3"/>
  <c r="U264" i="3"/>
  <c r="W264" i="3"/>
  <c r="S265" i="3"/>
  <c r="T265" i="3"/>
  <c r="U265" i="3"/>
  <c r="W265" i="3"/>
  <c r="S266" i="3"/>
  <c r="T266" i="3"/>
  <c r="U266" i="3"/>
  <c r="W266" i="3"/>
  <c r="S267" i="3"/>
  <c r="T267" i="3"/>
  <c r="U267" i="3"/>
  <c r="W267" i="3"/>
  <c r="S268" i="3"/>
  <c r="T268" i="3"/>
  <c r="U268" i="3"/>
  <c r="W268" i="3"/>
  <c r="S269" i="3"/>
  <c r="T269" i="3"/>
  <c r="U269" i="3"/>
  <c r="W269" i="3"/>
  <c r="S270" i="3"/>
  <c r="T270" i="3"/>
  <c r="U270" i="3"/>
  <c r="W270" i="3"/>
  <c r="S271" i="3"/>
  <c r="T271" i="3"/>
  <c r="U271" i="3"/>
  <c r="W271" i="3"/>
  <c r="S272" i="3"/>
  <c r="T272" i="3"/>
  <c r="U272" i="3"/>
  <c r="W272" i="3"/>
  <c r="S273" i="3"/>
  <c r="T273" i="3"/>
  <c r="U273" i="3"/>
  <c r="W273" i="3"/>
  <c r="S274" i="3"/>
  <c r="T274" i="3"/>
  <c r="U274" i="3"/>
  <c r="W274" i="3"/>
  <c r="S275" i="3"/>
  <c r="T275" i="3"/>
  <c r="U275" i="3"/>
  <c r="W275" i="3"/>
  <c r="S276" i="3"/>
  <c r="T276" i="3"/>
  <c r="U276" i="3"/>
  <c r="W276" i="3"/>
  <c r="S277" i="3"/>
  <c r="T277" i="3"/>
  <c r="U277" i="3"/>
  <c r="W277" i="3"/>
  <c r="S278" i="3"/>
  <c r="T278" i="3"/>
  <c r="U278" i="3"/>
  <c r="W278" i="3"/>
  <c r="S279" i="3"/>
  <c r="T279" i="3"/>
  <c r="U279" i="3"/>
  <c r="W279" i="3"/>
  <c r="S280" i="3"/>
  <c r="T280" i="3"/>
  <c r="U280" i="3"/>
  <c r="W280" i="3"/>
  <c r="S281" i="3"/>
  <c r="T281" i="3"/>
  <c r="U281" i="3"/>
  <c r="W281" i="3"/>
  <c r="S282" i="3"/>
  <c r="T282" i="3"/>
  <c r="U282" i="3"/>
  <c r="W282" i="3"/>
  <c r="S283" i="3"/>
  <c r="T283" i="3"/>
  <c r="U283" i="3"/>
  <c r="W283" i="3"/>
  <c r="S284" i="3"/>
  <c r="T284" i="3"/>
  <c r="U284" i="3"/>
  <c r="W284" i="3"/>
  <c r="S285" i="3"/>
  <c r="T285" i="3"/>
  <c r="U285" i="3"/>
  <c r="W285" i="3"/>
  <c r="S286" i="3"/>
  <c r="T286" i="3"/>
  <c r="U286" i="3"/>
  <c r="W286" i="3"/>
  <c r="S287" i="3"/>
  <c r="T287" i="3"/>
  <c r="U287" i="3"/>
  <c r="W287" i="3"/>
  <c r="S288" i="3"/>
  <c r="T288" i="3"/>
  <c r="U288" i="3"/>
  <c r="W288" i="3"/>
  <c r="S289" i="3"/>
  <c r="T289" i="3"/>
  <c r="U289" i="3"/>
  <c r="W289" i="3"/>
  <c r="S290" i="3"/>
  <c r="T290" i="3"/>
  <c r="U290" i="3"/>
  <c r="W290" i="3"/>
  <c r="S291" i="3"/>
  <c r="T291" i="3"/>
  <c r="U291" i="3"/>
  <c r="W291" i="3"/>
  <c r="S292" i="3"/>
  <c r="T292" i="3"/>
  <c r="U292" i="3"/>
  <c r="W292" i="3"/>
  <c r="S293" i="3"/>
  <c r="T293" i="3"/>
  <c r="U293" i="3"/>
  <c r="W293" i="3"/>
  <c r="S294" i="3"/>
  <c r="T294" i="3"/>
  <c r="U294" i="3"/>
  <c r="W294" i="3"/>
  <c r="S295" i="3"/>
  <c r="T295" i="3"/>
  <c r="U295" i="3"/>
  <c r="W295" i="3"/>
  <c r="S296" i="3"/>
  <c r="T296" i="3"/>
  <c r="U296" i="3"/>
  <c r="W296" i="3"/>
  <c r="S297" i="3"/>
  <c r="T297" i="3"/>
  <c r="U297" i="3"/>
  <c r="W297" i="3"/>
  <c r="S298" i="3"/>
  <c r="T298" i="3"/>
  <c r="U298" i="3"/>
  <c r="W298" i="3"/>
  <c r="S299" i="3"/>
  <c r="T299" i="3"/>
  <c r="U299" i="3"/>
  <c r="W299" i="3"/>
  <c r="S300" i="3"/>
  <c r="T300" i="3"/>
  <c r="U300" i="3"/>
  <c r="W300" i="3"/>
  <c r="S301" i="3"/>
  <c r="T301" i="3"/>
  <c r="U301" i="3"/>
  <c r="W301" i="3"/>
  <c r="S302" i="3"/>
  <c r="T302" i="3"/>
  <c r="U302" i="3"/>
  <c r="W302" i="3"/>
  <c r="S303" i="3"/>
  <c r="T303" i="3"/>
  <c r="U303" i="3"/>
  <c r="W303" i="3"/>
  <c r="S304" i="3"/>
  <c r="T304" i="3"/>
  <c r="U304" i="3"/>
  <c r="W304" i="3"/>
  <c r="S305" i="3"/>
  <c r="T305" i="3"/>
  <c r="U305" i="3"/>
  <c r="W305" i="3"/>
  <c r="S306" i="3"/>
  <c r="T306" i="3"/>
  <c r="U306" i="3"/>
  <c r="W306" i="3"/>
  <c r="S307" i="3"/>
  <c r="T307" i="3"/>
  <c r="U307" i="3"/>
  <c r="W307" i="3"/>
  <c r="S308" i="3"/>
  <c r="T308" i="3"/>
  <c r="U308" i="3"/>
  <c r="W308" i="3"/>
  <c r="S309" i="3"/>
  <c r="T309" i="3"/>
  <c r="U309" i="3"/>
  <c r="W309" i="3"/>
  <c r="S310" i="3"/>
  <c r="T310" i="3"/>
  <c r="U310" i="3"/>
  <c r="W310" i="3"/>
  <c r="S311" i="3"/>
  <c r="T311" i="3"/>
  <c r="U311" i="3"/>
  <c r="W311" i="3"/>
  <c r="S312" i="3"/>
  <c r="T312" i="3"/>
  <c r="U312" i="3"/>
  <c r="W312" i="3"/>
  <c r="S313" i="3"/>
  <c r="T313" i="3"/>
  <c r="U313" i="3"/>
  <c r="W313" i="3"/>
  <c r="S314" i="3"/>
  <c r="T314" i="3"/>
  <c r="U314" i="3"/>
  <c r="W314" i="3"/>
  <c r="S315" i="3"/>
  <c r="T315" i="3"/>
  <c r="U315" i="3"/>
  <c r="W315" i="3"/>
  <c r="S316" i="3"/>
  <c r="T316" i="3"/>
  <c r="U316" i="3"/>
  <c r="W316" i="3"/>
  <c r="S317" i="3"/>
  <c r="T317" i="3"/>
  <c r="U317" i="3"/>
  <c r="W317" i="3"/>
  <c r="S318" i="3"/>
  <c r="T318" i="3"/>
  <c r="U318" i="3"/>
  <c r="W318" i="3"/>
  <c r="S319" i="3"/>
  <c r="T319" i="3"/>
  <c r="U319" i="3"/>
  <c r="W319" i="3"/>
  <c r="S320" i="3"/>
  <c r="T320" i="3"/>
  <c r="U320" i="3"/>
  <c r="W320" i="3"/>
  <c r="S321" i="3"/>
  <c r="T321" i="3"/>
  <c r="U321" i="3"/>
  <c r="W321" i="3"/>
  <c r="S322" i="3"/>
  <c r="T322" i="3"/>
  <c r="U322" i="3"/>
  <c r="W322" i="3"/>
  <c r="S323" i="3"/>
  <c r="T323" i="3"/>
  <c r="U323" i="3"/>
  <c r="W323" i="3"/>
  <c r="S324" i="3"/>
  <c r="T324" i="3"/>
  <c r="U324" i="3"/>
  <c r="W324" i="3"/>
  <c r="S325" i="3"/>
  <c r="T325" i="3"/>
  <c r="U325" i="3"/>
  <c r="W325" i="3"/>
  <c r="S326" i="3"/>
  <c r="T326" i="3"/>
  <c r="U326" i="3"/>
  <c r="W326" i="3"/>
  <c r="S327" i="3"/>
  <c r="T327" i="3"/>
  <c r="U327" i="3"/>
  <c r="W327" i="3"/>
  <c r="S328" i="3"/>
  <c r="T328" i="3"/>
  <c r="U328" i="3"/>
  <c r="W328" i="3"/>
  <c r="S329" i="3"/>
  <c r="T329" i="3"/>
  <c r="U329" i="3"/>
  <c r="W329" i="3"/>
  <c r="S330" i="3"/>
  <c r="T330" i="3"/>
  <c r="U330" i="3"/>
  <c r="W330" i="3"/>
  <c r="S331" i="3"/>
  <c r="T331" i="3"/>
  <c r="U331" i="3"/>
  <c r="W331" i="3"/>
  <c r="S332" i="3"/>
  <c r="T332" i="3"/>
  <c r="U332" i="3"/>
  <c r="W332" i="3"/>
  <c r="S333" i="3"/>
  <c r="T333" i="3"/>
  <c r="U333" i="3"/>
  <c r="W333" i="3"/>
  <c r="S334" i="3"/>
  <c r="T334" i="3"/>
  <c r="U334" i="3"/>
  <c r="W334" i="3"/>
  <c r="S335" i="3"/>
  <c r="T335" i="3"/>
  <c r="U335" i="3"/>
  <c r="W335" i="3"/>
  <c r="S336" i="3"/>
  <c r="T336" i="3"/>
  <c r="U336" i="3"/>
  <c r="W336" i="3"/>
  <c r="S337" i="3"/>
  <c r="T337" i="3"/>
  <c r="U337" i="3"/>
  <c r="W337" i="3"/>
  <c r="S338" i="3"/>
  <c r="T338" i="3"/>
  <c r="U338" i="3"/>
  <c r="W338" i="3"/>
  <c r="S339" i="3"/>
  <c r="T339" i="3"/>
  <c r="U339" i="3"/>
  <c r="W339" i="3"/>
  <c r="S340" i="3"/>
  <c r="T340" i="3"/>
  <c r="U340" i="3"/>
  <c r="W340" i="3"/>
  <c r="S341" i="3"/>
  <c r="T341" i="3"/>
  <c r="U341" i="3"/>
  <c r="W341" i="3"/>
  <c r="S342" i="3"/>
  <c r="T342" i="3"/>
  <c r="U342" i="3"/>
  <c r="W342" i="3"/>
  <c r="S343" i="3"/>
  <c r="T343" i="3"/>
  <c r="U343" i="3"/>
  <c r="W343" i="3"/>
  <c r="S344" i="3"/>
  <c r="T344" i="3"/>
  <c r="U344" i="3"/>
  <c r="W344" i="3"/>
  <c r="S345" i="3"/>
  <c r="T345" i="3"/>
  <c r="U345" i="3"/>
  <c r="W345" i="3"/>
  <c r="S346" i="3"/>
  <c r="T346" i="3"/>
  <c r="U346" i="3"/>
  <c r="W346" i="3"/>
  <c r="S347" i="3"/>
  <c r="T347" i="3"/>
  <c r="U347" i="3"/>
  <c r="W347" i="3"/>
  <c r="S348" i="3"/>
  <c r="T348" i="3"/>
  <c r="U348" i="3"/>
  <c r="W348" i="3"/>
  <c r="S349" i="3"/>
  <c r="T349" i="3"/>
  <c r="U349" i="3"/>
  <c r="W349" i="3"/>
  <c r="S350" i="3"/>
  <c r="T350" i="3"/>
  <c r="U350" i="3"/>
  <c r="W350" i="3"/>
  <c r="S351" i="3"/>
  <c r="T351" i="3"/>
  <c r="U351" i="3"/>
  <c r="W351" i="3"/>
  <c r="S352" i="3"/>
  <c r="T352" i="3"/>
  <c r="U352" i="3"/>
  <c r="W352" i="3"/>
  <c r="S353" i="3"/>
  <c r="T353" i="3"/>
  <c r="U353" i="3"/>
  <c r="W353" i="3"/>
  <c r="S354" i="3"/>
  <c r="T354" i="3"/>
  <c r="U354" i="3"/>
  <c r="W354" i="3"/>
  <c r="S355" i="3"/>
  <c r="T355" i="3"/>
  <c r="U355" i="3"/>
  <c r="W355" i="3"/>
  <c r="S356" i="3"/>
  <c r="T356" i="3"/>
  <c r="U356" i="3"/>
  <c r="W356" i="3"/>
  <c r="S357" i="3"/>
  <c r="T357" i="3"/>
  <c r="U357" i="3"/>
  <c r="W357" i="3"/>
  <c r="S358" i="3"/>
  <c r="T358" i="3"/>
  <c r="U358" i="3"/>
  <c r="W358" i="3"/>
  <c r="S359" i="3"/>
  <c r="T359" i="3"/>
  <c r="U359" i="3"/>
  <c r="W359" i="3"/>
  <c r="S360" i="3"/>
  <c r="T360" i="3"/>
  <c r="U360" i="3"/>
  <c r="W360" i="3"/>
  <c r="S361" i="3"/>
  <c r="T361" i="3"/>
  <c r="U361" i="3"/>
  <c r="W361" i="3"/>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I63" i="11"/>
  <c r="AJ63" i="11"/>
  <c r="AK63" i="11"/>
  <c r="AL63" i="11"/>
  <c r="AM63" i="11"/>
  <c r="AP63"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I66" i="11"/>
  <c r="AJ66" i="11"/>
  <c r="AK66" i="11"/>
  <c r="AL66" i="11"/>
  <c r="AM66" i="11"/>
  <c r="AN66" i="11"/>
  <c r="AO66" i="11"/>
  <c r="AP66" i="11"/>
  <c r="AQ66" i="11"/>
  <c r="AR66" i="11"/>
  <c r="AS66" i="11"/>
  <c r="AT66" i="11"/>
  <c r="AU66" i="11"/>
  <c r="AV66" i="11"/>
  <c r="AW66" i="11"/>
  <c r="AX66" i="11"/>
  <c r="AY66" i="11"/>
  <c r="AZ66" i="11"/>
  <c r="BA66" i="11"/>
  <c r="BB66" i="11"/>
  <c r="BC66" i="11"/>
  <c r="BD66" i="11"/>
  <c r="BE66" i="11"/>
  <c r="BF66" i="11"/>
  <c r="BG66" i="11"/>
  <c r="BH66" i="11"/>
  <c r="BI66" i="11"/>
  <c r="BJ66" i="11"/>
  <c r="BK66" i="11"/>
  <c r="BL66" i="11"/>
  <c r="BM66" i="11"/>
  <c r="BN66" i="11"/>
  <c r="BO66" i="11"/>
  <c r="BP66" i="11"/>
  <c r="BQ66" i="11"/>
  <c r="BR66" i="11"/>
  <c r="BS66" i="11"/>
  <c r="BT66" i="11"/>
  <c r="BU66" i="11"/>
  <c r="BV66" i="11"/>
  <c r="BW66" i="11"/>
  <c r="BX66" i="11"/>
  <c r="BY66" i="11"/>
  <c r="BZ66" i="11"/>
  <c r="CA66" i="11"/>
  <c r="CB66" i="11"/>
  <c r="CC66" i="11"/>
  <c r="CD66" i="11"/>
  <c r="CE66" i="11"/>
  <c r="CF66" i="11"/>
  <c r="CG66" i="11"/>
  <c r="CH66" i="11"/>
  <c r="CI66" i="11"/>
  <c r="CJ66" i="11"/>
  <c r="CK66" i="11"/>
  <c r="CL66" i="11"/>
  <c r="CM66" i="11"/>
  <c r="CN66" i="11"/>
  <c r="CO66" i="11"/>
  <c r="CP66"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I68" i="11"/>
  <c r="AJ68" i="11"/>
  <c r="AK68" i="11"/>
  <c r="AL68" i="11"/>
  <c r="AM68" i="11"/>
  <c r="AN68" i="11"/>
  <c r="AO68" i="11"/>
  <c r="AP68" i="11"/>
  <c r="AQ68" i="11"/>
  <c r="AR68" i="11"/>
  <c r="AS68" i="11"/>
  <c r="AT68" i="11"/>
  <c r="AU68" i="11"/>
  <c r="AV68" i="11"/>
  <c r="AW68" i="11"/>
  <c r="AX68" i="11"/>
  <c r="AY68" i="11"/>
  <c r="AZ68" i="11"/>
  <c r="BA68" i="11"/>
  <c r="BB68" i="11"/>
  <c r="BC68" i="11"/>
  <c r="BD68" i="11"/>
  <c r="BE68" i="11"/>
  <c r="BF68" i="11"/>
  <c r="BG68" i="11"/>
  <c r="BH68" i="11"/>
  <c r="BI68" i="11"/>
  <c r="BJ68" i="11"/>
  <c r="BK68" i="11"/>
  <c r="BL68" i="11"/>
  <c r="BM68" i="11"/>
  <c r="BN68" i="11"/>
  <c r="BO68" i="11"/>
  <c r="BP68" i="11"/>
  <c r="BQ68" i="11"/>
  <c r="BR68" i="11"/>
  <c r="BS68" i="11"/>
  <c r="BT68" i="11"/>
  <c r="BU68" i="11"/>
  <c r="BV68" i="11"/>
  <c r="BW68" i="11"/>
  <c r="BX68" i="11"/>
  <c r="BY68" i="11"/>
  <c r="BZ68" i="11"/>
  <c r="CA68" i="11"/>
  <c r="CB68" i="11"/>
  <c r="CC68" i="11"/>
  <c r="CD68" i="11"/>
  <c r="CE68" i="11"/>
  <c r="CF68" i="11"/>
  <c r="CG68" i="11"/>
  <c r="CH68" i="11"/>
  <c r="CI68" i="11"/>
  <c r="CJ68" i="11"/>
  <c r="CK68" i="11"/>
  <c r="CL68" i="11"/>
  <c r="CM68" i="11"/>
  <c r="CN68" i="11"/>
  <c r="CO68" i="11"/>
  <c r="CP68"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F70" i="11"/>
  <c r="AG70" i="11"/>
  <c r="AH70" i="11"/>
  <c r="AI70" i="11"/>
  <c r="AJ70" i="11"/>
  <c r="AK70" i="11"/>
  <c r="AL70" i="11"/>
  <c r="AM70" i="11"/>
  <c r="AN70" i="11"/>
  <c r="AO70" i="11"/>
  <c r="AP70" i="11"/>
  <c r="AQ70" i="11"/>
  <c r="AR70" i="11"/>
  <c r="AS70" i="11"/>
  <c r="AT70" i="11"/>
  <c r="AU70" i="11"/>
  <c r="AV70" i="11"/>
  <c r="AW70" i="11"/>
  <c r="AX70" i="11"/>
  <c r="AY70" i="11"/>
  <c r="AZ70" i="11"/>
  <c r="BA70" i="11"/>
  <c r="BB70" i="11"/>
  <c r="BC70" i="11"/>
  <c r="BD70" i="11"/>
  <c r="BE70" i="11"/>
  <c r="BF70" i="11"/>
  <c r="BG70" i="11"/>
  <c r="BH70" i="11"/>
  <c r="BI70" i="11"/>
  <c r="BJ70" i="11"/>
  <c r="BK70" i="11"/>
  <c r="BL70" i="11"/>
  <c r="BM70" i="11"/>
  <c r="BN70" i="11"/>
  <c r="BO70" i="11"/>
  <c r="BP70" i="11"/>
  <c r="BQ70" i="11"/>
  <c r="BR70" i="11"/>
  <c r="BS70" i="11"/>
  <c r="BT70" i="11"/>
  <c r="BU70" i="11"/>
  <c r="BV70" i="11"/>
  <c r="BW70" i="11"/>
  <c r="BX70" i="11"/>
  <c r="BY70" i="11"/>
  <c r="BZ70" i="11"/>
  <c r="CA70" i="11"/>
  <c r="CB70" i="11"/>
  <c r="CC70" i="11"/>
  <c r="CD70" i="11"/>
  <c r="CE70" i="11"/>
  <c r="CF70" i="11"/>
  <c r="CG70" i="11"/>
  <c r="CH70" i="11"/>
  <c r="CI70" i="11"/>
  <c r="CJ70" i="11"/>
  <c r="CK70" i="11"/>
  <c r="CL70" i="11"/>
  <c r="CM70" i="11"/>
  <c r="CN70" i="11"/>
  <c r="CO70" i="11"/>
  <c r="CP70"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I72" i="11"/>
  <c r="AJ72" i="11"/>
  <c r="AK72" i="11"/>
  <c r="AL72" i="11"/>
  <c r="AM72" i="11"/>
  <c r="AN72" i="11"/>
  <c r="AO72" i="11"/>
  <c r="AP72" i="11"/>
  <c r="AQ72" i="11"/>
  <c r="AR72" i="11"/>
  <c r="AS72" i="11"/>
  <c r="AT72" i="11"/>
  <c r="AU72" i="11"/>
  <c r="AV72" i="11"/>
  <c r="AW72" i="11"/>
  <c r="AX72" i="11"/>
  <c r="AY72" i="11"/>
  <c r="AZ72" i="11"/>
  <c r="BA72" i="11"/>
  <c r="BB72" i="11"/>
  <c r="BC72" i="11"/>
  <c r="BD72" i="11"/>
  <c r="BE72" i="11"/>
  <c r="BF72" i="11"/>
  <c r="BG72" i="11"/>
  <c r="BH72" i="11"/>
  <c r="BI72" i="11"/>
  <c r="BJ72" i="11"/>
  <c r="BK72" i="11"/>
  <c r="BL72" i="11"/>
  <c r="BM72" i="11"/>
  <c r="BN72" i="11"/>
  <c r="BO72" i="11"/>
  <c r="BP72" i="11"/>
  <c r="BQ72" i="11"/>
  <c r="BR72" i="11"/>
  <c r="BS72" i="11"/>
  <c r="BT72" i="11"/>
  <c r="BU72" i="11"/>
  <c r="BV72" i="11"/>
  <c r="BW72" i="11"/>
  <c r="BX72" i="11"/>
  <c r="BY72" i="11"/>
  <c r="BZ72" i="11"/>
  <c r="CA72" i="11"/>
  <c r="CB72" i="11"/>
  <c r="CC72" i="11"/>
  <c r="CD72" i="11"/>
  <c r="CE72" i="11"/>
  <c r="CF72" i="11"/>
  <c r="CG72" i="11"/>
  <c r="CH72" i="11"/>
  <c r="CI72" i="11"/>
  <c r="CJ72" i="11"/>
  <c r="CK72" i="11"/>
  <c r="CL72" i="11"/>
  <c r="CM72" i="11"/>
  <c r="CN72" i="11"/>
  <c r="CO72" i="11"/>
  <c r="CP72"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I74" i="11"/>
  <c r="AJ74" i="11"/>
  <c r="AK74" i="11"/>
  <c r="AL74" i="11"/>
  <c r="AM74" i="11"/>
  <c r="AN74" i="11"/>
  <c r="AO74" i="11"/>
  <c r="AP74" i="11"/>
  <c r="AQ74" i="11"/>
  <c r="AR74" i="11"/>
  <c r="AS74" i="11"/>
  <c r="AT74" i="11"/>
  <c r="AU74" i="11"/>
  <c r="AV74" i="11"/>
  <c r="AW74" i="11"/>
  <c r="AX74" i="11"/>
  <c r="AY74" i="11"/>
  <c r="AZ74" i="11"/>
  <c r="BA74" i="11"/>
  <c r="BB74" i="11"/>
  <c r="BC74" i="11"/>
  <c r="BD74" i="11"/>
  <c r="BE74" i="11"/>
  <c r="BF74" i="11"/>
  <c r="BG74" i="11"/>
  <c r="BH74" i="11"/>
  <c r="BI74" i="11"/>
  <c r="BJ74" i="11"/>
  <c r="BK74" i="11"/>
  <c r="BL74" i="11"/>
  <c r="BM74" i="11"/>
  <c r="BN74" i="11"/>
  <c r="BO74" i="11"/>
  <c r="BP74" i="11"/>
  <c r="BQ74" i="11"/>
  <c r="BR74" i="11"/>
  <c r="BS74" i="11"/>
  <c r="BT74" i="11"/>
  <c r="BU74" i="11"/>
  <c r="BV74" i="11"/>
  <c r="BW74" i="11"/>
  <c r="BX74" i="11"/>
  <c r="BY74" i="11"/>
  <c r="BZ74" i="11"/>
  <c r="CA74" i="11"/>
  <c r="CB74" i="11"/>
  <c r="CC74" i="11"/>
  <c r="CD74" i="11"/>
  <c r="CE74" i="11"/>
  <c r="CF74" i="11"/>
  <c r="CG74" i="11"/>
  <c r="CH74" i="11"/>
  <c r="CI74" i="11"/>
  <c r="CJ74" i="11"/>
  <c r="CK74" i="11"/>
  <c r="CL74" i="11"/>
  <c r="CM74" i="11"/>
  <c r="CN74" i="11"/>
  <c r="CO74" i="11"/>
  <c r="CP74"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I76" i="11"/>
  <c r="AJ76" i="11"/>
  <c r="AK76" i="11"/>
  <c r="AL76" i="11"/>
  <c r="AM76" i="11"/>
  <c r="AN76" i="11"/>
  <c r="AO76" i="11"/>
  <c r="AP76" i="11"/>
  <c r="AQ76" i="11"/>
  <c r="AR76" i="11"/>
  <c r="AS76" i="11"/>
  <c r="AT76" i="11"/>
  <c r="AU76" i="11"/>
  <c r="AV76" i="11"/>
  <c r="AW76" i="11"/>
  <c r="AX76" i="11"/>
  <c r="AY76" i="11"/>
  <c r="AZ76" i="11"/>
  <c r="BA76" i="11"/>
  <c r="BB76" i="11"/>
  <c r="BC76" i="11"/>
  <c r="BD76" i="11"/>
  <c r="BE76" i="11"/>
  <c r="BF76" i="11"/>
  <c r="BG76" i="11"/>
  <c r="BH76" i="11"/>
  <c r="BI76" i="11"/>
  <c r="BJ76" i="11"/>
  <c r="BK76" i="11"/>
  <c r="BL76" i="11"/>
  <c r="BM76" i="11"/>
  <c r="BN76" i="11"/>
  <c r="BO76" i="11"/>
  <c r="BP76" i="11"/>
  <c r="BQ76" i="11"/>
  <c r="BR76" i="11"/>
  <c r="BS76" i="11"/>
  <c r="BT76" i="11"/>
  <c r="BU76" i="11"/>
  <c r="BV76" i="11"/>
  <c r="BW76" i="11"/>
  <c r="BX76" i="11"/>
  <c r="BY76" i="11"/>
  <c r="BZ76" i="11"/>
  <c r="CA76" i="11"/>
  <c r="CB76" i="11"/>
  <c r="CC76" i="11"/>
  <c r="CD76" i="11"/>
  <c r="CE76" i="11"/>
  <c r="CF76" i="11"/>
  <c r="CG76" i="11"/>
  <c r="CH76" i="11"/>
  <c r="CI76" i="11"/>
  <c r="CJ76" i="11"/>
  <c r="CK76" i="11"/>
  <c r="CL76" i="11"/>
  <c r="CM76" i="11"/>
  <c r="CN76" i="11"/>
  <c r="CO76" i="11"/>
  <c r="CP76" i="11"/>
  <c r="B77" i="11"/>
  <c r="D77" i="11"/>
  <c r="E77" i="11"/>
  <c r="F77" i="11"/>
  <c r="G77" i="11"/>
  <c r="H77" i="11"/>
  <c r="I77" i="11"/>
  <c r="J77" i="11"/>
  <c r="K77" i="11"/>
  <c r="L77" i="11"/>
  <c r="M77" i="11"/>
  <c r="N77" i="11"/>
  <c r="O77" i="11"/>
  <c r="Q77" i="11"/>
  <c r="R77" i="11"/>
  <c r="S77" i="11"/>
  <c r="T77" i="11"/>
  <c r="U77" i="11"/>
  <c r="V77" i="11"/>
  <c r="W77" i="11"/>
  <c r="X77" i="11"/>
  <c r="Y77" i="11"/>
  <c r="Z77" i="11"/>
  <c r="AA77" i="11"/>
  <c r="AB77" i="11"/>
  <c r="AD77" i="11"/>
  <c r="AE77" i="11"/>
  <c r="AF77" i="11"/>
  <c r="AG77" i="11"/>
  <c r="AH77" i="11"/>
  <c r="AI77" i="11"/>
  <c r="AJ77" i="11"/>
  <c r="AK77" i="11"/>
  <c r="AL77" i="11"/>
  <c r="AM77" i="11"/>
  <c r="AN77" i="11"/>
  <c r="AO77" i="11"/>
  <c r="AQ77" i="11"/>
  <c r="AR77" i="11"/>
  <c r="AS77" i="11"/>
  <c r="AT77" i="11"/>
  <c r="AU77" i="11"/>
  <c r="AV77" i="11"/>
  <c r="AW77" i="11"/>
  <c r="AX77" i="11"/>
  <c r="AY77" i="11"/>
  <c r="AZ77" i="11"/>
  <c r="BA77" i="11"/>
  <c r="BB77" i="11"/>
  <c r="BD77" i="11"/>
  <c r="BE77" i="11"/>
  <c r="BF77" i="11"/>
  <c r="BG77" i="11"/>
  <c r="BH77" i="11"/>
  <c r="BI77" i="11"/>
  <c r="BJ77" i="11"/>
  <c r="BK77" i="11"/>
  <c r="BL77" i="11"/>
  <c r="BM77" i="11"/>
  <c r="BN77" i="11"/>
  <c r="BO77" i="11"/>
  <c r="BQ77" i="11"/>
  <c r="BR77" i="11"/>
  <c r="BS77" i="11"/>
  <c r="BT77" i="11"/>
  <c r="BU77" i="11"/>
  <c r="BV77" i="11"/>
  <c r="BW77" i="11"/>
  <c r="BX77" i="11"/>
  <c r="BY77" i="11"/>
  <c r="BZ77" i="11"/>
  <c r="CA77" i="11"/>
  <c r="CB77" i="11"/>
  <c r="CD77" i="11"/>
  <c r="CE77" i="11"/>
  <c r="CF77" i="11"/>
  <c r="CG77" i="11"/>
  <c r="CH77" i="11"/>
  <c r="CI77" i="11"/>
  <c r="CJ77" i="11"/>
  <c r="CK77" i="11"/>
  <c r="CL77" i="11"/>
  <c r="CM77" i="11"/>
  <c r="CN77" i="11"/>
  <c r="CO77" i="11"/>
  <c r="E87" i="11"/>
  <c r="F87" i="11"/>
  <c r="G87" i="11"/>
  <c r="H87" i="11"/>
  <c r="I87" i="11"/>
  <c r="J87" i="11"/>
  <c r="K87" i="11"/>
  <c r="L87" i="11"/>
  <c r="M87" i="11"/>
  <c r="N87" i="11"/>
  <c r="O87" i="11"/>
  <c r="Q87" i="11"/>
  <c r="R87" i="11"/>
  <c r="S87" i="11"/>
  <c r="T87" i="11"/>
  <c r="U87" i="11"/>
  <c r="V87" i="11"/>
  <c r="W87" i="11"/>
  <c r="X87" i="11"/>
  <c r="Y87" i="11"/>
  <c r="Z87" i="11"/>
  <c r="AA87" i="11"/>
  <c r="AB87" i="11"/>
  <c r="AD87" i="11"/>
  <c r="AE87" i="11"/>
  <c r="AF87" i="11"/>
  <c r="AG87" i="11"/>
  <c r="AH87" i="11"/>
  <c r="AI87" i="11"/>
  <c r="AJ87" i="11"/>
  <c r="AK87" i="11"/>
  <c r="AL87" i="11"/>
  <c r="AM87" i="11"/>
  <c r="AN87" i="11"/>
  <c r="AO87" i="11"/>
  <c r="AQ87" i="11"/>
  <c r="AR87" i="11"/>
  <c r="AS87" i="11"/>
  <c r="AT87" i="11"/>
  <c r="AU87" i="11"/>
  <c r="AV87" i="11"/>
  <c r="AW87" i="11"/>
  <c r="AX87" i="11"/>
  <c r="AY87" i="11"/>
  <c r="AZ87" i="11"/>
  <c r="BA87" i="11"/>
  <c r="BB87" i="11"/>
  <c r="BD87" i="11"/>
  <c r="BE87" i="11"/>
  <c r="BF87" i="11"/>
  <c r="BG87" i="11"/>
  <c r="BH87" i="11"/>
  <c r="BI87" i="11"/>
  <c r="BJ87" i="11"/>
  <c r="BK87" i="11"/>
  <c r="BL87" i="11"/>
  <c r="BM87" i="11"/>
  <c r="BN87" i="11"/>
  <c r="BO87" i="11"/>
  <c r="BQ87" i="11"/>
  <c r="BR87" i="11"/>
  <c r="BS87" i="11"/>
  <c r="BT87" i="11"/>
  <c r="BU87" i="11"/>
  <c r="BV87" i="11"/>
  <c r="BW87" i="11"/>
  <c r="BX87" i="11"/>
  <c r="BY87" i="11"/>
  <c r="BZ87" i="11"/>
  <c r="CA87" i="11"/>
  <c r="CB87" i="11"/>
  <c r="CD87" i="11"/>
  <c r="CE87" i="11"/>
  <c r="CF87" i="11"/>
  <c r="CG87" i="11"/>
  <c r="CH87" i="11"/>
  <c r="CI87" i="11"/>
  <c r="CJ87" i="11"/>
  <c r="CK87" i="11"/>
  <c r="CL87" i="11"/>
  <c r="CM87" i="11"/>
  <c r="CN87" i="11"/>
  <c r="CO87" i="11"/>
  <c r="C37" i="19"/>
  <c r="D37" i="19"/>
  <c r="E37" i="19"/>
  <c r="F37" i="19"/>
  <c r="L21" i="23"/>
  <c r="L24" i="23"/>
  <c r="L26" i="23"/>
  <c r="C7" i="16"/>
  <c r="D7" i="16"/>
  <c r="E7" i="16"/>
  <c r="F7" i="16"/>
  <c r="G7" i="16"/>
  <c r="H7" i="16"/>
  <c r="C8" i="16"/>
  <c r="D8" i="16"/>
  <c r="E8" i="16"/>
  <c r="F8" i="16"/>
  <c r="G8" i="16"/>
  <c r="H8" i="16"/>
  <c r="C10" i="16"/>
  <c r="D10" i="16"/>
  <c r="E10" i="16"/>
  <c r="F10" i="16"/>
  <c r="G10" i="16"/>
  <c r="H10" i="16"/>
  <c r="C11" i="16"/>
  <c r="D11" i="16"/>
  <c r="E11" i="16"/>
  <c r="F11" i="16"/>
  <c r="G11" i="16"/>
  <c r="H11" i="16"/>
  <c r="C12" i="16"/>
  <c r="D12" i="16"/>
  <c r="E12" i="16"/>
  <c r="F12" i="16"/>
  <c r="G12" i="16"/>
  <c r="H12" i="16"/>
  <c r="C14" i="16"/>
  <c r="D14" i="16"/>
  <c r="E14" i="16"/>
  <c r="F14" i="16"/>
  <c r="G14" i="16"/>
  <c r="H14" i="16"/>
  <c r="C15" i="16"/>
  <c r="D15" i="16"/>
  <c r="E15" i="16"/>
  <c r="F15" i="16"/>
  <c r="G15" i="16"/>
  <c r="H15" i="16"/>
  <c r="C18" i="16"/>
  <c r="D18" i="16"/>
  <c r="E18" i="16"/>
  <c r="F18" i="16"/>
  <c r="G18" i="16"/>
  <c r="H18" i="16"/>
  <c r="C20" i="16"/>
  <c r="D20" i="16"/>
  <c r="E20" i="16"/>
  <c r="F20" i="16"/>
  <c r="G20" i="16"/>
  <c r="H20" i="16"/>
  <c r="C21" i="16"/>
  <c r="D21" i="16"/>
  <c r="E21" i="16"/>
  <c r="F21" i="16"/>
  <c r="G21" i="16"/>
  <c r="H21" i="16"/>
  <c r="C22" i="16"/>
  <c r="D22" i="16"/>
  <c r="E22" i="16"/>
  <c r="F22" i="16"/>
  <c r="G22" i="16"/>
  <c r="H22" i="16"/>
  <c r="C23" i="16"/>
  <c r="D23" i="16"/>
  <c r="E23" i="16"/>
  <c r="F23" i="16"/>
  <c r="G23" i="16"/>
  <c r="H23" i="16"/>
  <c r="C4" i="21"/>
  <c r="D4" i="21"/>
  <c r="E4" i="21"/>
  <c r="F4" i="21"/>
  <c r="G4" i="21"/>
  <c r="C5" i="21"/>
  <c r="D5" i="21"/>
  <c r="E5" i="21"/>
  <c r="F5" i="21"/>
  <c r="G5" i="21"/>
  <c r="C6" i="21"/>
  <c r="D6" i="21"/>
  <c r="E6" i="21"/>
  <c r="F6" i="21"/>
  <c r="G6" i="21"/>
  <c r="C7" i="21"/>
  <c r="D7" i="21"/>
  <c r="E7" i="21"/>
  <c r="F7" i="21"/>
  <c r="G7" i="21"/>
  <c r="E13" i="13"/>
  <c r="H13" i="13"/>
  <c r="I13" i="13"/>
  <c r="J13" i="13"/>
  <c r="K13" i="13"/>
  <c r="L13" i="13"/>
  <c r="M13" i="13"/>
  <c r="N13" i="13"/>
  <c r="O13" i="13"/>
  <c r="P13" i="13"/>
  <c r="Q13" i="13"/>
  <c r="R13" i="13"/>
  <c r="S13" i="13"/>
  <c r="T13" i="13"/>
  <c r="U13" i="13"/>
  <c r="V13" i="13"/>
  <c r="W13" i="13"/>
  <c r="X13" i="13"/>
  <c r="Y13" i="13"/>
  <c r="Z13" i="13"/>
  <c r="AA13" i="13"/>
  <c r="AB13" i="13"/>
  <c r="AC13" i="13"/>
  <c r="AD13" i="13"/>
  <c r="AE13" i="13"/>
  <c r="AF13" i="13"/>
  <c r="AG13" i="13"/>
  <c r="AH13" i="13"/>
  <c r="AI13" i="13"/>
  <c r="AJ13" i="13"/>
  <c r="AK13" i="13"/>
  <c r="AL13" i="13"/>
  <c r="AM13" i="13"/>
  <c r="AN13" i="13"/>
  <c r="AO13" i="13"/>
  <c r="AP13" i="13"/>
  <c r="AQ13" i="13"/>
  <c r="AR13" i="13"/>
  <c r="AS13" i="13"/>
  <c r="AT13" i="13"/>
  <c r="AU13" i="13"/>
  <c r="AV13" i="13"/>
  <c r="AW13" i="13"/>
  <c r="AX13" i="13"/>
  <c r="AY13" i="13"/>
  <c r="AZ13" i="13"/>
  <c r="BA13" i="13"/>
  <c r="BB13" i="13"/>
  <c r="BC13" i="13"/>
  <c r="BD13" i="13"/>
  <c r="BE13" i="13"/>
  <c r="BF13" i="13"/>
  <c r="BG13" i="13"/>
  <c r="BH13" i="13"/>
  <c r="BI13" i="13"/>
  <c r="BJ13" i="13"/>
  <c r="BK13" i="13"/>
  <c r="BL13" i="13"/>
  <c r="BM13" i="13"/>
  <c r="BN13" i="13"/>
  <c r="BO13" i="13"/>
  <c r="BP13" i="13"/>
  <c r="BQ13" i="13"/>
  <c r="BR13" i="13"/>
  <c r="BS13" i="13"/>
  <c r="BT13" i="13"/>
  <c r="BU13" i="13"/>
  <c r="BV13" i="13"/>
  <c r="BW13" i="13"/>
  <c r="BX13" i="13"/>
  <c r="BY13" i="13"/>
  <c r="BZ13" i="13"/>
  <c r="CA13" i="13"/>
  <c r="CB13" i="13"/>
  <c r="CC13" i="13"/>
  <c r="CD13" i="13"/>
  <c r="CE13" i="13"/>
  <c r="CF13" i="13"/>
  <c r="CG13" i="13"/>
  <c r="CH13" i="13"/>
  <c r="CI13" i="13"/>
  <c r="CJ13" i="13"/>
  <c r="CK13" i="13"/>
  <c r="CL13" i="13"/>
  <c r="CM13" i="13"/>
  <c r="C15" i="13"/>
  <c r="E16" i="13"/>
  <c r="H16" i="13"/>
  <c r="E17" i="13"/>
  <c r="H17" i="13"/>
  <c r="I20" i="13"/>
  <c r="J20" i="13"/>
  <c r="K20" i="13"/>
  <c r="L20" i="13"/>
  <c r="M20" i="13"/>
  <c r="N20" i="13"/>
  <c r="O20" i="13"/>
  <c r="P20" i="13"/>
  <c r="Q20" i="13"/>
  <c r="R20" i="13"/>
  <c r="S20" i="13"/>
  <c r="T20" i="13"/>
  <c r="U20" i="13"/>
  <c r="V20" i="13"/>
  <c r="W20" i="13"/>
  <c r="X20" i="13"/>
  <c r="Y20" i="13"/>
  <c r="Z20" i="13"/>
  <c r="AA20" i="13"/>
  <c r="AB20" i="13"/>
  <c r="AC20" i="13"/>
  <c r="AD20" i="13"/>
  <c r="AE20" i="13"/>
  <c r="AF20" i="13"/>
  <c r="AG20" i="13"/>
  <c r="AH20" i="13"/>
  <c r="AI20" i="13"/>
  <c r="AJ20" i="13"/>
  <c r="AK20" i="13"/>
  <c r="AL20" i="13"/>
  <c r="AM20" i="13"/>
  <c r="AN20" i="13"/>
  <c r="AO20" i="13"/>
  <c r="AP20" i="13"/>
  <c r="AQ20" i="13"/>
  <c r="AR20" i="13"/>
  <c r="AS20" i="13"/>
  <c r="AT20" i="13"/>
  <c r="AU20" i="13"/>
  <c r="AV20" i="13"/>
  <c r="AW20" i="13"/>
  <c r="AX20" i="13"/>
  <c r="AY20" i="13"/>
  <c r="AZ20" i="13"/>
  <c r="BA20" i="13"/>
  <c r="BB20" i="13"/>
  <c r="BC20" i="13"/>
  <c r="BD20" i="13"/>
  <c r="BE20" i="13"/>
  <c r="BF20" i="13"/>
  <c r="BG20" i="13"/>
  <c r="BH20" i="13"/>
  <c r="BI20" i="13"/>
  <c r="BJ20" i="13"/>
  <c r="BK20" i="13"/>
  <c r="BL20" i="13"/>
  <c r="BM20" i="13"/>
  <c r="BN20" i="13"/>
  <c r="BO20" i="13"/>
  <c r="BP20" i="13"/>
  <c r="BQ20" i="13"/>
  <c r="BR20" i="13"/>
  <c r="BS20" i="13"/>
  <c r="BT20" i="13"/>
  <c r="BU20" i="13"/>
  <c r="BV20" i="13"/>
  <c r="BW20" i="13"/>
  <c r="BX20" i="13"/>
  <c r="BY20" i="13"/>
  <c r="BZ20" i="13"/>
  <c r="CA20" i="13"/>
  <c r="CB20" i="13"/>
  <c r="CC20" i="13"/>
  <c r="CD20" i="13"/>
  <c r="CE20" i="13"/>
  <c r="CF20" i="13"/>
  <c r="CG20" i="13"/>
  <c r="CH20" i="13"/>
  <c r="CI20" i="13"/>
  <c r="CJ20" i="13"/>
  <c r="CK20" i="13"/>
  <c r="CL20" i="13"/>
  <c r="CM20" i="13"/>
  <c r="CN20" i="13"/>
  <c r="E21" i="13"/>
  <c r="H21" i="13"/>
  <c r="E22" i="13"/>
  <c r="I22" i="13"/>
  <c r="J22" i="13"/>
  <c r="K22" i="13"/>
  <c r="L22" i="13"/>
  <c r="M22" i="13"/>
  <c r="N22" i="13"/>
  <c r="O22" i="13"/>
  <c r="P22" i="13"/>
  <c r="Q22" i="13"/>
  <c r="R22" i="13"/>
  <c r="S22" i="13"/>
  <c r="T22" i="13"/>
  <c r="U22" i="13"/>
  <c r="V22" i="13"/>
  <c r="W22" i="13"/>
  <c r="X22" i="13"/>
  <c r="Y22" i="13"/>
  <c r="Z22" i="13"/>
  <c r="AA22" i="13"/>
  <c r="AB22" i="13"/>
  <c r="AC22" i="13"/>
  <c r="AD22" i="13"/>
  <c r="AE22" i="13"/>
  <c r="AF22" i="13"/>
  <c r="AG22" i="13"/>
  <c r="AH22" i="13"/>
  <c r="AI22" i="13"/>
  <c r="AJ22" i="13"/>
  <c r="AK22" i="13"/>
  <c r="AL22" i="13"/>
  <c r="AM22" i="13"/>
  <c r="AN22" i="13"/>
  <c r="AO22" i="13"/>
  <c r="AP22" i="13"/>
  <c r="AQ22" i="13"/>
  <c r="AR22" i="13"/>
  <c r="AS22" i="13"/>
  <c r="AT22" i="13"/>
  <c r="AU22" i="13"/>
  <c r="AV22" i="13"/>
  <c r="AW22" i="13"/>
  <c r="AX22" i="13"/>
  <c r="AY22" i="13"/>
  <c r="AZ22" i="13"/>
  <c r="BA22" i="13"/>
  <c r="BB22" i="13"/>
  <c r="BC22" i="13"/>
  <c r="BD22" i="13"/>
  <c r="BE22" i="13"/>
  <c r="BF22" i="13"/>
  <c r="BG22" i="13"/>
  <c r="BH22" i="13"/>
  <c r="BI22" i="13"/>
  <c r="BJ22" i="13"/>
  <c r="BK22" i="13"/>
  <c r="BL22" i="13"/>
  <c r="BM22" i="13"/>
  <c r="BN22" i="13"/>
  <c r="BO22" i="13"/>
  <c r="BP22" i="13"/>
  <c r="BQ22" i="13"/>
  <c r="BR22" i="13"/>
  <c r="BS22" i="13"/>
  <c r="BT22" i="13"/>
  <c r="BU22" i="13"/>
  <c r="BV22" i="13"/>
  <c r="BW22" i="13"/>
  <c r="BX22" i="13"/>
  <c r="BY22" i="13"/>
  <c r="BZ22" i="13"/>
  <c r="CA22" i="13"/>
  <c r="CB22" i="13"/>
  <c r="CC22" i="13"/>
  <c r="CD22" i="13"/>
  <c r="CE22" i="13"/>
  <c r="CF22" i="13"/>
  <c r="CG22" i="13"/>
  <c r="CH22" i="13"/>
  <c r="CI22" i="13"/>
  <c r="CJ22" i="13"/>
  <c r="CK22" i="13"/>
  <c r="CL22" i="13"/>
  <c r="CM22" i="13"/>
  <c r="CN22" i="13"/>
  <c r="E23" i="13"/>
  <c r="I23" i="13"/>
  <c r="J23" i="13"/>
  <c r="K23" i="13"/>
  <c r="L23" i="13"/>
  <c r="M23" i="13"/>
  <c r="N23" i="13"/>
  <c r="O23" i="13"/>
  <c r="P23" i="13"/>
  <c r="Q23" i="13"/>
  <c r="R23" i="13"/>
  <c r="S23" i="13"/>
  <c r="T23" i="13"/>
  <c r="U23" i="13"/>
  <c r="V23" i="13"/>
  <c r="W23" i="13"/>
  <c r="X23" i="13"/>
  <c r="Y23" i="13"/>
  <c r="Z23" i="13"/>
  <c r="AA23" i="13"/>
  <c r="AB23" i="13"/>
  <c r="AC23" i="13"/>
  <c r="AD23" i="13"/>
  <c r="AE23" i="13"/>
  <c r="AF23" i="13"/>
  <c r="AG23" i="13"/>
  <c r="AH23" i="13"/>
  <c r="AI23" i="13"/>
  <c r="AJ23" i="13"/>
  <c r="AK23" i="13"/>
  <c r="AL23" i="13"/>
  <c r="AM23" i="13"/>
  <c r="AN23" i="13"/>
  <c r="AO23" i="13"/>
  <c r="AP23" i="13"/>
  <c r="AQ23" i="13"/>
  <c r="AR23" i="13"/>
  <c r="AS23" i="13"/>
  <c r="AT23" i="13"/>
  <c r="AU23" i="13"/>
  <c r="AV23" i="13"/>
  <c r="AW23" i="13"/>
  <c r="AX23" i="13"/>
  <c r="AY23" i="13"/>
  <c r="AZ23" i="13"/>
  <c r="BA23" i="13"/>
  <c r="BB23" i="13"/>
  <c r="BC23" i="13"/>
  <c r="BD23" i="13"/>
  <c r="BE23" i="13"/>
  <c r="BF23" i="13"/>
  <c r="BG23" i="13"/>
  <c r="BH23" i="13"/>
  <c r="BI23" i="13"/>
  <c r="BJ23" i="13"/>
  <c r="BK23" i="13"/>
  <c r="BL23" i="13"/>
  <c r="BM23" i="13"/>
  <c r="BN23" i="13"/>
  <c r="BO23" i="13"/>
  <c r="BP23" i="13"/>
  <c r="BQ23" i="13"/>
  <c r="BR23" i="13"/>
  <c r="BS23" i="13"/>
  <c r="BT23" i="13"/>
  <c r="BU23" i="13"/>
  <c r="BV23" i="13"/>
  <c r="BW23" i="13"/>
  <c r="BX23" i="13"/>
  <c r="BY23" i="13"/>
  <c r="BZ23" i="13"/>
  <c r="CA23" i="13"/>
  <c r="CB23" i="13"/>
  <c r="CC23" i="13"/>
  <c r="CD23" i="13"/>
  <c r="CE23" i="13"/>
  <c r="CF23" i="13"/>
  <c r="CG23" i="13"/>
  <c r="CH23" i="13"/>
  <c r="CI23" i="13"/>
  <c r="CJ23" i="13"/>
  <c r="CK23" i="13"/>
  <c r="CL23" i="13"/>
  <c r="CM23" i="13"/>
  <c r="E24" i="13"/>
  <c r="H24" i="13"/>
  <c r="I24" i="13"/>
  <c r="J24" i="13"/>
  <c r="K24" i="13"/>
  <c r="L24" i="13"/>
  <c r="M24" i="13"/>
  <c r="N24" i="13"/>
  <c r="O24" i="13"/>
  <c r="P24" i="13"/>
  <c r="Q24" i="13"/>
  <c r="R24" i="13"/>
  <c r="S24" i="13"/>
  <c r="T24" i="13"/>
  <c r="U24" i="13"/>
  <c r="V24" i="13"/>
  <c r="W24" i="13"/>
  <c r="X24" i="13"/>
  <c r="Y24" i="13"/>
  <c r="Z24" i="13"/>
  <c r="AA24" i="13"/>
  <c r="AB24" i="13"/>
  <c r="AC24" i="13"/>
  <c r="AD24" i="13"/>
  <c r="AE24" i="13"/>
  <c r="AF24" i="13"/>
  <c r="AG24" i="13"/>
  <c r="AH24" i="13"/>
  <c r="AI24" i="13"/>
  <c r="AJ24" i="13"/>
  <c r="AK24" i="13"/>
  <c r="AL24" i="13"/>
  <c r="AM24" i="13"/>
  <c r="AN24" i="13"/>
  <c r="AO24" i="13"/>
  <c r="AP24" i="13"/>
  <c r="AQ24" i="13"/>
  <c r="AR24" i="13"/>
  <c r="AS24" i="13"/>
  <c r="AT24" i="13"/>
  <c r="AU24" i="13"/>
  <c r="AV24" i="13"/>
  <c r="AW24" i="13"/>
  <c r="AX24" i="13"/>
  <c r="AY24" i="13"/>
  <c r="AZ24" i="13"/>
  <c r="BA24" i="13"/>
  <c r="BB24" i="13"/>
  <c r="BC24" i="13"/>
  <c r="BD24" i="13"/>
  <c r="BE24" i="13"/>
  <c r="BF24" i="13"/>
  <c r="BG24" i="13"/>
  <c r="BH24" i="13"/>
  <c r="BI24" i="13"/>
  <c r="BJ24" i="13"/>
  <c r="BK24" i="13"/>
  <c r="BL24" i="13"/>
  <c r="BM24" i="13"/>
  <c r="BN24" i="13"/>
  <c r="BO24" i="13"/>
  <c r="BP24" i="13"/>
  <c r="BQ24" i="13"/>
  <c r="BR24" i="13"/>
  <c r="BS24" i="13"/>
  <c r="BT24" i="13"/>
  <c r="BU24" i="13"/>
  <c r="BV24" i="13"/>
  <c r="BW24" i="13"/>
  <c r="BX24" i="13"/>
  <c r="BY24" i="13"/>
  <c r="BZ24" i="13"/>
  <c r="CA24" i="13"/>
  <c r="CB24" i="13"/>
  <c r="CC24" i="13"/>
  <c r="CD24" i="13"/>
  <c r="CE24" i="13"/>
  <c r="CF24" i="13"/>
  <c r="CG24" i="13"/>
  <c r="CH24" i="13"/>
  <c r="CI24" i="13"/>
  <c r="CJ24" i="13"/>
  <c r="CK24" i="13"/>
  <c r="CL24" i="13"/>
  <c r="CM24" i="13"/>
  <c r="CN24" i="13"/>
  <c r="E26" i="13"/>
  <c r="H26" i="13"/>
  <c r="I26" i="13"/>
  <c r="J26" i="13"/>
  <c r="K26" i="13"/>
  <c r="L26" i="13"/>
  <c r="M26" i="13"/>
  <c r="N26" i="13"/>
  <c r="O26" i="13"/>
  <c r="P26" i="13"/>
  <c r="Q26" i="13"/>
  <c r="R26" i="13"/>
  <c r="S26" i="13"/>
  <c r="T26" i="13"/>
  <c r="U26" i="13"/>
  <c r="V26" i="13"/>
  <c r="W26" i="13"/>
  <c r="X26" i="13"/>
  <c r="Y26" i="13"/>
  <c r="Z26" i="13"/>
  <c r="AA26" i="13"/>
  <c r="AB26" i="13"/>
  <c r="AC26" i="13"/>
  <c r="AD26" i="13"/>
  <c r="AE26" i="13"/>
  <c r="AF26" i="13"/>
  <c r="AG26" i="13"/>
  <c r="AH26" i="13"/>
  <c r="AI26" i="13"/>
  <c r="AJ26" i="13"/>
  <c r="AK26" i="13"/>
  <c r="AL26" i="13"/>
  <c r="AM26" i="13"/>
  <c r="AN26" i="13"/>
  <c r="AO26" i="13"/>
  <c r="AP26" i="13"/>
  <c r="AQ26" i="13"/>
  <c r="AR26" i="13"/>
  <c r="AS26" i="13"/>
  <c r="AT26" i="13"/>
  <c r="AU26" i="13"/>
  <c r="AV26" i="13"/>
  <c r="AW26" i="13"/>
  <c r="AX26" i="13"/>
  <c r="AY26" i="13"/>
  <c r="AZ26" i="13"/>
  <c r="BA26" i="13"/>
  <c r="BB26" i="13"/>
  <c r="BC26" i="13"/>
  <c r="BD26" i="13"/>
  <c r="BE26" i="13"/>
  <c r="BF26" i="13"/>
  <c r="BG26" i="13"/>
  <c r="BH26" i="13"/>
  <c r="BI26" i="13"/>
  <c r="BJ26" i="13"/>
  <c r="BK26" i="13"/>
  <c r="BL26" i="13"/>
  <c r="BM26" i="13"/>
  <c r="BN26" i="13"/>
  <c r="BO26" i="13"/>
  <c r="BP26" i="13"/>
  <c r="BQ26" i="13"/>
  <c r="BR26" i="13"/>
  <c r="BS26" i="13"/>
  <c r="BT26" i="13"/>
  <c r="BU26" i="13"/>
  <c r="BV26" i="13"/>
  <c r="BW26" i="13"/>
  <c r="BX26" i="13"/>
  <c r="BY26" i="13"/>
  <c r="BZ26" i="13"/>
  <c r="CA26" i="13"/>
  <c r="CB26" i="13"/>
  <c r="CC26" i="13"/>
  <c r="CD26" i="13"/>
  <c r="CE26" i="13"/>
  <c r="CF26" i="13"/>
  <c r="CG26" i="13"/>
  <c r="CH26" i="13"/>
  <c r="CI26" i="13"/>
  <c r="CJ26" i="13"/>
  <c r="CK26" i="13"/>
  <c r="CL26" i="13"/>
  <c r="CM26" i="13"/>
  <c r="E27" i="13"/>
  <c r="I27" i="13"/>
  <c r="J27" i="13"/>
  <c r="K27" i="13"/>
  <c r="L27" i="13"/>
  <c r="M27" i="13"/>
  <c r="N27" i="13"/>
  <c r="O27" i="13"/>
  <c r="P27" i="13"/>
  <c r="Q27" i="13"/>
  <c r="R27" i="13"/>
  <c r="S27" i="13"/>
  <c r="T27" i="13"/>
  <c r="U27" i="13"/>
  <c r="V27" i="13"/>
  <c r="W27" i="13"/>
  <c r="X27" i="13"/>
  <c r="Y27" i="13"/>
  <c r="Z27" i="13"/>
  <c r="AA27" i="13"/>
  <c r="AB27" i="13"/>
  <c r="AC27" i="13"/>
  <c r="AD27" i="13"/>
  <c r="AE27" i="13"/>
  <c r="AF27" i="13"/>
  <c r="AG27" i="13"/>
  <c r="AH27" i="13"/>
  <c r="AI27" i="13"/>
  <c r="AJ27" i="13"/>
  <c r="AK27" i="13"/>
  <c r="AL27" i="13"/>
  <c r="AM27" i="13"/>
  <c r="AN27" i="13"/>
  <c r="AO27" i="13"/>
  <c r="AP27" i="13"/>
  <c r="AQ27" i="13"/>
  <c r="AR27" i="13"/>
  <c r="AS27" i="13"/>
  <c r="AT27" i="13"/>
  <c r="AU27" i="13"/>
  <c r="AV27" i="13"/>
  <c r="AW27" i="13"/>
  <c r="AX27" i="13"/>
  <c r="AY27" i="13"/>
  <c r="AZ27" i="13"/>
  <c r="BA27" i="13"/>
  <c r="BB27" i="13"/>
  <c r="BC27" i="13"/>
  <c r="BD27" i="13"/>
  <c r="BE27" i="13"/>
  <c r="BF27" i="13"/>
  <c r="BG27" i="13"/>
  <c r="BH27" i="13"/>
  <c r="BI27" i="13"/>
  <c r="BJ27" i="13"/>
  <c r="BK27" i="13"/>
  <c r="BL27" i="13"/>
  <c r="BM27" i="13"/>
  <c r="BN27" i="13"/>
  <c r="BO27" i="13"/>
  <c r="BP27" i="13"/>
  <c r="BQ27" i="13"/>
  <c r="BR27" i="13"/>
  <c r="BS27" i="13"/>
  <c r="BT27" i="13"/>
  <c r="BU27" i="13"/>
  <c r="BV27" i="13"/>
  <c r="BW27" i="13"/>
  <c r="BX27" i="13"/>
  <c r="BY27" i="13"/>
  <c r="BZ27" i="13"/>
  <c r="CA27" i="13"/>
  <c r="CB27" i="13"/>
  <c r="CC27" i="13"/>
  <c r="CD27" i="13"/>
  <c r="CE27" i="13"/>
  <c r="CF27" i="13"/>
  <c r="CG27" i="13"/>
  <c r="CH27" i="13"/>
  <c r="CI27" i="13"/>
  <c r="CJ27" i="13"/>
  <c r="CK27" i="13"/>
  <c r="CL27" i="13"/>
  <c r="CM27" i="13"/>
  <c r="E29" i="13"/>
  <c r="H29" i="13"/>
  <c r="I29" i="13"/>
  <c r="J29" i="13"/>
  <c r="K29" i="13"/>
  <c r="L29" i="13"/>
  <c r="M29" i="13"/>
  <c r="N29" i="13"/>
  <c r="O29" i="13"/>
  <c r="P29" i="13"/>
  <c r="Q29" i="13"/>
  <c r="R29" i="13"/>
  <c r="S29" i="13"/>
  <c r="T29" i="13"/>
  <c r="U29" i="13"/>
  <c r="V29" i="13"/>
  <c r="W29" i="13"/>
  <c r="X29" i="13"/>
  <c r="Y29" i="13"/>
  <c r="Z29" i="13"/>
  <c r="AA29" i="13"/>
  <c r="AB29" i="13"/>
  <c r="AC29" i="13"/>
  <c r="AD29" i="13"/>
  <c r="AE29" i="13"/>
  <c r="AF29" i="13"/>
  <c r="AG29" i="13"/>
  <c r="AH29" i="13"/>
  <c r="AI29" i="13"/>
  <c r="AJ29" i="13"/>
  <c r="AK29" i="13"/>
  <c r="AL29" i="13"/>
  <c r="AM29" i="13"/>
  <c r="AN29" i="13"/>
  <c r="AO29" i="13"/>
  <c r="AP29" i="13"/>
  <c r="AQ29" i="13"/>
  <c r="AR29" i="13"/>
  <c r="AS29" i="13"/>
  <c r="AT29" i="13"/>
  <c r="AU29" i="13"/>
  <c r="AV29" i="13"/>
  <c r="AW29" i="13"/>
  <c r="AX29" i="13"/>
  <c r="AY29" i="13"/>
  <c r="AZ29" i="13"/>
  <c r="BA29" i="13"/>
  <c r="BB29" i="13"/>
  <c r="BC29" i="13"/>
  <c r="BD29" i="13"/>
  <c r="BE29" i="13"/>
  <c r="BF29" i="13"/>
  <c r="BG29" i="13"/>
  <c r="BH29" i="13"/>
  <c r="BI29" i="13"/>
  <c r="BJ29" i="13"/>
  <c r="BK29" i="13"/>
  <c r="BL29" i="13"/>
  <c r="BM29" i="13"/>
  <c r="BN29" i="13"/>
  <c r="BO29" i="13"/>
  <c r="BP29" i="13"/>
  <c r="BQ29" i="13"/>
  <c r="BR29" i="13"/>
  <c r="BS29" i="13"/>
  <c r="BT29" i="13"/>
  <c r="BU29" i="13"/>
  <c r="BV29" i="13"/>
  <c r="BW29" i="13"/>
  <c r="BX29" i="13"/>
  <c r="BY29" i="13"/>
  <c r="BZ29" i="13"/>
  <c r="CA29" i="13"/>
  <c r="CB29" i="13"/>
  <c r="CC29" i="13"/>
  <c r="CD29" i="13"/>
  <c r="CE29" i="13"/>
  <c r="CF29" i="13"/>
  <c r="CG29" i="13"/>
  <c r="CH29" i="13"/>
  <c r="CI29" i="13"/>
  <c r="CJ29" i="13"/>
  <c r="CK29" i="13"/>
  <c r="CL29" i="13"/>
  <c r="CM29" i="13"/>
  <c r="H30" i="13"/>
  <c r="I30" i="13"/>
  <c r="J30" i="13"/>
  <c r="K30" i="13"/>
  <c r="L30" i="13"/>
  <c r="M30" i="13"/>
  <c r="N30" i="13"/>
  <c r="O30" i="13"/>
  <c r="P30" i="13"/>
  <c r="Q30" i="13"/>
  <c r="R30" i="13"/>
  <c r="S30" i="13"/>
  <c r="T30" i="13"/>
  <c r="U30" i="13"/>
  <c r="V30" i="13"/>
  <c r="W30" i="13"/>
  <c r="X30" i="13"/>
  <c r="Y30" i="13"/>
  <c r="Z30" i="13"/>
  <c r="AA30" i="13"/>
  <c r="AB30" i="13"/>
  <c r="AC30" i="13"/>
  <c r="AD30" i="13"/>
  <c r="AE30" i="13"/>
  <c r="AF30" i="13"/>
  <c r="AG30" i="13"/>
  <c r="AH30" i="13"/>
  <c r="AI30" i="13"/>
  <c r="AJ30" i="13"/>
  <c r="AK30" i="13"/>
  <c r="AL30" i="13"/>
  <c r="AM30" i="13"/>
  <c r="AN30" i="13"/>
  <c r="AO30" i="13"/>
  <c r="AP30" i="13"/>
  <c r="AQ30" i="13"/>
  <c r="AR30" i="13"/>
  <c r="AS30" i="13"/>
  <c r="AT30" i="13"/>
  <c r="AU30" i="13"/>
  <c r="AV30" i="13"/>
  <c r="AW30" i="13"/>
  <c r="AX30" i="13"/>
  <c r="AY30" i="13"/>
  <c r="AZ30" i="13"/>
  <c r="BA30" i="13"/>
  <c r="BB30" i="13"/>
  <c r="BC30" i="13"/>
  <c r="BD30" i="13"/>
  <c r="BE30" i="13"/>
  <c r="BF30" i="13"/>
  <c r="BG30" i="13"/>
  <c r="BH30" i="13"/>
  <c r="BI30" i="13"/>
  <c r="BJ30" i="13"/>
  <c r="BK30" i="13"/>
  <c r="BL30" i="13"/>
  <c r="BM30" i="13"/>
  <c r="BN30" i="13"/>
  <c r="BO30" i="13"/>
  <c r="BP30" i="13"/>
  <c r="BQ30" i="13"/>
  <c r="BR30" i="13"/>
  <c r="BS30" i="13"/>
  <c r="BT30" i="13"/>
  <c r="BU30" i="13"/>
  <c r="BV30" i="13"/>
  <c r="BW30" i="13"/>
  <c r="BX30" i="13"/>
  <c r="BY30" i="13"/>
  <c r="BZ30" i="13"/>
  <c r="CA30" i="13"/>
  <c r="CB30" i="13"/>
  <c r="CC30" i="13"/>
  <c r="CD30" i="13"/>
  <c r="CE30" i="13"/>
  <c r="CF30" i="13"/>
  <c r="CG30" i="13"/>
  <c r="CH30" i="13"/>
  <c r="CI30" i="13"/>
  <c r="CJ30" i="13"/>
  <c r="CK30" i="13"/>
  <c r="CL30" i="13"/>
  <c r="CM30" i="13"/>
  <c r="CN30" i="13"/>
  <c r="I33" i="13"/>
  <c r="J33" i="13"/>
  <c r="K33" i="13"/>
  <c r="L33" i="13"/>
  <c r="M33" i="13"/>
  <c r="N33" i="13"/>
  <c r="O33" i="13"/>
  <c r="P33" i="13"/>
  <c r="Q33" i="13"/>
  <c r="R33" i="13"/>
  <c r="S33" i="13"/>
  <c r="T33" i="13"/>
  <c r="U33" i="13"/>
  <c r="V33" i="13"/>
  <c r="W33" i="13"/>
  <c r="X33" i="13"/>
  <c r="Y33" i="13"/>
  <c r="Z33" i="13"/>
  <c r="AA33" i="13"/>
  <c r="AB33" i="13"/>
  <c r="AC33" i="13"/>
  <c r="AD33" i="13"/>
  <c r="AE33" i="13"/>
  <c r="AF33" i="13"/>
  <c r="AG33" i="13"/>
  <c r="AH33" i="13"/>
  <c r="AI33" i="13"/>
  <c r="AJ33" i="13"/>
  <c r="AK33" i="13"/>
  <c r="AL33" i="13"/>
  <c r="AM33" i="13"/>
  <c r="AN33" i="13"/>
  <c r="AO33" i="13"/>
  <c r="AP33" i="13"/>
  <c r="AQ33" i="13"/>
  <c r="AR33" i="13"/>
  <c r="AS33" i="13"/>
  <c r="AT33" i="13"/>
  <c r="AU33" i="13"/>
  <c r="AV33" i="13"/>
  <c r="AW33" i="13"/>
  <c r="AX33" i="13"/>
  <c r="AY33" i="13"/>
  <c r="AZ33" i="13"/>
  <c r="BA33" i="13"/>
  <c r="BB33" i="13"/>
  <c r="BC33" i="13"/>
  <c r="BD33" i="13"/>
  <c r="BE33" i="13"/>
  <c r="BF33" i="13"/>
  <c r="BG33" i="13"/>
  <c r="BH33" i="13"/>
  <c r="BI33" i="13"/>
  <c r="BJ33" i="13"/>
  <c r="BK33" i="13"/>
  <c r="BL33" i="13"/>
  <c r="BM33" i="13"/>
  <c r="BN33" i="13"/>
  <c r="BO33" i="13"/>
  <c r="BP33" i="13"/>
  <c r="BQ33" i="13"/>
  <c r="BR33" i="13"/>
  <c r="BS33" i="13"/>
  <c r="BT33" i="13"/>
  <c r="BU33" i="13"/>
  <c r="BV33" i="13"/>
  <c r="BW33" i="13"/>
  <c r="BX33" i="13"/>
  <c r="BY33" i="13"/>
  <c r="BZ33" i="13"/>
  <c r="CA33" i="13"/>
  <c r="CB33" i="13"/>
  <c r="CC33" i="13"/>
  <c r="CD33" i="13"/>
  <c r="CE33" i="13"/>
  <c r="CF33" i="13"/>
  <c r="CG33" i="13"/>
  <c r="CH33" i="13"/>
  <c r="CI33" i="13"/>
  <c r="CJ33" i="13"/>
  <c r="CK33" i="13"/>
  <c r="CL33" i="13"/>
  <c r="CM33" i="13"/>
  <c r="CN33" i="13"/>
  <c r="E34" i="13"/>
  <c r="H34" i="13"/>
  <c r="E35" i="13"/>
  <c r="I35" i="13"/>
  <c r="J35" i="13"/>
  <c r="K35" i="13"/>
  <c r="L35" i="13"/>
  <c r="M35" i="13"/>
  <c r="N35" i="13"/>
  <c r="O35" i="13"/>
  <c r="P35" i="13"/>
  <c r="Q35" i="13"/>
  <c r="R35" i="13"/>
  <c r="S35" i="13"/>
  <c r="T35" i="13"/>
  <c r="U35" i="13"/>
  <c r="V35" i="13"/>
  <c r="W35" i="13"/>
  <c r="X35" i="13"/>
  <c r="Y35" i="13"/>
  <c r="Z35" i="13"/>
  <c r="AA35" i="13"/>
  <c r="AB35" i="13"/>
  <c r="AC35" i="13"/>
  <c r="AD35" i="13"/>
  <c r="AE35" i="13"/>
  <c r="AF35" i="13"/>
  <c r="AG35" i="13"/>
  <c r="AH35" i="13"/>
  <c r="AI35" i="13"/>
  <c r="AJ35" i="13"/>
  <c r="AK35" i="13"/>
  <c r="AL35" i="13"/>
  <c r="AM35" i="13"/>
  <c r="AN35" i="13"/>
  <c r="AO35" i="13"/>
  <c r="AP35" i="13"/>
  <c r="AQ35" i="13"/>
  <c r="AR35" i="13"/>
  <c r="AS35" i="13"/>
  <c r="AT35" i="13"/>
  <c r="AU35" i="13"/>
  <c r="AV35" i="13"/>
  <c r="AW35" i="13"/>
  <c r="AX35" i="13"/>
  <c r="AY35" i="13"/>
  <c r="AZ35" i="13"/>
  <c r="BA35" i="13"/>
  <c r="BB35" i="13"/>
  <c r="BC35" i="13"/>
  <c r="BD35" i="13"/>
  <c r="BE35" i="13"/>
  <c r="BF35" i="13"/>
  <c r="BG35" i="13"/>
  <c r="BH35" i="13"/>
  <c r="BI35" i="13"/>
  <c r="BJ35" i="13"/>
  <c r="BK35" i="13"/>
  <c r="BL35" i="13"/>
  <c r="BM35" i="13"/>
  <c r="BN35" i="13"/>
  <c r="BO35" i="13"/>
  <c r="BP35" i="13"/>
  <c r="BQ35" i="13"/>
  <c r="BR35" i="13"/>
  <c r="BS35" i="13"/>
  <c r="BT35" i="13"/>
  <c r="BU35" i="13"/>
  <c r="BV35" i="13"/>
  <c r="BW35" i="13"/>
  <c r="BX35" i="13"/>
  <c r="BY35" i="13"/>
  <c r="BZ35" i="13"/>
  <c r="CA35" i="13"/>
  <c r="CB35" i="13"/>
  <c r="CC35" i="13"/>
  <c r="CD35" i="13"/>
  <c r="CE35" i="13"/>
  <c r="CF35" i="13"/>
  <c r="CG35" i="13"/>
  <c r="CH35" i="13"/>
  <c r="CI35" i="13"/>
  <c r="CJ35" i="13"/>
  <c r="CK35" i="13"/>
  <c r="CL35" i="13"/>
  <c r="CM35" i="13"/>
  <c r="CN35" i="13"/>
  <c r="E36" i="13"/>
  <c r="I36" i="13"/>
  <c r="J36" i="13"/>
  <c r="K36" i="13"/>
  <c r="L36" i="13"/>
  <c r="M36" i="13"/>
  <c r="N36" i="13"/>
  <c r="O36" i="13"/>
  <c r="P36" i="13"/>
  <c r="Q36" i="13"/>
  <c r="R36" i="13"/>
  <c r="S36" i="13"/>
  <c r="T36" i="13"/>
  <c r="U36" i="13"/>
  <c r="V36" i="13"/>
  <c r="W36" i="13"/>
  <c r="X36" i="13"/>
  <c r="Y36" i="13"/>
  <c r="Z36" i="13"/>
  <c r="AA36" i="13"/>
  <c r="AB36" i="13"/>
  <c r="AC36" i="13"/>
  <c r="AD36" i="13"/>
  <c r="AE36" i="13"/>
  <c r="AF36" i="13"/>
  <c r="AG36" i="13"/>
  <c r="AH36" i="13"/>
  <c r="AI36" i="13"/>
  <c r="AJ36" i="13"/>
  <c r="AK36" i="13"/>
  <c r="AL36" i="13"/>
  <c r="AM36" i="13"/>
  <c r="AN36" i="13"/>
  <c r="AO36" i="13"/>
  <c r="AP36" i="13"/>
  <c r="AQ36" i="13"/>
  <c r="AR36" i="13"/>
  <c r="AS36" i="13"/>
  <c r="AT36" i="13"/>
  <c r="AU36" i="13"/>
  <c r="AV36" i="13"/>
  <c r="AW36" i="13"/>
  <c r="AX36" i="13"/>
  <c r="AY36" i="13"/>
  <c r="AZ36" i="13"/>
  <c r="BA36" i="13"/>
  <c r="BB36" i="13"/>
  <c r="BC36" i="13"/>
  <c r="BD36" i="13"/>
  <c r="BE36" i="13"/>
  <c r="BF36" i="13"/>
  <c r="BG36" i="13"/>
  <c r="BH36" i="13"/>
  <c r="BI36" i="13"/>
  <c r="BJ36" i="13"/>
  <c r="BK36" i="13"/>
  <c r="BL36" i="13"/>
  <c r="BM36" i="13"/>
  <c r="BN36" i="13"/>
  <c r="BO36" i="13"/>
  <c r="BP36" i="13"/>
  <c r="BQ36" i="13"/>
  <c r="BR36" i="13"/>
  <c r="BS36" i="13"/>
  <c r="BT36" i="13"/>
  <c r="BU36" i="13"/>
  <c r="BV36" i="13"/>
  <c r="BW36" i="13"/>
  <c r="BX36" i="13"/>
  <c r="BY36" i="13"/>
  <c r="BZ36" i="13"/>
  <c r="CA36" i="13"/>
  <c r="CB36" i="13"/>
  <c r="CC36" i="13"/>
  <c r="CD36" i="13"/>
  <c r="CE36" i="13"/>
  <c r="CF36" i="13"/>
  <c r="CG36" i="13"/>
  <c r="CH36" i="13"/>
  <c r="CI36" i="13"/>
  <c r="CJ36" i="13"/>
  <c r="CK36" i="13"/>
  <c r="CL36" i="13"/>
  <c r="CM36" i="13"/>
  <c r="E37" i="13"/>
  <c r="H37" i="13"/>
  <c r="I37" i="13"/>
  <c r="J37" i="13"/>
  <c r="K37" i="13"/>
  <c r="L37" i="13"/>
  <c r="M37" i="13"/>
  <c r="N37" i="13"/>
  <c r="O37" i="13"/>
  <c r="P37" i="13"/>
  <c r="Q37" i="13"/>
  <c r="R37" i="13"/>
  <c r="S37" i="13"/>
  <c r="T37" i="13"/>
  <c r="U37" i="13"/>
  <c r="V37" i="13"/>
  <c r="W37" i="13"/>
  <c r="X37" i="13"/>
  <c r="Y37" i="13"/>
  <c r="Z37" i="13"/>
  <c r="AA37" i="13"/>
  <c r="AB37" i="13"/>
  <c r="AC37" i="13"/>
  <c r="AD37" i="13"/>
  <c r="AE37" i="13"/>
  <c r="AF37" i="13"/>
  <c r="AG37" i="13"/>
  <c r="AH37" i="13"/>
  <c r="AI37" i="13"/>
  <c r="AJ37" i="13"/>
  <c r="AK37" i="13"/>
  <c r="AL37" i="13"/>
  <c r="AM37" i="13"/>
  <c r="AN37" i="13"/>
  <c r="AO37" i="13"/>
  <c r="AP37" i="13"/>
  <c r="AQ37" i="13"/>
  <c r="AR37" i="13"/>
  <c r="AS37" i="13"/>
  <c r="AT37" i="13"/>
  <c r="AU37" i="13"/>
  <c r="AV37" i="13"/>
  <c r="AW37" i="13"/>
  <c r="AX37" i="13"/>
  <c r="AY37" i="13"/>
  <c r="AZ37" i="13"/>
  <c r="BA37" i="13"/>
  <c r="BB37" i="13"/>
  <c r="BC37" i="13"/>
  <c r="BD37" i="13"/>
  <c r="BE37" i="13"/>
  <c r="BF37" i="13"/>
  <c r="BG37" i="13"/>
  <c r="BH37" i="13"/>
  <c r="BI37" i="13"/>
  <c r="BJ37" i="13"/>
  <c r="BK37" i="13"/>
  <c r="BL37" i="13"/>
  <c r="BM37" i="13"/>
  <c r="BN37" i="13"/>
  <c r="BO37" i="13"/>
  <c r="BP37" i="13"/>
  <c r="BQ37" i="13"/>
  <c r="BR37" i="13"/>
  <c r="BS37" i="13"/>
  <c r="BT37" i="13"/>
  <c r="BU37" i="13"/>
  <c r="BV37" i="13"/>
  <c r="BW37" i="13"/>
  <c r="BX37" i="13"/>
  <c r="BY37" i="13"/>
  <c r="BZ37" i="13"/>
  <c r="CA37" i="13"/>
  <c r="CB37" i="13"/>
  <c r="CC37" i="13"/>
  <c r="CD37" i="13"/>
  <c r="CE37" i="13"/>
  <c r="CF37" i="13"/>
  <c r="CG37" i="13"/>
  <c r="CH37" i="13"/>
  <c r="CI37" i="13"/>
  <c r="CJ37" i="13"/>
  <c r="CK37" i="13"/>
  <c r="CL37" i="13"/>
  <c r="CM37" i="13"/>
  <c r="E38" i="13"/>
  <c r="H38" i="13"/>
  <c r="I38" i="13"/>
  <c r="J38" i="13"/>
  <c r="K38" i="13"/>
  <c r="L38" i="13"/>
  <c r="M38" i="13"/>
  <c r="N38" i="13"/>
  <c r="O38" i="13"/>
  <c r="P38" i="13"/>
  <c r="Q38" i="13"/>
  <c r="R38" i="13"/>
  <c r="S38" i="13"/>
  <c r="T38" i="13"/>
  <c r="U38" i="13"/>
  <c r="V38" i="13"/>
  <c r="W38" i="13"/>
  <c r="X38" i="13"/>
  <c r="Y38" i="13"/>
  <c r="Z38" i="13"/>
  <c r="AA38" i="13"/>
  <c r="AB38" i="13"/>
  <c r="AC38" i="13"/>
  <c r="AD38" i="13"/>
  <c r="AE38" i="13"/>
  <c r="AF38" i="13"/>
  <c r="AG38" i="13"/>
  <c r="AH38" i="13"/>
  <c r="AI38" i="13"/>
  <c r="AJ38" i="13"/>
  <c r="AK38" i="13"/>
  <c r="AL38" i="13"/>
  <c r="AM38" i="13"/>
  <c r="AN38" i="13"/>
  <c r="AO38" i="13"/>
  <c r="AP38" i="13"/>
  <c r="AQ38" i="13"/>
  <c r="AR38" i="13"/>
  <c r="AS38" i="13"/>
  <c r="AT38" i="13"/>
  <c r="AU38" i="13"/>
  <c r="AV38" i="13"/>
  <c r="AW38" i="13"/>
  <c r="AX38" i="13"/>
  <c r="AY38" i="13"/>
  <c r="AZ38" i="13"/>
  <c r="BA38" i="13"/>
  <c r="BB38" i="13"/>
  <c r="BC38" i="13"/>
  <c r="BD38" i="13"/>
  <c r="BE38" i="13"/>
  <c r="BF38" i="13"/>
  <c r="BG38" i="13"/>
  <c r="BH38" i="13"/>
  <c r="BI38" i="13"/>
  <c r="BJ38" i="13"/>
  <c r="BK38" i="13"/>
  <c r="BL38" i="13"/>
  <c r="BM38" i="13"/>
  <c r="BN38" i="13"/>
  <c r="BO38" i="13"/>
  <c r="BP38" i="13"/>
  <c r="BQ38" i="13"/>
  <c r="BR38" i="13"/>
  <c r="BS38" i="13"/>
  <c r="BT38" i="13"/>
  <c r="BU38" i="13"/>
  <c r="BV38" i="13"/>
  <c r="BW38" i="13"/>
  <c r="BX38" i="13"/>
  <c r="BY38" i="13"/>
  <c r="BZ38" i="13"/>
  <c r="CA38" i="13"/>
  <c r="CB38" i="13"/>
  <c r="CC38" i="13"/>
  <c r="CD38" i="13"/>
  <c r="CE38" i="13"/>
  <c r="CF38" i="13"/>
  <c r="CG38" i="13"/>
  <c r="CH38" i="13"/>
  <c r="CI38" i="13"/>
  <c r="CJ38" i="13"/>
  <c r="CK38" i="13"/>
  <c r="CL38" i="13"/>
  <c r="CM38" i="13"/>
  <c r="CN38" i="13"/>
  <c r="E40" i="13"/>
  <c r="H40" i="13"/>
  <c r="I40" i="13"/>
  <c r="J40" i="13"/>
  <c r="K40" i="13"/>
  <c r="L40" i="13"/>
  <c r="M40" i="13"/>
  <c r="N40" i="13"/>
  <c r="O40" i="13"/>
  <c r="P40" i="13"/>
  <c r="Q40" i="13"/>
  <c r="R40" i="13"/>
  <c r="S40" i="13"/>
  <c r="T40" i="13"/>
  <c r="U40" i="13"/>
  <c r="V40" i="13"/>
  <c r="W40" i="13"/>
  <c r="X40" i="13"/>
  <c r="Y40" i="13"/>
  <c r="Z40" i="13"/>
  <c r="AA40" i="13"/>
  <c r="AB40" i="13"/>
  <c r="AC40" i="13"/>
  <c r="AD40" i="13"/>
  <c r="AE40" i="13"/>
  <c r="AF40" i="13"/>
  <c r="AG40" i="13"/>
  <c r="AH40" i="13"/>
  <c r="AI40" i="13"/>
  <c r="AJ40" i="13"/>
  <c r="AK40" i="13"/>
  <c r="AL40" i="13"/>
  <c r="AM40" i="13"/>
  <c r="AN40" i="13"/>
  <c r="AO40" i="13"/>
  <c r="AP40" i="13"/>
  <c r="AQ40" i="13"/>
  <c r="AR40" i="13"/>
  <c r="AS40" i="13"/>
  <c r="AT40" i="13"/>
  <c r="AU40" i="13"/>
  <c r="AV40" i="13"/>
  <c r="AW40" i="13"/>
  <c r="AX40" i="13"/>
  <c r="AY40" i="13"/>
  <c r="AZ40" i="13"/>
  <c r="BA40" i="13"/>
  <c r="BB40" i="13"/>
  <c r="BC40" i="13"/>
  <c r="BD40" i="13"/>
  <c r="BE40" i="13"/>
  <c r="BF40" i="13"/>
  <c r="BG40" i="13"/>
  <c r="BH40" i="13"/>
  <c r="BI40" i="13"/>
  <c r="BJ40" i="13"/>
  <c r="BK40" i="13"/>
  <c r="BL40" i="13"/>
  <c r="BM40" i="13"/>
  <c r="BN40" i="13"/>
  <c r="BO40" i="13"/>
  <c r="BP40" i="13"/>
  <c r="BQ40" i="13"/>
  <c r="BR40" i="13"/>
  <c r="BS40" i="13"/>
  <c r="BT40" i="13"/>
  <c r="BU40" i="13"/>
  <c r="BV40" i="13"/>
  <c r="BW40" i="13"/>
  <c r="BX40" i="13"/>
  <c r="BY40" i="13"/>
  <c r="BZ40" i="13"/>
  <c r="CA40" i="13"/>
  <c r="CB40" i="13"/>
  <c r="CC40" i="13"/>
  <c r="CD40" i="13"/>
  <c r="CE40" i="13"/>
  <c r="CF40" i="13"/>
  <c r="CG40" i="13"/>
  <c r="CH40" i="13"/>
  <c r="CI40" i="13"/>
  <c r="CJ40" i="13"/>
  <c r="CK40" i="13"/>
  <c r="CL40" i="13"/>
  <c r="CM40" i="13"/>
  <c r="E41" i="13"/>
  <c r="H41" i="13"/>
  <c r="I41" i="13"/>
  <c r="J41" i="13"/>
  <c r="K41" i="13"/>
  <c r="L41" i="13"/>
  <c r="M41" i="13"/>
  <c r="N41" i="13"/>
  <c r="O41" i="13"/>
  <c r="P41" i="13"/>
  <c r="Q41" i="13"/>
  <c r="R41" i="13"/>
  <c r="S41" i="13"/>
  <c r="T41" i="13"/>
  <c r="U41" i="13"/>
  <c r="V41" i="13"/>
  <c r="W41" i="13"/>
  <c r="X41" i="13"/>
  <c r="Y41" i="13"/>
  <c r="Z41" i="13"/>
  <c r="AA41" i="13"/>
  <c r="AB41" i="13"/>
  <c r="AC41" i="13"/>
  <c r="AD41" i="13"/>
  <c r="AE41" i="13"/>
  <c r="AF41" i="13"/>
  <c r="AG41" i="13"/>
  <c r="AH41" i="13"/>
  <c r="AI41" i="13"/>
  <c r="AJ41" i="13"/>
  <c r="AK41" i="13"/>
  <c r="AL41" i="13"/>
  <c r="AM41" i="13"/>
  <c r="AN41" i="13"/>
  <c r="AO41" i="13"/>
  <c r="AP41" i="13"/>
  <c r="AQ41" i="13"/>
  <c r="AR41" i="13"/>
  <c r="AS41" i="13"/>
  <c r="AT41" i="13"/>
  <c r="AU41" i="13"/>
  <c r="AV41" i="13"/>
  <c r="AW41" i="13"/>
  <c r="AX41" i="13"/>
  <c r="AY41" i="13"/>
  <c r="AZ41" i="13"/>
  <c r="BA41" i="13"/>
  <c r="BB41" i="13"/>
  <c r="BC41" i="13"/>
  <c r="BD41" i="13"/>
  <c r="BE41" i="13"/>
  <c r="BF41" i="13"/>
  <c r="BG41" i="13"/>
  <c r="BH41" i="13"/>
  <c r="BI41" i="13"/>
  <c r="BJ41" i="13"/>
  <c r="BK41" i="13"/>
  <c r="BL41" i="13"/>
  <c r="BM41" i="13"/>
  <c r="BN41" i="13"/>
  <c r="BO41" i="13"/>
  <c r="BP41" i="13"/>
  <c r="BQ41" i="13"/>
  <c r="BR41" i="13"/>
  <c r="BS41" i="13"/>
  <c r="BT41" i="13"/>
  <c r="BU41" i="13"/>
  <c r="BV41" i="13"/>
  <c r="BW41" i="13"/>
  <c r="BX41" i="13"/>
  <c r="BY41" i="13"/>
  <c r="BZ41" i="13"/>
  <c r="CA41" i="13"/>
  <c r="CB41" i="13"/>
  <c r="CC41" i="13"/>
  <c r="CD41" i="13"/>
  <c r="CE41" i="13"/>
  <c r="CF41" i="13"/>
  <c r="CG41" i="13"/>
  <c r="CH41" i="13"/>
  <c r="CI41" i="13"/>
  <c r="CJ41" i="13"/>
  <c r="CK41" i="13"/>
  <c r="CL41" i="13"/>
  <c r="CM41" i="13"/>
  <c r="E42" i="13"/>
  <c r="H42" i="13"/>
  <c r="I42" i="13"/>
  <c r="J42" i="13"/>
  <c r="K42" i="13"/>
  <c r="L42" i="13"/>
  <c r="M42" i="13"/>
  <c r="N42" i="13"/>
  <c r="O42" i="13"/>
  <c r="P42" i="13"/>
  <c r="Q42" i="13"/>
  <c r="R42" i="13"/>
  <c r="S42" i="13"/>
  <c r="T42" i="13"/>
  <c r="U42" i="13"/>
  <c r="V42" i="13"/>
  <c r="W42" i="13"/>
  <c r="X42" i="13"/>
  <c r="Y42" i="13"/>
  <c r="Z42" i="13"/>
  <c r="AA42" i="13"/>
  <c r="AB42" i="13"/>
  <c r="AC42" i="13"/>
  <c r="AD42" i="13"/>
  <c r="AE42" i="13"/>
  <c r="AF42" i="13"/>
  <c r="AG42" i="13"/>
  <c r="AH42" i="13"/>
  <c r="AI42" i="13"/>
  <c r="AJ42" i="13"/>
  <c r="AK42" i="13"/>
  <c r="AL42" i="13"/>
  <c r="AM42" i="13"/>
  <c r="AN42" i="13"/>
  <c r="AO42" i="13"/>
  <c r="AP42" i="13"/>
  <c r="AQ42" i="13"/>
  <c r="AR42" i="13"/>
  <c r="AS42" i="13"/>
  <c r="AT42" i="13"/>
  <c r="AU42" i="13"/>
  <c r="AV42" i="13"/>
  <c r="AW42" i="13"/>
  <c r="AX42" i="13"/>
  <c r="AY42" i="13"/>
  <c r="AZ42" i="13"/>
  <c r="BA42" i="13"/>
  <c r="BB42" i="13"/>
  <c r="BC42" i="13"/>
  <c r="BD42" i="13"/>
  <c r="BE42" i="13"/>
  <c r="BF42" i="13"/>
  <c r="BG42" i="13"/>
  <c r="BH42" i="13"/>
  <c r="BI42" i="13"/>
  <c r="BJ42" i="13"/>
  <c r="BK42" i="13"/>
  <c r="BL42" i="13"/>
  <c r="BM42" i="13"/>
  <c r="BN42" i="13"/>
  <c r="BO42" i="13"/>
  <c r="BP42" i="13"/>
  <c r="BQ42" i="13"/>
  <c r="BR42" i="13"/>
  <c r="BS42" i="13"/>
  <c r="BT42" i="13"/>
  <c r="BU42" i="13"/>
  <c r="BV42" i="13"/>
  <c r="BW42" i="13"/>
  <c r="BX42" i="13"/>
  <c r="BY42" i="13"/>
  <c r="BZ42" i="13"/>
  <c r="CA42" i="13"/>
  <c r="CB42" i="13"/>
  <c r="CC42" i="13"/>
  <c r="CD42" i="13"/>
  <c r="CE42" i="13"/>
  <c r="CF42" i="13"/>
  <c r="CG42" i="13"/>
  <c r="CH42" i="13"/>
  <c r="CI42" i="13"/>
  <c r="CJ42" i="13"/>
  <c r="CK42" i="13"/>
  <c r="CL42" i="13"/>
  <c r="CM42" i="13"/>
  <c r="E44" i="13"/>
  <c r="H44" i="13"/>
  <c r="I44" i="13"/>
  <c r="J44" i="13"/>
  <c r="K44" i="13"/>
  <c r="L44" i="13"/>
  <c r="M44" i="13"/>
  <c r="N44" i="13"/>
  <c r="O44" i="13"/>
  <c r="P44" i="13"/>
  <c r="Q44" i="13"/>
  <c r="R44" i="13"/>
  <c r="S44" i="13"/>
  <c r="T44" i="13"/>
  <c r="U44" i="13"/>
  <c r="V44" i="13"/>
  <c r="W44" i="13"/>
  <c r="X44" i="13"/>
  <c r="Y44" i="13"/>
  <c r="Z44" i="13"/>
  <c r="AA44" i="13"/>
  <c r="AB44" i="13"/>
  <c r="AC44" i="13"/>
  <c r="AD44" i="13"/>
  <c r="AE44" i="13"/>
  <c r="AF44" i="13"/>
  <c r="AG44" i="13"/>
  <c r="AH44" i="13"/>
  <c r="AI44" i="13"/>
  <c r="AJ44" i="13"/>
  <c r="AK44" i="13"/>
  <c r="AL44" i="13"/>
  <c r="AM44" i="13"/>
  <c r="AN44" i="13"/>
  <c r="AO44" i="13"/>
  <c r="AP44" i="13"/>
  <c r="AQ44" i="13"/>
  <c r="AR44" i="13"/>
  <c r="AS44" i="13"/>
  <c r="AT44" i="13"/>
  <c r="AU44" i="13"/>
  <c r="AV44" i="13"/>
  <c r="AW44" i="13"/>
  <c r="AX44" i="13"/>
  <c r="AY44" i="13"/>
  <c r="AZ44" i="13"/>
  <c r="BA44" i="13"/>
  <c r="BB44" i="13"/>
  <c r="BC44" i="13"/>
  <c r="BD44" i="13"/>
  <c r="BE44" i="13"/>
  <c r="BF44" i="13"/>
  <c r="BG44" i="13"/>
  <c r="BH44" i="13"/>
  <c r="BI44" i="13"/>
  <c r="BJ44" i="13"/>
  <c r="BK44" i="13"/>
  <c r="BL44" i="13"/>
  <c r="BM44" i="13"/>
  <c r="BN44" i="13"/>
  <c r="BO44" i="13"/>
  <c r="BP44" i="13"/>
  <c r="BQ44" i="13"/>
  <c r="BR44" i="13"/>
  <c r="BS44" i="13"/>
  <c r="BT44" i="13"/>
  <c r="BU44" i="13"/>
  <c r="BV44" i="13"/>
  <c r="BW44" i="13"/>
  <c r="BX44" i="13"/>
  <c r="BY44" i="13"/>
  <c r="BZ44" i="13"/>
  <c r="CA44" i="13"/>
  <c r="CB44" i="13"/>
  <c r="CC44" i="13"/>
  <c r="CD44" i="13"/>
  <c r="CE44" i="13"/>
  <c r="CF44" i="13"/>
  <c r="CG44" i="13"/>
  <c r="CH44" i="13"/>
  <c r="CI44" i="13"/>
  <c r="CJ44" i="13"/>
  <c r="CK44" i="13"/>
  <c r="CL44" i="13"/>
  <c r="CM44" i="13"/>
  <c r="E47" i="13"/>
  <c r="H47" i="13"/>
  <c r="I47" i="13"/>
  <c r="J47" i="13"/>
  <c r="K47" i="13"/>
  <c r="L47" i="13"/>
  <c r="M47" i="13"/>
  <c r="N47" i="13"/>
  <c r="O47" i="13"/>
  <c r="P47" i="13"/>
  <c r="Q47" i="13"/>
  <c r="R47" i="13"/>
  <c r="S47" i="13"/>
  <c r="T47" i="13"/>
  <c r="U47" i="13"/>
  <c r="V47" i="13"/>
  <c r="W47" i="13"/>
  <c r="X47" i="13"/>
  <c r="Y47" i="13"/>
  <c r="Z47" i="13"/>
  <c r="AA47" i="13"/>
  <c r="AB47" i="13"/>
  <c r="AC47" i="13"/>
  <c r="AD47" i="13"/>
  <c r="AE47" i="13"/>
  <c r="AF47" i="13"/>
  <c r="AG47" i="13"/>
  <c r="AH47" i="13"/>
  <c r="AI47" i="13"/>
  <c r="AJ47" i="13"/>
  <c r="AK47" i="13"/>
  <c r="AL47" i="13"/>
  <c r="AM47" i="13"/>
  <c r="AN47" i="13"/>
  <c r="AO47" i="13"/>
  <c r="AP47" i="13"/>
  <c r="AQ47" i="13"/>
  <c r="AR47" i="13"/>
  <c r="AS47" i="13"/>
  <c r="AT47" i="13"/>
  <c r="AU47" i="13"/>
  <c r="AV47" i="13"/>
  <c r="AW47" i="13"/>
  <c r="AX47" i="13"/>
  <c r="AY47" i="13"/>
  <c r="AZ47" i="13"/>
  <c r="BA47" i="13"/>
  <c r="BB47" i="13"/>
  <c r="BC47" i="13"/>
  <c r="BD47" i="13"/>
  <c r="BE47" i="13"/>
  <c r="BF47" i="13"/>
  <c r="BG47" i="13"/>
  <c r="BH47" i="13"/>
  <c r="BI47" i="13"/>
  <c r="BJ47" i="13"/>
  <c r="BK47" i="13"/>
  <c r="BL47" i="13"/>
  <c r="BM47" i="13"/>
  <c r="BN47" i="13"/>
  <c r="BO47" i="13"/>
  <c r="BP47" i="13"/>
  <c r="BQ47" i="13"/>
  <c r="BR47" i="13"/>
  <c r="BS47" i="13"/>
  <c r="BT47" i="13"/>
  <c r="BU47" i="13"/>
  <c r="BV47" i="13"/>
  <c r="BW47" i="13"/>
  <c r="BX47" i="13"/>
  <c r="BY47" i="13"/>
  <c r="BZ47" i="13"/>
  <c r="CA47" i="13"/>
  <c r="CB47" i="13"/>
  <c r="CC47" i="13"/>
  <c r="CD47" i="13"/>
  <c r="CE47" i="13"/>
  <c r="CF47" i="13"/>
  <c r="CG47" i="13"/>
  <c r="CH47" i="13"/>
  <c r="CI47" i="13"/>
  <c r="CJ47" i="13"/>
  <c r="CK47" i="13"/>
  <c r="CL47" i="13"/>
  <c r="CM47" i="13"/>
  <c r="E48" i="13"/>
  <c r="H48" i="13"/>
  <c r="I48" i="13"/>
  <c r="J48" i="13"/>
  <c r="K48" i="13"/>
  <c r="L48" i="13"/>
  <c r="M48" i="13"/>
  <c r="N48" i="13"/>
  <c r="O48" i="13"/>
  <c r="P48" i="13"/>
  <c r="Q48" i="13"/>
  <c r="R48" i="13"/>
  <c r="S48" i="13"/>
  <c r="T48" i="13"/>
  <c r="U48" i="13"/>
  <c r="V48" i="13"/>
  <c r="W48" i="13"/>
  <c r="X48" i="13"/>
  <c r="Y48" i="13"/>
  <c r="Z48" i="13"/>
  <c r="AA48" i="13"/>
  <c r="AB48" i="13"/>
  <c r="AC48" i="13"/>
  <c r="AD48" i="13"/>
  <c r="AE48" i="13"/>
  <c r="AF48" i="13"/>
  <c r="AG48" i="13"/>
  <c r="AH48" i="13"/>
  <c r="AI48" i="13"/>
  <c r="AJ48" i="13"/>
  <c r="AK48" i="13"/>
  <c r="AL48" i="13"/>
  <c r="AM48" i="13"/>
  <c r="AN48" i="13"/>
  <c r="AO48" i="13"/>
  <c r="AP48" i="13"/>
  <c r="AQ48" i="13"/>
  <c r="AR48" i="13"/>
  <c r="AS48" i="13"/>
  <c r="AT48" i="13"/>
  <c r="AU48" i="13"/>
  <c r="AV48" i="13"/>
  <c r="AW48" i="13"/>
  <c r="AX48" i="13"/>
  <c r="AY48" i="13"/>
  <c r="AZ48" i="13"/>
  <c r="BA48" i="13"/>
  <c r="BB48" i="13"/>
  <c r="BC48" i="13"/>
  <c r="BD48" i="13"/>
  <c r="BE48" i="13"/>
  <c r="BF48" i="13"/>
  <c r="BG48" i="13"/>
  <c r="BH48" i="13"/>
  <c r="BI48" i="13"/>
  <c r="BJ48" i="13"/>
  <c r="BK48" i="13"/>
  <c r="BL48" i="13"/>
  <c r="BM48" i="13"/>
  <c r="BN48" i="13"/>
  <c r="BO48" i="13"/>
  <c r="BP48" i="13"/>
  <c r="BQ48" i="13"/>
  <c r="BR48" i="13"/>
  <c r="BS48" i="13"/>
  <c r="BT48" i="13"/>
  <c r="BU48" i="13"/>
  <c r="BV48" i="13"/>
  <c r="BW48" i="13"/>
  <c r="BX48" i="13"/>
  <c r="BY48" i="13"/>
  <c r="BZ48" i="13"/>
  <c r="CA48" i="13"/>
  <c r="CB48" i="13"/>
  <c r="CC48" i="13"/>
  <c r="CD48" i="13"/>
  <c r="CE48" i="13"/>
  <c r="CF48" i="13"/>
  <c r="CG48" i="13"/>
  <c r="CH48" i="13"/>
  <c r="CI48" i="13"/>
  <c r="CJ48" i="13"/>
  <c r="CK48" i="13"/>
  <c r="CL48" i="13"/>
  <c r="CM48" i="13"/>
  <c r="E49" i="13"/>
  <c r="H49" i="13"/>
  <c r="I49" i="13"/>
  <c r="J49" i="13"/>
  <c r="K49" i="13"/>
  <c r="L49" i="13"/>
  <c r="M49" i="13"/>
  <c r="N49" i="13"/>
  <c r="O49" i="13"/>
  <c r="P49" i="13"/>
  <c r="Q49" i="13"/>
  <c r="R49" i="13"/>
  <c r="S49" i="13"/>
  <c r="T49" i="13"/>
  <c r="U49" i="13"/>
  <c r="V49" i="13"/>
  <c r="W49" i="13"/>
  <c r="X49" i="13"/>
  <c r="Y49" i="13"/>
  <c r="Z49" i="13"/>
  <c r="AA49" i="13"/>
  <c r="AB49" i="13"/>
  <c r="AC49" i="13"/>
  <c r="AD49" i="13"/>
  <c r="AE49" i="13"/>
  <c r="AF49" i="13"/>
  <c r="AG49" i="13"/>
  <c r="AH49" i="13"/>
  <c r="AI49" i="13"/>
  <c r="AJ49" i="13"/>
  <c r="AK49" i="13"/>
  <c r="AL49" i="13"/>
  <c r="AM49" i="13"/>
  <c r="AN49" i="13"/>
  <c r="AO49" i="13"/>
  <c r="AP49" i="13"/>
  <c r="AQ49" i="13"/>
  <c r="AR49" i="13"/>
  <c r="AS49" i="13"/>
  <c r="AT49" i="13"/>
  <c r="AU49" i="13"/>
  <c r="AV49" i="13"/>
  <c r="AW49" i="13"/>
  <c r="AX49" i="13"/>
  <c r="AY49" i="13"/>
  <c r="AZ49" i="13"/>
  <c r="BA49" i="13"/>
  <c r="BB49" i="13"/>
  <c r="BC49" i="13"/>
  <c r="BD49" i="13"/>
  <c r="BE49" i="13"/>
  <c r="BF49" i="13"/>
  <c r="BG49" i="13"/>
  <c r="BH49" i="13"/>
  <c r="BI49" i="13"/>
  <c r="BJ49" i="13"/>
  <c r="BK49" i="13"/>
  <c r="BL49" i="13"/>
  <c r="BM49" i="13"/>
  <c r="BN49" i="13"/>
  <c r="BO49" i="13"/>
  <c r="BP49" i="13"/>
  <c r="BQ49" i="13"/>
  <c r="BR49" i="13"/>
  <c r="BS49" i="13"/>
  <c r="BT49" i="13"/>
  <c r="BU49" i="13"/>
  <c r="BV49" i="13"/>
  <c r="BW49" i="13"/>
  <c r="BX49" i="13"/>
  <c r="BY49" i="13"/>
  <c r="BZ49" i="13"/>
  <c r="CA49" i="13"/>
  <c r="CB49" i="13"/>
  <c r="CC49" i="13"/>
  <c r="CD49" i="13"/>
  <c r="CE49" i="13"/>
  <c r="CF49" i="13"/>
  <c r="CG49" i="13"/>
  <c r="CH49" i="13"/>
  <c r="CI49" i="13"/>
  <c r="CJ49" i="13"/>
  <c r="CK49" i="13"/>
  <c r="CL49" i="13"/>
  <c r="CM49" i="13"/>
  <c r="E51" i="13"/>
  <c r="H51" i="13"/>
  <c r="I51" i="13"/>
  <c r="J51" i="13"/>
  <c r="K51" i="13"/>
  <c r="L51" i="13"/>
  <c r="M51" i="13"/>
  <c r="N51" i="13"/>
  <c r="O51" i="13"/>
  <c r="P51" i="13"/>
  <c r="Q51" i="13"/>
  <c r="R51" i="13"/>
  <c r="S51" i="13"/>
  <c r="T51" i="13"/>
  <c r="U51" i="13"/>
  <c r="V51" i="13"/>
  <c r="W51" i="13"/>
  <c r="X51" i="13"/>
  <c r="Y51" i="13"/>
  <c r="Z51" i="13"/>
  <c r="AA51" i="13"/>
  <c r="AB51" i="13"/>
  <c r="AC51" i="13"/>
  <c r="AD51" i="13"/>
  <c r="AE51" i="13"/>
  <c r="AF51" i="13"/>
  <c r="AG51" i="13"/>
  <c r="AH51" i="13"/>
  <c r="AI51" i="13"/>
  <c r="AJ51" i="13"/>
  <c r="AK51" i="13"/>
  <c r="AL51" i="13"/>
  <c r="AM51" i="13"/>
  <c r="AN51" i="13"/>
  <c r="AO51" i="13"/>
  <c r="AP51" i="13"/>
  <c r="AQ51" i="13"/>
  <c r="AR51" i="13"/>
  <c r="AS51" i="13"/>
  <c r="AT51" i="13"/>
  <c r="AU51" i="13"/>
  <c r="AV51" i="13"/>
  <c r="AW51" i="13"/>
  <c r="AX51" i="13"/>
  <c r="AY51" i="13"/>
  <c r="AZ51" i="13"/>
  <c r="BA51" i="13"/>
  <c r="BB51" i="13"/>
  <c r="BC51" i="13"/>
  <c r="BD51" i="13"/>
  <c r="BE51" i="13"/>
  <c r="BF51" i="13"/>
  <c r="BG51" i="13"/>
  <c r="BH51" i="13"/>
  <c r="BI51" i="13"/>
  <c r="BJ51" i="13"/>
  <c r="BK51" i="13"/>
  <c r="BL51" i="13"/>
  <c r="BM51" i="13"/>
  <c r="BN51" i="13"/>
  <c r="BO51" i="13"/>
  <c r="BP51" i="13"/>
  <c r="BQ51" i="13"/>
  <c r="BR51" i="13"/>
  <c r="BS51" i="13"/>
  <c r="BT51" i="13"/>
  <c r="BU51" i="13"/>
  <c r="BV51" i="13"/>
  <c r="BW51" i="13"/>
  <c r="BX51" i="13"/>
  <c r="BY51" i="13"/>
  <c r="BZ51" i="13"/>
  <c r="CA51" i="13"/>
  <c r="CB51" i="13"/>
  <c r="CC51" i="13"/>
  <c r="CD51" i="13"/>
  <c r="CE51" i="13"/>
  <c r="CF51" i="13"/>
  <c r="CG51" i="13"/>
  <c r="CH51" i="13"/>
  <c r="CI51" i="13"/>
  <c r="CJ51" i="13"/>
  <c r="CK51" i="13"/>
  <c r="CL51" i="13"/>
  <c r="CM51" i="13"/>
  <c r="C55" i="13"/>
  <c r="H55" i="13"/>
  <c r="C56" i="13"/>
  <c r="I56" i="13"/>
  <c r="J56" i="13"/>
  <c r="K56" i="13"/>
  <c r="L56" i="13"/>
  <c r="M56" i="13"/>
  <c r="N56" i="13"/>
  <c r="O56" i="13"/>
  <c r="P56" i="13"/>
  <c r="Q56" i="13"/>
  <c r="R56" i="13"/>
  <c r="S56" i="13"/>
  <c r="T56" i="13"/>
  <c r="U56" i="13"/>
  <c r="V56" i="13"/>
  <c r="W56" i="13"/>
  <c r="X56" i="13"/>
  <c r="Y56" i="13"/>
  <c r="Z56" i="13"/>
  <c r="AA56" i="13"/>
  <c r="AB56" i="13"/>
  <c r="AC56" i="13"/>
  <c r="AD56" i="13"/>
  <c r="AE56" i="13"/>
  <c r="AF56" i="13"/>
  <c r="AG56" i="13"/>
  <c r="AH56" i="13"/>
  <c r="AI56" i="13"/>
  <c r="AJ56" i="13"/>
  <c r="AK56" i="13"/>
  <c r="AL56" i="13"/>
  <c r="AM56" i="13"/>
  <c r="AN56" i="13"/>
  <c r="AO56" i="13"/>
  <c r="AP56" i="13"/>
  <c r="AQ56" i="13"/>
  <c r="AR56" i="13"/>
  <c r="AS56" i="13"/>
  <c r="AT56" i="13"/>
  <c r="AU56" i="13"/>
  <c r="AV56" i="13"/>
  <c r="AW56" i="13"/>
  <c r="AX56" i="13"/>
  <c r="AY56" i="13"/>
  <c r="AZ56" i="13"/>
  <c r="BA56" i="13"/>
  <c r="BB56" i="13"/>
  <c r="BC56" i="13"/>
  <c r="BD56" i="13"/>
  <c r="BE56" i="13"/>
  <c r="BF56" i="13"/>
  <c r="BG56" i="13"/>
  <c r="BH56" i="13"/>
  <c r="BI56" i="13"/>
  <c r="BJ56" i="13"/>
  <c r="BK56" i="13"/>
  <c r="BL56" i="13"/>
  <c r="BM56" i="13"/>
  <c r="BN56" i="13"/>
  <c r="BO56" i="13"/>
  <c r="BP56" i="13"/>
  <c r="BQ56" i="13"/>
  <c r="BR56" i="13"/>
  <c r="BS56" i="13"/>
  <c r="BT56" i="13"/>
  <c r="BU56" i="13"/>
  <c r="BV56" i="13"/>
  <c r="BW56" i="13"/>
  <c r="BX56" i="13"/>
  <c r="BY56" i="13"/>
  <c r="BZ56" i="13"/>
  <c r="CA56" i="13"/>
  <c r="CB56" i="13"/>
  <c r="CC56" i="13"/>
  <c r="CD56" i="13"/>
  <c r="CE56" i="13"/>
  <c r="CF56" i="13"/>
  <c r="CG56" i="13"/>
  <c r="CH56" i="13"/>
  <c r="CI56" i="13"/>
  <c r="CJ56" i="13"/>
  <c r="CK56" i="13"/>
  <c r="CL56" i="13"/>
  <c r="CM56" i="13"/>
  <c r="C57" i="13"/>
  <c r="H57" i="13"/>
  <c r="I57" i="13"/>
  <c r="J57" i="13"/>
  <c r="K57" i="13"/>
  <c r="L57" i="13"/>
  <c r="M57" i="13"/>
  <c r="N57" i="13"/>
  <c r="O57" i="13"/>
  <c r="P57" i="13"/>
  <c r="Q57" i="13"/>
  <c r="R57" i="13"/>
  <c r="S57" i="13"/>
  <c r="T57" i="13"/>
  <c r="U57" i="13"/>
  <c r="V57" i="13"/>
  <c r="W57" i="13"/>
  <c r="X57" i="13"/>
  <c r="Y57" i="13"/>
  <c r="Z57" i="13"/>
  <c r="AA57" i="13"/>
  <c r="AB57" i="13"/>
  <c r="AC57" i="13"/>
  <c r="AD57" i="13"/>
  <c r="AE57" i="13"/>
  <c r="AF57" i="13"/>
  <c r="AG57" i="13"/>
  <c r="AH57" i="13"/>
  <c r="AI57" i="13"/>
  <c r="AJ57" i="13"/>
  <c r="AK57" i="13"/>
  <c r="AL57" i="13"/>
  <c r="AM57" i="13"/>
  <c r="AN57" i="13"/>
  <c r="AO57" i="13"/>
  <c r="AP57" i="13"/>
  <c r="AQ57" i="13"/>
  <c r="AR57" i="13"/>
  <c r="AS57" i="13"/>
  <c r="AT57" i="13"/>
  <c r="AU57" i="13"/>
  <c r="AV57" i="13"/>
  <c r="AW57" i="13"/>
  <c r="AX57" i="13"/>
  <c r="AY57" i="13"/>
  <c r="AZ57" i="13"/>
  <c r="BA57" i="13"/>
  <c r="BB57" i="13"/>
  <c r="BC57" i="13"/>
  <c r="BD57" i="13"/>
  <c r="BE57" i="13"/>
  <c r="BF57" i="13"/>
  <c r="BG57" i="13"/>
  <c r="BH57" i="13"/>
  <c r="BI57" i="13"/>
  <c r="BJ57" i="13"/>
  <c r="BK57" i="13"/>
  <c r="BL57" i="13"/>
  <c r="BM57" i="13"/>
  <c r="BN57" i="13"/>
  <c r="BO57" i="13"/>
  <c r="BP57" i="13"/>
  <c r="BQ57" i="13"/>
  <c r="BR57" i="13"/>
  <c r="BS57" i="13"/>
  <c r="BT57" i="13"/>
  <c r="BU57" i="13"/>
  <c r="BV57" i="13"/>
  <c r="BW57" i="13"/>
  <c r="BX57" i="13"/>
  <c r="BY57" i="13"/>
  <c r="BZ57" i="13"/>
  <c r="CA57" i="13"/>
  <c r="CB57" i="13"/>
  <c r="CC57" i="13"/>
  <c r="CD57" i="13"/>
  <c r="CE57" i="13"/>
  <c r="CF57" i="13"/>
  <c r="CG57" i="13"/>
  <c r="CH57" i="13"/>
  <c r="CI57" i="13"/>
  <c r="CJ57" i="13"/>
  <c r="CK57" i="13"/>
  <c r="CL57" i="13"/>
  <c r="CM57" i="13"/>
  <c r="C58" i="13"/>
  <c r="C59" i="13"/>
  <c r="C62" i="13"/>
  <c r="H62" i="13"/>
  <c r="C63" i="13"/>
  <c r="H63" i="13"/>
  <c r="I63" i="13"/>
  <c r="J63" i="13"/>
  <c r="K63" i="13"/>
  <c r="L63" i="13"/>
  <c r="M63" i="13"/>
  <c r="N63" i="13"/>
  <c r="O63" i="13"/>
  <c r="P63" i="13"/>
  <c r="Q63" i="13"/>
  <c r="R63" i="13"/>
  <c r="S63" i="13"/>
  <c r="T63" i="13"/>
  <c r="U63" i="13"/>
  <c r="V63" i="13"/>
  <c r="W63" i="13"/>
  <c r="X63" i="13"/>
  <c r="Y63" i="13"/>
  <c r="Z63" i="13"/>
  <c r="AA63" i="13"/>
  <c r="AB63" i="13"/>
  <c r="AC63" i="13"/>
  <c r="AD63" i="13"/>
  <c r="AE63" i="13"/>
  <c r="AF63" i="13"/>
  <c r="AG63" i="13"/>
  <c r="AH63" i="13"/>
  <c r="AI63" i="13"/>
  <c r="AJ63" i="13"/>
  <c r="AK63" i="13"/>
  <c r="AL63" i="13"/>
  <c r="AM63" i="13"/>
  <c r="AN63" i="13"/>
  <c r="AO63" i="13"/>
  <c r="AP63" i="13"/>
  <c r="AQ63" i="13"/>
  <c r="AR63" i="13"/>
  <c r="AS63" i="13"/>
  <c r="AT63" i="13"/>
  <c r="AU63" i="13"/>
  <c r="AV63" i="13"/>
  <c r="AW63" i="13"/>
  <c r="AX63" i="13"/>
  <c r="AY63" i="13"/>
  <c r="AZ63" i="13"/>
  <c r="BA63" i="13"/>
  <c r="BB63" i="13"/>
  <c r="BC63" i="13"/>
  <c r="BD63" i="13"/>
  <c r="BE63" i="13"/>
  <c r="BF63" i="13"/>
  <c r="BG63" i="13"/>
  <c r="BH63" i="13"/>
  <c r="BI63" i="13"/>
  <c r="BJ63" i="13"/>
  <c r="BK63" i="13"/>
  <c r="BL63" i="13"/>
  <c r="BM63" i="13"/>
  <c r="BN63" i="13"/>
  <c r="BO63" i="13"/>
  <c r="BP63" i="13"/>
  <c r="BQ63" i="13"/>
  <c r="BR63" i="13"/>
  <c r="BS63" i="13"/>
  <c r="BT63" i="13"/>
  <c r="BU63" i="13"/>
  <c r="BV63" i="13"/>
  <c r="BW63" i="13"/>
  <c r="BX63" i="13"/>
  <c r="BY63" i="13"/>
  <c r="BZ63" i="13"/>
  <c r="CA63" i="13"/>
  <c r="CB63" i="13"/>
  <c r="CC63" i="13"/>
  <c r="CD63" i="13"/>
  <c r="CE63" i="13"/>
  <c r="CF63" i="13"/>
  <c r="CG63" i="13"/>
  <c r="CH63" i="13"/>
  <c r="CI63" i="13"/>
  <c r="CJ63" i="13"/>
  <c r="CK63" i="13"/>
  <c r="CL63" i="13"/>
  <c r="CM63" i="13"/>
  <c r="C64" i="13"/>
  <c r="H64" i="13"/>
  <c r="I64" i="13"/>
  <c r="J64" i="13"/>
  <c r="K64" i="13"/>
  <c r="L64" i="13"/>
  <c r="M64" i="13"/>
  <c r="N64" i="13"/>
  <c r="O64" i="13"/>
  <c r="P64" i="13"/>
  <c r="Q64" i="13"/>
  <c r="R64" i="13"/>
  <c r="S64" i="13"/>
  <c r="T64" i="13"/>
  <c r="U64" i="13"/>
  <c r="V64" i="13"/>
  <c r="W64" i="13"/>
  <c r="X64" i="13"/>
  <c r="Y64" i="13"/>
  <c r="Z64" i="13"/>
  <c r="AA64" i="13"/>
  <c r="AB64" i="13"/>
  <c r="AC64" i="13"/>
  <c r="AD64" i="13"/>
  <c r="AE64" i="13"/>
  <c r="AF64" i="13"/>
  <c r="AG64" i="13"/>
  <c r="AH64" i="13"/>
  <c r="AI64" i="13"/>
  <c r="AJ64" i="13"/>
  <c r="AK64" i="13"/>
  <c r="AL64" i="13"/>
  <c r="AM64" i="13"/>
  <c r="AN64" i="13"/>
  <c r="AO64" i="13"/>
  <c r="AP64" i="13"/>
  <c r="AQ64" i="13"/>
  <c r="AR64" i="13"/>
  <c r="AS64" i="13"/>
  <c r="AT64" i="13"/>
  <c r="AU64" i="13"/>
  <c r="AV64" i="13"/>
  <c r="AW64" i="13"/>
  <c r="AX64" i="13"/>
  <c r="AY64" i="13"/>
  <c r="AZ64" i="13"/>
  <c r="BA64" i="13"/>
  <c r="BB64" i="13"/>
  <c r="BC64" i="13"/>
  <c r="BD64" i="13"/>
  <c r="BE64" i="13"/>
  <c r="BF64" i="13"/>
  <c r="BG64" i="13"/>
  <c r="BH64" i="13"/>
  <c r="BI64" i="13"/>
  <c r="BJ64" i="13"/>
  <c r="BK64" i="13"/>
  <c r="BL64" i="13"/>
  <c r="BM64" i="13"/>
  <c r="BN64" i="13"/>
  <c r="BO64" i="13"/>
  <c r="BP64" i="13"/>
  <c r="BQ64" i="13"/>
  <c r="BR64" i="13"/>
  <c r="BS64" i="13"/>
  <c r="BT64" i="13"/>
  <c r="BU64" i="13"/>
  <c r="BV64" i="13"/>
  <c r="BW64" i="13"/>
  <c r="BX64" i="13"/>
  <c r="BY64" i="13"/>
  <c r="BZ64" i="13"/>
  <c r="CA64" i="13"/>
  <c r="CB64" i="13"/>
  <c r="CC64" i="13"/>
  <c r="CD64" i="13"/>
  <c r="CE64" i="13"/>
  <c r="CF64" i="13"/>
  <c r="CG64" i="13"/>
  <c r="CH64" i="13"/>
  <c r="CI64" i="13"/>
  <c r="CJ64" i="13"/>
  <c r="CK64" i="13"/>
  <c r="CL64" i="13"/>
  <c r="CM64" i="13"/>
  <c r="C65" i="13"/>
  <c r="C66" i="13"/>
  <c r="C69" i="13"/>
  <c r="H69" i="13"/>
  <c r="C70" i="13"/>
  <c r="H70" i="13"/>
  <c r="I70" i="13"/>
  <c r="J70" i="13"/>
  <c r="K70" i="13"/>
  <c r="L70" i="13"/>
  <c r="M70" i="13"/>
  <c r="N70" i="13"/>
  <c r="O70" i="13"/>
  <c r="P70" i="13"/>
  <c r="Q70" i="13"/>
  <c r="R70" i="13"/>
  <c r="S70" i="13"/>
  <c r="T70" i="13"/>
  <c r="U70" i="13"/>
  <c r="V70" i="13"/>
  <c r="W70" i="13"/>
  <c r="X70" i="13"/>
  <c r="Y70" i="13"/>
  <c r="Z70" i="13"/>
  <c r="AA70" i="13"/>
  <c r="AB70" i="13"/>
  <c r="AC70" i="13"/>
  <c r="AD70" i="13"/>
  <c r="AE70" i="13"/>
  <c r="AF70" i="13"/>
  <c r="AG70" i="13"/>
  <c r="AH70" i="13"/>
  <c r="AI70" i="13"/>
  <c r="AJ70" i="13"/>
  <c r="AK70" i="13"/>
  <c r="AL70" i="13"/>
  <c r="AM70" i="13"/>
  <c r="AN70" i="13"/>
  <c r="AO70" i="13"/>
  <c r="AP70" i="13"/>
  <c r="AQ70" i="13"/>
  <c r="AR70" i="13"/>
  <c r="AS70" i="13"/>
  <c r="AT70" i="13"/>
  <c r="AU70" i="13"/>
  <c r="AV70" i="13"/>
  <c r="AW70" i="13"/>
  <c r="AX70" i="13"/>
  <c r="AY70" i="13"/>
  <c r="AZ70" i="13"/>
  <c r="BA70" i="13"/>
  <c r="BB70" i="13"/>
  <c r="BC70" i="13"/>
  <c r="BD70" i="13"/>
  <c r="BE70" i="13"/>
  <c r="BF70" i="13"/>
  <c r="BG70" i="13"/>
  <c r="BH70" i="13"/>
  <c r="BI70" i="13"/>
  <c r="BJ70" i="13"/>
  <c r="BK70" i="13"/>
  <c r="BL70" i="13"/>
  <c r="BM70" i="13"/>
  <c r="BN70" i="13"/>
  <c r="BO70" i="13"/>
  <c r="BP70" i="13"/>
  <c r="BQ70" i="13"/>
  <c r="BR70" i="13"/>
  <c r="BS70" i="13"/>
  <c r="BT70" i="13"/>
  <c r="BU70" i="13"/>
  <c r="BV70" i="13"/>
  <c r="BW70" i="13"/>
  <c r="BX70" i="13"/>
  <c r="BY70" i="13"/>
  <c r="BZ70" i="13"/>
  <c r="CA70" i="13"/>
  <c r="CB70" i="13"/>
  <c r="CC70" i="13"/>
  <c r="CD70" i="13"/>
  <c r="CE70" i="13"/>
  <c r="CF70" i="13"/>
  <c r="CG70" i="13"/>
  <c r="CH70" i="13"/>
  <c r="CI70" i="13"/>
  <c r="CJ70" i="13"/>
  <c r="CK70" i="13"/>
  <c r="CL70" i="13"/>
  <c r="CM70" i="13"/>
  <c r="C71" i="13"/>
  <c r="H71" i="13"/>
  <c r="I71" i="13"/>
  <c r="J71" i="13"/>
  <c r="K71" i="13"/>
  <c r="L71" i="13"/>
  <c r="M71" i="13"/>
  <c r="N71" i="13"/>
  <c r="O71" i="13"/>
  <c r="P71" i="13"/>
  <c r="Q71" i="13"/>
  <c r="R71" i="13"/>
  <c r="S71" i="13"/>
  <c r="T71" i="13"/>
  <c r="U71" i="13"/>
  <c r="V71" i="13"/>
  <c r="W71" i="13"/>
  <c r="X71" i="13"/>
  <c r="Y71" i="13"/>
  <c r="Z71" i="13"/>
  <c r="AA71" i="13"/>
  <c r="AB71" i="13"/>
  <c r="AC71" i="13"/>
  <c r="AD71" i="13"/>
  <c r="AE71" i="13"/>
  <c r="AF71" i="13"/>
  <c r="AG71" i="13"/>
  <c r="AH71" i="13"/>
  <c r="AI71" i="13"/>
  <c r="AJ71" i="13"/>
  <c r="AK71" i="13"/>
  <c r="AL71" i="13"/>
  <c r="AM71" i="13"/>
  <c r="AN71" i="13"/>
  <c r="AO71" i="13"/>
  <c r="AP71" i="13"/>
  <c r="AQ71" i="13"/>
  <c r="AR71" i="13"/>
  <c r="AS71" i="13"/>
  <c r="AT71" i="13"/>
  <c r="AU71" i="13"/>
  <c r="AV71" i="13"/>
  <c r="AW71" i="13"/>
  <c r="AX71" i="13"/>
  <c r="AY71" i="13"/>
  <c r="AZ71" i="13"/>
  <c r="BA71" i="13"/>
  <c r="BB71" i="13"/>
  <c r="BC71" i="13"/>
  <c r="BD71" i="13"/>
  <c r="BE71" i="13"/>
  <c r="BF71" i="13"/>
  <c r="BG71" i="13"/>
  <c r="BH71" i="13"/>
  <c r="BI71" i="13"/>
  <c r="BJ71" i="13"/>
  <c r="BK71" i="13"/>
  <c r="BL71" i="13"/>
  <c r="BM71" i="13"/>
  <c r="BN71" i="13"/>
  <c r="BO71" i="13"/>
  <c r="BP71" i="13"/>
  <c r="BQ71" i="13"/>
  <c r="BR71" i="13"/>
  <c r="BS71" i="13"/>
  <c r="BT71" i="13"/>
  <c r="BU71" i="13"/>
  <c r="BV71" i="13"/>
  <c r="BW71" i="13"/>
  <c r="BX71" i="13"/>
  <c r="BY71" i="13"/>
  <c r="BZ71" i="13"/>
  <c r="CA71" i="13"/>
  <c r="CB71" i="13"/>
  <c r="CC71" i="13"/>
  <c r="CD71" i="13"/>
  <c r="CE71" i="13"/>
  <c r="CF71" i="13"/>
  <c r="CG71" i="13"/>
  <c r="CH71" i="13"/>
  <c r="CI71" i="13"/>
  <c r="CJ71" i="13"/>
  <c r="CK71" i="13"/>
  <c r="CL71" i="13"/>
  <c r="CM71" i="13"/>
  <c r="C72" i="13"/>
  <c r="H72" i="13"/>
  <c r="I72" i="13"/>
  <c r="J72" i="13"/>
  <c r="K72" i="13"/>
  <c r="L72" i="13"/>
  <c r="M72" i="13"/>
  <c r="N72" i="13"/>
  <c r="O72" i="13"/>
  <c r="P72" i="13"/>
  <c r="Q72" i="13"/>
  <c r="R72" i="13"/>
  <c r="S72" i="13"/>
  <c r="T72" i="13"/>
  <c r="U72" i="13"/>
  <c r="V72" i="13"/>
  <c r="W72" i="13"/>
  <c r="X72" i="13"/>
  <c r="Y72" i="13"/>
  <c r="Z72" i="13"/>
  <c r="AA72" i="13"/>
  <c r="AB72" i="13"/>
  <c r="AC72" i="13"/>
  <c r="AD72" i="13"/>
  <c r="AE72" i="13"/>
  <c r="AF72" i="13"/>
  <c r="AG72" i="13"/>
  <c r="AH72" i="13"/>
  <c r="AI72" i="13"/>
  <c r="AJ72" i="13"/>
  <c r="AK72" i="13"/>
  <c r="AL72" i="13"/>
  <c r="AM72" i="13"/>
  <c r="AN72" i="13"/>
  <c r="AO72" i="13"/>
  <c r="AP72" i="13"/>
  <c r="AQ72" i="13"/>
  <c r="AR72" i="13"/>
  <c r="AS72" i="13"/>
  <c r="AT72" i="13"/>
  <c r="AU72" i="13"/>
  <c r="AV72" i="13"/>
  <c r="AW72" i="13"/>
  <c r="AX72" i="13"/>
  <c r="AY72" i="13"/>
  <c r="AZ72" i="13"/>
  <c r="BA72" i="13"/>
  <c r="BB72" i="13"/>
  <c r="BC72" i="13"/>
  <c r="BD72" i="13"/>
  <c r="BE72" i="13"/>
  <c r="BF72" i="13"/>
  <c r="BG72" i="13"/>
  <c r="BH72" i="13"/>
  <c r="BI72" i="13"/>
  <c r="BJ72" i="13"/>
  <c r="BK72" i="13"/>
  <c r="BL72" i="13"/>
  <c r="BM72" i="13"/>
  <c r="BN72" i="13"/>
  <c r="BO72" i="13"/>
  <c r="BP72" i="13"/>
  <c r="BQ72" i="13"/>
  <c r="BR72" i="13"/>
  <c r="BS72" i="13"/>
  <c r="BT72" i="13"/>
  <c r="BU72" i="13"/>
  <c r="BV72" i="13"/>
  <c r="BW72" i="13"/>
  <c r="BX72" i="13"/>
  <c r="BY72" i="13"/>
  <c r="BZ72" i="13"/>
  <c r="CA72" i="13"/>
  <c r="CB72" i="13"/>
  <c r="CC72" i="13"/>
  <c r="CD72" i="13"/>
  <c r="CE72" i="13"/>
  <c r="CF72" i="13"/>
  <c r="CG72" i="13"/>
  <c r="CH72" i="13"/>
  <c r="CI72" i="13"/>
  <c r="CJ72" i="13"/>
  <c r="CK72" i="13"/>
  <c r="CL72" i="13"/>
  <c r="CM72" i="13"/>
  <c r="C73" i="13"/>
  <c r="C74" i="13"/>
  <c r="C76" i="13"/>
  <c r="D76" i="13"/>
  <c r="H76" i="13"/>
  <c r="I76" i="13"/>
  <c r="J76" i="13"/>
  <c r="K76" i="13"/>
  <c r="L76" i="13"/>
  <c r="M76" i="13"/>
  <c r="N76" i="13"/>
  <c r="O76" i="13"/>
  <c r="P76" i="13"/>
  <c r="Q76" i="13"/>
  <c r="R76" i="13"/>
  <c r="S76" i="13"/>
  <c r="T76" i="13"/>
  <c r="U76" i="13"/>
  <c r="V76" i="13"/>
  <c r="W76" i="13"/>
  <c r="X76" i="13"/>
  <c r="Y76" i="13"/>
  <c r="Z76" i="13"/>
  <c r="AA76" i="13"/>
  <c r="AB76" i="13"/>
  <c r="AC76" i="13"/>
  <c r="AD76" i="13"/>
  <c r="AE76" i="13"/>
  <c r="AF76" i="13"/>
  <c r="AG76" i="13"/>
  <c r="AH76" i="13"/>
  <c r="AI76" i="13"/>
  <c r="AJ76" i="13"/>
  <c r="AK76" i="13"/>
  <c r="AL76" i="13"/>
  <c r="AM76" i="13"/>
  <c r="AN76" i="13"/>
  <c r="AO76" i="13"/>
  <c r="AP76" i="13"/>
  <c r="AQ76" i="13"/>
  <c r="AR76" i="13"/>
  <c r="AS76" i="13"/>
  <c r="AT76" i="13"/>
  <c r="AU76" i="13"/>
  <c r="AV76" i="13"/>
  <c r="AW76" i="13"/>
  <c r="AX76" i="13"/>
  <c r="AY76" i="13"/>
  <c r="AZ76" i="13"/>
  <c r="BA76" i="13"/>
  <c r="BB76" i="13"/>
  <c r="BC76" i="13"/>
  <c r="BD76" i="13"/>
  <c r="BE76" i="13"/>
  <c r="BF76" i="13"/>
  <c r="BG76" i="13"/>
  <c r="BH76" i="13"/>
  <c r="BI76" i="13"/>
  <c r="BJ76" i="13"/>
  <c r="BK76" i="13"/>
  <c r="BL76" i="13"/>
  <c r="BM76" i="13"/>
  <c r="BN76" i="13"/>
  <c r="BO76" i="13"/>
  <c r="BP76" i="13"/>
  <c r="BQ76" i="13"/>
  <c r="BR76" i="13"/>
  <c r="BS76" i="13"/>
  <c r="BT76" i="13"/>
  <c r="BU76" i="13"/>
  <c r="BV76" i="13"/>
  <c r="BW76" i="13"/>
  <c r="BX76" i="13"/>
  <c r="BY76" i="13"/>
  <c r="BZ76" i="13"/>
  <c r="CA76" i="13"/>
  <c r="CB76" i="13"/>
  <c r="CC76" i="13"/>
  <c r="CD76" i="13"/>
  <c r="CE76" i="13"/>
  <c r="CF76" i="13"/>
  <c r="CG76" i="13"/>
  <c r="CH76" i="13"/>
  <c r="CI76" i="13"/>
  <c r="CJ76" i="13"/>
  <c r="CK76" i="13"/>
  <c r="CL76" i="13"/>
  <c r="CM76" i="13"/>
  <c r="E81" i="13"/>
  <c r="H81" i="13"/>
  <c r="I81" i="13"/>
  <c r="J81" i="13"/>
  <c r="K81" i="13"/>
  <c r="L81" i="13"/>
  <c r="M81" i="13"/>
  <c r="N81" i="13"/>
  <c r="O81" i="13"/>
  <c r="P81" i="13"/>
  <c r="Q81" i="13"/>
  <c r="R81" i="13"/>
  <c r="S81" i="13"/>
  <c r="T81" i="13"/>
  <c r="U81" i="13"/>
  <c r="V81" i="13"/>
  <c r="W81" i="13"/>
  <c r="X81" i="13"/>
  <c r="Y81" i="13"/>
  <c r="Z81" i="13"/>
  <c r="AA81" i="13"/>
  <c r="AB81" i="13"/>
  <c r="AC81" i="13"/>
  <c r="AD81" i="13"/>
  <c r="AE81" i="13"/>
  <c r="AF81" i="13"/>
  <c r="AG81" i="13"/>
  <c r="AH81" i="13"/>
  <c r="AI81" i="13"/>
  <c r="AJ81" i="13"/>
  <c r="AK81" i="13"/>
  <c r="AL81" i="13"/>
  <c r="AM81" i="13"/>
  <c r="AN81" i="13"/>
  <c r="AO81" i="13"/>
  <c r="AP81" i="13"/>
  <c r="AQ81" i="13"/>
  <c r="AR81" i="13"/>
  <c r="AS81" i="13"/>
  <c r="AT81" i="13"/>
  <c r="AU81" i="13"/>
  <c r="AV81" i="13"/>
  <c r="AW81" i="13"/>
  <c r="AX81" i="13"/>
  <c r="AY81" i="13"/>
  <c r="AZ81" i="13"/>
  <c r="BA81" i="13"/>
  <c r="BB81" i="13"/>
  <c r="BC81" i="13"/>
  <c r="BD81" i="13"/>
  <c r="BE81" i="13"/>
  <c r="BF81" i="13"/>
  <c r="BG81" i="13"/>
  <c r="BH81" i="13"/>
  <c r="BI81" i="13"/>
  <c r="BJ81" i="13"/>
  <c r="BK81" i="13"/>
  <c r="BL81" i="13"/>
  <c r="BM81" i="13"/>
  <c r="BN81" i="13"/>
  <c r="BO81" i="13"/>
  <c r="BP81" i="13"/>
  <c r="BQ81" i="13"/>
  <c r="BR81" i="13"/>
  <c r="BS81" i="13"/>
  <c r="BT81" i="13"/>
  <c r="BU81" i="13"/>
  <c r="BV81" i="13"/>
  <c r="BW81" i="13"/>
  <c r="BX81" i="13"/>
  <c r="BY81" i="13"/>
  <c r="BZ81" i="13"/>
  <c r="CA81" i="13"/>
  <c r="CB81" i="13"/>
  <c r="CC81" i="13"/>
  <c r="CD81" i="13"/>
  <c r="CE81" i="13"/>
  <c r="CF81" i="13"/>
  <c r="CG81" i="13"/>
  <c r="CH81" i="13"/>
  <c r="CI81" i="13"/>
  <c r="CJ81" i="13"/>
  <c r="CK81" i="13"/>
  <c r="CL81" i="13"/>
  <c r="CM81" i="13"/>
  <c r="E82" i="13"/>
  <c r="H82" i="13"/>
  <c r="I82" i="13"/>
  <c r="J82" i="13"/>
  <c r="K82" i="13"/>
  <c r="L82" i="13"/>
  <c r="M82" i="13"/>
  <c r="N82" i="13"/>
  <c r="O82" i="13"/>
  <c r="P82" i="13"/>
  <c r="Q82" i="13"/>
  <c r="R82" i="13"/>
  <c r="S82" i="13"/>
  <c r="T82" i="13"/>
  <c r="U82" i="13"/>
  <c r="V82" i="13"/>
  <c r="W82" i="13"/>
  <c r="X82" i="13"/>
  <c r="Y82" i="13"/>
  <c r="Z82" i="13"/>
  <c r="AA82" i="13"/>
  <c r="AB82" i="13"/>
  <c r="AC82" i="13"/>
  <c r="AD82" i="13"/>
  <c r="AE82" i="13"/>
  <c r="AF82" i="13"/>
  <c r="AG82" i="13"/>
  <c r="AH82" i="13"/>
  <c r="AI82" i="13"/>
  <c r="AJ82" i="13"/>
  <c r="AK82" i="13"/>
  <c r="AL82" i="13"/>
  <c r="AM82" i="13"/>
  <c r="AN82" i="13"/>
  <c r="AO82" i="13"/>
  <c r="AP82" i="13"/>
  <c r="AQ82" i="13"/>
  <c r="AR82" i="13"/>
  <c r="AS82" i="13"/>
  <c r="AT82" i="13"/>
  <c r="AU82" i="13"/>
  <c r="AV82" i="13"/>
  <c r="AW82" i="13"/>
  <c r="AX82" i="13"/>
  <c r="AY82" i="13"/>
  <c r="AZ82" i="13"/>
  <c r="BA82" i="13"/>
  <c r="BB82" i="13"/>
  <c r="BC82" i="13"/>
  <c r="BD82" i="13"/>
  <c r="BE82" i="13"/>
  <c r="BF82" i="13"/>
  <c r="BG82" i="13"/>
  <c r="BH82" i="13"/>
  <c r="BI82" i="13"/>
  <c r="BJ82" i="13"/>
  <c r="BK82" i="13"/>
  <c r="BL82" i="13"/>
  <c r="BM82" i="13"/>
  <c r="BN82" i="13"/>
  <c r="BO82" i="13"/>
  <c r="BP82" i="13"/>
  <c r="BQ82" i="13"/>
  <c r="BR82" i="13"/>
  <c r="BS82" i="13"/>
  <c r="BT82" i="13"/>
  <c r="BU82" i="13"/>
  <c r="BV82" i="13"/>
  <c r="BW82" i="13"/>
  <c r="BX82" i="13"/>
  <c r="BY82" i="13"/>
  <c r="BZ82" i="13"/>
  <c r="CA82" i="13"/>
  <c r="CB82" i="13"/>
  <c r="CC82" i="13"/>
  <c r="CD82" i="13"/>
  <c r="CE82" i="13"/>
  <c r="CF82" i="13"/>
  <c r="CG82" i="13"/>
  <c r="CH82" i="13"/>
  <c r="CI82" i="13"/>
  <c r="CJ82" i="13"/>
  <c r="CK82" i="13"/>
  <c r="CL82" i="13"/>
  <c r="CM82" i="13"/>
  <c r="D87" i="13"/>
  <c r="D88" i="13"/>
  <c r="C90" i="13"/>
  <c r="C91" i="13"/>
  <c r="C92" i="13"/>
  <c r="C94" i="13"/>
  <c r="C95" i="13"/>
  <c r="C96" i="13"/>
  <c r="C99" i="13"/>
  <c r="D99" i="13"/>
  <c r="C100" i="13"/>
  <c r="D100" i="13"/>
  <c r="C101" i="13"/>
  <c r="D101" i="13"/>
  <c r="C102" i="13"/>
  <c r="D102" i="13"/>
  <c r="C103" i="13"/>
  <c r="C10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tc={5C476E61-B723-4A5E-803A-762E806587CB}</author>
  </authors>
  <commentList>
    <comment ref="F21" authorId="0" shapeId="0" xr:uid="{5C476E61-B723-4A5E-803A-762E806587CB}">
      <text>
        <t>[Threaded comment]
Your version of Excel allows you to read this threaded comment; however, any edits to it will get removed if the file is opened in a newer version of Excel. Learn more: https://go.microsoft.com/fwlink/?linkid=870924
Comment:
    RUBS formula in Monthly Cash Flow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Bruce Kirsch</author>
  </authors>
  <commentList>
    <comment ref="B19" authorId="0" shapeId="0" xr:uid="{00000000-0006-0000-0900-000001000000}">
      <text>
        <r>
          <rPr>
            <b/>
            <sz val="9"/>
            <color indexed="81"/>
            <rFont val="Tahoma"/>
            <family val="2"/>
          </rPr>
          <t xml:space="preserve">REFM:
</t>
        </r>
        <r>
          <rPr>
            <sz val="9"/>
            <color indexed="81"/>
            <rFont val="Tahoma"/>
            <family val="2"/>
          </rPr>
          <t>It is customary for the first Tier to be a commingled modeling of the accrual and distribution of the Pref dollars, as well as the return of capital.</t>
        </r>
      </text>
    </comment>
    <comment ref="B20" authorId="0" shapeId="0" xr:uid="{00000000-0006-0000-0900-000002000000}">
      <text>
        <r>
          <rPr>
            <b/>
            <sz val="9"/>
            <color indexed="81"/>
            <rFont val="Tahoma"/>
            <family val="2"/>
          </rPr>
          <t xml:space="preserve">REFM:
</t>
        </r>
        <r>
          <rPr>
            <sz val="9"/>
            <color indexed="81"/>
            <rFont val="Tahoma"/>
            <family val="2"/>
          </rPr>
          <t xml:space="preserve">Prior period's end of period balance.
</t>
        </r>
      </text>
    </comment>
    <comment ref="B21" authorId="0" shapeId="0" xr:uid="{00000000-0006-0000-0900-000003000000}">
      <text>
        <r>
          <rPr>
            <b/>
            <sz val="9"/>
            <color indexed="81"/>
            <rFont val="Tahoma"/>
            <family val="2"/>
          </rPr>
          <t xml:space="preserve">REFM:
</t>
        </r>
        <r>
          <rPr>
            <sz val="9"/>
            <color indexed="81"/>
            <rFont val="Tahoma"/>
            <family val="2"/>
          </rPr>
          <t xml:space="preserve">From Equity Cash Flows section above, but shown as positive.
</t>
        </r>
      </text>
    </comment>
    <comment ref="B22" authorId="0" shapeId="0" xr:uid="{00000000-0006-0000-0900-000004000000}">
      <text>
        <r>
          <rPr>
            <b/>
            <sz val="9"/>
            <color indexed="81"/>
            <rFont val="Tahoma"/>
            <family val="2"/>
          </rPr>
          <t xml:space="preserve">REFM:
</t>
        </r>
        <r>
          <rPr>
            <sz val="9"/>
            <color indexed="81"/>
            <rFont val="Tahoma"/>
            <family val="2"/>
          </rPr>
          <t xml:space="preserve">The Beginning of Period Balance grown by the annual Internal Rate of Return hurdle rate.
This calculates a compounded accrual since the BOP Balance is the EOP Balance from the previous period, the latter of which includes any undistributed accruals from the previous period.
</t>
        </r>
      </text>
    </comment>
    <comment ref="B23" authorId="0" shapeId="0" xr:uid="{00000000-0006-0000-0900-000005000000}">
      <text>
        <r>
          <rPr>
            <b/>
            <sz val="9"/>
            <color indexed="81"/>
            <rFont val="Tahoma"/>
            <family val="2"/>
          </rPr>
          <t xml:space="preserve">REFM:
</t>
        </r>
        <r>
          <rPr>
            <sz val="9"/>
            <color indexed="81"/>
            <rFont val="Tahoma"/>
            <family val="2"/>
          </rPr>
          <t xml:space="preserve">If Levered Cash Flow is positive, then take the lesser of the equity ownership share % of the Investor * Levered Cash Flow, and the outstanding commingled Tier balance of unpaid Pref and unreturned Capital; otherwise, 0. The resulting amount is the distribution related to their ownership share %. From this distribution of less than 100% of cash flow, we can back solve into the Sponsor's pro-rata share, as shown below.
</t>
        </r>
      </text>
    </comment>
    <comment ref="B24" authorId="0" shapeId="0" xr:uid="{00000000-0006-0000-0900-000006000000}">
      <text>
        <r>
          <rPr>
            <b/>
            <sz val="9"/>
            <color indexed="81"/>
            <rFont val="Tahoma"/>
            <family val="2"/>
          </rPr>
          <t xml:space="preserve">REFM:
</t>
        </r>
        <r>
          <rPr>
            <sz val="9"/>
            <color indexed="81"/>
            <rFont val="Tahoma"/>
            <family val="2"/>
          </rPr>
          <t xml:space="preserve">The sum of the above lines, which includes all net unpaid Pref and all net unreturned Capital.
</t>
        </r>
      </text>
    </comment>
    <comment ref="B25" authorId="0" shapeId="0" xr:uid="{00000000-0006-0000-0900-000007000000}">
      <text>
        <r>
          <rPr>
            <b/>
            <sz val="9"/>
            <color indexed="81"/>
            <rFont val="Tahoma"/>
            <family val="2"/>
          </rPr>
          <t xml:space="preserve">REFM:
</t>
        </r>
        <r>
          <rPr>
            <sz val="9"/>
            <color indexed="81"/>
            <rFont val="Tahoma"/>
            <family val="2"/>
          </rPr>
          <t xml:space="preserve">In this next section, we break out the amounts of cash flow allocated to the IRR performance range unique to this Tier that is to go to the Investor vs. to the Sponsor. As the hurdle is based on the performance of the Investor's capital (i.e., the Investor's IRR), at this juncture we are not concerned with the Sponsor's IRR, so we only show the positive cash flows to the Sponsor, and omit the Sponsor Investment. We will weave the Sponsor Investment in below when we summarize returns.
</t>
        </r>
      </text>
    </comment>
    <comment ref="B26" authorId="0" shapeId="0" xr:uid="{00000000-0006-0000-0900-000008000000}">
      <text>
        <r>
          <rPr>
            <b/>
            <sz val="9"/>
            <color indexed="81"/>
            <rFont val="Tahoma"/>
            <family val="2"/>
          </rPr>
          <t xml:space="preserve">REFM:
</t>
        </r>
        <r>
          <rPr>
            <sz val="9"/>
            <color indexed="81"/>
            <rFont val="Tahoma"/>
            <family val="2"/>
          </rPr>
          <t xml:space="preserve">Investor Injections (represented as negative) less Tier 1 Accrual Distributions (represented as negative, thus adding back the amount).
</t>
        </r>
      </text>
    </comment>
    <comment ref="B27" authorId="0" shapeId="0" xr:uid="{00000000-0006-0000-0900-000009000000}">
      <text>
        <r>
          <rPr>
            <b/>
            <sz val="9"/>
            <color indexed="81"/>
            <rFont val="Tahoma"/>
            <family val="2"/>
          </rPr>
          <t xml:space="preserve">REFM:
</t>
        </r>
        <r>
          <rPr>
            <sz val="9"/>
            <color indexed="81"/>
            <rFont val="Tahoma"/>
            <family val="2"/>
          </rPr>
          <t xml:space="preserve">As we already know the distribution related to the Investor's ownership share %, we back solve into the Sponsor's pro-rata equity ownership position share by grossing up to Investor's amount to the 100% of cash flow amount, and then multiplying that 100% distribution amount by the Sponsor's pro-rata equity onwership position share %.
</t>
        </r>
      </text>
    </comment>
    <comment ref="B29" authorId="0" shapeId="0" xr:uid="{00000000-0006-0000-0900-00000A000000}">
      <text>
        <r>
          <rPr>
            <b/>
            <sz val="9"/>
            <color indexed="81"/>
            <rFont val="Tahoma"/>
            <family val="2"/>
          </rPr>
          <t xml:space="preserve">REFM:
</t>
        </r>
        <r>
          <rPr>
            <sz val="9"/>
            <color indexed="81"/>
            <rFont val="Tahoma"/>
            <family val="2"/>
          </rPr>
          <t>If Levered Cash Flow is positive, take the net of that positive amount and the distributions to the Investor and to the Sponsor; otherwise 0.
If there is no cash-out refinancing that exceeds the return of all capital and the hurdle rate IRR, there will be no remaining cash to distribute until the sale period, as operating cash flow alone is not sufficient to both pay all accrued Pref and return all Capital. An exception to this is an investment held for an extremely long time, where eventually the operating cash flows themselves pay back all debt and all capital and the IRR level of profit, too.</t>
        </r>
      </text>
    </comment>
    <comment ref="B32" authorId="0" shapeId="0" xr:uid="{00000000-0006-0000-0900-00000B000000}">
      <text>
        <r>
          <rPr>
            <b/>
            <sz val="9"/>
            <color indexed="81"/>
            <rFont val="Tahoma"/>
            <family val="2"/>
          </rPr>
          <t xml:space="preserve">REFM:
</t>
        </r>
        <r>
          <rPr>
            <sz val="9"/>
            <color indexed="81"/>
            <rFont val="Tahoma"/>
            <family val="2"/>
          </rPr>
          <t xml:space="preserve">The line items in Tier 2 are identical to those of Tier 1 except for the addition in Row 37 of the Tier 2 Accrual Distribution line, and the addition in Row 42 of the Sponsor Promote Cash Flow line.
</t>
        </r>
      </text>
    </comment>
    <comment ref="B33" authorId="0" shapeId="0" xr:uid="{00000000-0006-0000-0900-00000C000000}">
      <text>
        <r>
          <rPr>
            <b/>
            <sz val="9"/>
            <color indexed="81"/>
            <rFont val="Tahoma"/>
            <family val="2"/>
          </rPr>
          <t xml:space="preserve">REFM:
</t>
        </r>
        <r>
          <rPr>
            <sz val="9"/>
            <color indexed="81"/>
            <rFont val="Tahoma"/>
            <family val="2"/>
          </rPr>
          <t xml:space="preserve">Prior period's end of period balance.
</t>
        </r>
      </text>
    </comment>
    <comment ref="B34" authorId="0" shapeId="0" xr:uid="{00000000-0006-0000-0900-00000D000000}">
      <text>
        <r>
          <rPr>
            <b/>
            <sz val="9"/>
            <color indexed="81"/>
            <rFont val="Tahoma"/>
            <family val="2"/>
          </rPr>
          <t xml:space="preserve">REFM:
</t>
        </r>
        <r>
          <rPr>
            <sz val="9"/>
            <color indexed="81"/>
            <rFont val="Tahoma"/>
            <family val="2"/>
          </rPr>
          <t xml:space="preserve">From Tier 1 (which comes from Equity Investment section).
</t>
        </r>
      </text>
    </comment>
    <comment ref="B35" authorId="0" shapeId="0" xr:uid="{00000000-0006-0000-0900-00000E000000}">
      <text>
        <r>
          <rPr>
            <b/>
            <sz val="9"/>
            <color indexed="81"/>
            <rFont val="Tahoma"/>
            <family val="2"/>
          </rPr>
          <t xml:space="preserve">REFM:
</t>
        </r>
        <r>
          <rPr>
            <sz val="9"/>
            <color indexed="81"/>
            <rFont val="Tahoma"/>
            <family val="2"/>
          </rPr>
          <t>Drives off of the Tier 2 hurdle rate of 15%, and we see as we follow this across that the values in the line are larger than those in the Tier 1 Investor Accruals line due to this higher hurdle rate of 15% vs. 8%.</t>
        </r>
      </text>
    </comment>
    <comment ref="B36" authorId="0" shapeId="0" xr:uid="{00000000-0006-0000-0900-00000F000000}">
      <text>
        <r>
          <rPr>
            <b/>
            <sz val="9"/>
            <color indexed="81"/>
            <rFont val="Tahoma"/>
            <family val="2"/>
          </rPr>
          <t xml:space="preserve">REFM:
</t>
        </r>
        <r>
          <rPr>
            <sz val="9"/>
            <color indexed="81"/>
            <rFont val="Tahoma"/>
            <family val="2"/>
          </rPr>
          <t>From Tier 1 section above.</t>
        </r>
      </text>
    </comment>
    <comment ref="B37" authorId="0" shapeId="0" xr:uid="{00000000-0006-0000-0900-000010000000}">
      <text>
        <r>
          <rPr>
            <b/>
            <sz val="9"/>
            <color indexed="81"/>
            <rFont val="Tahoma"/>
            <family val="2"/>
          </rPr>
          <t xml:space="preserve">REFM:
</t>
        </r>
        <r>
          <rPr>
            <sz val="9"/>
            <color indexed="81"/>
            <rFont val="Tahoma"/>
            <family val="2"/>
          </rPr>
          <t>(represented as negative)</t>
        </r>
        <r>
          <rPr>
            <b/>
            <sz val="9"/>
            <color indexed="81"/>
            <rFont val="Tahoma"/>
            <family val="2"/>
          </rPr>
          <t xml:space="preserve"> </t>
        </r>
        <r>
          <rPr>
            <sz val="9"/>
            <color indexed="81"/>
            <rFont val="Tahoma"/>
            <family val="2"/>
          </rPr>
          <t xml:space="preserve">If there is Remaining Cash to Distribute from Tier 1, take the lesser of this Tier's custom Investor cash flow share % * the Remaining Cash to Distribute from Tier 1, and the sum of the BOP Balance and Tier 2 Investor Accruals, less the Tier 1 Accrual Distribution (since the Tier 1 Distribution is a negative number), [ Note: The Investor Injections line is deliberately excluded from the formula because the values for injections are already captured in the EOP Balance, which becomes the BOP Balance in the next period. ];
otherwise 0.
</t>
        </r>
      </text>
    </comment>
    <comment ref="B38" authorId="0" shapeId="0" xr:uid="{00000000-0006-0000-0900-000011000000}">
      <text>
        <r>
          <rPr>
            <b/>
            <sz val="9"/>
            <color indexed="81"/>
            <rFont val="Tahoma"/>
            <family val="2"/>
          </rPr>
          <t xml:space="preserve">REFM:
</t>
        </r>
        <r>
          <rPr>
            <sz val="9"/>
            <color indexed="81"/>
            <rFont val="Tahoma"/>
            <family val="2"/>
          </rPr>
          <t xml:space="preserve">The sum of the above lines, which includes all net unpaid Tier 2-level accruals (which include any net unpaid Tier 1 accruals) and all net unreturned Capital.
</t>
        </r>
      </text>
    </comment>
    <comment ref="B40" authorId="0" shapeId="0" xr:uid="{00000000-0006-0000-0900-000012000000}">
      <text>
        <r>
          <rPr>
            <b/>
            <sz val="9"/>
            <color indexed="81"/>
            <rFont val="Tahoma"/>
            <family val="2"/>
          </rPr>
          <t xml:space="preserve">REFM:
</t>
        </r>
        <r>
          <rPr>
            <sz val="9"/>
            <color indexed="81"/>
            <rFont val="Tahoma"/>
            <family val="2"/>
          </rPr>
          <t xml:space="preserve">Tier 2 Accrual Distribution shown as positive.
</t>
        </r>
      </text>
    </comment>
    <comment ref="B41" authorId="0" shapeId="0" xr:uid="{00000000-0006-0000-0900-000013000000}">
      <text>
        <r>
          <rPr>
            <b/>
            <sz val="9"/>
            <color indexed="81"/>
            <rFont val="Tahoma"/>
            <family val="2"/>
          </rPr>
          <t xml:space="preserve">REFM:
</t>
        </r>
        <r>
          <rPr>
            <sz val="9"/>
            <color indexed="81"/>
            <rFont val="Tahoma"/>
            <family val="2"/>
          </rPr>
          <t xml:space="preserve">As we already know the Tier 2 distribution related to the Investor's custom Tier 2 ownership share %, we back solve into the Sponsor's pro-rata equity ownership position share by grossing up to Investor's amount to the 100% of Tier 2 cash flow amount, and then multiplying that 100% distribution amount by the Sponsor's pro-rata equity ownership position share %.
</t>
        </r>
      </text>
    </comment>
    <comment ref="B42" authorId="0" shapeId="0" xr:uid="{00000000-0006-0000-0900-000014000000}">
      <text>
        <r>
          <rPr>
            <b/>
            <sz val="9"/>
            <color indexed="81"/>
            <rFont val="Tahoma"/>
            <family val="2"/>
          </rPr>
          <t xml:space="preserve">REFM:
</t>
        </r>
        <r>
          <rPr>
            <sz val="9"/>
            <color indexed="81"/>
            <rFont val="Tahoma"/>
            <family val="2"/>
          </rPr>
          <t xml:space="preserve">As we already know the Tier 2 distribution related to the Investor's custom Tier 2 ownership share %, we back solve into the Sponsor's Promote share by grossing up to Investor's amount to the 100% of Tier 2 cash flow amount, and then multiplying that 100% distribution amount by the Sponsor's Promote share %.
</t>
        </r>
      </text>
    </comment>
    <comment ref="B44" authorId="0" shapeId="0" xr:uid="{00000000-0006-0000-0900-000015000000}">
      <text>
        <r>
          <rPr>
            <b/>
            <sz val="9"/>
            <color indexed="81"/>
            <rFont val="Tahoma"/>
            <family val="2"/>
          </rPr>
          <t xml:space="preserve">REFM:
</t>
        </r>
        <r>
          <rPr>
            <sz val="9"/>
            <color indexed="81"/>
            <rFont val="Tahoma"/>
            <family val="2"/>
          </rPr>
          <t xml:space="preserve">Remaining Cash to Distribute from Tier 1 less all Tier 2 distributions.
</t>
        </r>
      </text>
    </comment>
    <comment ref="B46" authorId="0" shapeId="0" xr:uid="{00000000-0006-0000-0900-000016000000}">
      <text>
        <r>
          <rPr>
            <b/>
            <sz val="9"/>
            <color indexed="81"/>
            <rFont val="Tahoma"/>
            <family val="2"/>
          </rPr>
          <t xml:space="preserve">REFM:
</t>
        </r>
        <r>
          <rPr>
            <sz val="9"/>
            <color indexed="81"/>
            <rFont val="Tahoma"/>
            <family val="2"/>
          </rPr>
          <t xml:space="preserve">There is not a top end to the IRR range for the final tier in a waterfall, and as such, Tier 3 captures all cash flows that apply to an IRR greater than the hurdle rate for the second-to-last tier.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Bob Dylan</author>
  </authors>
  <commentList>
    <comment ref="C1" authorId="0" shapeId="0" xr:uid="{00000000-0006-0000-0600-000001000000}">
      <text>
        <r>
          <rPr>
            <b/>
            <sz val="9"/>
            <color indexed="81"/>
            <rFont val="Calibri"/>
            <family val="2"/>
          </rPr>
          <t xml:space="preserve">Sam A:
</t>
        </r>
        <r>
          <rPr>
            <sz val="9"/>
            <color indexed="81"/>
            <rFont val="Calibri"/>
            <family val="2"/>
          </rPr>
          <t>Renovated Units at time of purchase</t>
        </r>
      </text>
    </comment>
  </commentList>
</comments>
</file>

<file path=xl/sharedStrings.xml><?xml version="1.0" encoding="utf-8"?>
<sst xmlns="http://schemas.openxmlformats.org/spreadsheetml/2006/main" count="799" uniqueCount="486">
  <si>
    <t>Purchase Price</t>
  </si>
  <si>
    <t>Equity</t>
  </si>
  <si>
    <t>Interest Rate</t>
  </si>
  <si>
    <t>Term</t>
  </si>
  <si>
    <t>Beginning</t>
  </si>
  <si>
    <t>Payment</t>
  </si>
  <si>
    <t>Interest</t>
  </si>
  <si>
    <t>Ending Balance</t>
  </si>
  <si>
    <t>Year 1</t>
  </si>
  <si>
    <t>Year 2</t>
  </si>
  <si>
    <t>TOTAL REVENUE</t>
  </si>
  <si>
    <t>Operating Expenses</t>
  </si>
  <si>
    <t>Utilities</t>
  </si>
  <si>
    <t>Insurance</t>
  </si>
  <si>
    <t>Advertising</t>
  </si>
  <si>
    <t>Amortization</t>
  </si>
  <si>
    <t>Year 3</t>
  </si>
  <si>
    <t>Year 4</t>
  </si>
  <si>
    <t>Year 5</t>
  </si>
  <si>
    <t>Distributions</t>
  </si>
  <si>
    <t>IRR</t>
  </si>
  <si>
    <t>Equity Multiple</t>
  </si>
  <si>
    <t>Notes</t>
  </si>
  <si>
    <t>Closing Costs</t>
  </si>
  <si>
    <t>Property Name</t>
  </si>
  <si>
    <t>Address</t>
  </si>
  <si>
    <t>City/State</t>
  </si>
  <si>
    <t>Year of Construction</t>
  </si>
  <si>
    <t>Acquisition Date</t>
  </si>
  <si>
    <t>Units</t>
  </si>
  <si>
    <t>Asking Price</t>
  </si>
  <si>
    <t>Total Budget</t>
  </si>
  <si>
    <t>Total Budget/Unit</t>
  </si>
  <si>
    <t>Units Renovated/Month</t>
  </si>
  <si>
    <t>Unit Mix</t>
  </si>
  <si>
    <t>Unit Type</t>
  </si>
  <si>
    <t># of Units</t>
  </si>
  <si>
    <t>Sqft.</t>
  </si>
  <si>
    <t>Rents</t>
  </si>
  <si>
    <t>Current Market</t>
  </si>
  <si>
    <t>Current RR</t>
  </si>
  <si>
    <t>Post Reno Rent Increase</t>
  </si>
  <si>
    <t>Post Reno Rents</t>
  </si>
  <si>
    <t>Total Monthly Rent</t>
  </si>
  <si>
    <t>Post Reno Market Rent</t>
  </si>
  <si>
    <t>Gross Scheduled Rent</t>
  </si>
  <si>
    <t>Operation Vacancy</t>
  </si>
  <si>
    <t>Renovation Vacancy</t>
  </si>
  <si>
    <t>Market</t>
  </si>
  <si>
    <t>Market Rent Growth</t>
  </si>
  <si>
    <t>Effective Rent Growth</t>
  </si>
  <si>
    <t>Yr1</t>
  </si>
  <si>
    <t>Yr2</t>
  </si>
  <si>
    <t>Yr3</t>
  </si>
  <si>
    <t>Yr4</t>
  </si>
  <si>
    <t>Yr5</t>
  </si>
  <si>
    <t>Yr6</t>
  </si>
  <si>
    <t>Yr7</t>
  </si>
  <si>
    <t xml:space="preserve">Vacancy </t>
  </si>
  <si>
    <t>Collections Loss</t>
  </si>
  <si>
    <t>Concessions (# Mo. Free)</t>
  </si>
  <si>
    <t>Total</t>
  </si>
  <si>
    <t>Write Offs</t>
  </si>
  <si>
    <t>Concessions</t>
  </si>
  <si>
    <t>Turnover</t>
  </si>
  <si>
    <t>Retention</t>
  </si>
  <si>
    <t>Total Rent Receipts</t>
  </si>
  <si>
    <t>Late Fees</t>
  </si>
  <si>
    <t>Credit Check Fees</t>
  </si>
  <si>
    <t>NSF Fees</t>
  </si>
  <si>
    <t>Early Termination Fees</t>
  </si>
  <si>
    <t>Pet Rent</t>
  </si>
  <si>
    <t>Application Fees</t>
  </si>
  <si>
    <t>Parking</t>
  </si>
  <si>
    <t>RUBs</t>
  </si>
  <si>
    <t>Total Other Income</t>
  </si>
  <si>
    <t>Other Income</t>
  </si>
  <si>
    <t>Yr0</t>
  </si>
  <si>
    <t>Concessions %</t>
  </si>
  <si>
    <t>Property Taxes</t>
  </si>
  <si>
    <t>Total Fixed Expenses</t>
  </si>
  <si>
    <t>Management Fee</t>
  </si>
  <si>
    <t>Property Mgmt Fee</t>
  </si>
  <si>
    <t>% of Revenue</t>
  </si>
  <si>
    <t>If Fixed:  Increase/Year?</t>
  </si>
  <si>
    <t>Electric</t>
  </si>
  <si>
    <t>Gas</t>
  </si>
  <si>
    <t>Water/Sewer</t>
  </si>
  <si>
    <t>Total Utilities</t>
  </si>
  <si>
    <t>R&amp;M</t>
  </si>
  <si>
    <t>Grounds/Landscaping</t>
  </si>
  <si>
    <t>Administration</t>
  </si>
  <si>
    <t>NET OPERATING INCOME</t>
  </si>
  <si>
    <t>Capital Expenditures</t>
  </si>
  <si>
    <t>Expenses</t>
  </si>
  <si>
    <t>Month</t>
  </si>
  <si>
    <t>Rent Receipts</t>
  </si>
  <si>
    <t>Year 6</t>
  </si>
  <si>
    <t>Year 7</t>
  </si>
  <si>
    <t>Fixed Expenses</t>
  </si>
  <si>
    <t>Other Op. Expenses</t>
  </si>
  <si>
    <t>TOTAL OP. EXPENSES</t>
  </si>
  <si>
    <t>Interest Only</t>
  </si>
  <si>
    <t>Renovation Summary</t>
  </si>
  <si>
    <t>Property Information</t>
  </si>
  <si>
    <t>Current GR</t>
  </si>
  <si>
    <t>TOTAL RENOVATION CAPITAL</t>
  </si>
  <si>
    <t>Principal</t>
  </si>
  <si>
    <t>Months</t>
  </si>
  <si>
    <t>Principal Balance</t>
  </si>
  <si>
    <t>Property Address</t>
  </si>
  <si>
    <t>Refinancing Assumptions</t>
  </si>
  <si>
    <t>Term*</t>
  </si>
  <si>
    <t>Loan Amount</t>
  </si>
  <si>
    <t>Proforma Rent</t>
  </si>
  <si>
    <t>Current Rent</t>
  </si>
  <si>
    <t># of units</t>
  </si>
  <si>
    <t>Financing Assumptions</t>
  </si>
  <si>
    <t>Total Units</t>
  </si>
  <si>
    <t>Year Built</t>
  </si>
  <si>
    <t>Total Capitalization</t>
  </si>
  <si>
    <t>Purchase Price/Per Unit</t>
  </si>
  <si>
    <t>City, State</t>
  </si>
  <si>
    <t>Property Summary</t>
  </si>
  <si>
    <t>TOTAL INTERIOR RENOVATIONS</t>
  </si>
  <si>
    <t>I/O Period</t>
  </si>
  <si>
    <t>Effective Gross Income</t>
  </si>
  <si>
    <t>Income</t>
  </si>
  <si>
    <t>Total Expenses</t>
  </si>
  <si>
    <t>Net Operating Income</t>
  </si>
  <si>
    <t>Net Cash Flow</t>
  </si>
  <si>
    <t>Total Other Op Expenses</t>
  </si>
  <si>
    <t>Gross Rentable Square Footage</t>
  </si>
  <si>
    <t>Capital Reserves</t>
  </si>
  <si>
    <t>Current Cap Rate</t>
  </si>
  <si>
    <t>Gross Rentable SF</t>
  </si>
  <si>
    <t>Turnover (Make-Ready)</t>
  </si>
  <si>
    <t>Total Square Footage</t>
  </si>
  <si>
    <t>Project Capitalization</t>
  </si>
  <si>
    <t>At Close</t>
  </si>
  <si>
    <t xml:space="preserve">3-Tier IRR-Hurdle Waterfall - Compounded, Cumulative, Monthly Accrual and Monthly Distribution shown </t>
  </si>
  <si>
    <t>Sponsor</t>
  </si>
  <si>
    <t>Investor</t>
  </si>
  <si>
    <t>First, Preferred Return is distributed to Investor and Sponsor Pari-Passu;</t>
  </si>
  <si>
    <t>Tier 1</t>
  </si>
  <si>
    <t>Second, Investor and Sponsor capital are returned.</t>
  </si>
  <si>
    <t>Tier 2</t>
  </si>
  <si>
    <t>Third, Tier 2 promote is distributed to Sponsor.</t>
  </si>
  <si>
    <t>Tier 3</t>
  </si>
  <si>
    <t>Fourth, Tier 3 promote is distributed to Sponsor.</t>
  </si>
  <si>
    <t>Time 0</t>
  </si>
  <si>
    <t>Levered Cash Flow</t>
  </si>
  <si>
    <t>Equity Investment</t>
  </si>
  <si>
    <t>Sponsor Portion</t>
  </si>
  <si>
    <t>Investor Portion</t>
  </si>
  <si>
    <t>Investor IRR through:</t>
  </si>
  <si>
    <t>TIER 1</t>
  </si>
  <si>
    <t>BOP Balance</t>
  </si>
  <si>
    <t>Investor Injections</t>
  </si>
  <si>
    <t>Investor Accruals</t>
  </si>
  <si>
    <t>Tier 1 Accrual Distribution</t>
  </si>
  <si>
    <t>EOP Balance</t>
  </si>
  <si>
    <t>Investor Cash Flow</t>
  </si>
  <si>
    <t>Sponsor Equity Cash Flow</t>
  </si>
  <si>
    <t>Remaining Cash to Distribute</t>
  </si>
  <si>
    <t>Investor IRR Check</t>
  </si>
  <si>
    <t>Investor IRR above:</t>
  </si>
  <si>
    <t>TIER 2</t>
  </si>
  <si>
    <t>through:</t>
  </si>
  <si>
    <t>Tier 2 Accrual Distribution</t>
  </si>
  <si>
    <t>Sponsor Promote Cash Flow</t>
  </si>
  <si>
    <t>TIER 3</t>
  </si>
  <si>
    <t>Deal Summary</t>
  </si>
  <si>
    <t>Total Investment</t>
  </si>
  <si>
    <t>Gross Distributions</t>
  </si>
  <si>
    <t>Levered Net Cash Flow</t>
  </si>
  <si>
    <t>Multiple on Equity</t>
  </si>
  <si>
    <t>Investor Summary</t>
  </si>
  <si>
    <t>Investment</t>
  </si>
  <si>
    <t>Sponsor Summary</t>
  </si>
  <si>
    <t>Equity Cash Flow</t>
  </si>
  <si>
    <t>Promote Cash Flow</t>
  </si>
  <si>
    <t>Cash Flow Check</t>
  </si>
  <si>
    <t>Must be $0</t>
  </si>
  <si>
    <r>
      <t xml:space="preserve">Internal Rate of Return Check:  if the cash flows clear the Hurdle, the IRR Check will be equal to the </t>
    </r>
    <r>
      <rPr>
        <b/>
        <u/>
        <sz val="14"/>
        <rFont val="Garamond"/>
        <family val="1"/>
      </rPr>
      <t>Hurdle</t>
    </r>
    <r>
      <rPr>
        <b/>
        <sz val="14"/>
        <rFont val="Garamond"/>
        <family val="1"/>
      </rPr>
      <t xml:space="preserve">; if the cash flows do not clear the Hurdle, the IRR Check will be equal to the </t>
    </r>
    <r>
      <rPr>
        <b/>
        <u/>
        <sz val="14"/>
        <rFont val="Garamond"/>
        <family val="1"/>
      </rPr>
      <t>Investor</t>
    </r>
    <r>
      <rPr>
        <b/>
        <sz val="14"/>
        <rFont val="Garamond"/>
        <family val="1"/>
      </rPr>
      <t xml:space="preserve"> IRR.</t>
    </r>
  </si>
  <si>
    <t>IRR Hurdle</t>
  </si>
  <si>
    <t>IRR Check</t>
  </si>
  <si>
    <t>Financial Risk/Reward Summary</t>
  </si>
  <si>
    <t>Financial Risk</t>
  </si>
  <si>
    <t>Financial Reward *</t>
  </si>
  <si>
    <t>* Exclusive of any fees</t>
  </si>
  <si>
    <t>Deal</t>
  </si>
  <si>
    <t>Cash Flows By Tier Summary</t>
  </si>
  <si>
    <t>Cash Flows</t>
  </si>
  <si>
    <t>Share</t>
  </si>
  <si>
    <t>Less Sponsor Investment</t>
  </si>
  <si>
    <t>Amortization Period</t>
  </si>
  <si>
    <t>Annual Interest Rate</t>
  </si>
  <si>
    <t>Loan-to-Value Test</t>
  </si>
  <si>
    <t>Maximum LTV</t>
  </si>
  <si>
    <t>Maximum Loan Proceeds</t>
  </si>
  <si>
    <t>Debt Service Coverage Ratio Test</t>
  </si>
  <si>
    <t>Required Minimum Debt Service Coverage Ratio</t>
  </si>
  <si>
    <t>Maximum Allowable Debt Service</t>
  </si>
  <si>
    <r>
      <rPr>
        <b/>
        <u/>
        <sz val="14"/>
        <rFont val="Garamond"/>
        <family val="1"/>
      </rPr>
      <t>Lesser</t>
    </r>
    <r>
      <rPr>
        <b/>
        <sz val="14"/>
        <rFont val="Garamond"/>
        <family val="1"/>
      </rPr>
      <t xml:space="preserve"> of the three values above (Loan Size)</t>
    </r>
  </si>
  <si>
    <t>Monthly Interest Rate</t>
  </si>
  <si>
    <t>Months of Amortization</t>
  </si>
  <si>
    <r>
      <rPr>
        <u/>
        <sz val="14"/>
        <color theme="1"/>
        <rFont val="Garamond"/>
        <family val="1"/>
      </rPr>
      <t>Monthly</t>
    </r>
    <r>
      <rPr>
        <sz val="14"/>
        <rFont val="Garamond"/>
        <family val="1"/>
      </rPr>
      <t xml:space="preserve"> Mortgage Constant</t>
    </r>
  </si>
  <si>
    <r>
      <rPr>
        <u/>
        <sz val="14"/>
        <color theme="1"/>
        <rFont val="Garamond"/>
        <family val="1"/>
      </rPr>
      <t>Annual</t>
    </r>
    <r>
      <rPr>
        <sz val="14"/>
        <color theme="1"/>
        <rFont val="Garamond"/>
        <family val="2"/>
      </rPr>
      <t xml:space="preserve"> </t>
    </r>
    <r>
      <rPr>
        <sz val="14"/>
        <rFont val="Garamond"/>
        <family val="1"/>
      </rPr>
      <t>Mortgage Constant</t>
    </r>
  </si>
  <si>
    <t>Check on Cap Rate Calculation by Sizing Loan</t>
  </si>
  <si>
    <t>Acquisition Loan</t>
  </si>
  <si>
    <t>In-Place NOI</t>
  </si>
  <si>
    <t>Mortgage Constant Calculation</t>
  </si>
  <si>
    <t>Total Cost</t>
  </si>
  <si>
    <t>Refinance Loan</t>
  </si>
  <si>
    <t>NOI at Point of Refinance</t>
  </si>
  <si>
    <r>
      <t xml:space="preserve">Capitalization Rate </t>
    </r>
    <r>
      <rPr>
        <u/>
        <sz val="14"/>
        <rFont val="Garamond"/>
        <family val="1"/>
      </rPr>
      <t>at Point of Refinance</t>
    </r>
  </si>
  <si>
    <t>Refinance Month</t>
  </si>
  <si>
    <t>Renovation Start</t>
  </si>
  <si>
    <t xml:space="preserve">Renovation End </t>
  </si>
  <si>
    <t># of Units to Renovate</t>
  </si>
  <si>
    <t>Total Renovation Period</t>
  </si>
  <si>
    <t>Total # of Units Renovated by Sponsor</t>
  </si>
  <si>
    <t>Amortization Period (Years)</t>
  </si>
  <si>
    <t>Sale Price</t>
  </si>
  <si>
    <t>Cumulative # of renovated units</t>
  </si>
  <si>
    <t xml:space="preserve">Total Equity </t>
  </si>
  <si>
    <t>ACQUISITION LOAN SUMMARY</t>
  </si>
  <si>
    <t>REFINANCE LOAN SUMMARY</t>
  </si>
  <si>
    <t>Refi Month</t>
  </si>
  <si>
    <t xml:space="preserve">Debt - Interest </t>
  </si>
  <si>
    <t>Debt - Principal</t>
  </si>
  <si>
    <t>Yearly Expense % Increase</t>
  </si>
  <si>
    <t>Issue</t>
  </si>
  <si>
    <t>Comments</t>
  </si>
  <si>
    <t>Laundry Income</t>
  </si>
  <si>
    <t>Trash</t>
  </si>
  <si>
    <t>mill rate</t>
  </si>
  <si>
    <t>Contingency</t>
  </si>
  <si>
    <t>Interiors &amp; Buyouts</t>
  </si>
  <si>
    <t>Exterior Renovations</t>
  </si>
  <si>
    <t>% of Turns as Buyouts</t>
  </si>
  <si>
    <t>Interior Renovations</t>
  </si>
  <si>
    <t>Buyouts</t>
  </si>
  <si>
    <t>TOTAL EXTERIOR RENOVATIONS</t>
  </si>
  <si>
    <t>Interior Renovation Summary</t>
  </si>
  <si>
    <t>Exterior Renovation Summary</t>
  </si>
  <si>
    <t>Renovation End</t>
  </si>
  <si>
    <t>Amortization Schd</t>
  </si>
  <si>
    <t>Exterior Projects</t>
  </si>
  <si>
    <t>Buyout/Reno Capital</t>
  </si>
  <si>
    <t>% of Exterior Renovations Complete</t>
  </si>
  <si>
    <t>Total Capital Projects</t>
  </si>
  <si>
    <t>Sale Analysis</t>
  </si>
  <si>
    <t>Sale Inputs</t>
  </si>
  <si>
    <t>Broker Fee</t>
  </si>
  <si>
    <t>Cap Rate</t>
  </si>
  <si>
    <t>Revenue</t>
  </si>
  <si>
    <t>NOI</t>
  </si>
  <si>
    <t>Less: Loan</t>
  </si>
  <si>
    <t xml:space="preserve">Less: Broker Fee </t>
  </si>
  <si>
    <t>Less: Closing Cost</t>
  </si>
  <si>
    <t>Total Distributions</t>
  </si>
  <si>
    <t>Equity Contribution</t>
  </si>
  <si>
    <t>Cash Accounting</t>
  </si>
  <si>
    <t>Working Capital</t>
  </si>
  <si>
    <t>Additional Capital</t>
  </si>
  <si>
    <t>Min eqt. Cont</t>
  </si>
  <si>
    <t>Lender Draw</t>
  </si>
  <si>
    <t>Closing Equity</t>
  </si>
  <si>
    <t>Total Equity</t>
  </si>
  <si>
    <t>Capital Contributions</t>
  </si>
  <si>
    <t>From Cash Flow</t>
  </si>
  <si>
    <t>From Refinance</t>
  </si>
  <si>
    <t>From Sale</t>
  </si>
  <si>
    <t>TOTAL EQUITY</t>
  </si>
  <si>
    <t>Renovation Equity</t>
  </si>
  <si>
    <t>TOTAL DISTRIBUTIONS</t>
  </si>
  <si>
    <t>TOTAL EQUITY (Accumulated)</t>
  </si>
  <si>
    <t>CONTRIBUTIONS</t>
  </si>
  <si>
    <t>DISTRIBUTIONS</t>
  </si>
  <si>
    <t>TOTAL CASH FLOW</t>
  </si>
  <si>
    <t>Plus: Working Capital Dist.</t>
  </si>
  <si>
    <t>Draw</t>
  </si>
  <si>
    <t>Equity Gains</t>
  </si>
  <si>
    <t>Working Capital EB</t>
  </si>
  <si>
    <t>Asset Mgmt. Fee</t>
  </si>
  <si>
    <t>Main Scenario</t>
  </si>
  <si>
    <t>Second Option</t>
  </si>
  <si>
    <t>Rent Comps</t>
  </si>
  <si>
    <t>Loan Closing Fee</t>
  </si>
  <si>
    <t># of Months Vacant</t>
  </si>
  <si>
    <t>Acquisition Fee</t>
  </si>
  <si>
    <t>Construction Mgmt. Fee</t>
  </si>
  <si>
    <t>Refi Fee</t>
  </si>
  <si>
    <t>Purchase Price/Per Sqft.</t>
  </si>
  <si>
    <t>Loan Type</t>
  </si>
  <si>
    <t>Refi Cap Rate</t>
  </si>
  <si>
    <t>Net Refi Proceeds</t>
  </si>
  <si>
    <t>% of Equity Returned</t>
  </si>
  <si>
    <t>Investor Returns</t>
  </si>
  <si>
    <t>Deal Returns</t>
  </si>
  <si>
    <t>Sale Cap Rate</t>
  </si>
  <si>
    <t>Proceeds From Sale</t>
  </si>
  <si>
    <t>Sale Month</t>
  </si>
  <si>
    <t>Economics</t>
  </si>
  <si>
    <t>TOTAL</t>
  </si>
  <si>
    <t>Less: Prepayment Fee</t>
  </si>
  <si>
    <t>Additional Paid In Capital</t>
  </si>
  <si>
    <t>MEMBER LOAN SUMMARY</t>
  </si>
  <si>
    <t>Pref Rate</t>
  </si>
  <si>
    <t>Compounding Periods/Yr</t>
  </si>
  <si>
    <t>Accrued Return</t>
  </si>
  <si>
    <t>Total Debt &amp; Pref. Equity</t>
  </si>
  <si>
    <t>Less: Preferred Equity</t>
  </si>
  <si>
    <t>Pref Equity Current Pay</t>
  </si>
  <si>
    <t>Cash Flow Before CP &amp; Distributions</t>
  </si>
  <si>
    <t>Net Cash Flow After Current Pay</t>
  </si>
  <si>
    <t>No</t>
  </si>
  <si>
    <t>Paydown through CF?</t>
  </si>
  <si>
    <t>check</t>
  </si>
  <si>
    <t>Capitalization &amp; Project Costs</t>
  </si>
  <si>
    <t>Sources</t>
  </si>
  <si>
    <t>Senior Debt</t>
  </si>
  <si>
    <t>Reinvested Operating CF</t>
  </si>
  <si>
    <t>Uses</t>
  </si>
  <si>
    <t>Closing &amp; Formation Costs</t>
  </si>
  <si>
    <t>Renovation Budget</t>
  </si>
  <si>
    <t>Total Uses</t>
  </si>
  <si>
    <t>Total Closing &amp; Formation</t>
  </si>
  <si>
    <t>Fees</t>
  </si>
  <si>
    <t>CoC Dist.</t>
  </si>
  <si>
    <t>Yield on Cost</t>
  </si>
  <si>
    <t>YoC</t>
  </si>
  <si>
    <t>Less: Senior Debt</t>
  </si>
  <si>
    <t>Less: Refi Fee</t>
  </si>
  <si>
    <t>Distributions from Refinance</t>
  </si>
  <si>
    <t>Pay</t>
  </si>
  <si>
    <t>Refi Paydown</t>
  </si>
  <si>
    <t>Gross IRR</t>
  </si>
  <si>
    <t>Gross Equity Multiple</t>
  </si>
  <si>
    <t>Net Equity Multiple</t>
  </si>
  <si>
    <t>Net IRR</t>
  </si>
  <si>
    <t xml:space="preserve">  </t>
  </si>
  <si>
    <t>ASSUMED OVERRIDE</t>
  </si>
  <si>
    <t>Payroll</t>
  </si>
  <si>
    <t>Capital Rsrv &amp; Partnership</t>
  </si>
  <si>
    <t>Loss to Lease</t>
  </si>
  <si>
    <t>Gross Potential Rent</t>
  </si>
  <si>
    <t>Gross Rental Income</t>
  </si>
  <si>
    <t>Loss to Vacancy</t>
  </si>
  <si>
    <t>RUBS Income</t>
  </si>
  <si>
    <t>Total Revenue</t>
  </si>
  <si>
    <t>Per Unit</t>
  </si>
  <si>
    <t>Incr % YoY</t>
  </si>
  <si>
    <t>Total operating Expenses</t>
  </si>
  <si>
    <t>% of Net Rental Income</t>
  </si>
  <si>
    <t>Operating Margin (%)</t>
  </si>
  <si>
    <t>F&amp;C Yield on Cost</t>
  </si>
  <si>
    <t>Proforma Operating Statement</t>
  </si>
  <si>
    <t>Year 0</t>
  </si>
  <si>
    <t>Proforma Cash Flow Summary</t>
  </si>
  <si>
    <t>Other Cash Sources (Uses)</t>
  </si>
  <si>
    <t>Acquisition Cost</t>
  </si>
  <si>
    <t>Closing and Formation Costs</t>
  </si>
  <si>
    <t>Financing</t>
  </si>
  <si>
    <t>Senior Loan Proceeds</t>
  </si>
  <si>
    <t>Debt Service</t>
  </si>
  <si>
    <t>Debt Repayment</t>
  </si>
  <si>
    <t>Sale Proceeds</t>
  </si>
  <si>
    <t>Selling Expenses</t>
  </si>
  <si>
    <t>Paladin Fees</t>
  </si>
  <si>
    <t>Asset Management Fee</t>
  </si>
  <si>
    <t>Construction Management Fee</t>
  </si>
  <si>
    <t>Refinance Proceeds</t>
  </si>
  <si>
    <t>Interior Renovations &amp; Buyouts</t>
  </si>
  <si>
    <t>Partnership Expenses &amp; Rep Reserve</t>
  </si>
  <si>
    <t>Investor Net Cash Flow</t>
  </si>
  <si>
    <t>Cumulative Total Cost</t>
  </si>
  <si>
    <t>Free &amp; Clear Yield</t>
  </si>
  <si>
    <t>REFI OUT BRIDGE CALC</t>
  </si>
  <si>
    <t>DSCR Test Month</t>
  </si>
  <si>
    <t>Conventional Loan Test</t>
  </si>
  <si>
    <t>Test Month</t>
  </si>
  <si>
    <t>New Loan Interest Rate</t>
  </si>
  <si>
    <t>Future Refi DSCR Test - For Bridge</t>
  </si>
  <si>
    <r>
      <t xml:space="preserve">Capitalization Rate </t>
    </r>
    <r>
      <rPr>
        <u/>
        <sz val="11"/>
        <rFont val="Calibri  "/>
      </rPr>
      <t>at Point of Purchase</t>
    </r>
  </si>
  <si>
    <r>
      <t xml:space="preserve">Valuation </t>
    </r>
    <r>
      <rPr>
        <u/>
        <sz val="11"/>
        <rFont val="Calibri  "/>
      </rPr>
      <t>at Point of Purchase</t>
    </r>
  </si>
  <si>
    <r>
      <t xml:space="preserve">Capitalization Rate </t>
    </r>
    <r>
      <rPr>
        <u/>
        <sz val="11"/>
        <rFont val="Calibri  "/>
      </rPr>
      <t>at Date of Refinance</t>
    </r>
  </si>
  <si>
    <r>
      <rPr>
        <b/>
        <u/>
        <sz val="11"/>
        <rFont val="Calibri  "/>
      </rPr>
      <t>Lesser</t>
    </r>
    <r>
      <rPr>
        <b/>
        <sz val="11"/>
        <rFont val="Calibri  "/>
      </rPr>
      <t xml:space="preserve"> of the three values above (Loan Size)</t>
    </r>
  </si>
  <si>
    <r>
      <rPr>
        <u/>
        <sz val="11"/>
        <color theme="1"/>
        <rFont val="Calibri  "/>
      </rPr>
      <t>Monthly</t>
    </r>
    <r>
      <rPr>
        <sz val="11"/>
        <rFont val="Calibri  "/>
      </rPr>
      <t xml:space="preserve"> Mortgage Constant</t>
    </r>
  </si>
  <si>
    <r>
      <rPr>
        <u/>
        <sz val="11"/>
        <color theme="1"/>
        <rFont val="Calibri  "/>
      </rPr>
      <t>Annual</t>
    </r>
    <r>
      <rPr>
        <sz val="11"/>
        <color theme="1"/>
        <rFont val="Calibri  "/>
      </rPr>
      <t xml:space="preserve"> </t>
    </r>
    <r>
      <rPr>
        <sz val="11"/>
        <rFont val="Calibri  "/>
      </rPr>
      <t>Mortgage Constant</t>
    </r>
  </si>
  <si>
    <r>
      <t xml:space="preserve">Capitalization Rate </t>
    </r>
    <r>
      <rPr>
        <u/>
        <sz val="11"/>
        <rFont val="Calibri  "/>
      </rPr>
      <t>at Point of Refinance</t>
    </r>
  </si>
  <si>
    <r>
      <t xml:space="preserve">Valuation </t>
    </r>
    <r>
      <rPr>
        <u/>
        <sz val="11"/>
        <rFont val="Calibri  "/>
      </rPr>
      <t>at Point of Refinance</t>
    </r>
  </si>
  <si>
    <t>Tax Adjustment</t>
  </si>
  <si>
    <t>CURRENT EQUITY</t>
  </si>
  <si>
    <t>Sale Matrix</t>
  </si>
  <si>
    <t>SALE MATRIX BELOW</t>
  </si>
  <si>
    <t>Exit Cap Rate</t>
  </si>
  <si>
    <t>Rate Buydown</t>
  </si>
  <si>
    <t>Less: Loan Buydown</t>
  </si>
  <si>
    <t>REFI OUT OF BRIDGE CALC</t>
  </si>
  <si>
    <t>Refi Test</t>
  </si>
  <si>
    <t>Sale Price (Per Unit)</t>
  </si>
  <si>
    <t>Lender Reserves</t>
  </si>
  <si>
    <t>Interest Reserve?</t>
  </si>
  <si>
    <t>Lender Draw for Capital?</t>
  </si>
  <si>
    <t>Yes</t>
  </si>
  <si>
    <t>Trash (Inc Valet Trash)</t>
  </si>
  <si>
    <t>Laundry &amp; Valet Trash Income</t>
  </si>
  <si>
    <t>Closing Costs &amp; Reserves</t>
  </si>
  <si>
    <t>1x1</t>
  </si>
  <si>
    <t>Bridge</t>
  </si>
  <si>
    <t>Maximum Loan To Cost</t>
  </si>
  <si>
    <t>Planned Improvements</t>
  </si>
  <si>
    <t>Current</t>
  </si>
  <si>
    <t>Sales Comps</t>
  </si>
  <si>
    <t>Location</t>
  </si>
  <si>
    <t>Property Status</t>
  </si>
  <si>
    <t>Price/Sqft.</t>
  </si>
  <si>
    <t>Sale Date</t>
  </si>
  <si>
    <t>Fee Schedule</t>
  </si>
  <si>
    <t>JV Deal Structure</t>
  </si>
  <si>
    <t>Exterior Improvements</t>
  </si>
  <si>
    <r>
      <rPr>
        <i/>
        <sz val="11"/>
        <color theme="1"/>
        <rFont val="Calibri"/>
        <family val="2"/>
        <scheme val="minor"/>
      </rPr>
      <t>1%</t>
    </r>
    <r>
      <rPr>
        <sz val="11"/>
        <color theme="1"/>
        <rFont val="Calibri"/>
        <family val="2"/>
        <scheme val="minor"/>
      </rPr>
      <t xml:space="preserve"> of invested equity</t>
    </r>
  </si>
  <si>
    <t>GP Equity Participation</t>
  </si>
  <si>
    <r>
      <rPr>
        <i/>
        <sz val="11"/>
        <color theme="1"/>
        <rFont val="Calibri"/>
        <family val="2"/>
        <scheme val="minor"/>
      </rPr>
      <t>5%</t>
    </r>
    <r>
      <rPr>
        <sz val="11"/>
        <color theme="1"/>
        <rFont val="Calibri"/>
        <family val="2"/>
        <scheme val="minor"/>
      </rPr>
      <t xml:space="preserve"> of total equity</t>
    </r>
  </si>
  <si>
    <t>Number of Units</t>
  </si>
  <si>
    <t>Interior Improvements</t>
  </si>
  <si>
    <t>Less: Loss to Lease</t>
  </si>
  <si>
    <r>
      <rPr>
        <i/>
        <sz val="11"/>
        <color theme="1"/>
        <rFont val="Calibri"/>
        <family val="2"/>
        <scheme val="minor"/>
      </rPr>
      <t>5%</t>
    </r>
    <r>
      <rPr>
        <sz val="11"/>
        <color theme="1"/>
        <rFont val="Calibri"/>
        <family val="2"/>
        <scheme val="minor"/>
      </rPr>
      <t xml:space="preserve"> of renovation budget</t>
    </r>
  </si>
  <si>
    <t>Preferred Return</t>
  </si>
  <si>
    <r>
      <rPr>
        <i/>
        <sz val="11"/>
        <color theme="1"/>
        <rFont val="Calibri"/>
        <family val="2"/>
        <scheme val="minor"/>
      </rPr>
      <t>8%</t>
    </r>
    <r>
      <rPr>
        <sz val="11"/>
        <color theme="1"/>
        <rFont val="Calibri"/>
        <family val="2"/>
        <scheme val="minor"/>
      </rPr>
      <t xml:space="preserve"> IRR</t>
    </r>
  </si>
  <si>
    <t>Price Per Unit</t>
  </si>
  <si>
    <t>Contingency / Other Costs</t>
  </si>
  <si>
    <r>
      <rPr>
        <i/>
        <sz val="11"/>
        <color theme="1"/>
        <rFont val="Calibri"/>
        <family val="2"/>
        <scheme val="minor"/>
      </rPr>
      <t>1.5%</t>
    </r>
    <r>
      <rPr>
        <sz val="11"/>
        <color theme="1"/>
        <rFont val="Calibri"/>
        <family val="2"/>
        <scheme val="minor"/>
      </rPr>
      <t xml:space="preserve"> of total capitalization</t>
    </r>
  </si>
  <si>
    <t>Tier 1 LP/GP Split</t>
  </si>
  <si>
    <r>
      <rPr>
        <i/>
        <sz val="11"/>
        <color theme="1"/>
        <rFont val="Calibri"/>
        <family val="2"/>
        <scheme val="minor"/>
      </rPr>
      <t>65%/35%</t>
    </r>
    <r>
      <rPr>
        <sz val="11"/>
        <color theme="1"/>
        <rFont val="Calibri"/>
        <family val="2"/>
        <scheme val="minor"/>
      </rPr>
      <t xml:space="preserve"> up to </t>
    </r>
    <r>
      <rPr>
        <i/>
        <sz val="11"/>
        <color theme="1"/>
        <rFont val="Calibri"/>
        <family val="2"/>
        <scheme val="minor"/>
      </rPr>
      <t>17%</t>
    </r>
    <r>
      <rPr>
        <sz val="11"/>
        <color theme="1"/>
        <rFont val="Calibri"/>
        <family val="2"/>
        <scheme val="minor"/>
      </rPr>
      <t xml:space="preserve"> IRR</t>
    </r>
  </si>
  <si>
    <t>Price Per Sqft.</t>
  </si>
  <si>
    <t>Total Renovation Budget</t>
  </si>
  <si>
    <t>Tier 2 LP/GP Split</t>
  </si>
  <si>
    <r>
      <rPr>
        <i/>
        <sz val="11"/>
        <color theme="1"/>
        <rFont val="Calibri"/>
        <family val="2"/>
        <scheme val="minor"/>
      </rPr>
      <t>50%/50%</t>
    </r>
    <r>
      <rPr>
        <sz val="11"/>
        <color theme="1"/>
        <rFont val="Calibri"/>
        <family val="2"/>
        <scheme val="minor"/>
      </rPr>
      <t xml:space="preserve"> above </t>
    </r>
    <r>
      <rPr>
        <i/>
        <sz val="11"/>
        <color theme="1"/>
        <rFont val="Calibri"/>
        <family val="2"/>
        <scheme val="minor"/>
      </rPr>
      <t>17%</t>
    </r>
    <r>
      <rPr>
        <sz val="11"/>
        <color theme="1"/>
        <rFont val="Calibri"/>
        <family val="2"/>
        <scheme val="minor"/>
      </rPr>
      <t xml:space="preserve"> IRR</t>
    </r>
  </si>
  <si>
    <t>Rentable Sqft.</t>
  </si>
  <si>
    <t>Closing / Loan Costs</t>
  </si>
  <si>
    <t>Gross Operating Income</t>
  </si>
  <si>
    <t>Total Projected Capitalization</t>
  </si>
  <si>
    <t>Less: Operating Expenses</t>
  </si>
  <si>
    <t>Free-and-clear Yield on Cost</t>
  </si>
  <si>
    <t>Stabilized Yield on Cost</t>
  </si>
  <si>
    <t>Competitive Properties</t>
  </si>
  <si>
    <t>Proximity</t>
  </si>
  <si>
    <t>Less: Closing Costs (1.25%)</t>
  </si>
  <si>
    <t>LTC</t>
  </si>
  <si>
    <t>1 Bed</t>
  </si>
  <si>
    <t>2 Bed</t>
  </si>
  <si>
    <t>2 Bed TH</t>
  </si>
  <si>
    <t>TLV Max</t>
  </si>
  <si>
    <t>DSCR Max</t>
  </si>
  <si>
    <t>Purchase Snapshot</t>
  </si>
  <si>
    <t>Price/Unit</t>
  </si>
  <si>
    <t>Less: Vacancy (3%)</t>
  </si>
  <si>
    <t>Stabilized (Mo. 36)</t>
  </si>
  <si>
    <t>Loan Draws</t>
  </si>
  <si>
    <t>Plus: Acq Fee /Working Capital/Reserves</t>
  </si>
  <si>
    <t>1% of Capitalization</t>
  </si>
  <si>
    <t>Buyer Broker Fee</t>
  </si>
  <si>
    <t>Legal, DD, and Escrow</t>
  </si>
  <si>
    <t>1% of Purchase Price</t>
  </si>
  <si>
    <t>Equity Brokerage Fee</t>
  </si>
  <si>
    <t>Debt Brokerage Fee</t>
  </si>
  <si>
    <t>1% of Loan Sizing</t>
  </si>
  <si>
    <t>Tiered Fee</t>
  </si>
  <si>
    <t>Total Fees &amp; Formation Costs</t>
  </si>
  <si>
    <t>SUBJECT PROPERTY (In Place)</t>
  </si>
  <si>
    <t>SUBJECT PROPERTY (Pro Forma)</t>
  </si>
  <si>
    <t>Brownstone Apartments</t>
  </si>
  <si>
    <t>9559 Flower St</t>
  </si>
  <si>
    <t>Bellflower, CA 90706</t>
  </si>
  <si>
    <t>1967</t>
  </si>
  <si>
    <t>Stu - ADU</t>
  </si>
  <si>
    <t>2x1</t>
  </si>
  <si>
    <t>Paint</t>
  </si>
  <si>
    <t>New Doors</t>
  </si>
  <si>
    <t>Landscape</t>
  </si>
  <si>
    <t>Garage Door</t>
  </si>
  <si>
    <t>Gate repair/paint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</si>
</sst>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 numFmtId="167" formatCode="[$-409]mmm\-yy;@"/>
    <numFmt numFmtId="168" formatCode="&quot;$&quot;#,##0"/>
    <numFmt numFmtId="169" formatCode="&quot;Month&quot;\ 0"/>
    <numFmt numFmtId="170" formatCode="&quot;$&quot;#,##0.00"/>
    <numFmt numFmtId="171" formatCode="0\ &quot;Months&quot;"/>
    <numFmt numFmtId="172" formatCode="&quot;Fiscal Year&quot;\ 0"/>
    <numFmt numFmtId="173" formatCode="&quot;$&quot;#,##0;[Red]&quot;$&quot;#,##0"/>
    <numFmt numFmtId="174" formatCode="&quot;Year&quot;\ #,##0"/>
    <numFmt numFmtId="175" formatCode="&quot;Month&quot;\ #,##0"/>
    <numFmt numFmtId="176" formatCode="0.00\x"/>
    <numFmt numFmtId="177" formatCode="0.00&quot;x&quot;"/>
    <numFmt numFmtId="178" formatCode="#,###\ &quot;Years&quot;"/>
    <numFmt numFmtId="179" formatCode="0.000%"/>
    <numFmt numFmtId="180" formatCode="&quot;Month&quot;\ #,###\ "/>
    <numFmt numFmtId="181" formatCode="&quot;Year&quot;\ #,###\ "/>
    <numFmt numFmtId="182" formatCode="&quot;Min&quot;\ #,##0;[Red]#,##0"/>
    <numFmt numFmtId="183" formatCode="#,##0;[Red]#,##0"/>
    <numFmt numFmtId="184" formatCode="m/yyyy"/>
    <numFmt numFmtId="185" formatCode="&quot;$&quot;#,##0\ &quot;/ Unit&quot;"/>
    <numFmt numFmtId="186" formatCode="&quot;$&quot;#,##0\ &quot;/ Sqft.&quot;"/>
    <numFmt numFmtId="187" formatCode="0\ &quot;Summary&quot;"/>
    <numFmt numFmtId="188" formatCode="&quot;$&quot;#,##0.0"/>
    <numFmt numFmtId="189" formatCode="&quot;$&quot;#,##0.0;[Red]&quot;$&quot;#,##0.0"/>
    <numFmt numFmtId="190" formatCode="&quot;$&quot;#,##0.00;[Red]&quot;$&quot;#,##0.00"/>
    <numFmt numFmtId="191" formatCode="_(&quot;$&quot;* #,##0.000_);_(&quot;$&quot;* \(#,##0.000\);_(&quot;$&quot;* &quot;-&quot;???_);_(@_)"/>
    <numFmt numFmtId="192" formatCode="[$-409]mmm\ yy;@"/>
    <numFmt numFmtId="193" formatCode="@&quot; (15)&quot;"/>
    <numFmt numFmtId="194" formatCode="@&quot; (1)&quot;"/>
    <numFmt numFmtId="195" formatCode="&quot;$&quot;#,##0&quot;*&quot;"/>
  </numFmts>
  <fonts count="9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color rgb="FF1C37FC"/>
      <name val="Calibri"/>
      <family val="2"/>
      <scheme val="minor"/>
    </font>
    <font>
      <u/>
      <sz val="11"/>
      <color theme="10"/>
      <name val="Calibri"/>
      <family val="2"/>
      <scheme val="minor"/>
    </font>
    <font>
      <b/>
      <sz val="11"/>
      <color rgb="FF1C37FC"/>
      <name val="Calibri"/>
      <family val="2"/>
      <scheme val="minor"/>
    </font>
    <font>
      <b/>
      <sz val="9"/>
      <color theme="1"/>
      <name val="Calibri"/>
      <family val="2"/>
      <scheme val="minor"/>
    </font>
    <font>
      <sz val="11"/>
      <name val="Calibri"/>
      <family val="2"/>
      <scheme val="minor"/>
    </font>
    <font>
      <b/>
      <sz val="13"/>
      <color theme="1"/>
      <name val="Calibri"/>
      <family val="2"/>
      <scheme val="minor"/>
    </font>
    <font>
      <b/>
      <sz val="12"/>
      <color theme="1"/>
      <name val="Calibri"/>
      <family val="2"/>
      <scheme val="minor"/>
    </font>
    <font>
      <sz val="11"/>
      <color theme="5" tint="-0.249977111117893"/>
      <name val="Calibri"/>
      <family val="2"/>
      <scheme val="minor"/>
    </font>
    <font>
      <b/>
      <sz val="12"/>
      <color theme="0"/>
      <name val="Calibri"/>
      <family val="2"/>
      <scheme val="minor"/>
    </font>
    <font>
      <u/>
      <sz val="11"/>
      <color theme="11"/>
      <name val="Calibri"/>
      <family val="2"/>
      <scheme val="minor"/>
    </font>
    <font>
      <b/>
      <sz val="11"/>
      <color theme="0"/>
      <name val="Calibri"/>
      <family val="2"/>
      <scheme val="minor"/>
    </font>
    <font>
      <sz val="8"/>
      <name val="Calibri"/>
      <family val="2"/>
      <scheme val="minor"/>
    </font>
    <font>
      <sz val="11"/>
      <color theme="0"/>
      <name val="Calibri"/>
      <family val="2"/>
      <scheme val="minor"/>
    </font>
    <font>
      <sz val="12"/>
      <name val="Calibri"/>
      <family val="2"/>
      <scheme val="minor"/>
    </font>
    <font>
      <b/>
      <sz val="18"/>
      <color theme="5" tint="-0.249977111117893"/>
      <name val="Calibri"/>
      <family val="2"/>
      <scheme val="minor"/>
    </font>
    <font>
      <b/>
      <u/>
      <sz val="11"/>
      <color theme="1"/>
      <name val="Calibri"/>
      <family val="2"/>
      <scheme val="minor"/>
    </font>
    <font>
      <b/>
      <sz val="20"/>
      <color theme="0" tint="-4.9989318521683403E-2"/>
      <name val="Calibri"/>
      <family val="2"/>
      <scheme val="minor"/>
    </font>
    <font>
      <b/>
      <sz val="11"/>
      <color rgb="FF000000"/>
      <name val="Calibri"/>
      <family val="2"/>
      <scheme val="minor"/>
    </font>
    <font>
      <b/>
      <sz val="9"/>
      <color theme="0"/>
      <name val="Calibri"/>
      <family val="2"/>
      <scheme val="minor"/>
    </font>
    <font>
      <b/>
      <sz val="11"/>
      <color rgb="FF3366FF"/>
      <name val="Calibri"/>
      <family val="2"/>
      <scheme val="minor"/>
    </font>
    <font>
      <sz val="10"/>
      <name val="Arial"/>
      <family val="2"/>
    </font>
    <font>
      <u/>
      <sz val="18"/>
      <name val="Garamond"/>
      <family val="1"/>
    </font>
    <font>
      <sz val="10"/>
      <name val="Garamond"/>
      <family val="1"/>
    </font>
    <font>
      <i/>
      <sz val="18"/>
      <name val="Garamond"/>
      <family val="1"/>
    </font>
    <font>
      <sz val="10"/>
      <name val="Verdana"/>
      <family val="2"/>
    </font>
    <font>
      <sz val="14"/>
      <name val="Garamond"/>
      <family val="1"/>
    </font>
    <font>
      <b/>
      <sz val="14"/>
      <name val="Garamond"/>
      <family val="1"/>
    </font>
    <font>
      <u/>
      <sz val="14"/>
      <name val="Garamond"/>
      <family val="1"/>
    </font>
    <font>
      <b/>
      <sz val="14"/>
      <color rgb="FF0000FF"/>
      <name val="Garamond"/>
      <family val="1"/>
    </font>
    <font>
      <sz val="14"/>
      <color indexed="12"/>
      <name val="Garamond"/>
      <family val="1"/>
    </font>
    <font>
      <b/>
      <sz val="14"/>
      <color theme="0"/>
      <name val="Garamond"/>
      <family val="1"/>
    </font>
    <font>
      <b/>
      <sz val="14"/>
      <color indexed="8"/>
      <name val="Garamond"/>
      <family val="1"/>
    </font>
    <font>
      <b/>
      <sz val="14"/>
      <color indexed="12"/>
      <name val="Garamond"/>
      <family val="1"/>
    </font>
    <font>
      <i/>
      <sz val="14"/>
      <name val="Garamond"/>
      <family val="1"/>
    </font>
    <font>
      <b/>
      <u/>
      <sz val="14"/>
      <name val="Garamond"/>
      <family val="1"/>
    </font>
    <font>
      <u val="singleAccounting"/>
      <sz val="14"/>
      <name val="Garamond"/>
      <family val="1"/>
    </font>
    <font>
      <sz val="14"/>
      <color indexed="10"/>
      <name val="Garamond"/>
      <family val="1"/>
    </font>
    <font>
      <b/>
      <sz val="14"/>
      <color indexed="10"/>
      <name val="Garamond"/>
      <family val="1"/>
    </font>
    <font>
      <sz val="14"/>
      <name val="Verdana"/>
      <family val="2"/>
    </font>
    <font>
      <sz val="12"/>
      <color theme="1" tint="0.249977111117893"/>
      <name val="Calibri"/>
      <family val="2"/>
      <scheme val="minor"/>
    </font>
    <font>
      <b/>
      <sz val="9"/>
      <color indexed="81"/>
      <name val="Tahoma"/>
      <family val="2"/>
    </font>
    <font>
      <sz val="9"/>
      <color indexed="81"/>
      <name val="Tahoma"/>
      <family val="2"/>
    </font>
    <font>
      <sz val="10"/>
      <name val="Times New Roman"/>
      <family val="1"/>
    </font>
    <font>
      <sz val="12"/>
      <name val="Garamond"/>
      <family val="1"/>
    </font>
    <font>
      <sz val="14"/>
      <color theme="1"/>
      <name val="Garamond"/>
      <family val="2"/>
    </font>
    <font>
      <b/>
      <u/>
      <sz val="14"/>
      <color theme="1"/>
      <name val="Garamond"/>
      <family val="1"/>
    </font>
    <font>
      <u/>
      <sz val="14"/>
      <color theme="1"/>
      <name val="Garamond"/>
      <family val="1"/>
    </font>
    <font>
      <sz val="9"/>
      <color indexed="81"/>
      <name val="Calibri"/>
      <family val="2"/>
    </font>
    <font>
      <b/>
      <sz val="9"/>
      <color indexed="81"/>
      <name val="Calibri"/>
      <family val="2"/>
    </font>
    <font>
      <b/>
      <sz val="11"/>
      <color theme="0"/>
      <name val="Calibri"/>
      <family val="2"/>
      <scheme val="minor"/>
    </font>
    <font>
      <b/>
      <i/>
      <sz val="11"/>
      <color theme="0"/>
      <name val="Calibri"/>
      <family val="2"/>
      <scheme val="minor"/>
    </font>
    <font>
      <i/>
      <sz val="11"/>
      <color rgb="FF1C37FC"/>
      <name val="Calibri"/>
      <family val="2"/>
      <scheme val="minor"/>
    </font>
    <font>
      <b/>
      <i/>
      <sz val="12"/>
      <color theme="1"/>
      <name val="Calibri"/>
      <family val="2"/>
      <scheme val="minor"/>
    </font>
    <font>
      <sz val="11"/>
      <color theme="0"/>
      <name val="Calibri"/>
      <family val="2"/>
      <scheme val="minor"/>
    </font>
    <font>
      <sz val="11"/>
      <color rgb="FFD06800"/>
      <name val="Calibri"/>
      <family val="2"/>
      <scheme val="minor"/>
    </font>
    <font>
      <b/>
      <sz val="11"/>
      <name val="Calibri"/>
      <family val="2"/>
      <scheme val="minor"/>
    </font>
    <font>
      <b/>
      <sz val="12"/>
      <color rgb="FFFF0000"/>
      <name val="Calibri"/>
      <family val="2"/>
      <scheme val="minor"/>
    </font>
    <font>
      <b/>
      <sz val="13"/>
      <color theme="0" tint="-4.9989318521683403E-2"/>
      <name val="Calibri"/>
      <family val="2"/>
      <scheme val="minor"/>
    </font>
    <font>
      <b/>
      <sz val="14"/>
      <color theme="1"/>
      <name val="Garamond"/>
      <family val="1"/>
    </font>
    <font>
      <sz val="11"/>
      <color theme="1"/>
      <name val="Calibri  "/>
    </font>
    <font>
      <b/>
      <sz val="11"/>
      <color theme="0"/>
      <name val="Calibri  "/>
    </font>
    <font>
      <sz val="11"/>
      <color rgb="FF1C37FC"/>
      <name val="Calibri  "/>
    </font>
    <font>
      <u/>
      <sz val="11"/>
      <name val="Calibri  "/>
    </font>
    <font>
      <b/>
      <sz val="11"/>
      <color rgb="FF1C37FC"/>
      <name val="Calibri  "/>
    </font>
    <font>
      <i/>
      <sz val="11"/>
      <name val="Calibri  "/>
    </font>
    <font>
      <sz val="11"/>
      <name val="Calibri  "/>
    </font>
    <font>
      <sz val="11"/>
      <color indexed="12"/>
      <name val="Calibri  "/>
    </font>
    <font>
      <sz val="11"/>
      <color rgb="FF0000FF"/>
      <name val="Calibri  "/>
    </font>
    <font>
      <b/>
      <sz val="11"/>
      <name val="Calibri  "/>
    </font>
    <font>
      <b/>
      <u/>
      <sz val="11"/>
      <name val="Calibri  "/>
    </font>
    <font>
      <b/>
      <u/>
      <sz val="11"/>
      <color theme="1"/>
      <name val="Calibri  "/>
    </font>
    <font>
      <u/>
      <sz val="11"/>
      <color theme="1"/>
      <name val="Calibri  "/>
    </font>
    <font>
      <i/>
      <sz val="11"/>
      <color theme="1"/>
      <name val="Calibri  "/>
    </font>
    <font>
      <b/>
      <sz val="11"/>
      <color theme="1"/>
      <name val="Calibri  "/>
    </font>
    <font>
      <b/>
      <sz val="11"/>
      <color indexed="12"/>
      <name val="Calibri  "/>
    </font>
    <font>
      <b/>
      <sz val="11"/>
      <color rgb="FF0000FF"/>
      <name val="Calibri  "/>
    </font>
    <font>
      <sz val="11"/>
      <color rgb="FF0000FF"/>
      <name val="Calibri"/>
      <family val="2"/>
      <scheme val="minor"/>
    </font>
    <font>
      <b/>
      <sz val="15"/>
      <color rgb="FF1F4E78"/>
      <name val="Calibri"/>
      <family val="2"/>
      <scheme val="minor"/>
    </font>
    <font>
      <b/>
      <sz val="12"/>
      <color rgb="FF1F4E78"/>
      <name val="Calibri"/>
      <family val="2"/>
      <scheme val="minor"/>
    </font>
    <font>
      <b/>
      <sz val="13"/>
      <color rgb="FF1F4E78"/>
      <name val="Calibri"/>
      <family val="2"/>
      <scheme val="minor"/>
    </font>
    <font>
      <b/>
      <sz val="11"/>
      <color rgb="FF1F4E78"/>
      <name val="Calibri"/>
      <family val="2"/>
      <scheme val="minor"/>
    </font>
    <font>
      <b/>
      <sz val="15"/>
      <color theme="0"/>
      <name val="Calibri"/>
      <family val="2"/>
      <scheme val="minor"/>
    </font>
    <font>
      <b/>
      <sz val="14"/>
      <color theme="0"/>
      <name val="Calibri"/>
      <family val="2"/>
      <scheme val="minor"/>
    </font>
    <font>
      <b/>
      <sz val="12"/>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FFF7E1"/>
        <bgColor indexed="64"/>
      </patternFill>
    </fill>
    <fill>
      <patternFill patternType="solid">
        <fgColor theme="2" tint="-9.9978637043366805E-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indexed="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s>
  <borders count="108">
    <border>
      <left/>
      <right/>
      <top/>
      <bottom/>
      <diagonal/>
    </border>
    <border>
      <left/>
      <right/>
      <top/>
      <bottom style="thin">
        <color auto="1"/>
      </bottom>
      <diagonal/>
    </border>
    <border>
      <left/>
      <right/>
      <top style="thin">
        <color auto="1"/>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top/>
      <bottom style="hair">
        <color auto="1"/>
      </bottom>
      <diagonal/>
    </border>
    <border>
      <left style="hair">
        <color auto="1"/>
      </left>
      <right/>
      <top style="hair">
        <color auto="1"/>
      </top>
      <bottom style="hair">
        <color auto="1"/>
      </bottom>
      <diagonal/>
    </border>
    <border>
      <left style="hair">
        <color auto="1"/>
      </left>
      <right style="medium">
        <color auto="1"/>
      </right>
      <top/>
      <bottom style="medium">
        <color auto="1"/>
      </bottom>
      <diagonal/>
    </border>
    <border>
      <left/>
      <right style="medium">
        <color auto="1"/>
      </right>
      <top/>
      <bottom style="hair">
        <color auto="1"/>
      </bottom>
      <diagonal/>
    </border>
    <border>
      <left/>
      <right style="medium">
        <color auto="1"/>
      </right>
      <top style="hair">
        <color auto="1"/>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hair">
        <color auto="1"/>
      </right>
      <top/>
      <bottom style="medium">
        <color auto="1"/>
      </bottom>
      <diagonal/>
    </border>
    <border>
      <left style="hair">
        <color auto="1"/>
      </left>
      <right style="hair">
        <color auto="1"/>
      </right>
      <top/>
      <bottom style="medium">
        <color auto="1"/>
      </bottom>
      <diagonal/>
    </border>
    <border>
      <left style="hair">
        <color auto="1"/>
      </left>
      <right/>
      <top/>
      <bottom style="medium">
        <color auto="1"/>
      </bottom>
      <diagonal/>
    </border>
    <border>
      <left style="medium">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top/>
      <bottom style="thin">
        <color auto="1"/>
      </bottom>
      <diagonal/>
    </border>
    <border>
      <left style="hair">
        <color auto="1"/>
      </left>
      <right style="medium">
        <color auto="1"/>
      </right>
      <top/>
      <bottom style="thin">
        <color auto="1"/>
      </bottom>
      <diagonal/>
    </border>
    <border>
      <left/>
      <right style="medium">
        <color auto="1"/>
      </right>
      <top/>
      <bottom style="thin">
        <color auto="1"/>
      </bottom>
      <diagonal/>
    </border>
    <border>
      <left style="hair">
        <color auto="1"/>
      </left>
      <right style="hair">
        <color auto="1"/>
      </right>
      <top style="thin">
        <color auto="1"/>
      </top>
      <bottom style="hair">
        <color auto="1"/>
      </bottom>
      <diagonal/>
    </border>
    <border>
      <left/>
      <right style="thin">
        <color auto="1"/>
      </right>
      <top style="medium">
        <color auto="1"/>
      </top>
      <bottom style="thin">
        <color auto="1"/>
      </bottom>
      <diagonal/>
    </border>
    <border>
      <left style="medium">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top style="hair">
        <color auto="1"/>
      </top>
      <bottom style="thin">
        <color auto="1"/>
      </bottom>
      <diagonal/>
    </border>
    <border>
      <left style="hair">
        <color auto="1"/>
      </left>
      <right style="medium">
        <color auto="1"/>
      </right>
      <top style="hair">
        <color auto="1"/>
      </top>
      <bottom style="thin">
        <color auto="1"/>
      </bottom>
      <diagonal/>
    </border>
    <border>
      <left/>
      <right style="medium">
        <color auto="1"/>
      </right>
      <top style="hair">
        <color auto="1"/>
      </top>
      <bottom style="thin">
        <color auto="1"/>
      </bottom>
      <diagonal/>
    </border>
    <border>
      <left style="hair">
        <color auto="1"/>
      </left>
      <right style="medium">
        <color auto="1"/>
      </right>
      <top style="thin">
        <color auto="1"/>
      </top>
      <bottom style="medium">
        <color auto="1"/>
      </bottom>
      <diagonal/>
    </border>
    <border>
      <left/>
      <right/>
      <top style="thin">
        <color auto="1"/>
      </top>
      <bottom style="thin">
        <color auto="1"/>
      </bottom>
      <diagonal/>
    </border>
    <border>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style="medium">
        <color auto="1"/>
      </top>
      <bottom style="thin">
        <color auto="1"/>
      </bottom>
      <diagonal/>
    </border>
    <border>
      <left style="thin">
        <color auto="1"/>
      </left>
      <right/>
      <top/>
      <bottom/>
      <diagonal/>
    </border>
    <border>
      <left style="thin">
        <color auto="1"/>
      </left>
      <right/>
      <top style="thin">
        <color auto="1"/>
      </top>
      <bottom/>
      <diagonal/>
    </border>
    <border>
      <left style="thin">
        <color auto="1"/>
      </left>
      <right/>
      <top style="thin">
        <color auto="1"/>
      </top>
      <bottom style="medium">
        <color auto="1"/>
      </bottom>
      <diagonal/>
    </border>
    <border>
      <left style="medium">
        <color auto="1"/>
      </left>
      <right/>
      <top style="thin">
        <color auto="1"/>
      </top>
      <bottom style="dotted">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bottom style="medium">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thin">
        <color auto="1"/>
      </bottom>
      <diagonal/>
    </border>
    <border>
      <left style="medium">
        <color auto="1"/>
      </left>
      <right style="medium">
        <color auto="1"/>
      </right>
      <top/>
      <bottom style="medium">
        <color auto="1"/>
      </bottom>
      <diagonal/>
    </border>
    <border>
      <left style="thin">
        <color auto="1"/>
      </left>
      <right style="medium">
        <color auto="1"/>
      </right>
      <top/>
      <bottom style="thin">
        <color auto="1"/>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right style="thin">
        <color auto="1"/>
      </right>
      <top style="thin">
        <color auto="1"/>
      </top>
      <bottom/>
      <diagonal/>
    </border>
    <border>
      <left style="thin">
        <color auto="1"/>
      </left>
      <right/>
      <top style="medium">
        <color auto="1"/>
      </top>
      <bottom style="medium">
        <color auto="1"/>
      </bottom>
      <diagonal/>
    </border>
    <border>
      <left/>
      <right style="thin">
        <color auto="1"/>
      </right>
      <top style="thin">
        <color auto="1"/>
      </top>
      <bottom style="medium">
        <color auto="1"/>
      </bottom>
      <diagonal/>
    </border>
    <border>
      <left/>
      <right/>
      <top style="thin">
        <color auto="1"/>
      </top>
      <bottom style="double">
        <color indexed="64"/>
      </bottom>
      <diagonal/>
    </border>
    <border>
      <left style="medium">
        <color indexed="64"/>
      </left>
      <right/>
      <top style="thin">
        <color auto="1"/>
      </top>
      <bottom style="double">
        <color indexed="64"/>
      </bottom>
      <diagonal/>
    </border>
    <border>
      <left/>
      <right style="medium">
        <color indexed="64"/>
      </right>
      <top style="thin">
        <color auto="1"/>
      </top>
      <bottom style="double">
        <color indexed="64"/>
      </bottom>
      <diagonal/>
    </border>
    <border>
      <left style="medium">
        <color auto="1"/>
      </left>
      <right style="thin">
        <color indexed="64"/>
      </right>
      <top/>
      <bottom/>
      <diagonal/>
    </border>
    <border>
      <left/>
      <right style="thin">
        <color indexed="64"/>
      </right>
      <top/>
      <bottom style="medium">
        <color auto="1"/>
      </bottom>
      <diagonal/>
    </border>
    <border>
      <left/>
      <right/>
      <top style="thin">
        <color auto="1"/>
      </top>
      <bottom style="dashed">
        <color indexed="64"/>
      </bottom>
      <diagonal/>
    </border>
    <border>
      <left/>
      <right/>
      <top style="dashed">
        <color indexed="64"/>
      </top>
      <bottom style="dashed">
        <color indexed="64"/>
      </bottom>
      <diagonal/>
    </border>
    <border>
      <left style="medium">
        <color auto="1"/>
      </left>
      <right style="dashed">
        <color indexed="64"/>
      </right>
      <top style="thin">
        <color auto="1"/>
      </top>
      <bottom/>
      <diagonal/>
    </border>
    <border>
      <left style="medium">
        <color auto="1"/>
      </left>
      <right style="dashed">
        <color indexed="64"/>
      </right>
      <top/>
      <bottom style="dashed">
        <color indexed="64"/>
      </bottom>
      <diagonal/>
    </border>
    <border>
      <left/>
      <right/>
      <top/>
      <bottom style="dashed">
        <color indexed="64"/>
      </bottom>
      <diagonal/>
    </border>
    <border>
      <left/>
      <right style="medium">
        <color auto="1"/>
      </right>
      <top/>
      <bottom style="dashed">
        <color indexed="64"/>
      </bottom>
      <diagonal/>
    </border>
    <border>
      <left style="medium">
        <color auto="1"/>
      </left>
      <right style="dashed">
        <color indexed="64"/>
      </right>
      <top style="dashed">
        <color indexed="64"/>
      </top>
      <bottom style="dashed">
        <color indexed="64"/>
      </bottom>
      <diagonal/>
    </border>
    <border>
      <left/>
      <right style="medium">
        <color auto="1"/>
      </right>
      <top style="dashed">
        <color indexed="64"/>
      </top>
      <bottom style="dashed">
        <color indexed="64"/>
      </bottom>
      <diagonal/>
    </border>
    <border>
      <left style="medium">
        <color indexed="64"/>
      </left>
      <right style="dashed">
        <color indexed="64"/>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s>
  <cellStyleXfs count="136">
    <xf numFmtId="0" fontId="0" fillId="0" borderId="0"/>
    <xf numFmtId="44"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9"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28" fillId="0" borderId="0"/>
    <xf numFmtId="0" fontId="32" fillId="0" borderId="0"/>
    <xf numFmtId="0" fontId="28" fillId="0" borderId="0"/>
    <xf numFmtId="43" fontId="28" fillId="0" borderId="0" applyFont="0" applyFill="0" applyBorder="0" applyAlignment="0" applyProtection="0"/>
    <xf numFmtId="44" fontId="28" fillId="0" borderId="0" applyFont="0" applyFill="0" applyBorder="0" applyAlignment="0" applyProtection="0"/>
    <xf numFmtId="0" fontId="50" fillId="0" borderId="0"/>
    <xf numFmtId="0" fontId="28" fillId="0" borderId="0"/>
    <xf numFmtId="9" fontId="28" fillId="0" borderId="0" applyFont="0" applyFill="0" applyBorder="0" applyAlignment="0" applyProtection="0"/>
    <xf numFmtId="44" fontId="28" fillId="0" borderId="0" applyFont="0" applyFill="0" applyBorder="0" applyAlignment="0" applyProtection="0"/>
    <xf numFmtId="0" fontId="52"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cellStyleXfs>
  <cellXfs count="924">
    <xf numFmtId="0" fontId="0" fillId="0" borderId="0" xfId="0"/>
    <xf numFmtId="0" fontId="6" fillId="0" borderId="0" xfId="0" applyFont="1"/>
    <xf numFmtId="0" fontId="0" fillId="0" borderId="0" xfId="0" applyAlignment="1">
      <alignment horizontal="right"/>
    </xf>
    <xf numFmtId="0" fontId="6" fillId="0" borderId="0" xfId="0" applyFont="1" applyAlignment="1">
      <alignment horizontal="center"/>
    </xf>
    <xf numFmtId="0" fontId="9" fillId="0" borderId="0" xfId="4"/>
    <xf numFmtId="0" fontId="0" fillId="0" borderId="6" xfId="0" applyBorder="1"/>
    <xf numFmtId="0" fontId="0" fillId="0" borderId="7" xfId="0" applyBorder="1"/>
    <xf numFmtId="0" fontId="0" fillId="0" borderId="8" xfId="0" applyBorder="1"/>
    <xf numFmtId="0" fontId="6" fillId="0" borderId="10" xfId="0" applyFont="1" applyBorder="1"/>
    <xf numFmtId="0" fontId="6" fillId="0" borderId="10" xfId="0" applyFont="1" applyBorder="1" applyAlignment="1">
      <alignment horizontal="right"/>
    </xf>
    <xf numFmtId="165" fontId="0" fillId="0" borderId="11" xfId="3" applyNumberFormat="1" applyFont="1" applyBorder="1"/>
    <xf numFmtId="165" fontId="0" fillId="0" borderId="19" xfId="3" applyNumberFormat="1" applyFont="1" applyBorder="1"/>
    <xf numFmtId="165" fontId="0" fillId="0" borderId="20" xfId="3" applyNumberFormat="1" applyFont="1" applyBorder="1"/>
    <xf numFmtId="165" fontId="0" fillId="0" borderId="34" xfId="3" applyNumberFormat="1" applyFont="1" applyBorder="1"/>
    <xf numFmtId="165" fontId="0" fillId="0" borderId="38" xfId="3" applyNumberFormat="1" applyFont="1" applyBorder="1"/>
    <xf numFmtId="165" fontId="0" fillId="0" borderId="26" xfId="3" applyNumberFormat="1" applyFont="1" applyBorder="1"/>
    <xf numFmtId="165" fontId="0" fillId="0" borderId="24" xfId="3" applyNumberFormat="1" applyFont="1" applyBorder="1"/>
    <xf numFmtId="165" fontId="0" fillId="0" borderId="18" xfId="3" applyNumberFormat="1" applyFont="1" applyBorder="1"/>
    <xf numFmtId="165" fontId="0" fillId="0" borderId="39" xfId="3" applyNumberFormat="1" applyFont="1" applyBorder="1"/>
    <xf numFmtId="165" fontId="6" fillId="0" borderId="33" xfId="3" applyNumberFormat="1" applyFont="1" applyBorder="1"/>
    <xf numFmtId="0" fontId="8" fillId="0" borderId="11" xfId="0" applyFont="1" applyBorder="1" applyAlignment="1">
      <alignment horizontal="center"/>
    </xf>
    <xf numFmtId="165" fontId="8" fillId="0" borderId="16" xfId="3" applyNumberFormat="1" applyFont="1" applyBorder="1"/>
    <xf numFmtId="0" fontId="8" fillId="0" borderId="13" xfId="0" applyFont="1" applyBorder="1" applyAlignment="1">
      <alignment horizontal="center"/>
    </xf>
    <xf numFmtId="165" fontId="8" fillId="0" borderId="17" xfId="3" applyNumberFormat="1" applyFont="1" applyBorder="1"/>
    <xf numFmtId="165" fontId="8" fillId="0" borderId="11" xfId="3" applyNumberFormat="1" applyFont="1" applyBorder="1"/>
    <xf numFmtId="165" fontId="8" fillId="0" borderId="12" xfId="3" applyNumberFormat="1" applyFont="1" applyBorder="1"/>
    <xf numFmtId="165" fontId="8" fillId="0" borderId="13" xfId="3" applyNumberFormat="1" applyFont="1" applyBorder="1"/>
    <xf numFmtId="165" fontId="8" fillId="0" borderId="15" xfId="3" applyNumberFormat="1" applyFont="1" applyBorder="1"/>
    <xf numFmtId="0" fontId="8" fillId="0" borderId="34" xfId="0" applyFont="1" applyBorder="1" applyAlignment="1">
      <alignment horizontal="center"/>
    </xf>
    <xf numFmtId="165" fontId="8" fillId="0" borderId="36" xfId="3" applyNumberFormat="1" applyFont="1" applyBorder="1"/>
    <xf numFmtId="165" fontId="8" fillId="0" borderId="34" xfId="3" applyNumberFormat="1" applyFont="1" applyBorder="1"/>
    <xf numFmtId="165" fontId="8" fillId="0" borderId="37" xfId="3" applyNumberFormat="1" applyFont="1" applyBorder="1"/>
    <xf numFmtId="0" fontId="10" fillId="0" borderId="19" xfId="3" applyNumberFormat="1" applyFont="1" applyBorder="1" applyAlignment="1">
      <alignment horizontal="center" vertical="center"/>
    </xf>
    <xf numFmtId="0" fontId="10" fillId="0" borderId="20" xfId="3" applyNumberFormat="1" applyFont="1" applyBorder="1" applyAlignment="1">
      <alignment horizontal="center" vertical="center"/>
    </xf>
    <xf numFmtId="0" fontId="10" fillId="0" borderId="38" xfId="3" applyNumberFormat="1" applyFont="1" applyBorder="1" applyAlignment="1">
      <alignment horizontal="center" vertical="center"/>
    </xf>
    <xf numFmtId="1" fontId="6" fillId="0" borderId="9" xfId="3" applyNumberFormat="1" applyFont="1" applyBorder="1" applyAlignment="1">
      <alignment horizontal="center"/>
    </xf>
    <xf numFmtId="0" fontId="8" fillId="0" borderId="32" xfId="3" applyNumberFormat="1" applyFont="1" applyBorder="1" applyAlignment="1">
      <alignment horizontal="center"/>
    </xf>
    <xf numFmtId="0" fontId="8" fillId="0" borderId="14" xfId="3" applyNumberFormat="1" applyFont="1" applyBorder="1" applyAlignment="1">
      <alignment horizontal="center"/>
    </xf>
    <xf numFmtId="0" fontId="8" fillId="0" borderId="35" xfId="3" applyNumberFormat="1" applyFont="1" applyBorder="1" applyAlignment="1">
      <alignment horizontal="center"/>
    </xf>
    <xf numFmtId="0" fontId="0" fillId="0" borderId="25" xfId="3" applyNumberFormat="1" applyFont="1" applyBorder="1" applyAlignment="1">
      <alignment horizontal="center"/>
    </xf>
    <xf numFmtId="14" fontId="0" fillId="0" borderId="0" xfId="0" applyNumberFormat="1"/>
    <xf numFmtId="165" fontId="0" fillId="0" borderId="0" xfId="0" applyNumberFormat="1"/>
    <xf numFmtId="43" fontId="0" fillId="0" borderId="0" xfId="0" applyNumberFormat="1"/>
    <xf numFmtId="9" fontId="8" fillId="0" borderId="3" xfId="2" applyFont="1" applyBorder="1" applyAlignment="1">
      <alignment horizontal="center"/>
    </xf>
    <xf numFmtId="9" fontId="8" fillId="0" borderId="9" xfId="2" applyFont="1" applyBorder="1" applyAlignment="1">
      <alignment horizontal="center"/>
    </xf>
    <xf numFmtId="37" fontId="0" fillId="0" borderId="1" xfId="0" applyNumberFormat="1" applyBorder="1"/>
    <xf numFmtId="37" fontId="0" fillId="0" borderId="40" xfId="0" applyNumberFormat="1" applyBorder="1"/>
    <xf numFmtId="37" fontId="6" fillId="0" borderId="3" xfId="0" applyNumberFormat="1" applyFont="1" applyBorder="1"/>
    <xf numFmtId="0" fontId="10" fillId="3" borderId="0" xfId="0" applyFont="1" applyFill="1" applyAlignment="1">
      <alignment horizontal="center"/>
    </xf>
    <xf numFmtId="164" fontId="0" fillId="0" borderId="0" xfId="1" applyNumberFormat="1" applyFont="1" applyBorder="1"/>
    <xf numFmtId="0" fontId="0" fillId="0" borderId="42" xfId="0" applyBorder="1"/>
    <xf numFmtId="0" fontId="6" fillId="0" borderId="8" xfId="0" applyFont="1" applyBorder="1"/>
    <xf numFmtId="0" fontId="0" fillId="0" borderId="9" xfId="0" applyBorder="1"/>
    <xf numFmtId="0" fontId="0" fillId="0" borderId="49" xfId="0" applyBorder="1"/>
    <xf numFmtId="166" fontId="8" fillId="0" borderId="47" xfId="2" applyNumberFormat="1" applyFont="1" applyBorder="1" applyAlignment="1">
      <alignment horizontal="center"/>
    </xf>
    <xf numFmtId="166" fontId="12" fillId="2" borderId="47" xfId="2" applyNumberFormat="1" applyFont="1" applyFill="1" applyBorder="1" applyAlignment="1">
      <alignment horizontal="center"/>
    </xf>
    <xf numFmtId="0" fontId="8" fillId="0" borderId="47" xfId="0" applyFont="1" applyBorder="1" applyAlignment="1">
      <alignment horizontal="center"/>
    </xf>
    <xf numFmtId="10" fontId="12" fillId="0" borderId="47" xfId="2" applyNumberFormat="1" applyFont="1" applyBorder="1" applyAlignment="1">
      <alignment horizontal="center"/>
    </xf>
    <xf numFmtId="0" fontId="0" fillId="0" borderId="47" xfId="0" applyBorder="1"/>
    <xf numFmtId="0" fontId="0" fillId="2" borderId="47" xfId="0" applyFill="1" applyBorder="1"/>
    <xf numFmtId="10" fontId="15" fillId="0" borderId="47" xfId="2" applyNumberFormat="1" applyFont="1" applyBorder="1" applyAlignment="1">
      <alignment horizontal="center"/>
    </xf>
    <xf numFmtId="0" fontId="0" fillId="0" borderId="51" xfId="0" applyBorder="1"/>
    <xf numFmtId="166" fontId="8" fillId="0" borderId="52" xfId="2" applyNumberFormat="1" applyFont="1" applyBorder="1" applyAlignment="1">
      <alignment horizontal="center"/>
    </xf>
    <xf numFmtId="0" fontId="0" fillId="2" borderId="51" xfId="0" applyFill="1" applyBorder="1"/>
    <xf numFmtId="166" fontId="12" fillId="2" borderId="52" xfId="2" applyNumberFormat="1" applyFont="1" applyFill="1" applyBorder="1" applyAlignment="1">
      <alignment horizontal="center"/>
    </xf>
    <xf numFmtId="0" fontId="8" fillId="0" borderId="52" xfId="0" applyFont="1" applyBorder="1" applyAlignment="1">
      <alignment horizontal="center"/>
    </xf>
    <xf numFmtId="10" fontId="12" fillId="0" borderId="52" xfId="2" applyNumberFormat="1" applyFont="1" applyBorder="1" applyAlignment="1">
      <alignment horizontal="center"/>
    </xf>
    <xf numFmtId="9" fontId="8" fillId="0" borderId="53" xfId="2" applyFont="1" applyFill="1" applyBorder="1"/>
    <xf numFmtId="9" fontId="8" fillId="0" borderId="53" xfId="2" applyFont="1" applyBorder="1" applyAlignment="1">
      <alignment horizontal="center"/>
    </xf>
    <xf numFmtId="0" fontId="0" fillId="0" borderId="51" xfId="0" applyBorder="1" applyAlignment="1">
      <alignment horizontal="left"/>
    </xf>
    <xf numFmtId="164" fontId="8" fillId="0" borderId="47" xfId="1" applyNumberFormat="1" applyFont="1" applyBorder="1"/>
    <xf numFmtId="164" fontId="8" fillId="0" borderId="52" xfId="1" applyNumberFormat="1" applyFont="1" applyBorder="1"/>
    <xf numFmtId="164" fontId="8" fillId="0" borderId="55" xfId="1" applyNumberFormat="1" applyFont="1" applyBorder="1"/>
    <xf numFmtId="164" fontId="8" fillId="0" borderId="56" xfId="1" applyNumberFormat="1" applyFont="1" applyBorder="1"/>
    <xf numFmtId="0" fontId="0" fillId="0" borderId="58" xfId="0" applyBorder="1"/>
    <xf numFmtId="0" fontId="0" fillId="0" borderId="59" xfId="0" applyBorder="1" applyAlignment="1">
      <alignment horizontal="right"/>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3" xfId="0" applyBorder="1"/>
    <xf numFmtId="164" fontId="0" fillId="0" borderId="52" xfId="1" applyNumberFormat="1" applyFont="1" applyBorder="1"/>
    <xf numFmtId="164" fontId="0" fillId="0" borderId="7" xfId="1" applyNumberFormat="1" applyFont="1" applyBorder="1"/>
    <xf numFmtId="164" fontId="0" fillId="0" borderId="47" xfId="1" applyNumberFormat="1" applyFont="1" applyBorder="1"/>
    <xf numFmtId="0" fontId="6" fillId="0" borderId="51" xfId="0" applyFont="1" applyBorder="1"/>
    <xf numFmtId="0" fontId="6" fillId="0" borderId="54" xfId="0" applyFont="1" applyBorder="1"/>
    <xf numFmtId="0" fontId="0" fillId="0" borderId="44" xfId="0" applyBorder="1"/>
    <xf numFmtId="0" fontId="0" fillId="0" borderId="66" xfId="0" applyBorder="1"/>
    <xf numFmtId="0" fontId="0" fillId="0" borderId="67" xfId="0" applyBorder="1"/>
    <xf numFmtId="37" fontId="0" fillId="0" borderId="0" xfId="0" applyNumberFormat="1"/>
    <xf numFmtId="37" fontId="0" fillId="0" borderId="47" xfId="0" applyNumberFormat="1" applyBorder="1"/>
    <xf numFmtId="0" fontId="0" fillId="4" borderId="6" xfId="0" applyFill="1" applyBorder="1" applyAlignment="1">
      <alignment horizontal="right"/>
    </xf>
    <xf numFmtId="37" fontId="0" fillId="0" borderId="69" xfId="0" applyNumberFormat="1" applyBorder="1"/>
    <xf numFmtId="37" fontId="0" fillId="0" borderId="60" xfId="0" applyNumberFormat="1" applyBorder="1"/>
    <xf numFmtId="37" fontId="0" fillId="0" borderId="70" xfId="0" applyNumberFormat="1" applyBorder="1"/>
    <xf numFmtId="37" fontId="6" fillId="0" borderId="71" xfId="0" applyNumberFormat="1" applyFont="1" applyBorder="1"/>
    <xf numFmtId="37" fontId="0" fillId="0" borderId="72" xfId="0" applyNumberFormat="1" applyBorder="1"/>
    <xf numFmtId="37" fontId="0" fillId="0" borderId="49" xfId="0" applyNumberFormat="1" applyBorder="1"/>
    <xf numFmtId="37" fontId="6" fillId="0" borderId="53" xfId="0" applyNumberFormat="1" applyFont="1" applyBorder="1"/>
    <xf numFmtId="0" fontId="11" fillId="2" borderId="73" xfId="0" applyFont="1" applyFill="1" applyBorder="1" applyAlignment="1">
      <alignment horizontal="center"/>
    </xf>
    <xf numFmtId="37" fontId="6" fillId="2" borderId="75" xfId="0" applyNumberFormat="1" applyFont="1" applyFill="1" applyBorder="1"/>
    <xf numFmtId="37" fontId="6" fillId="2" borderId="74" xfId="0" applyNumberFormat="1" applyFont="1" applyFill="1" applyBorder="1"/>
    <xf numFmtId="37" fontId="6" fillId="2" borderId="65" xfId="0" applyNumberFormat="1" applyFont="1" applyFill="1" applyBorder="1"/>
    <xf numFmtId="37" fontId="6" fillId="2" borderId="76" xfId="0" applyNumberFormat="1" applyFont="1" applyFill="1" applyBorder="1"/>
    <xf numFmtId="37" fontId="0" fillId="0" borderId="77" xfId="0" applyNumberFormat="1" applyBorder="1"/>
    <xf numFmtId="37" fontId="0" fillId="0" borderId="58" xfId="0" applyNumberFormat="1" applyBorder="1"/>
    <xf numFmtId="37" fontId="0" fillId="0" borderId="52" xfId="0" applyNumberFormat="1" applyBorder="1"/>
    <xf numFmtId="37" fontId="6" fillId="0" borderId="78" xfId="0" applyNumberFormat="1" applyFont="1" applyBorder="1"/>
    <xf numFmtId="0" fontId="13" fillId="0" borderId="0" xfId="0" applyFont="1"/>
    <xf numFmtId="0" fontId="0" fillId="0" borderId="0" xfId="0" applyAlignment="1">
      <alignment horizontal="center"/>
    </xf>
    <xf numFmtId="0" fontId="0" fillId="0" borderId="54" xfId="0" applyBorder="1"/>
    <xf numFmtId="0" fontId="0" fillId="4" borderId="6" xfId="0" applyFill="1" applyBorder="1" applyAlignment="1">
      <alignment horizontal="left"/>
    </xf>
    <xf numFmtId="0" fontId="0" fillId="4" borderId="42" xfId="0" applyFill="1" applyBorder="1" applyAlignment="1">
      <alignment horizontal="left"/>
    </xf>
    <xf numFmtId="0" fontId="0" fillId="0" borderId="3" xfId="0" applyBorder="1"/>
    <xf numFmtId="0" fontId="4" fillId="0" borderId="3" xfId="32" applyFont="1" applyBorder="1"/>
    <xf numFmtId="10" fontId="4" fillId="0" borderId="3" xfId="33" applyNumberFormat="1" applyFont="1" applyFill="1" applyBorder="1"/>
    <xf numFmtId="0" fontId="4" fillId="0" borderId="7" xfId="32" applyFont="1" applyBorder="1"/>
    <xf numFmtId="0" fontId="0" fillId="0" borderId="6" xfId="32" applyFont="1" applyBorder="1"/>
    <xf numFmtId="0" fontId="4" fillId="0" borderId="6" xfId="32" applyFont="1" applyBorder="1"/>
    <xf numFmtId="0" fontId="16" fillId="0" borderId="6" xfId="32" applyFont="1" applyBorder="1"/>
    <xf numFmtId="0" fontId="16" fillId="0" borderId="7" xfId="32" applyFont="1" applyBorder="1"/>
    <xf numFmtId="0" fontId="4" fillId="0" borderId="6" xfId="32" applyFont="1" applyBorder="1" applyAlignment="1">
      <alignment horizontal="left"/>
    </xf>
    <xf numFmtId="0" fontId="0" fillId="0" borderId="7" xfId="0" applyBorder="1" applyAlignment="1">
      <alignment horizontal="center"/>
    </xf>
    <xf numFmtId="0" fontId="14" fillId="0" borderId="7" xfId="0" applyFont="1" applyBorder="1" applyAlignment="1">
      <alignment horizontal="center"/>
    </xf>
    <xf numFmtId="0" fontId="16" fillId="0" borderId="6" xfId="32" applyFont="1" applyBorder="1" applyAlignment="1">
      <alignment horizontal="center"/>
    </xf>
    <xf numFmtId="0" fontId="22" fillId="0" borderId="7" xfId="32" applyFont="1" applyBorder="1" applyAlignment="1">
      <alignment horizontal="center"/>
    </xf>
    <xf numFmtId="0" fontId="22" fillId="0" borderId="6" xfId="32" applyFont="1" applyBorder="1" applyAlignment="1">
      <alignment horizontal="center"/>
    </xf>
    <xf numFmtId="0" fontId="6" fillId="4" borderId="43" xfId="0" applyFont="1" applyFill="1" applyBorder="1"/>
    <xf numFmtId="0" fontId="6" fillId="4" borderId="45" xfId="0" applyFont="1" applyFill="1" applyBorder="1"/>
    <xf numFmtId="0" fontId="5" fillId="0" borderId="6" xfId="32" applyBorder="1"/>
    <xf numFmtId="0" fontId="18" fillId="5" borderId="4" xfId="0" applyFont="1" applyFill="1" applyBorder="1" applyAlignment="1">
      <alignment horizontal="center"/>
    </xf>
    <xf numFmtId="0" fontId="18" fillId="5" borderId="10" xfId="0" applyFont="1" applyFill="1" applyBorder="1" applyAlignment="1">
      <alignment horizontal="center"/>
    </xf>
    <xf numFmtId="0" fontId="18" fillId="5" borderId="50" xfId="0" applyFont="1" applyFill="1" applyBorder="1" applyAlignment="1">
      <alignment horizontal="center"/>
    </xf>
    <xf numFmtId="0" fontId="18" fillId="5" borderId="5" xfId="0" applyFont="1" applyFill="1" applyBorder="1" applyAlignment="1">
      <alignment horizontal="center"/>
    </xf>
    <xf numFmtId="0" fontId="18" fillId="5" borderId="57" xfId="0" applyFont="1" applyFill="1" applyBorder="1" applyAlignment="1">
      <alignment horizontal="center"/>
    </xf>
    <xf numFmtId="169" fontId="18" fillId="5" borderId="10" xfId="0" applyNumberFormat="1" applyFont="1" applyFill="1" applyBorder="1" applyAlignment="1">
      <alignment horizontal="center"/>
    </xf>
    <xf numFmtId="0" fontId="0" fillId="5" borderId="4" xfId="0" applyFill="1" applyBorder="1" applyAlignment="1">
      <alignment horizontal="right"/>
    </xf>
    <xf numFmtId="0" fontId="0" fillId="5" borderId="6" xfId="0" applyFill="1" applyBorder="1" applyAlignment="1">
      <alignment horizontal="right"/>
    </xf>
    <xf numFmtId="169" fontId="18" fillId="5" borderId="50" xfId="0" applyNumberFormat="1" applyFont="1" applyFill="1" applyBorder="1" applyAlignment="1">
      <alignment horizontal="center"/>
    </xf>
    <xf numFmtId="169" fontId="18" fillId="5" borderId="68" xfId="0" applyNumberFormat="1" applyFont="1" applyFill="1" applyBorder="1" applyAlignment="1">
      <alignment horizontal="center"/>
    </xf>
    <xf numFmtId="169" fontId="18" fillId="5" borderId="79" xfId="0" applyNumberFormat="1" applyFont="1" applyFill="1" applyBorder="1" applyAlignment="1">
      <alignment horizontal="center"/>
    </xf>
    <xf numFmtId="169" fontId="18" fillId="5" borderId="57" xfId="0" applyNumberFormat="1" applyFont="1" applyFill="1" applyBorder="1" applyAlignment="1">
      <alignment horizontal="center"/>
    </xf>
    <xf numFmtId="0" fontId="20" fillId="5" borderId="4" xfId="0" applyFont="1" applyFill="1" applyBorder="1" applyAlignment="1">
      <alignment horizontal="center"/>
    </xf>
    <xf numFmtId="0" fontId="18" fillId="5" borderId="6" xfId="0" applyFont="1" applyFill="1" applyBorder="1" applyAlignment="1">
      <alignment horizontal="left"/>
    </xf>
    <xf numFmtId="0" fontId="18" fillId="5" borderId="42" xfId="0" applyFont="1" applyFill="1" applyBorder="1" applyAlignment="1">
      <alignment horizontal="left"/>
    </xf>
    <xf numFmtId="0" fontId="18" fillId="5" borderId="43" xfId="0" applyFont="1" applyFill="1" applyBorder="1" applyAlignment="1">
      <alignment horizontal="left"/>
    </xf>
    <xf numFmtId="0" fontId="18" fillId="5" borderId="45" xfId="0" applyFont="1" applyFill="1" applyBorder="1" applyAlignment="1">
      <alignment horizontal="left"/>
    </xf>
    <xf numFmtId="0" fontId="18" fillId="5" borderId="45" xfId="0" applyFont="1" applyFill="1" applyBorder="1" applyAlignment="1">
      <alignment horizontal="center"/>
    </xf>
    <xf numFmtId="0" fontId="16" fillId="5" borderId="1" xfId="32" applyFont="1" applyFill="1" applyBorder="1" applyAlignment="1">
      <alignment horizontal="center"/>
    </xf>
    <xf numFmtId="0" fontId="0" fillId="5" borderId="0" xfId="0" applyFill="1"/>
    <xf numFmtId="0" fontId="16" fillId="5" borderId="7" xfId="32" applyFont="1" applyFill="1" applyBorder="1"/>
    <xf numFmtId="164" fontId="0" fillId="0" borderId="70" xfId="1" applyNumberFormat="1" applyFont="1" applyBorder="1"/>
    <xf numFmtId="168" fontId="0" fillId="0" borderId="77" xfId="0" applyNumberFormat="1" applyBorder="1" applyAlignment="1">
      <alignment horizontal="center"/>
    </xf>
    <xf numFmtId="0" fontId="0" fillId="4" borderId="66" xfId="0" applyFill="1" applyBorder="1" applyAlignment="1">
      <alignment horizontal="left"/>
    </xf>
    <xf numFmtId="0" fontId="18" fillId="5" borderId="8" xfId="0" applyFont="1" applyFill="1" applyBorder="1" applyAlignment="1">
      <alignment horizontal="center" vertical="center"/>
    </xf>
    <xf numFmtId="0" fontId="18" fillId="5" borderId="6" xfId="0" applyFont="1" applyFill="1" applyBorder="1" applyAlignment="1">
      <alignment horizontal="center"/>
    </xf>
    <xf numFmtId="0" fontId="0" fillId="5" borderId="6" xfId="0" applyFill="1" applyBorder="1" applyAlignment="1">
      <alignment horizontal="center"/>
    </xf>
    <xf numFmtId="37" fontId="6" fillId="0" borderId="55" xfId="0" applyNumberFormat="1" applyFont="1" applyBorder="1"/>
    <xf numFmtId="37" fontId="6" fillId="0" borderId="41" xfId="0" applyNumberFormat="1" applyFont="1" applyBorder="1"/>
    <xf numFmtId="37" fontId="6" fillId="0" borderId="62" xfId="0" applyNumberFormat="1" applyFont="1" applyBorder="1"/>
    <xf numFmtId="37" fontId="6" fillId="2" borderId="64" xfId="0" applyNumberFormat="1" applyFont="1" applyFill="1" applyBorder="1"/>
    <xf numFmtId="37" fontId="6" fillId="0" borderId="56" xfId="0" applyNumberFormat="1" applyFont="1" applyBorder="1"/>
    <xf numFmtId="0" fontId="0" fillId="5" borderId="49" xfId="0" applyFill="1" applyBorder="1"/>
    <xf numFmtId="0" fontId="0" fillId="5" borderId="60" xfId="0" applyFill="1" applyBorder="1"/>
    <xf numFmtId="0" fontId="0" fillId="5" borderId="80" xfId="0" applyFill="1" applyBorder="1"/>
    <xf numFmtId="0" fontId="0" fillId="5" borderId="58" xfId="0" applyFill="1" applyBorder="1"/>
    <xf numFmtId="0" fontId="0" fillId="5" borderId="0" xfId="0" applyFill="1" applyAlignment="1">
      <alignment horizontal="center"/>
    </xf>
    <xf numFmtId="0" fontId="20" fillId="5" borderId="0" xfId="0" applyFont="1" applyFill="1" applyAlignment="1">
      <alignment horizontal="center"/>
    </xf>
    <xf numFmtId="14" fontId="18" fillId="5" borderId="1" xfId="0" applyNumberFormat="1" applyFont="1" applyFill="1" applyBorder="1" applyAlignment="1">
      <alignment horizontal="center"/>
    </xf>
    <xf numFmtId="167" fontId="18" fillId="5" borderId="72" xfId="0" applyNumberFormat="1" applyFont="1" applyFill="1" applyBorder="1" applyAlignment="1">
      <alignment horizontal="center"/>
    </xf>
    <xf numFmtId="167" fontId="18" fillId="5" borderId="1" xfId="0" applyNumberFormat="1" applyFont="1" applyFill="1" applyBorder="1" applyAlignment="1">
      <alignment horizontal="center"/>
    </xf>
    <xf numFmtId="167" fontId="18" fillId="5" borderId="69" xfId="0" applyNumberFormat="1" applyFont="1" applyFill="1" applyBorder="1" applyAlignment="1">
      <alignment horizontal="center"/>
    </xf>
    <xf numFmtId="167" fontId="6" fillId="2" borderId="75" xfId="0" applyNumberFormat="1" applyFont="1" applyFill="1" applyBorder="1" applyAlignment="1">
      <alignment horizontal="center"/>
    </xf>
    <xf numFmtId="167" fontId="18" fillId="5" borderId="81" xfId="0" applyNumberFormat="1" applyFont="1" applyFill="1" applyBorder="1" applyAlignment="1">
      <alignment horizontal="center"/>
    </xf>
    <xf numFmtId="167" fontId="18" fillId="5" borderId="77" xfId="0" applyNumberFormat="1" applyFont="1" applyFill="1" applyBorder="1" applyAlignment="1">
      <alignment horizontal="center"/>
    </xf>
    <xf numFmtId="14" fontId="0" fillId="5" borderId="42" xfId="0" applyNumberFormat="1" applyFill="1" applyBorder="1" applyAlignment="1">
      <alignment horizontal="right"/>
    </xf>
    <xf numFmtId="0" fontId="23" fillId="0" borderId="0" xfId="0" applyFont="1"/>
    <xf numFmtId="166" fontId="0" fillId="0" borderId="0" xfId="0" applyNumberFormat="1"/>
    <xf numFmtId="172" fontId="6" fillId="0" borderId="0" xfId="0" applyNumberFormat="1" applyFont="1" applyAlignment="1">
      <alignment horizontal="center"/>
    </xf>
    <xf numFmtId="172" fontId="25" fillId="0" borderId="0" xfId="0" applyNumberFormat="1" applyFont="1" applyAlignment="1">
      <alignment horizontal="center"/>
    </xf>
    <xf numFmtId="0" fontId="26" fillId="5" borderId="73" xfId="0" applyFont="1" applyFill="1" applyBorder="1" applyAlignment="1">
      <alignment horizontal="center"/>
    </xf>
    <xf numFmtId="167" fontId="18" fillId="5" borderId="75" xfId="0" applyNumberFormat="1" applyFont="1" applyFill="1" applyBorder="1" applyAlignment="1">
      <alignment horizontal="center"/>
    </xf>
    <xf numFmtId="0" fontId="20" fillId="5" borderId="74" xfId="0" applyFont="1" applyFill="1" applyBorder="1"/>
    <xf numFmtId="0" fontId="18" fillId="5" borderId="73" xfId="0" applyFont="1" applyFill="1" applyBorder="1" applyAlignment="1">
      <alignment horizontal="center"/>
    </xf>
    <xf numFmtId="0" fontId="20" fillId="5" borderId="66" xfId="0" applyFont="1" applyFill="1" applyBorder="1" applyAlignment="1">
      <alignment horizontal="left"/>
    </xf>
    <xf numFmtId="0" fontId="0" fillId="0" borderId="84" xfId="0" applyBorder="1"/>
    <xf numFmtId="0" fontId="0" fillId="0" borderId="0" xfId="0" applyAlignment="1">
      <alignment horizontal="left" wrapText="1"/>
    </xf>
    <xf numFmtId="0" fontId="3" fillId="0" borderId="2" xfId="32" applyFont="1" applyBorder="1"/>
    <xf numFmtId="168" fontId="3" fillId="0" borderId="2" xfId="32" applyNumberFormat="1" applyFont="1" applyBorder="1"/>
    <xf numFmtId="0" fontId="9" fillId="0" borderId="0" xfId="4" applyFill="1"/>
    <xf numFmtId="0" fontId="29" fillId="7" borderId="0" xfId="69" applyFont="1" applyFill="1"/>
    <xf numFmtId="0" fontId="30" fillId="7" borderId="0" xfId="69" applyFont="1" applyFill="1"/>
    <xf numFmtId="0" fontId="0" fillId="7" borderId="0" xfId="0" applyFill="1"/>
    <xf numFmtId="0" fontId="0" fillId="7" borderId="0" xfId="0" applyFill="1" applyAlignment="1">
      <alignment horizontal="right"/>
    </xf>
    <xf numFmtId="0" fontId="31" fillId="7" borderId="0" xfId="69" applyFont="1" applyFill="1" applyAlignment="1">
      <alignment vertical="top"/>
    </xf>
    <xf numFmtId="0" fontId="30" fillId="7" borderId="0" xfId="0" applyFont="1" applyFill="1"/>
    <xf numFmtId="0" fontId="30" fillId="7" borderId="0" xfId="0" applyFont="1" applyFill="1" applyAlignment="1">
      <alignment horizontal="center"/>
    </xf>
    <xf numFmtId="0" fontId="33" fillId="7" borderId="0" xfId="70" applyFont="1" applyFill="1"/>
    <xf numFmtId="0" fontId="33" fillId="7" borderId="0" xfId="69" applyFont="1" applyFill="1" applyAlignment="1">
      <alignment vertical="top" wrapText="1"/>
    </xf>
    <xf numFmtId="9" fontId="30" fillId="7" borderId="0" xfId="0" applyNumberFormat="1" applyFont="1" applyFill="1" applyAlignment="1">
      <alignment horizontal="center"/>
    </xf>
    <xf numFmtId="0" fontId="33" fillId="7" borderId="0" xfId="70" applyFont="1" applyFill="1" applyAlignment="1">
      <alignment vertical="top"/>
    </xf>
    <xf numFmtId="165" fontId="30" fillId="7" borderId="0" xfId="71" applyNumberFormat="1" applyFont="1" applyFill="1" applyAlignment="1">
      <alignment horizontal="center"/>
    </xf>
    <xf numFmtId="0" fontId="33" fillId="7" borderId="0" xfId="0" applyFont="1" applyFill="1" applyAlignment="1">
      <alignment horizontal="right"/>
    </xf>
    <xf numFmtId="0" fontId="33" fillId="7" borderId="0" xfId="69" applyFont="1" applyFill="1"/>
    <xf numFmtId="165" fontId="33" fillId="7" borderId="0" xfId="71" applyNumberFormat="1" applyFont="1" applyFill="1" applyAlignment="1">
      <alignment horizontal="center"/>
    </xf>
    <xf numFmtId="0" fontId="33" fillId="7" borderId="0" xfId="0" applyFont="1" applyFill="1"/>
    <xf numFmtId="169" fontId="33" fillId="7" borderId="0" xfId="70" applyNumberFormat="1" applyFont="1" applyFill="1" applyAlignment="1">
      <alignment horizontal="right"/>
    </xf>
    <xf numFmtId="169" fontId="33" fillId="7" borderId="0" xfId="70" applyNumberFormat="1" applyFont="1" applyFill="1"/>
    <xf numFmtId="0" fontId="34" fillId="7" borderId="0" xfId="69" applyFont="1" applyFill="1" applyAlignment="1">
      <alignment horizontal="center"/>
    </xf>
    <xf numFmtId="0" fontId="34" fillId="7" borderId="0" xfId="69" applyFont="1" applyFill="1"/>
    <xf numFmtId="6" fontId="34" fillId="2" borderId="0" xfId="69" applyNumberFormat="1" applyFont="1" applyFill="1" applyAlignment="1">
      <alignment horizontal="center"/>
    </xf>
    <xf numFmtId="38" fontId="34" fillId="7" borderId="0" xfId="69" applyNumberFormat="1" applyFont="1" applyFill="1"/>
    <xf numFmtId="0" fontId="33" fillId="2" borderId="0" xfId="69" applyFont="1" applyFill="1" applyAlignment="1">
      <alignment horizontal="center"/>
    </xf>
    <xf numFmtId="38" fontId="33" fillId="7" borderId="0" xfId="71" applyNumberFormat="1" applyFont="1" applyFill="1" applyAlignment="1">
      <alignment horizontal="center"/>
    </xf>
    <xf numFmtId="38" fontId="33" fillId="7" borderId="0" xfId="0" applyNumberFormat="1" applyFont="1" applyFill="1"/>
    <xf numFmtId="0" fontId="35" fillId="7" borderId="0" xfId="69" applyFont="1" applyFill="1"/>
    <xf numFmtId="0" fontId="34" fillId="2" borderId="0" xfId="69" applyFont="1" applyFill="1" applyAlignment="1">
      <alignment horizontal="center"/>
    </xf>
    <xf numFmtId="38" fontId="34" fillId="7" borderId="0" xfId="69" applyNumberFormat="1" applyFont="1" applyFill="1" applyAlignment="1">
      <alignment horizontal="center"/>
    </xf>
    <xf numFmtId="0" fontId="33" fillId="7" borderId="0" xfId="69" applyFont="1" applyFill="1" applyAlignment="1">
      <alignment horizontal="left" indent="1"/>
    </xf>
    <xf numFmtId="10" fontId="36" fillId="7" borderId="0" xfId="71" applyNumberFormat="1" applyFont="1" applyFill="1" applyAlignment="1">
      <alignment horizontal="center"/>
    </xf>
    <xf numFmtId="6" fontId="33" fillId="7" borderId="0" xfId="69" applyNumberFormat="1" applyFont="1" applyFill="1"/>
    <xf numFmtId="38" fontId="33" fillId="8" borderId="0" xfId="72" applyNumberFormat="1" applyFont="1" applyFill="1"/>
    <xf numFmtId="10" fontId="33" fillId="7" borderId="0" xfId="71" applyNumberFormat="1" applyFont="1" applyFill="1" applyAlignment="1">
      <alignment horizontal="center"/>
    </xf>
    <xf numFmtId="9" fontId="34" fillId="7" borderId="0" xfId="69" applyNumberFormat="1" applyFont="1" applyFill="1"/>
    <xf numFmtId="6" fontId="33" fillId="2" borderId="0" xfId="69" applyNumberFormat="1" applyFont="1" applyFill="1"/>
    <xf numFmtId="6" fontId="33" fillId="7" borderId="0" xfId="72" applyNumberFormat="1" applyFont="1" applyFill="1"/>
    <xf numFmtId="0" fontId="34" fillId="0" borderId="0" xfId="0" applyFont="1" applyAlignment="1">
      <alignment horizontal="right"/>
    </xf>
    <xf numFmtId="168" fontId="34" fillId="7" borderId="0" xfId="69" applyNumberFormat="1" applyFont="1" applyFill="1"/>
    <xf numFmtId="10" fontId="36" fillId="7" borderId="0" xfId="69" applyNumberFormat="1" applyFont="1" applyFill="1" applyAlignment="1">
      <alignment horizontal="center"/>
    </xf>
    <xf numFmtId="6" fontId="37" fillId="2" borderId="0" xfId="69" applyNumberFormat="1" applyFont="1" applyFill="1"/>
    <xf numFmtId="6" fontId="37" fillId="7" borderId="0" xfId="69" applyNumberFormat="1" applyFont="1" applyFill="1"/>
    <xf numFmtId="0" fontId="38" fillId="0" borderId="0" xfId="0" applyFont="1" applyAlignment="1">
      <alignment horizontal="right"/>
    </xf>
    <xf numFmtId="0" fontId="33" fillId="7" borderId="61" xfId="69" applyFont="1" applyFill="1" applyBorder="1"/>
    <xf numFmtId="10" fontId="33" fillId="7" borderId="2" xfId="69" applyNumberFormat="1" applyFont="1" applyFill="1" applyBorder="1"/>
    <xf numFmtId="10" fontId="33" fillId="7" borderId="2" xfId="69" applyNumberFormat="1" applyFont="1" applyFill="1" applyBorder="1" applyAlignment="1">
      <alignment horizontal="center"/>
    </xf>
    <xf numFmtId="6" fontId="33" fillId="2" borderId="2" xfId="69" applyNumberFormat="1" applyFont="1" applyFill="1" applyBorder="1"/>
    <xf numFmtId="6" fontId="33" fillId="7" borderId="2" xfId="69" applyNumberFormat="1" applyFont="1" applyFill="1" applyBorder="1"/>
    <xf numFmtId="38" fontId="33" fillId="9" borderId="2" xfId="72" applyNumberFormat="1" applyFont="1" applyFill="1" applyBorder="1"/>
    <xf numFmtId="38" fontId="33" fillId="9" borderId="89" xfId="72" applyNumberFormat="1" applyFont="1" applyFill="1" applyBorder="1"/>
    <xf numFmtId="0" fontId="33" fillId="0" borderId="0" xfId="0" applyFont="1" applyAlignment="1">
      <alignment horizontal="right"/>
    </xf>
    <xf numFmtId="0" fontId="33" fillId="7" borderId="60" xfId="69" applyFont="1" applyFill="1" applyBorder="1"/>
    <xf numFmtId="10" fontId="33" fillId="7" borderId="0" xfId="69" applyNumberFormat="1" applyFont="1" applyFill="1"/>
    <xf numFmtId="6" fontId="34" fillId="7" borderId="0" xfId="69" applyNumberFormat="1" applyFont="1" applyFill="1"/>
    <xf numFmtId="38" fontId="33" fillId="9" borderId="0" xfId="72" applyNumberFormat="1" applyFont="1" applyFill="1" applyBorder="1"/>
    <xf numFmtId="38" fontId="33" fillId="9" borderId="80" xfId="72" applyNumberFormat="1" applyFont="1" applyFill="1" applyBorder="1"/>
    <xf numFmtId="6" fontId="34" fillId="7" borderId="1" xfId="69" applyNumberFormat="1" applyFont="1" applyFill="1" applyBorder="1"/>
    <xf numFmtId="38" fontId="33" fillId="9" borderId="1" xfId="72" applyNumberFormat="1" applyFont="1" applyFill="1" applyBorder="1"/>
    <xf numFmtId="38" fontId="33" fillId="9" borderId="81" xfId="72" applyNumberFormat="1" applyFont="1" applyFill="1" applyBorder="1"/>
    <xf numFmtId="6" fontId="36" fillId="7" borderId="0" xfId="69" applyNumberFormat="1" applyFont="1" applyFill="1"/>
    <xf numFmtId="6" fontId="33" fillId="2" borderId="0" xfId="69" applyNumberFormat="1" applyFont="1" applyFill="1" applyAlignment="1">
      <alignment horizontal="center"/>
    </xf>
    <xf numFmtId="38" fontId="33" fillId="7" borderId="0" xfId="72" applyNumberFormat="1" applyFont="1" applyFill="1" applyBorder="1"/>
    <xf numFmtId="38" fontId="33" fillId="7" borderId="80" xfId="72" applyNumberFormat="1" applyFont="1" applyFill="1" applyBorder="1"/>
    <xf numFmtId="9" fontId="39" fillId="7" borderId="0" xfId="69" applyNumberFormat="1" applyFont="1" applyFill="1"/>
    <xf numFmtId="6" fontId="40" fillId="7" borderId="0" xfId="69" applyNumberFormat="1" applyFont="1" applyFill="1"/>
    <xf numFmtId="0" fontId="34" fillId="7" borderId="60" xfId="69" applyFont="1" applyFill="1" applyBorder="1"/>
    <xf numFmtId="10" fontId="34" fillId="7" borderId="0" xfId="69" applyNumberFormat="1" applyFont="1" applyFill="1"/>
    <xf numFmtId="38" fontId="34" fillId="7" borderId="0" xfId="72" applyNumberFormat="1" applyFont="1" applyFill="1" applyBorder="1"/>
    <xf numFmtId="38" fontId="34" fillId="7" borderId="80" xfId="72" applyNumberFormat="1" applyFont="1" applyFill="1" applyBorder="1"/>
    <xf numFmtId="0" fontId="34" fillId="7" borderId="69" xfId="69" applyFont="1" applyFill="1" applyBorder="1"/>
    <xf numFmtId="10" fontId="34" fillId="7" borderId="1" xfId="69" applyNumberFormat="1" applyFont="1" applyFill="1" applyBorder="1"/>
    <xf numFmtId="6" fontId="34" fillId="2" borderId="1" xfId="69" applyNumberFormat="1" applyFont="1" applyFill="1" applyBorder="1" applyAlignment="1">
      <alignment horizontal="center"/>
    </xf>
    <xf numFmtId="38" fontId="34" fillId="9" borderId="1" xfId="72" applyNumberFormat="1" applyFont="1" applyFill="1" applyBorder="1"/>
    <xf numFmtId="38" fontId="34" fillId="9" borderId="81" xfId="72" applyNumberFormat="1" applyFont="1" applyFill="1" applyBorder="1"/>
    <xf numFmtId="0" fontId="41" fillId="7" borderId="0" xfId="69" applyFont="1" applyFill="1"/>
    <xf numFmtId="10" fontId="34" fillId="7" borderId="2" xfId="69" applyNumberFormat="1" applyFont="1" applyFill="1" applyBorder="1"/>
    <xf numFmtId="10" fontId="41" fillId="7" borderId="0" xfId="72" applyNumberFormat="1" applyFont="1" applyFill="1" applyBorder="1"/>
    <xf numFmtId="10" fontId="34" fillId="7" borderId="0" xfId="69" applyNumberFormat="1" applyFont="1" applyFill="1" applyAlignment="1">
      <alignment horizontal="right"/>
    </xf>
    <xf numFmtId="10" fontId="34" fillId="7" borderId="0" xfId="69" applyNumberFormat="1" applyFont="1" applyFill="1" applyAlignment="1">
      <alignment horizontal="center"/>
    </xf>
    <xf numFmtId="6" fontId="33" fillId="7" borderId="0" xfId="69" applyNumberFormat="1" applyFont="1" applyFill="1" applyAlignment="1">
      <alignment horizontal="right"/>
    </xf>
    <xf numFmtId="38" fontId="33" fillId="7" borderId="0" xfId="72" quotePrefix="1" applyNumberFormat="1" applyFont="1" applyFill="1"/>
    <xf numFmtId="38" fontId="33" fillId="7" borderId="0" xfId="72" applyNumberFormat="1" applyFont="1" applyFill="1"/>
    <xf numFmtId="0" fontId="34" fillId="7" borderId="0" xfId="69" applyFont="1" applyFill="1" applyAlignment="1">
      <alignment horizontal="right"/>
    </xf>
    <xf numFmtId="6" fontId="37" fillId="2" borderId="0" xfId="69" applyNumberFormat="1" applyFont="1" applyFill="1" applyAlignment="1">
      <alignment horizontal="center"/>
    </xf>
    <xf numFmtId="6" fontId="37" fillId="7" borderId="0" xfId="69" applyNumberFormat="1" applyFont="1" applyFill="1" applyAlignment="1">
      <alignment horizontal="right"/>
    </xf>
    <xf numFmtId="6" fontId="33" fillId="2" borderId="2" xfId="69" applyNumberFormat="1" applyFont="1" applyFill="1" applyBorder="1" applyAlignment="1">
      <alignment horizontal="center"/>
    </xf>
    <xf numFmtId="10" fontId="36" fillId="7" borderId="0" xfId="69" applyNumberFormat="1" applyFont="1" applyFill="1"/>
    <xf numFmtId="10" fontId="34" fillId="7" borderId="0" xfId="69" applyNumberFormat="1" applyFont="1" applyFill="1" applyAlignment="1">
      <alignment horizontal="left"/>
    </xf>
    <xf numFmtId="9" fontId="34" fillId="7" borderId="2" xfId="69" applyNumberFormat="1" applyFont="1" applyFill="1" applyBorder="1"/>
    <xf numFmtId="6" fontId="34" fillId="2" borderId="2" xfId="69" applyNumberFormat="1" applyFont="1" applyFill="1" applyBorder="1" applyAlignment="1">
      <alignment horizontal="center"/>
    </xf>
    <xf numFmtId="0" fontId="34" fillId="7" borderId="1" xfId="69" applyFont="1" applyFill="1" applyBorder="1"/>
    <xf numFmtId="9" fontId="33" fillId="7" borderId="0" xfId="69" applyNumberFormat="1" applyFont="1" applyFill="1"/>
    <xf numFmtId="0" fontId="42" fillId="7" borderId="0" xfId="69" applyFont="1" applyFill="1"/>
    <xf numFmtId="174" fontId="33" fillId="7" borderId="0" xfId="69" applyNumberFormat="1" applyFont="1" applyFill="1" applyAlignment="1">
      <alignment horizontal="center"/>
    </xf>
    <xf numFmtId="175" fontId="33" fillId="7" borderId="0" xfId="69" applyNumberFormat="1" applyFont="1" applyFill="1" applyAlignment="1">
      <alignment horizontal="center"/>
    </xf>
    <xf numFmtId="0" fontId="33" fillId="7" borderId="61" xfId="69" applyFont="1" applyFill="1" applyBorder="1" applyAlignment="1">
      <alignment horizontal="left"/>
    </xf>
    <xf numFmtId="6" fontId="33" fillId="7" borderId="89" xfId="72" applyNumberFormat="1" applyFont="1" applyFill="1" applyBorder="1" applyAlignment="1">
      <alignment horizontal="right"/>
    </xf>
    <xf numFmtId="0" fontId="33" fillId="7" borderId="60" xfId="69" applyFont="1" applyFill="1" applyBorder="1" applyAlignment="1">
      <alignment horizontal="left"/>
    </xf>
    <xf numFmtId="6" fontId="33" fillId="7" borderId="80" xfId="72" applyNumberFormat="1" applyFont="1" applyFill="1" applyBorder="1" applyAlignment="1">
      <alignment horizontal="right"/>
    </xf>
    <xf numFmtId="38" fontId="33" fillId="7" borderId="1" xfId="72" applyNumberFormat="1" applyFont="1" applyFill="1" applyBorder="1"/>
    <xf numFmtId="6" fontId="34" fillId="7" borderId="0" xfId="72" applyNumberFormat="1" applyFont="1" applyFill="1"/>
    <xf numFmtId="10" fontId="33" fillId="7" borderId="80" xfId="69" applyNumberFormat="1" applyFont="1" applyFill="1" applyBorder="1" applyAlignment="1">
      <alignment horizontal="right"/>
    </xf>
    <xf numFmtId="0" fontId="33" fillId="7" borderId="69" xfId="69" applyFont="1" applyFill="1" applyBorder="1" applyAlignment="1">
      <alignment horizontal="left"/>
    </xf>
    <xf numFmtId="176" fontId="33" fillId="7" borderId="81" xfId="73" applyNumberFormat="1" applyFont="1" applyFill="1" applyBorder="1" applyAlignment="1">
      <alignment horizontal="right"/>
    </xf>
    <xf numFmtId="165" fontId="34" fillId="7" borderId="0" xfId="72" applyNumberFormat="1" applyFont="1" applyFill="1" applyBorder="1"/>
    <xf numFmtId="6" fontId="34" fillId="7" borderId="0" xfId="72" applyNumberFormat="1" applyFont="1" applyFill="1" applyBorder="1"/>
    <xf numFmtId="0" fontId="33" fillId="7" borderId="0" xfId="0" applyFont="1" applyFill="1" applyAlignment="1">
      <alignment horizontal="center"/>
    </xf>
    <xf numFmtId="0" fontId="34" fillId="7" borderId="0" xfId="69" applyFont="1" applyFill="1" applyAlignment="1">
      <alignment horizontal="left"/>
    </xf>
    <xf numFmtId="176" fontId="34" fillId="7" borderId="0" xfId="73" applyNumberFormat="1" applyFont="1" applyFill="1" applyBorder="1"/>
    <xf numFmtId="6" fontId="34" fillId="7" borderId="0" xfId="73" applyNumberFormat="1" applyFont="1" applyFill="1" applyBorder="1"/>
    <xf numFmtId="0" fontId="33" fillId="7" borderId="0" xfId="69" applyFont="1" applyFill="1" applyAlignment="1">
      <alignment horizontal="center"/>
    </xf>
    <xf numFmtId="6" fontId="33" fillId="7" borderId="89" xfId="69" applyNumberFormat="1" applyFont="1" applyFill="1" applyBorder="1" applyAlignment="1">
      <alignment horizontal="right"/>
    </xf>
    <xf numFmtId="38" fontId="33" fillId="9" borderId="0" xfId="72" applyNumberFormat="1" applyFont="1" applyFill="1"/>
    <xf numFmtId="6" fontId="33" fillId="7" borderId="80" xfId="69" applyNumberFormat="1" applyFont="1" applyFill="1" applyBorder="1" applyAlignment="1">
      <alignment horizontal="right"/>
    </xf>
    <xf numFmtId="6" fontId="43" fillId="7" borderId="80" xfId="69" applyNumberFormat="1" applyFont="1" applyFill="1" applyBorder="1" applyAlignment="1">
      <alignment horizontal="right"/>
    </xf>
    <xf numFmtId="6" fontId="33" fillId="7" borderId="1" xfId="69" applyNumberFormat="1" applyFont="1" applyFill="1" applyBorder="1"/>
    <xf numFmtId="6" fontId="34" fillId="9" borderId="0" xfId="72" applyNumberFormat="1" applyFont="1" applyFill="1"/>
    <xf numFmtId="165" fontId="33" fillId="7" borderId="0" xfId="72" applyNumberFormat="1" applyFont="1" applyFill="1"/>
    <xf numFmtId="5" fontId="33" fillId="7" borderId="89" xfId="69" applyNumberFormat="1" applyFont="1" applyFill="1" applyBorder="1" applyAlignment="1">
      <alignment horizontal="right"/>
    </xf>
    <xf numFmtId="5" fontId="34" fillId="7" borderId="0" xfId="69" applyNumberFormat="1" applyFont="1" applyFill="1" applyAlignment="1">
      <alignment horizontal="center"/>
    </xf>
    <xf numFmtId="43" fontId="44" fillId="7" borderId="0" xfId="69" applyNumberFormat="1" applyFont="1" applyFill="1"/>
    <xf numFmtId="43" fontId="45" fillId="7" borderId="0" xfId="69" applyNumberFormat="1" applyFont="1" applyFill="1" applyAlignment="1">
      <alignment horizontal="right"/>
    </xf>
    <xf numFmtId="6" fontId="33" fillId="9" borderId="0" xfId="69" applyNumberFormat="1" applyFont="1" applyFill="1"/>
    <xf numFmtId="0" fontId="33" fillId="7" borderId="69" xfId="69" applyFont="1" applyFill="1" applyBorder="1"/>
    <xf numFmtId="0" fontId="33" fillId="7" borderId="81" xfId="69" applyFont="1" applyFill="1" applyBorder="1"/>
    <xf numFmtId="0" fontId="44" fillId="7" borderId="0" xfId="69" applyFont="1" applyFill="1"/>
    <xf numFmtId="0" fontId="45" fillId="7" borderId="0" xfId="69" applyFont="1" applyFill="1"/>
    <xf numFmtId="0" fontId="33" fillId="7" borderId="0" xfId="69" applyFont="1" applyFill="1" applyAlignment="1">
      <alignment horizontal="right"/>
    </xf>
    <xf numFmtId="10" fontId="33" fillId="7" borderId="0" xfId="69" applyNumberFormat="1" applyFont="1" applyFill="1" applyAlignment="1">
      <alignment horizontal="center"/>
    </xf>
    <xf numFmtId="38" fontId="33" fillId="9" borderId="0" xfId="69" applyNumberFormat="1" applyFont="1" applyFill="1"/>
    <xf numFmtId="10" fontId="30" fillId="7" borderId="0" xfId="69" applyNumberFormat="1" applyFont="1" applyFill="1"/>
    <xf numFmtId="0" fontId="46" fillId="7" borderId="0" xfId="0" applyFont="1" applyFill="1"/>
    <xf numFmtId="9" fontId="33" fillId="7" borderId="0" xfId="2" applyFont="1" applyFill="1" applyAlignment="1">
      <alignment horizontal="center"/>
    </xf>
    <xf numFmtId="10" fontId="33" fillId="7" borderId="0" xfId="69" applyNumberFormat="1" applyFont="1" applyFill="1" applyAlignment="1">
      <alignment horizontal="left"/>
    </xf>
    <xf numFmtId="177" fontId="33" fillId="7" borderId="0" xfId="69" applyNumberFormat="1" applyFont="1" applyFill="1" applyAlignment="1">
      <alignment horizontal="left"/>
    </xf>
    <xf numFmtId="6" fontId="33" fillId="7" borderId="0" xfId="69" applyNumberFormat="1" applyFont="1" applyFill="1" applyAlignment="1">
      <alignment horizontal="center"/>
    </xf>
    <xf numFmtId="0" fontId="35" fillId="7" borderId="0" xfId="69" applyFont="1" applyFill="1" applyAlignment="1">
      <alignment horizontal="right"/>
    </xf>
    <xf numFmtId="6" fontId="35" fillId="7" borderId="0" xfId="69" applyNumberFormat="1" applyFont="1" applyFill="1" applyAlignment="1">
      <alignment horizontal="center"/>
    </xf>
    <xf numFmtId="9" fontId="35" fillId="7" borderId="0" xfId="2" applyFont="1" applyFill="1" applyAlignment="1">
      <alignment horizontal="center"/>
    </xf>
    <xf numFmtId="6" fontId="34" fillId="7" borderId="0" xfId="69" applyNumberFormat="1" applyFont="1" applyFill="1" applyAlignment="1">
      <alignment horizontal="center"/>
    </xf>
    <xf numFmtId="9" fontId="34" fillId="7" borderId="0" xfId="69" applyNumberFormat="1" applyFont="1" applyFill="1" applyAlignment="1">
      <alignment horizontal="center"/>
    </xf>
    <xf numFmtId="0" fontId="41" fillId="7" borderId="0" xfId="69" applyFont="1" applyFill="1" applyAlignment="1">
      <alignment horizontal="right"/>
    </xf>
    <xf numFmtId="0" fontId="47" fillId="7" borderId="0" xfId="69" applyFont="1" applyFill="1" applyAlignment="1">
      <alignment horizontal="left" indent="2"/>
    </xf>
    <xf numFmtId="0" fontId="35" fillId="7" borderId="0" xfId="74" applyFont="1" applyFill="1"/>
    <xf numFmtId="0" fontId="31" fillId="7" borderId="0" xfId="75" applyFont="1" applyFill="1" applyAlignment="1">
      <alignment horizontal="left"/>
    </xf>
    <xf numFmtId="0" fontId="33" fillId="7" borderId="0" xfId="75" applyFont="1" applyFill="1"/>
    <xf numFmtId="0" fontId="51" fillId="7" borderId="0" xfId="75" applyFont="1" applyFill="1"/>
    <xf numFmtId="178" fontId="40" fillId="7" borderId="0" xfId="74" applyNumberFormat="1" applyFont="1" applyFill="1" applyAlignment="1">
      <alignment horizontal="right"/>
    </xf>
    <xf numFmtId="0" fontId="34" fillId="7" borderId="0" xfId="75" applyFont="1" applyFill="1"/>
    <xf numFmtId="0" fontId="33" fillId="7" borderId="2" xfId="75" applyFont="1" applyFill="1" applyBorder="1"/>
    <xf numFmtId="6" fontId="33" fillId="7" borderId="89" xfId="74" applyNumberFormat="1" applyFont="1" applyFill="1" applyBorder="1" applyAlignment="1">
      <alignment horizontal="right"/>
    </xf>
    <xf numFmtId="0" fontId="33" fillId="7" borderId="60" xfId="74" applyFont="1" applyFill="1" applyBorder="1"/>
    <xf numFmtId="0" fontId="33" fillId="7" borderId="0" xfId="74" applyFont="1" applyFill="1"/>
    <xf numFmtId="0" fontId="33" fillId="7" borderId="60" xfId="74" applyFont="1" applyFill="1" applyBorder="1" applyAlignment="1">
      <alignment horizontal="left"/>
    </xf>
    <xf numFmtId="10" fontId="33" fillId="7" borderId="0" xfId="74" applyNumberFormat="1" applyFont="1" applyFill="1"/>
    <xf numFmtId="6" fontId="33" fillId="10" borderId="80" xfId="74" applyNumberFormat="1" applyFont="1" applyFill="1" applyBorder="1" applyAlignment="1">
      <alignment horizontal="right"/>
    </xf>
    <xf numFmtId="0" fontId="33" fillId="7" borderId="69" xfId="74" applyFont="1" applyFill="1" applyBorder="1" applyAlignment="1">
      <alignment horizontal="left"/>
    </xf>
    <xf numFmtId="0" fontId="33" fillId="7" borderId="1" xfId="74" applyFont="1" applyFill="1" applyBorder="1"/>
    <xf numFmtId="0" fontId="33" fillId="7" borderId="1" xfId="75" applyFont="1" applyFill="1" applyBorder="1"/>
    <xf numFmtId="6" fontId="33" fillId="10" borderId="81" xfId="74" applyNumberFormat="1" applyFont="1" applyFill="1" applyBorder="1" applyAlignment="1">
      <alignment horizontal="right"/>
    </xf>
    <xf numFmtId="0" fontId="33" fillId="7" borderId="0" xfId="74" applyFont="1" applyFill="1" applyAlignment="1">
      <alignment horizontal="left"/>
    </xf>
    <xf numFmtId="6" fontId="33" fillId="7" borderId="0" xfId="74" applyNumberFormat="1" applyFont="1" applyFill="1" applyAlignment="1">
      <alignment horizontal="right"/>
    </xf>
    <xf numFmtId="0" fontId="33" fillId="7" borderId="0" xfId="74" applyFont="1" applyFill="1" applyAlignment="1">
      <alignment horizontal="right"/>
    </xf>
    <xf numFmtId="44" fontId="33" fillId="7" borderId="0" xfId="77" applyFont="1" applyFill="1" applyBorder="1"/>
    <xf numFmtId="0" fontId="33" fillId="7" borderId="69" xfId="74" applyFont="1" applyFill="1" applyBorder="1"/>
    <xf numFmtId="10" fontId="33" fillId="7" borderId="1" xfId="74" applyNumberFormat="1" applyFont="1" applyFill="1" applyBorder="1"/>
    <xf numFmtId="0" fontId="34" fillId="7" borderId="0" xfId="74" applyFont="1" applyFill="1"/>
    <xf numFmtId="10" fontId="34" fillId="7" borderId="0" xfId="74" applyNumberFormat="1" applyFont="1" applyFill="1"/>
    <xf numFmtId="6" fontId="34" fillId="7" borderId="0" xfId="74" applyNumberFormat="1" applyFont="1" applyFill="1" applyAlignment="1">
      <alignment horizontal="right"/>
    </xf>
    <xf numFmtId="0" fontId="53" fillId="7" borderId="0" xfId="78" applyFont="1" applyFill="1"/>
    <xf numFmtId="0" fontId="52" fillId="7" borderId="0" xfId="78" applyFill="1"/>
    <xf numFmtId="10" fontId="33" fillId="7" borderId="0" xfId="78" applyNumberFormat="1" applyFont="1" applyFill="1" applyAlignment="1">
      <alignment horizontal="right"/>
    </xf>
    <xf numFmtId="0" fontId="33" fillId="7" borderId="0" xfId="78" applyFont="1" applyFill="1"/>
    <xf numFmtId="179" fontId="52" fillId="7" borderId="0" xfId="76" applyNumberFormat="1" applyFont="1" applyFill="1" applyBorder="1"/>
    <xf numFmtId="10" fontId="52" fillId="7" borderId="0" xfId="76" applyNumberFormat="1" applyFont="1" applyFill="1" applyBorder="1"/>
    <xf numFmtId="0" fontId="33" fillId="7" borderId="61" xfId="74" applyFont="1" applyFill="1" applyBorder="1"/>
    <xf numFmtId="0" fontId="33" fillId="7" borderId="2" xfId="74" applyFont="1" applyFill="1" applyBorder="1"/>
    <xf numFmtId="0" fontId="33" fillId="5" borderId="40" xfId="74" applyFont="1" applyFill="1" applyBorder="1"/>
    <xf numFmtId="0" fontId="33" fillId="5" borderId="40" xfId="74" applyFont="1" applyFill="1" applyBorder="1" applyAlignment="1">
      <alignment horizontal="center"/>
    </xf>
    <xf numFmtId="0" fontId="33" fillId="5" borderId="40" xfId="75" applyFont="1" applyFill="1" applyBorder="1"/>
    <xf numFmtId="0" fontId="33" fillId="5" borderId="82" xfId="74" applyFont="1" applyFill="1" applyBorder="1" applyAlignment="1">
      <alignment horizontal="center"/>
    </xf>
    <xf numFmtId="2" fontId="0" fillId="0" borderId="52" xfId="0" applyNumberFormat="1" applyBorder="1" applyAlignment="1">
      <alignment horizontal="center"/>
    </xf>
    <xf numFmtId="171" fontId="12" fillId="0" borderId="52" xfId="0" applyNumberFormat="1" applyFont="1" applyBorder="1" applyAlignment="1">
      <alignment horizontal="center"/>
    </xf>
    <xf numFmtId="6" fontId="0" fillId="0" borderId="0" xfId="0" applyNumberFormat="1"/>
    <xf numFmtId="6" fontId="33" fillId="0" borderId="89" xfId="74" applyNumberFormat="1" applyFont="1" applyBorder="1" applyAlignment="1">
      <alignment horizontal="right"/>
    </xf>
    <xf numFmtId="168" fontId="0" fillId="0" borderId="52" xfId="0" applyNumberFormat="1" applyBorder="1" applyAlignment="1">
      <alignment horizontal="center"/>
    </xf>
    <xf numFmtId="0" fontId="0" fillId="0" borderId="85" xfId="0" applyBorder="1" applyAlignment="1">
      <alignment horizontal="left"/>
    </xf>
    <xf numFmtId="0" fontId="10" fillId="0" borderId="52" xfId="3" applyNumberFormat="1" applyFont="1" applyBorder="1" applyAlignment="1">
      <alignment horizontal="center"/>
    </xf>
    <xf numFmtId="169" fontId="10" fillId="0" borderId="52" xfId="3" applyNumberFormat="1" applyFont="1" applyBorder="1" applyAlignment="1">
      <alignment horizontal="center"/>
    </xf>
    <xf numFmtId="169" fontId="10" fillId="0" borderId="56" xfId="3" applyNumberFormat="1" applyFont="1" applyBorder="1" applyAlignment="1">
      <alignment horizontal="center"/>
    </xf>
    <xf numFmtId="0" fontId="57" fillId="5" borderId="6" xfId="0" applyFont="1" applyFill="1" applyBorder="1" applyAlignment="1">
      <alignment horizontal="center"/>
    </xf>
    <xf numFmtId="3" fontId="0" fillId="3" borderId="1" xfId="1" applyNumberFormat="1" applyFont="1" applyFill="1" applyBorder="1" applyAlignment="1">
      <alignment horizontal="center"/>
    </xf>
    <xf numFmtId="3" fontId="0" fillId="3" borderId="0" xfId="0" applyNumberFormat="1" applyFill="1" applyAlignment="1">
      <alignment horizontal="center"/>
    </xf>
    <xf numFmtId="3" fontId="0" fillId="3" borderId="40" xfId="1" applyNumberFormat="1" applyFont="1" applyFill="1" applyBorder="1" applyAlignment="1">
      <alignment horizontal="center"/>
    </xf>
    <xf numFmtId="3" fontId="6" fillId="3" borderId="3" xfId="1" applyNumberFormat="1" applyFont="1" applyFill="1" applyBorder="1" applyAlignment="1">
      <alignment horizontal="center"/>
    </xf>
    <xf numFmtId="3" fontId="14" fillId="3" borderId="41" xfId="1" applyNumberFormat="1" applyFont="1" applyFill="1" applyBorder="1" applyAlignment="1">
      <alignment horizontal="center"/>
    </xf>
    <xf numFmtId="3" fontId="6" fillId="3" borderId="41" xfId="0" applyNumberFormat="1" applyFont="1" applyFill="1" applyBorder="1" applyAlignment="1">
      <alignment horizontal="center"/>
    </xf>
    <xf numFmtId="0" fontId="8" fillId="0" borderId="40" xfId="0" applyFont="1" applyBorder="1" applyAlignment="1">
      <alignment horizontal="center"/>
    </xf>
    <xf numFmtId="0" fontId="8" fillId="0" borderId="3" xfId="0" applyFont="1" applyBorder="1" applyAlignment="1">
      <alignment horizontal="center"/>
    </xf>
    <xf numFmtId="173" fontId="0" fillId="0" borderId="0" xfId="0" applyNumberFormat="1"/>
    <xf numFmtId="9" fontId="0" fillId="0" borderId="0" xfId="0" applyNumberFormat="1"/>
    <xf numFmtId="173" fontId="6" fillId="4" borderId="46" xfId="1" applyNumberFormat="1" applyFont="1" applyFill="1" applyBorder="1" applyAlignment="1">
      <alignment horizontal="center"/>
    </xf>
    <xf numFmtId="9" fontId="0" fillId="0" borderId="0" xfId="0" applyNumberFormat="1" applyAlignment="1">
      <alignment horizontal="left"/>
    </xf>
    <xf numFmtId="0" fontId="0" fillId="0" borderId="45" xfId="0" applyBorder="1"/>
    <xf numFmtId="168" fontId="0" fillId="0" borderId="56" xfId="0" applyNumberFormat="1" applyBorder="1" applyAlignment="1">
      <alignment horizontal="center"/>
    </xf>
    <xf numFmtId="173" fontId="6" fillId="4" borderId="44" xfId="1" applyNumberFormat="1" applyFont="1" applyFill="1" applyBorder="1" applyAlignment="1">
      <alignment horizontal="center"/>
    </xf>
    <xf numFmtId="3" fontId="0" fillId="0" borderId="0" xfId="0" applyNumberFormat="1" applyAlignment="1">
      <alignment horizontal="center"/>
    </xf>
    <xf numFmtId="3" fontId="0" fillId="0" borderId="7" xfId="0" applyNumberFormat="1" applyBorder="1" applyAlignment="1">
      <alignment horizontal="center"/>
    </xf>
    <xf numFmtId="3" fontId="0" fillId="0" borderId="1" xfId="0" applyNumberFormat="1" applyBorder="1" applyAlignment="1">
      <alignment horizontal="center"/>
    </xf>
    <xf numFmtId="3" fontId="0" fillId="0" borderId="31" xfId="0" applyNumberFormat="1" applyBorder="1" applyAlignment="1">
      <alignment horizontal="center"/>
    </xf>
    <xf numFmtId="3" fontId="6" fillId="0" borderId="0" xfId="0" applyNumberFormat="1" applyFont="1" applyAlignment="1">
      <alignment horizontal="center"/>
    </xf>
    <xf numFmtId="3" fontId="6" fillId="0" borderId="7" xfId="0" applyNumberFormat="1" applyFont="1" applyBorder="1" applyAlignment="1">
      <alignment horizontal="center"/>
    </xf>
    <xf numFmtId="3" fontId="6" fillId="0" borderId="1" xfId="0" applyNumberFormat="1" applyFont="1" applyBorder="1" applyAlignment="1">
      <alignment horizontal="center"/>
    </xf>
    <xf numFmtId="3" fontId="6" fillId="0" borderId="31" xfId="0" applyNumberFormat="1" applyFont="1" applyBorder="1" applyAlignment="1">
      <alignment horizontal="center"/>
    </xf>
    <xf numFmtId="3" fontId="6" fillId="0" borderId="2" xfId="0" applyNumberFormat="1" applyFont="1" applyBorder="1" applyAlignment="1">
      <alignment horizontal="center"/>
    </xf>
    <xf numFmtId="3" fontId="6" fillId="0" borderId="44" xfId="0" applyNumberFormat="1" applyFont="1" applyBorder="1" applyAlignment="1">
      <alignment horizontal="center"/>
    </xf>
    <xf numFmtId="3" fontId="6" fillId="0" borderId="41" xfId="0" applyNumberFormat="1" applyFont="1" applyBorder="1" applyAlignment="1">
      <alignment horizontal="center"/>
    </xf>
    <xf numFmtId="3" fontId="6" fillId="0" borderId="46" xfId="0" applyNumberFormat="1" applyFont="1" applyBorder="1" applyAlignment="1">
      <alignment horizontal="center"/>
    </xf>
    <xf numFmtId="9" fontId="33" fillId="7" borderId="60" xfId="74" applyNumberFormat="1" applyFont="1" applyFill="1" applyBorder="1" applyAlignment="1">
      <alignment horizontal="left"/>
    </xf>
    <xf numFmtId="9" fontId="33" fillId="7" borderId="0" xfId="74" applyNumberFormat="1" applyFont="1" applyFill="1"/>
    <xf numFmtId="9" fontId="33" fillId="7" borderId="0" xfId="75" applyNumberFormat="1" applyFont="1" applyFill="1"/>
    <xf numFmtId="10" fontId="12" fillId="0" borderId="2" xfId="2" applyNumberFormat="1" applyFont="1" applyBorder="1" applyAlignment="1">
      <alignment horizontal="center"/>
    </xf>
    <xf numFmtId="173" fontId="0" fillId="0" borderId="0" xfId="1" applyNumberFormat="1" applyFont="1" applyBorder="1" applyAlignment="1">
      <alignment horizontal="center"/>
    </xf>
    <xf numFmtId="0" fontId="12" fillId="0" borderId="3" xfId="0" applyFont="1" applyBorder="1" applyAlignment="1">
      <alignment horizontal="center"/>
    </xf>
    <xf numFmtId="0" fontId="0" fillId="0" borderId="0" xfId="0" applyAlignment="1">
      <alignment horizontal="left"/>
    </xf>
    <xf numFmtId="166" fontId="0" fillId="0" borderId="0" xfId="2" applyNumberFormat="1" applyFont="1"/>
    <xf numFmtId="0" fontId="57" fillId="5" borderId="4" xfId="0" applyFont="1" applyFill="1" applyBorder="1" applyAlignment="1">
      <alignment horizontal="center"/>
    </xf>
    <xf numFmtId="10" fontId="6" fillId="6" borderId="3" xfId="2" applyNumberFormat="1" applyFont="1" applyFill="1" applyBorder="1" applyAlignment="1">
      <alignment horizontal="center"/>
    </xf>
    <xf numFmtId="177" fontId="6" fillId="6" borderId="0" xfId="1" applyNumberFormat="1" applyFont="1" applyFill="1" applyBorder="1" applyAlignment="1">
      <alignment horizontal="center"/>
    </xf>
    <xf numFmtId="3" fontId="6" fillId="6" borderId="92" xfId="0" applyNumberFormat="1" applyFont="1" applyFill="1" applyBorder="1" applyAlignment="1">
      <alignment horizontal="center"/>
    </xf>
    <xf numFmtId="3" fontId="0" fillId="6" borderId="0" xfId="0" applyNumberFormat="1" applyFill="1" applyAlignment="1">
      <alignment horizontal="center"/>
    </xf>
    <xf numFmtId="3" fontId="6" fillId="6" borderId="2" xfId="0" applyNumberFormat="1" applyFont="1" applyFill="1" applyBorder="1" applyAlignment="1">
      <alignment horizontal="center"/>
    </xf>
    <xf numFmtId="3" fontId="0" fillId="6" borderId="0" xfId="1" applyNumberFormat="1" applyFont="1" applyFill="1" applyBorder="1" applyAlignment="1">
      <alignment horizontal="center"/>
    </xf>
    <xf numFmtId="0" fontId="10" fillId="6" borderId="0" xfId="3" applyNumberFormat="1" applyFont="1" applyFill="1" applyBorder="1" applyAlignment="1">
      <alignment horizontal="center"/>
    </xf>
    <xf numFmtId="10" fontId="6" fillId="0" borderId="9" xfId="2" applyNumberFormat="1" applyFont="1" applyBorder="1" applyAlignment="1">
      <alignment horizontal="center"/>
    </xf>
    <xf numFmtId="177" fontId="6" fillId="0" borderId="7" xfId="1" applyNumberFormat="1" applyFont="1" applyBorder="1" applyAlignment="1">
      <alignment horizontal="center"/>
    </xf>
    <xf numFmtId="3" fontId="6" fillId="0" borderId="94" xfId="0" applyNumberFormat="1" applyFont="1" applyBorder="1" applyAlignment="1">
      <alignment horizontal="center"/>
    </xf>
    <xf numFmtId="3" fontId="0" fillId="0" borderId="7" xfId="1" applyNumberFormat="1" applyFont="1" applyBorder="1" applyAlignment="1">
      <alignment horizontal="center"/>
    </xf>
    <xf numFmtId="0" fontId="0" fillId="0" borderId="8" xfId="0" applyBorder="1" applyAlignment="1">
      <alignment horizontal="left"/>
    </xf>
    <xf numFmtId="184" fontId="33" fillId="7" borderId="0" xfId="71" applyNumberFormat="1" applyFont="1" applyFill="1" applyAlignment="1">
      <alignment horizontal="center"/>
    </xf>
    <xf numFmtId="3" fontId="0" fillId="0" borderId="9" xfId="0" applyNumberFormat="1" applyBorder="1" applyAlignment="1">
      <alignment horizontal="center"/>
    </xf>
    <xf numFmtId="3" fontId="0" fillId="0" borderId="3" xfId="0" applyNumberFormat="1" applyBorder="1" applyAlignment="1">
      <alignment horizontal="center"/>
    </xf>
    <xf numFmtId="3" fontId="0" fillId="0" borderId="0" xfId="0" applyNumberFormat="1"/>
    <xf numFmtId="166" fontId="8" fillId="0" borderId="9" xfId="2" applyNumberFormat="1" applyFont="1" applyBorder="1" applyAlignment="1">
      <alignment horizontal="center"/>
    </xf>
    <xf numFmtId="164" fontId="0" fillId="0" borderId="7" xfId="0" applyNumberFormat="1" applyBorder="1"/>
    <xf numFmtId="183" fontId="0" fillId="0" borderId="0" xfId="0" applyNumberFormat="1"/>
    <xf numFmtId="0" fontId="8" fillId="0" borderId="0" xfId="0" applyFont="1" applyAlignment="1">
      <alignment horizontal="center"/>
    </xf>
    <xf numFmtId="182" fontId="8" fillId="0" borderId="0" xfId="1" applyNumberFormat="1" applyFont="1" applyBorder="1" applyAlignment="1">
      <alignment horizontal="center"/>
    </xf>
    <xf numFmtId="14" fontId="0" fillId="0" borderId="7" xfId="0" applyNumberFormat="1" applyBorder="1"/>
    <xf numFmtId="0" fontId="13" fillId="0" borderId="7" xfId="0" applyFont="1" applyBorder="1"/>
    <xf numFmtId="0" fontId="18" fillId="5" borderId="41" xfId="0" applyFont="1" applyFill="1" applyBorder="1" applyAlignment="1">
      <alignment horizontal="center"/>
    </xf>
    <xf numFmtId="0" fontId="0" fillId="0" borderId="6" xfId="0" applyBorder="1" applyAlignment="1">
      <alignment horizontal="left"/>
    </xf>
    <xf numFmtId="0" fontId="0" fillId="0" borderId="43" xfId="0" applyBorder="1" applyAlignment="1">
      <alignment horizontal="left"/>
    </xf>
    <xf numFmtId="164" fontId="8" fillId="0" borderId="48" xfId="1" applyNumberFormat="1" applyFont="1" applyBorder="1"/>
    <xf numFmtId="0" fontId="0" fillId="0" borderId="63" xfId="0" applyBorder="1" applyAlignment="1">
      <alignment horizontal="left"/>
    </xf>
    <xf numFmtId="0" fontId="0" fillId="0" borderId="6" xfId="0" applyBorder="1" applyAlignment="1">
      <alignment horizontal="left" indent="1"/>
    </xf>
    <xf numFmtId="0" fontId="0" fillId="0" borderId="66" xfId="0" applyBorder="1" applyAlignment="1">
      <alignment horizontal="left"/>
    </xf>
    <xf numFmtId="0" fontId="57" fillId="5" borderId="10" xfId="0" applyFont="1" applyFill="1" applyBorder="1" applyAlignment="1">
      <alignment horizontal="center"/>
    </xf>
    <xf numFmtId="0" fontId="0" fillId="5" borderId="6" xfId="0" applyFill="1" applyBorder="1" applyAlignment="1">
      <alignment horizontal="left"/>
    </xf>
    <xf numFmtId="0" fontId="0" fillId="5" borderId="6" xfId="0" applyFill="1" applyBorder="1"/>
    <xf numFmtId="0" fontId="58" fillId="5" borderId="8" xfId="0" applyFont="1" applyFill="1" applyBorder="1" applyAlignment="1">
      <alignment horizontal="center"/>
    </xf>
    <xf numFmtId="9" fontId="8" fillId="0" borderId="87" xfId="2" applyFont="1" applyBorder="1"/>
    <xf numFmtId="0" fontId="0" fillId="0" borderId="4" xfId="0" applyBorder="1" applyAlignment="1">
      <alignment horizontal="left"/>
    </xf>
    <xf numFmtId="164" fontId="8" fillId="0" borderId="88" xfId="1" applyNumberFormat="1" applyFont="1" applyBorder="1"/>
    <xf numFmtId="0" fontId="12" fillId="0" borderId="6" xfId="0" applyFont="1" applyBorder="1" applyAlignment="1">
      <alignment horizontal="left"/>
    </xf>
    <xf numFmtId="0" fontId="6" fillId="0" borderId="43" xfId="0" applyFont="1" applyBorder="1"/>
    <xf numFmtId="0" fontId="6" fillId="0" borderId="93" xfId="0" applyFont="1" applyBorder="1" applyAlignment="1">
      <alignment horizontal="left" indent="1"/>
    </xf>
    <xf numFmtId="0" fontId="0" fillId="0" borderId="8" xfId="0" applyBorder="1" applyAlignment="1">
      <alignment horizontal="left" indent="1"/>
    </xf>
    <xf numFmtId="0" fontId="7" fillId="0" borderId="6" xfId="0" applyFont="1" applyBorder="1"/>
    <xf numFmtId="10" fontId="0" fillId="0" borderId="0" xfId="2" applyNumberFormat="1" applyFont="1"/>
    <xf numFmtId="164" fontId="6" fillId="0" borderId="9" xfId="0" applyNumberFormat="1" applyFont="1" applyBorder="1"/>
    <xf numFmtId="0" fontId="10" fillId="0" borderId="7" xfId="3" applyNumberFormat="1" applyFont="1" applyBorder="1" applyAlignment="1">
      <alignment horizontal="center"/>
    </xf>
    <xf numFmtId="166" fontId="8" fillId="0" borderId="7" xfId="2" applyNumberFormat="1" applyFont="1" applyBorder="1" applyAlignment="1">
      <alignment horizontal="center"/>
    </xf>
    <xf numFmtId="37" fontId="0" fillId="0" borderId="95" xfId="0" applyNumberFormat="1" applyBorder="1"/>
    <xf numFmtId="173" fontId="27" fillId="0" borderId="44" xfId="1" applyNumberFormat="1" applyFont="1" applyBorder="1" applyAlignment="1">
      <alignment horizontal="center"/>
    </xf>
    <xf numFmtId="9" fontId="0" fillId="0" borderId="0" xfId="2" applyFont="1" applyAlignment="1">
      <alignment horizontal="left"/>
    </xf>
    <xf numFmtId="166" fontId="8" fillId="0" borderId="67" xfId="2" applyNumberFormat="1" applyFont="1" applyBorder="1" applyAlignment="1">
      <alignment horizontal="center"/>
    </xf>
    <xf numFmtId="0" fontId="8" fillId="0" borderId="2" xfId="0" applyFont="1" applyBorder="1" applyAlignment="1">
      <alignment horizontal="center"/>
    </xf>
    <xf numFmtId="0" fontId="1" fillId="0" borderId="6" xfId="32" applyFont="1" applyBorder="1" applyAlignment="1">
      <alignment horizontal="left"/>
    </xf>
    <xf numFmtId="173" fontId="12" fillId="0" borderId="1" xfId="0" applyNumberFormat="1" applyFont="1" applyBorder="1" applyAlignment="1">
      <alignment horizontal="center"/>
    </xf>
    <xf numFmtId="168" fontId="8" fillId="0" borderId="40" xfId="1" applyNumberFormat="1" applyFont="1" applyBorder="1" applyAlignment="1">
      <alignment horizontal="center"/>
    </xf>
    <xf numFmtId="0" fontId="22" fillId="0" borderId="0" xfId="32" applyFont="1" applyAlignment="1">
      <alignment horizontal="center"/>
    </xf>
    <xf numFmtId="0" fontId="16" fillId="0" borderId="0" xfId="32" applyFont="1" applyAlignment="1">
      <alignment horizontal="center"/>
    </xf>
    <xf numFmtId="0" fontId="4" fillId="0" borderId="0" xfId="32" applyFont="1"/>
    <xf numFmtId="170" fontId="21" fillId="0" borderId="0" xfId="32" applyNumberFormat="1" applyFont="1" applyAlignment="1">
      <alignment horizontal="left"/>
    </xf>
    <xf numFmtId="168" fontId="21" fillId="0" borderId="0" xfId="32" applyNumberFormat="1" applyFont="1" applyAlignment="1">
      <alignment horizontal="right"/>
    </xf>
    <xf numFmtId="0" fontId="5" fillId="0" borderId="0" xfId="32"/>
    <xf numFmtId="0" fontId="5" fillId="0" borderId="0" xfId="32" applyAlignment="1">
      <alignment horizontal="left" indent="1"/>
    </xf>
    <xf numFmtId="168" fontId="21" fillId="0" borderId="0" xfId="32" applyNumberFormat="1" applyFont="1" applyAlignment="1">
      <alignment horizontal="center"/>
    </xf>
    <xf numFmtId="0" fontId="0" fillId="0" borderId="0" xfId="0" applyAlignment="1">
      <alignment horizontal="left" indent="1"/>
    </xf>
    <xf numFmtId="168" fontId="4" fillId="0" borderId="0" xfId="32" applyNumberFormat="1" applyFont="1"/>
    <xf numFmtId="10" fontId="0" fillId="0" borderId="0" xfId="0" applyNumberFormat="1" applyAlignment="1">
      <alignment horizontal="center"/>
    </xf>
    <xf numFmtId="9" fontId="0" fillId="0" borderId="0" xfId="2" applyFont="1" applyBorder="1" applyAlignment="1">
      <alignment horizontal="center"/>
    </xf>
    <xf numFmtId="0" fontId="2" fillId="0" borderId="0" xfId="32" applyFont="1"/>
    <xf numFmtId="168" fontId="3" fillId="0" borderId="0" xfId="32" applyNumberFormat="1" applyFont="1"/>
    <xf numFmtId="0" fontId="0" fillId="0" borderId="0" xfId="32" applyFont="1" applyAlignment="1">
      <alignment horizontal="left" indent="1"/>
    </xf>
    <xf numFmtId="0" fontId="2" fillId="0" borderId="0" xfId="32" applyFont="1" applyAlignment="1">
      <alignment horizontal="left"/>
    </xf>
    <xf numFmtId="170" fontId="4" fillId="0" borderId="0" xfId="32" applyNumberFormat="1" applyFont="1"/>
    <xf numFmtId="0" fontId="0" fillId="0" borderId="0" xfId="32" applyFont="1"/>
    <xf numFmtId="0" fontId="16" fillId="5" borderId="0" xfId="0" applyFont="1" applyFill="1" applyAlignment="1">
      <alignment horizontal="center"/>
    </xf>
    <xf numFmtId="0" fontId="16" fillId="5" borderId="0" xfId="32" applyFont="1" applyFill="1" applyAlignment="1">
      <alignment horizontal="center"/>
    </xf>
    <xf numFmtId="0" fontId="16" fillId="0" borderId="0" xfId="32" applyFont="1"/>
    <xf numFmtId="0" fontId="16" fillId="0" borderId="0" xfId="0" applyFont="1" applyAlignment="1">
      <alignment horizontal="center"/>
    </xf>
    <xf numFmtId="168" fontId="0" fillId="0" borderId="0" xfId="0" applyNumberFormat="1" applyAlignment="1">
      <alignment horizontal="center"/>
    </xf>
    <xf numFmtId="44" fontId="4" fillId="0" borderId="0" xfId="32" applyNumberFormat="1" applyFont="1"/>
    <xf numFmtId="164" fontId="4" fillId="0" borderId="0" xfId="32" applyNumberFormat="1" applyFont="1"/>
    <xf numFmtId="168" fontId="0" fillId="0" borderId="7" xfId="0" applyNumberFormat="1" applyBorder="1" applyAlignment="1">
      <alignment horizontal="center"/>
    </xf>
    <xf numFmtId="168" fontId="0" fillId="0" borderId="9" xfId="0" applyNumberFormat="1" applyBorder="1" applyAlignment="1">
      <alignment horizontal="center"/>
    </xf>
    <xf numFmtId="0" fontId="4" fillId="0" borderId="0" xfId="32" applyFont="1" applyAlignment="1">
      <alignment horizontal="center"/>
    </xf>
    <xf numFmtId="6" fontId="5" fillId="0" borderId="80" xfId="32" applyNumberFormat="1" applyBorder="1" applyAlignment="1">
      <alignment horizontal="center"/>
    </xf>
    <xf numFmtId="177" fontId="5" fillId="0" borderId="80" xfId="33" applyNumberFormat="1" applyFont="1" applyFill="1" applyBorder="1" applyAlignment="1">
      <alignment horizontal="center"/>
    </xf>
    <xf numFmtId="10" fontId="5" fillId="0" borderId="80" xfId="0" applyNumberFormat="1" applyFont="1" applyBorder="1" applyAlignment="1">
      <alignment horizontal="center"/>
    </xf>
    <xf numFmtId="0" fontId="4" fillId="0" borderId="80" xfId="32" applyFont="1" applyBorder="1"/>
    <xf numFmtId="9" fontId="60" fillId="0" borderId="80" xfId="2" applyFont="1" applyBorder="1" applyAlignment="1">
      <alignment horizontal="left"/>
    </xf>
    <xf numFmtId="170" fontId="4" fillId="0" borderId="80" xfId="32" applyNumberFormat="1" applyFont="1" applyBorder="1"/>
    <xf numFmtId="0" fontId="0" fillId="0" borderId="80" xfId="0" applyBorder="1"/>
    <xf numFmtId="0" fontId="0" fillId="0" borderId="96" xfId="0" applyBorder="1"/>
    <xf numFmtId="0" fontId="21" fillId="0" borderId="80" xfId="32" applyFont="1" applyBorder="1" applyAlignment="1">
      <alignment horizontal="center"/>
    </xf>
    <xf numFmtId="49" fontId="4" fillId="0" borderId="80" xfId="32" applyNumberFormat="1" applyFont="1" applyBorder="1" applyAlignment="1">
      <alignment horizontal="center"/>
    </xf>
    <xf numFmtId="0" fontId="4" fillId="0" borderId="80" xfId="32" applyFont="1" applyBorder="1" applyAlignment="1">
      <alignment horizontal="center"/>
    </xf>
    <xf numFmtId="185" fontId="4" fillId="0" borderId="80" xfId="32" applyNumberFormat="1" applyFont="1" applyBorder="1" applyAlignment="1">
      <alignment horizontal="center"/>
    </xf>
    <xf numFmtId="186" fontId="4" fillId="0" borderId="80" xfId="32" applyNumberFormat="1" applyFont="1" applyBorder="1" applyAlignment="1">
      <alignment horizontal="center"/>
    </xf>
    <xf numFmtId="3" fontId="4" fillId="0" borderId="80" xfId="34" applyNumberFormat="1" applyFont="1" applyFill="1" applyBorder="1" applyAlignment="1">
      <alignment horizontal="center"/>
    </xf>
    <xf numFmtId="0" fontId="6" fillId="0" borderId="24" xfId="0" applyFont="1" applyBorder="1" applyAlignment="1">
      <alignment horizontal="center"/>
    </xf>
    <xf numFmtId="37" fontId="0" fillId="0" borderId="0" xfId="0" applyNumberFormat="1" applyAlignment="1">
      <alignment horizontal="right"/>
    </xf>
    <xf numFmtId="0" fontId="57" fillId="5" borderId="0" xfId="0" applyFont="1" applyFill="1" applyAlignment="1">
      <alignment horizontal="center"/>
    </xf>
    <xf numFmtId="164" fontId="0" fillId="0" borderId="0" xfId="1" applyNumberFormat="1" applyFont="1"/>
    <xf numFmtId="168" fontId="0" fillId="0" borderId="0" xfId="0" applyNumberFormat="1"/>
    <xf numFmtId="0" fontId="1" fillId="0" borderId="0" xfId="32" applyFont="1"/>
    <xf numFmtId="170" fontId="0" fillId="0" borderId="0" xfId="0" applyNumberFormat="1"/>
    <xf numFmtId="164" fontId="8" fillId="0" borderId="7" xfId="1" applyNumberFormat="1" applyFont="1" applyBorder="1"/>
    <xf numFmtId="0" fontId="59" fillId="0" borderId="0" xfId="2" applyNumberFormat="1" applyFont="1" applyBorder="1" applyAlignment="1">
      <alignment horizontal="center"/>
    </xf>
    <xf numFmtId="0" fontId="59" fillId="0" borderId="7" xfId="2" applyNumberFormat="1" applyFont="1" applyBorder="1" applyAlignment="1">
      <alignment horizontal="center"/>
    </xf>
    <xf numFmtId="164" fontId="8" fillId="0" borderId="9" xfId="1" applyNumberFormat="1" applyFont="1" applyBorder="1" applyAlignment="1">
      <alignment horizontal="center"/>
    </xf>
    <xf numFmtId="0" fontId="8" fillId="0" borderId="7" xfId="2" applyNumberFormat="1" applyFont="1" applyBorder="1" applyAlignment="1">
      <alignment horizontal="center"/>
    </xf>
    <xf numFmtId="0" fontId="7" fillId="0" borderId="0" xfId="0" applyFont="1" applyAlignment="1">
      <alignment horizontal="center"/>
    </xf>
    <xf numFmtId="3" fontId="7" fillId="0" borderId="0" xfId="0" applyNumberFormat="1" applyFont="1" applyAlignment="1">
      <alignment horizontal="center"/>
    </xf>
    <xf numFmtId="44" fontId="0" fillId="0" borderId="0" xfId="0" applyNumberFormat="1"/>
    <xf numFmtId="9" fontId="7" fillId="0" borderId="0" xfId="2" applyFont="1" applyAlignment="1">
      <alignment horizontal="center"/>
    </xf>
    <xf numFmtId="9" fontId="7" fillId="0" borderId="7" xfId="2" applyFont="1" applyBorder="1" applyAlignment="1">
      <alignment horizontal="center"/>
    </xf>
    <xf numFmtId="188" fontId="0" fillId="0" borderId="0" xfId="0" applyNumberFormat="1"/>
    <xf numFmtId="189" fontId="0" fillId="0" borderId="0" xfId="0" applyNumberFormat="1"/>
    <xf numFmtId="190" fontId="0" fillId="0" borderId="0" xfId="0" applyNumberFormat="1"/>
    <xf numFmtId="0" fontId="6" fillId="0" borderId="6" xfId="0" applyFont="1" applyBorder="1"/>
    <xf numFmtId="164" fontId="6" fillId="0" borderId="3" xfId="0" applyNumberFormat="1" applyFont="1" applyBorder="1"/>
    <xf numFmtId="164" fontId="0" fillId="0" borderId="0" xfId="1" applyNumberFormat="1" applyFont="1" applyFill="1" applyBorder="1"/>
    <xf numFmtId="164" fontId="6" fillId="0" borderId="0" xfId="1" applyNumberFormat="1" applyFont="1" applyFill="1" applyBorder="1"/>
    <xf numFmtId="9" fontId="10" fillId="0" borderId="0" xfId="2" applyFont="1" applyFill="1" applyBorder="1" applyAlignment="1">
      <alignment horizontal="center"/>
    </xf>
    <xf numFmtId="164" fontId="12" fillId="0" borderId="47" xfId="1" applyNumberFormat="1" applyFont="1" applyBorder="1"/>
    <xf numFmtId="164" fontId="12" fillId="0" borderId="52" xfId="1" applyNumberFormat="1" applyFont="1" applyBorder="1"/>
    <xf numFmtId="164" fontId="62" fillId="0" borderId="88" xfId="1" applyNumberFormat="1" applyFont="1" applyBorder="1"/>
    <xf numFmtId="164" fontId="62" fillId="0" borderId="83" xfId="1" applyNumberFormat="1" applyFont="1" applyBorder="1"/>
    <xf numFmtId="164" fontId="62" fillId="0" borderId="47" xfId="1" applyNumberFormat="1" applyFont="1" applyBorder="1"/>
    <xf numFmtId="164" fontId="62" fillId="0" borderId="52" xfId="1" applyNumberFormat="1" applyFont="1" applyBorder="1"/>
    <xf numFmtId="10" fontId="0" fillId="0" borderId="0" xfId="0" applyNumberFormat="1"/>
    <xf numFmtId="168" fontId="21" fillId="0" borderId="80" xfId="32" applyNumberFormat="1" applyFont="1" applyBorder="1" applyAlignment="1">
      <alignment horizontal="center"/>
    </xf>
    <xf numFmtId="9" fontId="0" fillId="0" borderId="80" xfId="2" applyFont="1" applyFill="1" applyBorder="1" applyAlignment="1">
      <alignment horizontal="center"/>
    </xf>
    <xf numFmtId="44" fontId="4" fillId="0" borderId="80" xfId="32" applyNumberFormat="1" applyFont="1" applyBorder="1"/>
    <xf numFmtId="164" fontId="4" fillId="0" borderId="80" xfId="32" applyNumberFormat="1" applyFont="1" applyBorder="1"/>
    <xf numFmtId="0" fontId="16" fillId="5" borderId="80" xfId="0" applyFont="1" applyFill="1" applyBorder="1" applyAlignment="1">
      <alignment horizontal="center"/>
    </xf>
    <xf numFmtId="166" fontId="0" fillId="0" borderId="80" xfId="2" applyNumberFormat="1" applyFont="1" applyBorder="1" applyAlignment="1">
      <alignment horizontal="center"/>
    </xf>
    <xf numFmtId="168" fontId="21" fillId="0" borderId="80" xfId="32" applyNumberFormat="1" applyFont="1" applyBorder="1" applyAlignment="1">
      <alignment horizontal="right"/>
    </xf>
    <xf numFmtId="168" fontId="4" fillId="0" borderId="80" xfId="32" applyNumberFormat="1" applyFont="1" applyBorder="1"/>
    <xf numFmtId="168" fontId="3" fillId="0" borderId="80" xfId="32" applyNumberFormat="1" applyFont="1" applyBorder="1"/>
    <xf numFmtId="10" fontId="4" fillId="0" borderId="80" xfId="33" applyNumberFormat="1" applyFont="1" applyFill="1" applyBorder="1"/>
    <xf numFmtId="0" fontId="0" fillId="0" borderId="60" xfId="0" applyBorder="1"/>
    <xf numFmtId="166" fontId="0" fillId="0" borderId="0" xfId="2" applyNumberFormat="1" applyFont="1" applyBorder="1" applyAlignment="1">
      <alignment horizontal="center"/>
    </xf>
    <xf numFmtId="0" fontId="4" fillId="0" borderId="60" xfId="32" applyFont="1" applyBorder="1"/>
    <xf numFmtId="0" fontId="0" fillId="0" borderId="71" xfId="0" applyBorder="1"/>
    <xf numFmtId="37" fontId="62" fillId="0" borderId="0" xfId="0" applyNumberFormat="1" applyFont="1"/>
    <xf numFmtId="166" fontId="0" fillId="0" borderId="0" xfId="2" applyNumberFormat="1" applyFont="1" applyAlignment="1">
      <alignment horizontal="left"/>
    </xf>
    <xf numFmtId="10" fontId="7" fillId="0" borderId="0" xfId="2" applyNumberFormat="1" applyFont="1" applyAlignment="1">
      <alignment horizontal="center"/>
    </xf>
    <xf numFmtId="10" fontId="7" fillId="0" borderId="7" xfId="2" applyNumberFormat="1" applyFont="1" applyBorder="1" applyAlignment="1">
      <alignment horizontal="center"/>
    </xf>
    <xf numFmtId="177" fontId="5" fillId="0" borderId="0" xfId="33" applyNumberFormat="1" applyFont="1" applyFill="1" applyBorder="1" applyAlignment="1">
      <alignment horizontal="center"/>
    </xf>
    <xf numFmtId="0" fontId="6" fillId="0" borderId="0" xfId="0" applyFont="1" applyAlignment="1">
      <alignment horizontal="center" wrapText="1"/>
    </xf>
    <xf numFmtId="10" fontId="5" fillId="0" borderId="0" xfId="0" applyNumberFormat="1" applyFont="1" applyAlignment="1">
      <alignment horizontal="center"/>
    </xf>
    <xf numFmtId="173" fontId="63" fillId="0" borderId="52" xfId="1" applyNumberFormat="1" applyFont="1" applyBorder="1" applyAlignment="1">
      <alignment horizontal="center"/>
    </xf>
    <xf numFmtId="173" fontId="63" fillId="0" borderId="7" xfId="1" applyNumberFormat="1" applyFont="1" applyBorder="1" applyAlignment="1">
      <alignment horizontal="center"/>
    </xf>
    <xf numFmtId="164" fontId="8" fillId="0" borderId="52" xfId="1" applyNumberFormat="1" applyFont="1" applyBorder="1" applyAlignment="1">
      <alignment horizontal="center"/>
    </xf>
    <xf numFmtId="9" fontId="8" fillId="0" borderId="56" xfId="2" applyFont="1" applyBorder="1" applyAlignment="1">
      <alignment horizontal="center"/>
    </xf>
    <xf numFmtId="166" fontId="59" fillId="0" borderId="0" xfId="2" applyNumberFormat="1" applyFont="1" applyBorder="1" applyAlignment="1">
      <alignment horizontal="center"/>
    </xf>
    <xf numFmtId="166" fontId="59" fillId="0" borderId="7" xfId="2" applyNumberFormat="1" applyFont="1" applyBorder="1" applyAlignment="1">
      <alignment horizontal="center"/>
    </xf>
    <xf numFmtId="164" fontId="0" fillId="0" borderId="0" xfId="0" applyNumberFormat="1"/>
    <xf numFmtId="166" fontId="0" fillId="0" borderId="0" xfId="2" applyNumberFormat="1" applyFont="1" applyFill="1" applyBorder="1" applyAlignment="1">
      <alignment horizontal="center"/>
    </xf>
    <xf numFmtId="0" fontId="20" fillId="5" borderId="8" xfId="0" applyFont="1" applyFill="1" applyBorder="1" applyAlignment="1">
      <alignment horizontal="center"/>
    </xf>
    <xf numFmtId="0" fontId="18" fillId="5" borderId="3" xfId="0" applyFont="1" applyFill="1" applyBorder="1" applyAlignment="1">
      <alignment horizontal="center"/>
    </xf>
    <xf numFmtId="0" fontId="18" fillId="5" borderId="9" xfId="0" applyFont="1" applyFill="1" applyBorder="1" applyAlignment="1">
      <alignment horizontal="center"/>
    </xf>
    <xf numFmtId="0" fontId="0" fillId="0" borderId="6" xfId="0" applyBorder="1" applyAlignment="1">
      <alignment horizontal="left" indent="2"/>
    </xf>
    <xf numFmtId="0" fontId="6" fillId="0" borderId="93" xfId="0" applyFont="1" applyBorder="1"/>
    <xf numFmtId="0" fontId="57" fillId="5" borderId="3" xfId="0" applyFont="1" applyFill="1" applyBorder="1" applyAlignment="1">
      <alignment horizontal="center"/>
    </xf>
    <xf numFmtId="0" fontId="57" fillId="5" borderId="8" xfId="0" applyFont="1" applyFill="1" applyBorder="1" applyAlignment="1">
      <alignment horizontal="center"/>
    </xf>
    <xf numFmtId="37" fontId="0" fillId="0" borderId="0" xfId="0" applyNumberFormat="1" applyAlignment="1">
      <alignment horizontal="center"/>
    </xf>
    <xf numFmtId="37" fontId="0" fillId="0" borderId="7" xfId="0" applyNumberFormat="1" applyBorder="1" applyAlignment="1">
      <alignment horizontal="center"/>
    </xf>
    <xf numFmtId="37" fontId="6" fillId="0" borderId="92" xfId="0" applyNumberFormat="1" applyFont="1" applyBorder="1" applyAlignment="1">
      <alignment horizontal="center"/>
    </xf>
    <xf numFmtId="37" fontId="6" fillId="0" borderId="94" xfId="0" applyNumberFormat="1" applyFont="1" applyBorder="1" applyAlignment="1">
      <alignment horizontal="center"/>
    </xf>
    <xf numFmtId="0" fontId="6" fillId="0" borderId="43" xfId="0" applyFont="1" applyBorder="1" applyAlignment="1">
      <alignment horizontal="left" indent="1"/>
    </xf>
    <xf numFmtId="37" fontId="6" fillId="0" borderId="2" xfId="0" applyNumberFormat="1" applyFont="1" applyBorder="1" applyAlignment="1">
      <alignment horizontal="center"/>
    </xf>
    <xf numFmtId="37" fontId="6" fillId="0" borderId="44" xfId="0" applyNumberFormat="1" applyFont="1" applyBorder="1" applyAlignment="1">
      <alignment horizontal="center"/>
    </xf>
    <xf numFmtId="0" fontId="6" fillId="0" borderId="43" xfId="0" applyFont="1" applyBorder="1" applyAlignment="1">
      <alignment horizontal="left"/>
    </xf>
    <xf numFmtId="0" fontId="7" fillId="0" borderId="6" xfId="0" applyFont="1" applyBorder="1" applyAlignment="1">
      <alignment horizontal="left" indent="1"/>
    </xf>
    <xf numFmtId="9" fontId="7" fillId="0" borderId="0" xfId="2" applyFont="1" applyBorder="1" applyAlignment="1">
      <alignment horizontal="center"/>
    </xf>
    <xf numFmtId="0" fontId="7" fillId="0" borderId="6" xfId="0" applyFont="1" applyBorder="1" applyAlignment="1">
      <alignment horizontal="left" indent="2"/>
    </xf>
    <xf numFmtId="166" fontId="7" fillId="0" borderId="0" xfId="2" applyNumberFormat="1" applyFont="1" applyBorder="1" applyAlignment="1">
      <alignment horizontal="center"/>
    </xf>
    <xf numFmtId="166" fontId="7" fillId="0" borderId="7" xfId="2" applyNumberFormat="1" applyFont="1" applyBorder="1" applyAlignment="1">
      <alignment horizontal="center"/>
    </xf>
    <xf numFmtId="0" fontId="7" fillId="0" borderId="8" xfId="0" applyFont="1" applyBorder="1" applyAlignment="1">
      <alignment horizontal="left" indent="1"/>
    </xf>
    <xf numFmtId="166" fontId="7" fillId="0" borderId="3" xfId="0" applyNumberFormat="1" applyFont="1" applyBorder="1" applyAlignment="1">
      <alignment horizontal="center"/>
    </xf>
    <xf numFmtId="166" fontId="7" fillId="0" borderId="9" xfId="0" applyNumberFormat="1" applyFont="1" applyBorder="1" applyAlignment="1">
      <alignment horizontal="center"/>
    </xf>
    <xf numFmtId="10" fontId="7" fillId="0" borderId="0" xfId="0" applyNumberFormat="1" applyFont="1" applyAlignment="1">
      <alignment horizontal="center"/>
    </xf>
    <xf numFmtId="0" fontId="14" fillId="0" borderId="6" xfId="0" applyFont="1" applyBorder="1"/>
    <xf numFmtId="166" fontId="7" fillId="0" borderId="0" xfId="0" applyNumberFormat="1" applyFont="1" applyAlignment="1">
      <alignment horizontal="center"/>
    </xf>
    <xf numFmtId="10" fontId="7" fillId="0" borderId="3" xfId="0" applyNumberFormat="1" applyFont="1" applyBorder="1" applyAlignment="1">
      <alignment horizontal="center"/>
    </xf>
    <xf numFmtId="181" fontId="66" fillId="0" borderId="0" xfId="0" applyNumberFormat="1" applyFont="1" applyAlignment="1">
      <alignment horizontal="right"/>
    </xf>
    <xf numFmtId="180" fontId="34" fillId="7" borderId="0" xfId="74" applyNumberFormat="1" applyFont="1" applyFill="1" applyAlignment="1">
      <alignment horizontal="right"/>
    </xf>
    <xf numFmtId="0" fontId="57" fillId="5" borderId="52" xfId="0" applyFont="1" applyFill="1" applyBorder="1" applyAlignment="1">
      <alignment horizontal="left"/>
    </xf>
    <xf numFmtId="0" fontId="57" fillId="0" borderId="0" xfId="0" applyFont="1"/>
    <xf numFmtId="0" fontId="63" fillId="0" borderId="7" xfId="3" applyNumberFormat="1" applyFont="1" applyBorder="1" applyAlignment="1">
      <alignment horizontal="center"/>
    </xf>
    <xf numFmtId="0" fontId="6" fillId="0" borderId="45" xfId="0" applyFont="1" applyBorder="1"/>
    <xf numFmtId="177" fontId="34" fillId="7" borderId="80" xfId="74" applyNumberFormat="1" applyFont="1" applyFill="1" applyBorder="1"/>
    <xf numFmtId="10" fontId="34" fillId="7" borderId="0" xfId="74" applyNumberFormat="1" applyFont="1" applyFill="1" applyAlignment="1">
      <alignment horizontal="right"/>
    </xf>
    <xf numFmtId="179" fontId="59" fillId="0" borderId="82" xfId="2" applyNumberFormat="1" applyFont="1" applyBorder="1" applyAlignment="1">
      <alignment horizontal="center"/>
    </xf>
    <xf numFmtId="0" fontId="67" fillId="0" borderId="0" xfId="0" applyFont="1"/>
    <xf numFmtId="0" fontId="68" fillId="5" borderId="52" xfId="0" applyFont="1" applyFill="1" applyBorder="1" applyAlignment="1">
      <alignment horizontal="left"/>
    </xf>
    <xf numFmtId="164" fontId="69" fillId="0" borderId="0" xfId="1" applyNumberFormat="1" applyFont="1" applyBorder="1"/>
    <xf numFmtId="0" fontId="71" fillId="0" borderId="0" xfId="0" applyFont="1" applyAlignment="1">
      <alignment horizontal="center"/>
    </xf>
    <xf numFmtId="0" fontId="72" fillId="7" borderId="0" xfId="75" applyFont="1" applyFill="1" applyAlignment="1">
      <alignment horizontal="left"/>
    </xf>
    <xf numFmtId="0" fontId="73" fillId="7" borderId="0" xfId="75" applyFont="1" applyFill="1"/>
    <xf numFmtId="178" fontId="74" fillId="7" borderId="0" xfId="74" applyNumberFormat="1" applyFont="1" applyFill="1" applyAlignment="1">
      <alignment horizontal="right"/>
    </xf>
    <xf numFmtId="10" fontId="75" fillId="7" borderId="0" xfId="74" applyNumberFormat="1" applyFont="1" applyFill="1" applyAlignment="1">
      <alignment horizontal="right"/>
    </xf>
    <xf numFmtId="0" fontId="73" fillId="7" borderId="61" xfId="74" applyFont="1" applyFill="1" applyBorder="1"/>
    <xf numFmtId="0" fontId="73" fillId="7" borderId="2" xfId="74" applyFont="1" applyFill="1" applyBorder="1"/>
    <xf numFmtId="0" fontId="73" fillId="7" borderId="2" xfId="75" applyFont="1" applyFill="1" applyBorder="1"/>
    <xf numFmtId="6" fontId="73" fillId="7" borderId="89" xfId="74" applyNumberFormat="1" applyFont="1" applyFill="1" applyBorder="1" applyAlignment="1">
      <alignment horizontal="right"/>
    </xf>
    <xf numFmtId="0" fontId="73" fillId="7" borderId="60" xfId="74" applyFont="1" applyFill="1" applyBorder="1"/>
    <xf numFmtId="0" fontId="73" fillId="7" borderId="0" xfId="74" applyFont="1" applyFill="1"/>
    <xf numFmtId="10" fontId="76" fillId="7" borderId="80" xfId="76" applyNumberFormat="1" applyFont="1" applyFill="1" applyBorder="1" applyAlignment="1">
      <alignment horizontal="right"/>
    </xf>
    <xf numFmtId="0" fontId="73" fillId="7" borderId="60" xfId="74" applyFont="1" applyFill="1" applyBorder="1" applyAlignment="1">
      <alignment horizontal="left"/>
    </xf>
    <xf numFmtId="10" fontId="73" fillId="7" borderId="0" xfId="74" applyNumberFormat="1" applyFont="1" applyFill="1"/>
    <xf numFmtId="6" fontId="73" fillId="10" borderId="80" xfId="74" applyNumberFormat="1" applyFont="1" applyFill="1" applyBorder="1" applyAlignment="1">
      <alignment horizontal="right"/>
    </xf>
    <xf numFmtId="9" fontId="75" fillId="7" borderId="80" xfId="74" applyNumberFormat="1" applyFont="1" applyFill="1" applyBorder="1"/>
    <xf numFmtId="0" fontId="73" fillId="7" borderId="69" xfId="74" applyFont="1" applyFill="1" applyBorder="1" applyAlignment="1">
      <alignment horizontal="left"/>
    </xf>
    <xf numFmtId="0" fontId="73" fillId="7" borderId="1" xfId="74" applyFont="1" applyFill="1" applyBorder="1"/>
    <xf numFmtId="0" fontId="73" fillId="7" borderId="1" xfId="75" applyFont="1" applyFill="1" applyBorder="1"/>
    <xf numFmtId="6" fontId="73" fillId="10" borderId="81" xfId="74" applyNumberFormat="1" applyFont="1" applyFill="1" applyBorder="1" applyAlignment="1">
      <alignment horizontal="right"/>
    </xf>
    <xf numFmtId="0" fontId="73" fillId="7" borderId="0" xfId="74" applyFont="1" applyFill="1" applyAlignment="1">
      <alignment horizontal="left"/>
    </xf>
    <xf numFmtId="6" fontId="73" fillId="7" borderId="0" xfId="74" applyNumberFormat="1" applyFont="1" applyFill="1" applyAlignment="1">
      <alignment horizontal="right"/>
    </xf>
    <xf numFmtId="0" fontId="73" fillId="7" borderId="0" xfId="74" applyFont="1" applyFill="1" applyAlignment="1">
      <alignment horizontal="right"/>
    </xf>
    <xf numFmtId="0" fontId="73" fillId="5" borderId="40" xfId="74" applyFont="1" applyFill="1" applyBorder="1"/>
    <xf numFmtId="0" fontId="73" fillId="5" borderId="40" xfId="74" applyFont="1" applyFill="1" applyBorder="1" applyAlignment="1">
      <alignment horizontal="center"/>
    </xf>
    <xf numFmtId="0" fontId="73" fillId="5" borderId="40" xfId="75" applyFont="1" applyFill="1" applyBorder="1"/>
    <xf numFmtId="0" fontId="73" fillId="5" borderId="82" xfId="74" applyFont="1" applyFill="1" applyBorder="1" applyAlignment="1">
      <alignment horizontal="center"/>
    </xf>
    <xf numFmtId="177" fontId="75" fillId="7" borderId="80" xfId="74" applyNumberFormat="1" applyFont="1" applyFill="1" applyBorder="1"/>
    <xf numFmtId="44" fontId="73" fillId="7" borderId="0" xfId="77" applyFont="1" applyFill="1" applyBorder="1"/>
    <xf numFmtId="0" fontId="73" fillId="7" borderId="69" xfId="74" applyFont="1" applyFill="1" applyBorder="1"/>
    <xf numFmtId="10" fontId="73" fillId="7" borderId="1" xfId="74" applyNumberFormat="1" applyFont="1" applyFill="1" applyBorder="1"/>
    <xf numFmtId="169" fontId="75" fillId="7" borderId="80" xfId="74" applyNumberFormat="1" applyFont="1" applyFill="1" applyBorder="1" applyAlignment="1">
      <alignment horizontal="right"/>
    </xf>
    <xf numFmtId="9" fontId="75" fillId="7" borderId="80" xfId="76" applyFont="1" applyFill="1" applyBorder="1" applyAlignment="1">
      <alignment horizontal="right"/>
    </xf>
    <xf numFmtId="10" fontId="75" fillId="7" borderId="80" xfId="76" applyNumberFormat="1" applyFont="1" applyFill="1" applyBorder="1" applyAlignment="1">
      <alignment horizontal="right"/>
    </xf>
    <xf numFmtId="0" fontId="76" fillId="7" borderId="0" xfId="74" applyFont="1" applyFill="1"/>
    <xf numFmtId="10" fontId="76" fillId="7" borderId="0" xfId="74" applyNumberFormat="1" applyFont="1" applyFill="1"/>
    <xf numFmtId="0" fontId="76" fillId="7" borderId="0" xfId="75" applyFont="1" applyFill="1"/>
    <xf numFmtId="6" fontId="76" fillId="7" borderId="0" xfId="74" applyNumberFormat="1" applyFont="1" applyFill="1" applyAlignment="1">
      <alignment horizontal="right"/>
    </xf>
    <xf numFmtId="0" fontId="78" fillId="7" borderId="0" xfId="78" applyFont="1" applyFill="1"/>
    <xf numFmtId="0" fontId="67" fillId="7" borderId="0" xfId="78" applyFont="1" applyFill="1"/>
    <xf numFmtId="10" fontId="73" fillId="7" borderId="0" xfId="78" applyNumberFormat="1" applyFont="1" applyFill="1" applyAlignment="1">
      <alignment horizontal="right"/>
    </xf>
    <xf numFmtId="0" fontId="73" fillId="7" borderId="0" xfId="78" applyFont="1" applyFill="1"/>
    <xf numFmtId="179" fontId="67" fillId="7" borderId="0" xfId="76" applyNumberFormat="1" applyFont="1" applyFill="1" applyBorder="1"/>
    <xf numFmtId="10" fontId="67" fillId="7" borderId="0" xfId="76" applyNumberFormat="1" applyFont="1" applyFill="1" applyBorder="1"/>
    <xf numFmtId="0" fontId="77" fillId="7" borderId="0" xfId="74" applyFont="1" applyFill="1"/>
    <xf numFmtId="9" fontId="80" fillId="0" borderId="0" xfId="2" applyFont="1"/>
    <xf numFmtId="6" fontId="67" fillId="0" borderId="0" xfId="0" applyNumberFormat="1" applyFont="1"/>
    <xf numFmtId="181" fontId="81" fillId="0" borderId="0" xfId="0" applyNumberFormat="1" applyFont="1" applyAlignment="1">
      <alignment horizontal="right"/>
    </xf>
    <xf numFmtId="180" fontId="82" fillId="7" borderId="0" xfId="74" applyNumberFormat="1" applyFont="1" applyFill="1" applyAlignment="1">
      <alignment horizontal="right"/>
    </xf>
    <xf numFmtId="178" fontId="82" fillId="7" borderId="0" xfId="74" applyNumberFormat="1" applyFont="1" applyFill="1" applyAlignment="1">
      <alignment horizontal="right"/>
    </xf>
    <xf numFmtId="10" fontId="83" fillId="7" borderId="0" xfId="74" applyNumberFormat="1" applyFont="1" applyFill="1" applyAlignment="1">
      <alignment horizontal="right"/>
    </xf>
    <xf numFmtId="6" fontId="73" fillId="0" borderId="89" xfId="74" applyNumberFormat="1" applyFont="1" applyBorder="1" applyAlignment="1">
      <alignment horizontal="right"/>
    </xf>
    <xf numFmtId="10" fontId="83" fillId="7" borderId="80" xfId="76" applyNumberFormat="1" applyFont="1" applyFill="1" applyBorder="1" applyAlignment="1">
      <alignment horizontal="right"/>
    </xf>
    <xf numFmtId="9" fontId="73" fillId="7" borderId="60" xfId="74" applyNumberFormat="1" applyFont="1" applyFill="1" applyBorder="1" applyAlignment="1">
      <alignment horizontal="left"/>
    </xf>
    <xf numFmtId="9" fontId="73" fillId="7" borderId="0" xfId="74" applyNumberFormat="1" applyFont="1" applyFill="1"/>
    <xf numFmtId="9" fontId="73" fillId="7" borderId="0" xfId="75" applyNumberFormat="1" applyFont="1" applyFill="1"/>
    <xf numFmtId="9" fontId="83" fillId="7" borderId="80" xfId="74" applyNumberFormat="1" applyFont="1" applyFill="1" applyBorder="1"/>
    <xf numFmtId="177" fontId="83" fillId="7" borderId="80" xfId="74" applyNumberFormat="1" applyFont="1" applyFill="1" applyBorder="1"/>
    <xf numFmtId="0" fontId="73" fillId="7" borderId="0" xfId="74" applyFont="1" applyFill="1" applyAlignment="1">
      <alignment horizontal="left" indent="1"/>
    </xf>
    <xf numFmtId="9" fontId="0" fillId="0" borderId="0" xfId="2" applyFont="1"/>
    <xf numFmtId="0" fontId="12" fillId="0" borderId="40" xfId="0" applyFont="1" applyBorder="1" applyAlignment="1">
      <alignment horizontal="center"/>
    </xf>
    <xf numFmtId="166" fontId="59" fillId="0" borderId="87" xfId="0" applyNumberFormat="1" applyFont="1" applyBorder="1" applyAlignment="1">
      <alignment horizontal="center"/>
    </xf>
    <xf numFmtId="0" fontId="0" fillId="11" borderId="0" xfId="0" applyFill="1"/>
    <xf numFmtId="0" fontId="0" fillId="0" borderId="54" xfId="0" applyBorder="1" applyAlignment="1">
      <alignment horizontal="left"/>
    </xf>
    <xf numFmtId="170" fontId="64" fillId="0" borderId="0" xfId="0" applyNumberFormat="1" applyFont="1" applyAlignment="1">
      <alignment horizontal="center"/>
    </xf>
    <xf numFmtId="0" fontId="64" fillId="0" borderId="0" xfId="0" applyFont="1" applyAlignment="1">
      <alignment horizontal="center"/>
    </xf>
    <xf numFmtId="0" fontId="6" fillId="11" borderId="0" xfId="0" applyFont="1" applyFill="1"/>
    <xf numFmtId="10" fontId="10" fillId="6" borderId="0" xfId="3" applyNumberFormat="1" applyFont="1" applyFill="1" applyBorder="1" applyAlignment="1">
      <alignment horizontal="center"/>
    </xf>
    <xf numFmtId="10" fontId="10" fillId="0" borderId="7" xfId="3" applyNumberFormat="1" applyFont="1" applyBorder="1" applyAlignment="1">
      <alignment horizontal="center"/>
    </xf>
    <xf numFmtId="0" fontId="63" fillId="0" borderId="0" xfId="3" applyNumberFormat="1" applyFont="1" applyFill="1" applyBorder="1" applyAlignment="1">
      <alignment horizontal="center"/>
    </xf>
    <xf numFmtId="10" fontId="63" fillId="0" borderId="0" xfId="3" applyNumberFormat="1" applyFont="1" applyFill="1" applyBorder="1" applyAlignment="1">
      <alignment horizontal="center"/>
    </xf>
    <xf numFmtId="3" fontId="0" fillId="0" borderId="0" xfId="1" applyNumberFormat="1" applyFont="1" applyFill="1" applyBorder="1" applyAlignment="1">
      <alignment horizontal="center"/>
    </xf>
    <xf numFmtId="3" fontId="6" fillId="0" borderId="92" xfId="0" applyNumberFormat="1" applyFont="1" applyBorder="1" applyAlignment="1">
      <alignment horizontal="center"/>
    </xf>
    <xf numFmtId="177" fontId="6" fillId="0" borderId="0" xfId="1" applyNumberFormat="1" applyFont="1" applyFill="1" applyBorder="1" applyAlignment="1">
      <alignment horizontal="center"/>
    </xf>
    <xf numFmtId="10" fontId="6" fillId="0" borderId="3" xfId="2" applyNumberFormat="1" applyFont="1" applyFill="1" applyBorder="1" applyAlignment="1">
      <alignment horizontal="center"/>
    </xf>
    <xf numFmtId="0" fontId="12" fillId="0" borderId="8" xfId="0" applyFont="1" applyBorder="1" applyAlignment="1">
      <alignment horizontal="left"/>
    </xf>
    <xf numFmtId="10" fontId="7" fillId="0" borderId="0" xfId="2" applyNumberFormat="1" applyFont="1" applyBorder="1" applyAlignment="1">
      <alignment horizontal="center"/>
    </xf>
    <xf numFmtId="177" fontId="6" fillId="0" borderId="7" xfId="1" applyNumberFormat="1" applyFont="1" applyFill="1" applyBorder="1" applyAlignment="1">
      <alignment horizontal="center"/>
    </xf>
    <xf numFmtId="10" fontId="6" fillId="0" borderId="9" xfId="2" applyNumberFormat="1" applyFont="1" applyFill="1" applyBorder="1" applyAlignment="1">
      <alignment horizontal="center"/>
    </xf>
    <xf numFmtId="191" fontId="0" fillId="0" borderId="0" xfId="0" applyNumberFormat="1"/>
    <xf numFmtId="8" fontId="67" fillId="0" borderId="0" xfId="0" applyNumberFormat="1" applyFont="1"/>
    <xf numFmtId="43" fontId="0" fillId="0" borderId="0" xfId="3" applyFont="1"/>
    <xf numFmtId="43" fontId="6" fillId="0" borderId="0" xfId="0" applyNumberFormat="1" applyFont="1"/>
    <xf numFmtId="10" fontId="6" fillId="0" borderId="0" xfId="2" applyNumberFormat="1" applyFont="1" applyFill="1" applyBorder="1" applyAlignment="1">
      <alignment horizontal="center"/>
    </xf>
    <xf numFmtId="0" fontId="7" fillId="0" borderId="0" xfId="0" applyFont="1"/>
    <xf numFmtId="10" fontId="7" fillId="0" borderId="0" xfId="2" applyNumberFormat="1" applyFont="1" applyFill="1" applyBorder="1" applyAlignment="1">
      <alignment horizontal="center"/>
    </xf>
    <xf numFmtId="44" fontId="13" fillId="0" borderId="0" xfId="1" applyFont="1"/>
    <xf numFmtId="44" fontId="6" fillId="0" borderId="0" xfId="1" applyFont="1"/>
    <xf numFmtId="3" fontId="7" fillId="6" borderId="0" xfId="0" applyNumberFormat="1" applyFont="1" applyFill="1" applyAlignment="1">
      <alignment horizontal="center"/>
    </xf>
    <xf numFmtId="3" fontId="7" fillId="0" borderId="7" xfId="0" applyNumberFormat="1" applyFont="1" applyBorder="1" applyAlignment="1">
      <alignment horizontal="center"/>
    </xf>
    <xf numFmtId="9" fontId="34" fillId="7" borderId="80" xfId="74" applyNumberFormat="1" applyFont="1" applyFill="1" applyBorder="1"/>
    <xf numFmtId="10" fontId="34" fillId="7" borderId="80" xfId="76" applyNumberFormat="1" applyFont="1" applyFill="1" applyBorder="1" applyAlignment="1">
      <alignment horizontal="right"/>
    </xf>
    <xf numFmtId="164" fontId="0" fillId="0" borderId="0" xfId="1" applyNumberFormat="1" applyFont="1" applyAlignment="1">
      <alignment horizontal="center"/>
    </xf>
    <xf numFmtId="0" fontId="0" fillId="0" borderId="1" xfId="0" applyBorder="1"/>
    <xf numFmtId="164" fontId="12" fillId="0" borderId="7" xfId="1" applyNumberFormat="1" applyFont="1" applyBorder="1"/>
    <xf numFmtId="0" fontId="84" fillId="0" borderId="80" xfId="0" applyFont="1" applyBorder="1" applyAlignment="1">
      <alignment horizontal="right"/>
    </xf>
    <xf numFmtId="0" fontId="84" fillId="0" borderId="81" xfId="0" applyFont="1" applyBorder="1" applyAlignment="1">
      <alignment horizontal="right"/>
    </xf>
    <xf numFmtId="166" fontId="59" fillId="0" borderId="7" xfId="2" applyNumberFormat="1" applyFont="1" applyFill="1" applyBorder="1" applyAlignment="1">
      <alignment horizontal="center"/>
    </xf>
    <xf numFmtId="164" fontId="8" fillId="0" borderId="55" xfId="1" applyNumberFormat="1" applyFont="1" applyFill="1" applyBorder="1"/>
    <xf numFmtId="168" fontId="12" fillId="0" borderId="7" xfId="32" applyNumberFormat="1" applyFont="1" applyBorder="1" applyAlignment="1">
      <alignment horizontal="center"/>
    </xf>
    <xf numFmtId="10" fontId="5" fillId="0" borderId="7" xfId="0" applyNumberFormat="1" applyFont="1" applyBorder="1" applyAlignment="1">
      <alignment horizontal="center"/>
    </xf>
    <xf numFmtId="10" fontId="5" fillId="0" borderId="7" xfId="2" applyNumberFormat="1" applyFont="1" applyFill="1" applyBorder="1" applyAlignment="1">
      <alignment horizontal="center"/>
    </xf>
    <xf numFmtId="9" fontId="5" fillId="0" borderId="7" xfId="2" applyFont="1" applyBorder="1" applyAlignment="1">
      <alignment horizontal="center"/>
    </xf>
    <xf numFmtId="0" fontId="5" fillId="0" borderId="7" xfId="0" applyFont="1" applyBorder="1" applyAlignment="1">
      <alignment horizontal="center"/>
    </xf>
    <xf numFmtId="164" fontId="8" fillId="0" borderId="47" xfId="1" applyNumberFormat="1" applyFont="1" applyFill="1" applyBorder="1"/>
    <xf numFmtId="0" fontId="0" fillId="0" borderId="2" xfId="0" applyBorder="1" applyAlignment="1">
      <alignment horizontal="center"/>
    </xf>
    <xf numFmtId="0" fontId="0" fillId="0" borderId="0" xfId="0" applyAlignment="1">
      <alignment horizontal="center" vertical="center"/>
    </xf>
    <xf numFmtId="0" fontId="85" fillId="0" borderId="0" xfId="0" applyFont="1" applyAlignment="1">
      <alignment horizontal="center"/>
    </xf>
    <xf numFmtId="0" fontId="86" fillId="0" borderId="0" xfId="0" applyFont="1"/>
    <xf numFmtId="0" fontId="86" fillId="0" borderId="0" xfId="0" applyFont="1" applyAlignment="1">
      <alignment horizontal="right"/>
    </xf>
    <xf numFmtId="0" fontId="87" fillId="0" borderId="1" xfId="0" applyFont="1" applyBorder="1"/>
    <xf numFmtId="0" fontId="88" fillId="0" borderId="1" xfId="0" applyFont="1" applyBorder="1" applyAlignment="1">
      <alignment horizontal="right"/>
    </xf>
    <xf numFmtId="0" fontId="88" fillId="0" borderId="1" xfId="0" applyFont="1" applyBorder="1" applyAlignment="1">
      <alignment horizontal="center"/>
    </xf>
    <xf numFmtId="168" fontId="0" fillId="0" borderId="0" xfId="0" applyNumberFormat="1" applyAlignment="1">
      <alignment horizontal="right"/>
    </xf>
    <xf numFmtId="0" fontId="0" fillId="0" borderId="98" xfId="0" applyBorder="1"/>
    <xf numFmtId="0" fontId="0" fillId="0" borderId="98" xfId="0" applyBorder="1" applyAlignment="1">
      <alignment horizontal="right"/>
    </xf>
    <xf numFmtId="9" fontId="0" fillId="0" borderId="0" xfId="0" applyNumberFormat="1" applyAlignment="1">
      <alignment horizontal="right"/>
    </xf>
    <xf numFmtId="0" fontId="0" fillId="0" borderId="2" xfId="0" applyBorder="1"/>
    <xf numFmtId="168" fontId="0" fillId="0" borderId="2" xfId="0" applyNumberFormat="1" applyBorder="1" applyAlignment="1">
      <alignment horizontal="right"/>
    </xf>
    <xf numFmtId="49" fontId="0" fillId="0" borderId="0" xfId="0" applyNumberFormat="1" applyAlignment="1">
      <alignment horizontal="right"/>
    </xf>
    <xf numFmtId="168" fontId="0" fillId="4" borderId="2" xfId="0" applyNumberFormat="1" applyFill="1" applyBorder="1" applyAlignment="1">
      <alignment horizontal="right"/>
    </xf>
    <xf numFmtId="10" fontId="63" fillId="0" borderId="7" xfId="3" applyNumberFormat="1" applyFont="1" applyFill="1" applyBorder="1" applyAlignment="1">
      <alignment horizontal="center"/>
    </xf>
    <xf numFmtId="3" fontId="0" fillId="0" borderId="7" xfId="1" applyNumberFormat="1" applyFont="1" applyFill="1" applyBorder="1" applyAlignment="1">
      <alignment horizontal="center"/>
    </xf>
    <xf numFmtId="6" fontId="5" fillId="0" borderId="7" xfId="32" applyNumberFormat="1" applyBorder="1" applyAlignment="1">
      <alignment horizontal="center"/>
    </xf>
    <xf numFmtId="177" fontId="5" fillId="0" borderId="7" xfId="33" applyNumberFormat="1" applyFont="1" applyFill="1" applyBorder="1" applyAlignment="1">
      <alignment horizontal="center"/>
    </xf>
    <xf numFmtId="10" fontId="5" fillId="0" borderId="9" xfId="0" applyNumberFormat="1" applyFont="1" applyBorder="1" applyAlignment="1">
      <alignment horizontal="center"/>
    </xf>
    <xf numFmtId="0" fontId="85" fillId="0" borderId="0" xfId="0" applyFont="1"/>
    <xf numFmtId="0" fontId="88" fillId="6" borderId="1" xfId="0" applyFont="1" applyFill="1" applyBorder="1" applyAlignment="1">
      <alignment horizontal="center" wrapText="1"/>
    </xf>
    <xf numFmtId="0" fontId="88" fillId="0" borderId="1" xfId="0" applyFont="1" applyBorder="1" applyAlignment="1">
      <alignment horizontal="center" wrapText="1"/>
    </xf>
    <xf numFmtId="0" fontId="16" fillId="6" borderId="0" xfId="0" applyFont="1" applyFill="1" applyAlignment="1">
      <alignment horizontal="center"/>
    </xf>
    <xf numFmtId="168" fontId="0" fillId="6" borderId="0" xfId="0" applyNumberFormat="1" applyFill="1" applyAlignment="1">
      <alignment horizontal="center"/>
    </xf>
    <xf numFmtId="193" fontId="0" fillId="0" borderId="0" xfId="0" applyNumberFormat="1" applyAlignment="1">
      <alignment horizontal="center"/>
    </xf>
    <xf numFmtId="194" fontId="0" fillId="0" borderId="0" xfId="0" applyNumberFormat="1" applyAlignment="1">
      <alignment horizontal="center"/>
    </xf>
    <xf numFmtId="168" fontId="0" fillId="6" borderId="2" xfId="0" applyNumberFormat="1" applyFill="1" applyBorder="1" applyAlignment="1">
      <alignment horizontal="center" wrapText="1"/>
    </xf>
    <xf numFmtId="168" fontId="0" fillId="0" borderId="2" xfId="0" applyNumberFormat="1" applyBorder="1" applyAlignment="1">
      <alignment horizontal="center" wrapText="1"/>
    </xf>
    <xf numFmtId="168" fontId="0" fillId="0" borderId="0" xfId="0" applyNumberFormat="1" applyAlignment="1">
      <alignment horizontal="center" vertical="center" wrapText="1"/>
    </xf>
    <xf numFmtId="0" fontId="0" fillId="6" borderId="97" xfId="0" applyFill="1" applyBorder="1"/>
    <xf numFmtId="0" fontId="0" fillId="6" borderId="97" xfId="0" applyFill="1" applyBorder="1" applyAlignment="1">
      <alignment horizontal="right"/>
    </xf>
    <xf numFmtId="192" fontId="0" fillId="6" borderId="97" xfId="0" applyNumberFormat="1" applyFill="1" applyBorder="1" applyAlignment="1">
      <alignment horizontal="center"/>
    </xf>
    <xf numFmtId="0" fontId="0" fillId="6" borderId="97" xfId="0" applyFill="1" applyBorder="1" applyAlignment="1">
      <alignment horizontal="center"/>
    </xf>
    <xf numFmtId="192" fontId="0" fillId="0" borderId="98" xfId="0" applyNumberFormat="1" applyBorder="1" applyAlignment="1">
      <alignment horizontal="center"/>
    </xf>
    <xf numFmtId="0" fontId="0" fillId="0" borderId="98" xfId="0" applyBorder="1" applyAlignment="1">
      <alignment horizontal="center"/>
    </xf>
    <xf numFmtId="192" fontId="0" fillId="0" borderId="0" xfId="0" applyNumberFormat="1" applyAlignment="1">
      <alignment horizontal="center"/>
    </xf>
    <xf numFmtId="10" fontId="0" fillId="6" borderId="97" xfId="0" applyNumberFormat="1" applyFill="1" applyBorder="1" applyAlignment="1">
      <alignment horizontal="center"/>
    </xf>
    <xf numFmtId="10" fontId="0" fillId="0" borderId="98" xfId="0" applyNumberFormat="1" applyBorder="1" applyAlignment="1">
      <alignment horizontal="center"/>
    </xf>
    <xf numFmtId="168" fontId="0" fillId="6" borderId="97" xfId="3" applyNumberFormat="1" applyFont="1" applyFill="1" applyBorder="1" applyAlignment="1">
      <alignment horizontal="center"/>
    </xf>
    <xf numFmtId="168" fontId="0" fillId="0" borderId="98" xfId="3" applyNumberFormat="1" applyFont="1" applyBorder="1" applyAlignment="1">
      <alignment horizontal="center"/>
    </xf>
    <xf numFmtId="168" fontId="0" fillId="0" borderId="0" xfId="3" applyNumberFormat="1" applyFont="1" applyAlignment="1">
      <alignment horizontal="center"/>
    </xf>
    <xf numFmtId="0" fontId="0" fillId="6" borderId="97" xfId="0" applyFill="1" applyBorder="1" applyAlignment="1">
      <alignment horizontal="left" wrapText="1"/>
    </xf>
    <xf numFmtId="0" fontId="0" fillId="0" borderId="98" xfId="0" applyBorder="1" applyAlignment="1">
      <alignment horizontal="left" wrapText="1"/>
    </xf>
    <xf numFmtId="0" fontId="0" fillId="0" borderId="8" xfId="32" applyFont="1" applyBorder="1"/>
    <xf numFmtId="0" fontId="7" fillId="0" borderId="43" xfId="0" applyFont="1" applyBorder="1"/>
    <xf numFmtId="0" fontId="63" fillId="0" borderId="2" xfId="3" applyNumberFormat="1" applyFont="1" applyFill="1" applyBorder="1" applyAlignment="1">
      <alignment horizontal="center"/>
    </xf>
    <xf numFmtId="0" fontId="10" fillId="6" borderId="2" xfId="3" applyNumberFormat="1" applyFont="1" applyFill="1" applyBorder="1" applyAlignment="1">
      <alignment horizontal="center"/>
    </xf>
    <xf numFmtId="0" fontId="63" fillId="0" borderId="44" xfId="3" applyNumberFormat="1" applyFont="1" applyFill="1" applyBorder="1" applyAlignment="1">
      <alignment horizontal="center"/>
    </xf>
    <xf numFmtId="0" fontId="86" fillId="0" borderId="4" xfId="0" applyFont="1" applyBorder="1"/>
    <xf numFmtId="0" fontId="86" fillId="0" borderId="10" xfId="0" applyFont="1" applyBorder="1"/>
    <xf numFmtId="0" fontId="86" fillId="0" borderId="5" xfId="0" applyFont="1" applyBorder="1"/>
    <xf numFmtId="168" fontId="0" fillId="0" borderId="7" xfId="0" applyNumberFormat="1" applyBorder="1" applyAlignment="1">
      <alignment horizontal="right"/>
    </xf>
    <xf numFmtId="168" fontId="0" fillId="0" borderId="44" xfId="0" applyNumberFormat="1" applyBorder="1" applyAlignment="1">
      <alignment horizontal="right"/>
    </xf>
    <xf numFmtId="0" fontId="0" fillId="4" borderId="43" xfId="0" applyFill="1" applyBorder="1"/>
    <xf numFmtId="168" fontId="0" fillId="4" borderId="44" xfId="0" applyNumberFormat="1" applyFill="1" applyBorder="1" applyAlignment="1">
      <alignment horizontal="right"/>
    </xf>
    <xf numFmtId="0" fontId="7" fillId="0" borderId="8" xfId="0" applyFont="1" applyBorder="1"/>
    <xf numFmtId="10" fontId="7" fillId="0" borderId="9" xfId="2" applyNumberFormat="1" applyFont="1" applyBorder="1" applyAlignment="1">
      <alignment horizontal="right"/>
    </xf>
    <xf numFmtId="10" fontId="7" fillId="0" borderId="3" xfId="2" applyNumberFormat="1" applyFont="1" applyBorder="1" applyAlignment="1">
      <alignment horizontal="right"/>
    </xf>
    <xf numFmtId="37" fontId="6" fillId="0" borderId="41" xfId="0" applyNumberFormat="1" applyFont="1" applyBorder="1" applyAlignment="1">
      <alignment horizontal="center"/>
    </xf>
    <xf numFmtId="37" fontId="6" fillId="0" borderId="46" xfId="0" applyNumberFormat="1" applyFont="1" applyBorder="1" applyAlignment="1">
      <alignment horizontal="center"/>
    </xf>
    <xf numFmtId="37" fontId="6" fillId="0" borderId="0" xfId="0" applyNumberFormat="1" applyFont="1" applyAlignment="1">
      <alignment horizontal="center"/>
    </xf>
    <xf numFmtId="0" fontId="88" fillId="0" borderId="42" xfId="0" applyFont="1" applyBorder="1" applyAlignment="1">
      <alignment horizontal="center"/>
    </xf>
    <xf numFmtId="0" fontId="88" fillId="0" borderId="31" xfId="0" applyFont="1" applyBorder="1" applyAlignment="1">
      <alignment horizontal="center"/>
    </xf>
    <xf numFmtId="168" fontId="0" fillId="6" borderId="99" xfId="0" applyNumberFormat="1" applyFill="1" applyBorder="1" applyAlignment="1">
      <alignment horizontal="left"/>
    </xf>
    <xf numFmtId="168" fontId="0" fillId="6" borderId="100" xfId="0" applyNumberFormat="1" applyFill="1" applyBorder="1" applyAlignment="1">
      <alignment horizontal="left"/>
    </xf>
    <xf numFmtId="168" fontId="0" fillId="6" borderId="101" xfId="0" applyNumberFormat="1" applyFill="1" applyBorder="1" applyAlignment="1">
      <alignment horizontal="center"/>
    </xf>
    <xf numFmtId="0" fontId="0" fillId="0" borderId="103" xfId="0" applyBorder="1" applyAlignment="1">
      <alignment vertical="center"/>
    </xf>
    <xf numFmtId="168" fontId="0" fillId="0" borderId="98" xfId="0" applyNumberFormat="1" applyBorder="1" applyAlignment="1">
      <alignment horizontal="center" vertical="center"/>
    </xf>
    <xf numFmtId="0" fontId="0" fillId="0" borderId="98" xfId="0" applyBorder="1" applyAlignment="1">
      <alignment vertical="center"/>
    </xf>
    <xf numFmtId="0" fontId="0" fillId="0" borderId="104" xfId="0" applyBorder="1" applyAlignment="1">
      <alignment wrapText="1"/>
    </xf>
    <xf numFmtId="0" fontId="0" fillId="0" borderId="105" xfId="0" applyBorder="1" applyAlignment="1">
      <alignment vertical="center"/>
    </xf>
    <xf numFmtId="168" fontId="0" fillId="0" borderId="106" xfId="0" applyNumberFormat="1" applyBorder="1" applyAlignment="1">
      <alignment horizontal="center" vertical="center"/>
    </xf>
    <xf numFmtId="0" fontId="0" fillId="0" borderId="106" xfId="0" applyBorder="1" applyAlignment="1">
      <alignment vertical="center"/>
    </xf>
    <xf numFmtId="0" fontId="0" fillId="0" borderId="107" xfId="0" applyBorder="1" applyAlignment="1">
      <alignment wrapText="1"/>
    </xf>
    <xf numFmtId="9" fontId="0" fillId="0" borderId="7" xfId="0" applyNumberFormat="1" applyBorder="1" applyAlignment="1">
      <alignment horizontal="center"/>
    </xf>
    <xf numFmtId="195" fontId="0" fillId="0" borderId="0" xfId="0" applyNumberFormat="1" applyAlignment="1">
      <alignment horizontal="right"/>
    </xf>
    <xf numFmtId="44" fontId="0" fillId="0" borderId="0" xfId="1" applyFont="1"/>
    <xf numFmtId="0" fontId="0" fillId="11" borderId="6" xfId="0" applyFill="1" applyBorder="1"/>
    <xf numFmtId="0" fontId="63" fillId="11" borderId="7" xfId="3" applyNumberFormat="1" applyFont="1" applyFill="1" applyBorder="1" applyAlignment="1">
      <alignment horizontal="center"/>
    </xf>
    <xf numFmtId="3" fontId="0" fillId="11" borderId="7" xfId="1" applyNumberFormat="1" applyFont="1" applyFill="1" applyBorder="1" applyAlignment="1">
      <alignment horizontal="center"/>
    </xf>
    <xf numFmtId="0" fontId="6" fillId="11" borderId="45" xfId="0" applyFont="1" applyFill="1" applyBorder="1"/>
    <xf numFmtId="3" fontId="6" fillId="11" borderId="46" xfId="0" applyNumberFormat="1" applyFont="1" applyFill="1" applyBorder="1" applyAlignment="1">
      <alignment horizontal="center"/>
    </xf>
    <xf numFmtId="168" fontId="64" fillId="0" borderId="0" xfId="0" applyNumberFormat="1" applyFont="1" applyAlignment="1">
      <alignment horizontal="center"/>
    </xf>
    <xf numFmtId="168" fontId="4" fillId="0" borderId="0" xfId="33" applyNumberFormat="1" applyFont="1" applyFill="1" applyBorder="1"/>
    <xf numFmtId="168" fontId="12" fillId="0" borderId="0" xfId="32" applyNumberFormat="1" applyFont="1" applyAlignment="1">
      <alignment horizontal="center"/>
    </xf>
    <xf numFmtId="9" fontId="0" fillId="0" borderId="7" xfId="0" applyNumberFormat="1" applyBorder="1"/>
    <xf numFmtId="168" fontId="6" fillId="0" borderId="3" xfId="0" applyNumberFormat="1" applyFont="1" applyBorder="1" applyAlignment="1">
      <alignment horizontal="center"/>
    </xf>
    <xf numFmtId="0" fontId="6" fillId="0" borderId="9" xfId="0" applyFont="1" applyBorder="1"/>
    <xf numFmtId="0" fontId="63" fillId="0" borderId="6" xfId="0" applyFont="1" applyBorder="1" applyAlignment="1">
      <alignment horizontal="left"/>
    </xf>
    <xf numFmtId="0" fontId="63" fillId="0" borderId="6" xfId="0" applyFont="1" applyBorder="1"/>
    <xf numFmtId="0" fontId="12" fillId="0" borderId="7" xfId="0" applyFont="1" applyBorder="1"/>
    <xf numFmtId="0" fontId="63" fillId="0" borderId="8" xfId="0" applyFont="1" applyBorder="1"/>
    <xf numFmtId="168" fontId="12" fillId="0" borderId="7" xfId="1" applyNumberFormat="1" applyFont="1" applyBorder="1"/>
    <xf numFmtId="168" fontId="12" fillId="0" borderId="7" xfId="0" applyNumberFormat="1" applyFont="1" applyBorder="1"/>
    <xf numFmtId="168" fontId="63" fillId="0" borderId="7" xfId="0" applyNumberFormat="1" applyFont="1" applyBorder="1"/>
    <xf numFmtId="168" fontId="63" fillId="0" borderId="9" xfId="0" applyNumberFormat="1" applyFont="1" applyBorder="1"/>
    <xf numFmtId="168" fontId="0" fillId="0" borderId="7" xfId="0" applyNumberFormat="1" applyBorder="1"/>
    <xf numFmtId="164" fontId="12" fillId="11" borderId="69" xfId="1" applyNumberFormat="1" applyFont="1" applyFill="1" applyBorder="1"/>
    <xf numFmtId="168" fontId="8" fillId="0" borderId="7" xfId="1" applyNumberFormat="1" applyFont="1" applyBorder="1"/>
    <xf numFmtId="0" fontId="33" fillId="10" borderId="81" xfId="74" applyFont="1" applyFill="1" applyBorder="1" applyAlignment="1">
      <alignment horizontal="right"/>
    </xf>
    <xf numFmtId="0" fontId="16" fillId="0" borderId="0" xfId="0" applyFont="1" applyAlignment="1">
      <alignment horizontal="center"/>
    </xf>
    <xf numFmtId="187" fontId="24" fillId="5" borderId="85" xfId="32" applyNumberFormat="1" applyFont="1" applyFill="1" applyBorder="1" applyAlignment="1">
      <alignment horizontal="center" vertical="center"/>
    </xf>
    <xf numFmtId="187" fontId="24" fillId="5" borderId="86" xfId="32" applyNumberFormat="1" applyFont="1" applyFill="1" applyBorder="1" applyAlignment="1">
      <alignment horizontal="center" vertical="center"/>
    </xf>
    <xf numFmtId="187" fontId="24" fillId="5" borderId="87" xfId="32" applyNumberFormat="1" applyFont="1"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wrapText="1"/>
    </xf>
    <xf numFmtId="0" fontId="6" fillId="0" borderId="6" xfId="32" applyFont="1" applyBorder="1" applyAlignment="1">
      <alignment horizontal="center"/>
    </xf>
    <xf numFmtId="0" fontId="6" fillId="0" borderId="80" xfId="32" applyFont="1" applyBorder="1" applyAlignment="1">
      <alignment horizontal="center"/>
    </xf>
    <xf numFmtId="0" fontId="16" fillId="5" borderId="42" xfId="32" applyFont="1" applyFill="1" applyBorder="1" applyAlignment="1">
      <alignment horizontal="center"/>
    </xf>
    <xf numFmtId="0" fontId="16" fillId="5" borderId="1" xfId="32" applyFont="1" applyFill="1" applyBorder="1" applyAlignment="1">
      <alignment horizontal="center"/>
    </xf>
    <xf numFmtId="0" fontId="16" fillId="5" borderId="0" xfId="32" applyFont="1" applyFill="1" applyAlignment="1">
      <alignment horizontal="center"/>
    </xf>
    <xf numFmtId="0" fontId="16" fillId="5" borderId="7" xfId="32" applyFont="1" applyFill="1" applyBorder="1" applyAlignment="1">
      <alignment horizontal="center"/>
    </xf>
    <xf numFmtId="0" fontId="16" fillId="5" borderId="0" xfId="0" applyFont="1" applyFill="1" applyAlignment="1">
      <alignment horizontal="left" indent="12"/>
    </xf>
    <xf numFmtId="0" fontId="16" fillId="5" borderId="21" xfId="32" applyFont="1" applyFill="1" applyBorder="1" applyAlignment="1">
      <alignment horizontal="center"/>
    </xf>
    <xf numFmtId="0" fontId="16" fillId="5" borderId="22" xfId="32" applyFont="1" applyFill="1" applyBorder="1" applyAlignment="1">
      <alignment horizontal="center"/>
    </xf>
    <xf numFmtId="0" fontId="16" fillId="5" borderId="23" xfId="32" applyFont="1" applyFill="1" applyBorder="1" applyAlignment="1">
      <alignment horizontal="center"/>
    </xf>
    <xf numFmtId="0" fontId="16" fillId="0" borderId="0" xfId="32" applyFont="1" applyAlignment="1">
      <alignment horizontal="center"/>
    </xf>
    <xf numFmtId="187" fontId="65" fillId="5" borderId="4" xfId="32" applyNumberFormat="1" applyFont="1" applyFill="1" applyBorder="1" applyAlignment="1">
      <alignment horizontal="center" vertical="center"/>
    </xf>
    <xf numFmtId="187" fontId="65" fillId="5" borderId="10" xfId="32" applyNumberFormat="1" applyFont="1" applyFill="1" applyBorder="1" applyAlignment="1">
      <alignment horizontal="center" vertical="center"/>
    </xf>
    <xf numFmtId="187" fontId="65" fillId="5" borderId="5" xfId="32" applyNumberFormat="1" applyFont="1" applyFill="1" applyBorder="1" applyAlignment="1">
      <alignment horizontal="center" vertical="center"/>
    </xf>
    <xf numFmtId="187" fontId="65" fillId="5" borderId="42" xfId="32" applyNumberFormat="1" applyFont="1" applyFill="1" applyBorder="1" applyAlignment="1">
      <alignment horizontal="center" vertical="center"/>
    </xf>
    <xf numFmtId="187" fontId="65" fillId="5" borderId="1" xfId="32" applyNumberFormat="1" applyFont="1" applyFill="1" applyBorder="1" applyAlignment="1">
      <alignment horizontal="center" vertical="center"/>
    </xf>
    <xf numFmtId="187" fontId="65" fillId="5" borderId="31" xfId="32" applyNumberFormat="1" applyFont="1" applyFill="1" applyBorder="1" applyAlignment="1">
      <alignment horizontal="center" vertical="center"/>
    </xf>
    <xf numFmtId="168" fontId="0" fillId="6" borderId="0" xfId="0" applyNumberFormat="1" applyFill="1" applyAlignment="1">
      <alignment horizontal="center" vertical="center" wrapText="1"/>
    </xf>
    <xf numFmtId="0" fontId="89" fillId="5" borderId="4" xfId="0" applyFont="1" applyFill="1" applyBorder="1" applyAlignment="1">
      <alignment horizontal="center" vertical="center"/>
    </xf>
    <xf numFmtId="0" fontId="89" fillId="5" borderId="10" xfId="0" applyFont="1" applyFill="1" applyBorder="1" applyAlignment="1">
      <alignment horizontal="center" vertical="center"/>
    </xf>
    <xf numFmtId="0" fontId="89" fillId="5" borderId="5" xfId="0" applyFont="1" applyFill="1" applyBorder="1" applyAlignment="1">
      <alignment horizontal="center" vertical="center"/>
    </xf>
    <xf numFmtId="0" fontId="85" fillId="0" borderId="0" xfId="0" applyFont="1" applyAlignment="1">
      <alignment horizontal="center"/>
    </xf>
    <xf numFmtId="0" fontId="88" fillId="0" borderId="1" xfId="0" applyFont="1" applyBorder="1" applyAlignment="1">
      <alignment horizontal="center"/>
    </xf>
    <xf numFmtId="0" fontId="6" fillId="0" borderId="4" xfId="32" applyFont="1" applyBorder="1" applyAlignment="1">
      <alignment horizontal="center"/>
    </xf>
    <xf numFmtId="0" fontId="6" fillId="0" borderId="5" xfId="32" applyFont="1" applyBorder="1" applyAlignment="1">
      <alignment horizontal="center"/>
    </xf>
    <xf numFmtId="0" fontId="85" fillId="0" borderId="4" xfId="0" applyFont="1" applyBorder="1" applyAlignment="1">
      <alignment horizontal="center"/>
    </xf>
    <xf numFmtId="0" fontId="85" fillId="0" borderId="10" xfId="0" applyFont="1" applyBorder="1" applyAlignment="1">
      <alignment horizontal="center"/>
    </xf>
    <xf numFmtId="0" fontId="85" fillId="0" borderId="5" xfId="0" applyFont="1" applyBorder="1" applyAlignment="1">
      <alignment horizontal="center"/>
    </xf>
    <xf numFmtId="168" fontId="0" fillId="6" borderId="44" xfId="0" applyNumberFormat="1" applyFill="1" applyBorder="1" applyAlignment="1">
      <alignment horizontal="left" wrapText="1"/>
    </xf>
    <xf numFmtId="168" fontId="0" fillId="6" borderId="102" xfId="0" applyNumberFormat="1" applyFill="1" applyBorder="1" applyAlignment="1">
      <alignment horizontal="left" wrapText="1"/>
    </xf>
    <xf numFmtId="0" fontId="57" fillId="5" borderId="21" xfId="0" applyFont="1" applyFill="1" applyBorder="1" applyAlignment="1">
      <alignment horizontal="center"/>
    </xf>
    <xf numFmtId="0" fontId="57" fillId="5" borderId="22" xfId="0" applyFont="1" applyFill="1" applyBorder="1" applyAlignment="1">
      <alignment horizontal="center"/>
    </xf>
    <xf numFmtId="0" fontId="57" fillId="5" borderId="5" xfId="0" applyFont="1" applyFill="1" applyBorder="1" applyAlignment="1">
      <alignment horizontal="center"/>
    </xf>
    <xf numFmtId="0" fontId="57" fillId="5" borderId="23" xfId="0" applyFont="1" applyFill="1" applyBorder="1" applyAlignment="1">
      <alignment horizontal="center"/>
    </xf>
    <xf numFmtId="0" fontId="68" fillId="5" borderId="69" xfId="0" applyFont="1" applyFill="1" applyBorder="1" applyAlignment="1">
      <alignment horizontal="left"/>
    </xf>
    <xf numFmtId="0" fontId="68" fillId="5" borderId="1" xfId="0" applyFont="1" applyFill="1" applyBorder="1" applyAlignment="1">
      <alignment horizontal="left"/>
    </xf>
    <xf numFmtId="0" fontId="73" fillId="7" borderId="61" xfId="74" applyFont="1" applyFill="1" applyBorder="1" applyAlignment="1">
      <alignment horizontal="left"/>
    </xf>
    <xf numFmtId="0" fontId="73" fillId="7" borderId="2" xfId="74" applyFont="1" applyFill="1" applyBorder="1" applyAlignment="1">
      <alignment horizontal="left"/>
    </xf>
    <xf numFmtId="0" fontId="91" fillId="0" borderId="6" xfId="0" applyFont="1" applyBorder="1" applyAlignment="1">
      <alignment horizontal="center"/>
    </xf>
    <xf numFmtId="0" fontId="91" fillId="0" borderId="7" xfId="0" applyFont="1" applyBorder="1" applyAlignment="1">
      <alignment horizontal="center"/>
    </xf>
    <xf numFmtId="0" fontId="57" fillId="5" borderId="4" xfId="0" applyFont="1" applyFill="1" applyBorder="1" applyAlignment="1">
      <alignment horizontal="center"/>
    </xf>
    <xf numFmtId="3" fontId="8" fillId="0" borderId="61" xfId="0" applyNumberFormat="1" applyFont="1" applyBorder="1" applyAlignment="1">
      <alignment horizontal="center"/>
    </xf>
    <xf numFmtId="3" fontId="8" fillId="0" borderId="44" xfId="0" applyNumberFormat="1" applyFont="1" applyBorder="1" applyAlignment="1">
      <alignment horizontal="center"/>
    </xf>
    <xf numFmtId="0" fontId="10" fillId="0" borderId="61" xfId="0" applyFont="1" applyBorder="1" applyAlignment="1">
      <alignment horizontal="center"/>
    </xf>
    <xf numFmtId="0" fontId="10" fillId="0" borderId="44" xfId="0" applyFont="1" applyBorder="1" applyAlignment="1">
      <alignment horizontal="center"/>
    </xf>
    <xf numFmtId="10" fontId="59" fillId="0" borderId="86" xfId="2" applyNumberFormat="1" applyFont="1" applyBorder="1" applyAlignment="1">
      <alignment horizontal="center"/>
    </xf>
    <xf numFmtId="10" fontId="8" fillId="0" borderId="71" xfId="2" applyNumberFormat="1" applyFont="1" applyBorder="1" applyAlignment="1">
      <alignment horizontal="center"/>
    </xf>
    <xf numFmtId="10" fontId="8" fillId="0" borderId="9" xfId="2" applyNumberFormat="1" applyFont="1" applyBorder="1" applyAlignment="1">
      <alignment horizontal="center"/>
    </xf>
    <xf numFmtId="0" fontId="18" fillId="5" borderId="5" xfId="0" applyFont="1" applyFill="1" applyBorder="1" applyAlignment="1">
      <alignment horizontal="center"/>
    </xf>
    <xf numFmtId="0" fontId="90" fillId="5" borderId="4" xfId="0" applyFont="1" applyFill="1" applyBorder="1" applyAlignment="1">
      <alignment horizontal="center" vertical="center"/>
    </xf>
    <xf numFmtId="0" fontId="90" fillId="5" borderId="5" xfId="0" applyFont="1" applyFill="1" applyBorder="1" applyAlignment="1">
      <alignment horizontal="center" vertical="center"/>
    </xf>
    <xf numFmtId="0" fontId="14" fillId="0" borderId="6" xfId="0" applyFont="1" applyBorder="1" applyAlignment="1">
      <alignment horizontal="center"/>
    </xf>
    <xf numFmtId="0" fontId="14" fillId="0" borderId="7" xfId="0" applyFont="1" applyBorder="1" applyAlignment="1">
      <alignment horizontal="center"/>
    </xf>
    <xf numFmtId="10" fontId="8" fillId="0" borderId="62" xfId="2" applyNumberFormat="1" applyFont="1" applyBorder="1" applyAlignment="1">
      <alignment horizontal="center"/>
    </xf>
    <xf numFmtId="10" fontId="8" fillId="0" borderId="91" xfId="2" applyNumberFormat="1" applyFont="1" applyBorder="1" applyAlignment="1">
      <alignment horizontal="center"/>
    </xf>
    <xf numFmtId="0" fontId="59" fillId="0" borderId="90" xfId="0" applyFont="1" applyBorder="1" applyAlignment="1">
      <alignment horizontal="center"/>
    </xf>
    <xf numFmtId="0" fontId="59" fillId="0" borderId="86" xfId="0" applyFont="1" applyBorder="1" applyAlignment="1">
      <alignment horizontal="center"/>
    </xf>
    <xf numFmtId="0" fontId="0" fillId="0" borderId="86" xfId="0" applyBorder="1" applyAlignment="1">
      <alignment horizontal="center"/>
    </xf>
    <xf numFmtId="49" fontId="8" fillId="0" borderId="61" xfId="0" applyNumberFormat="1" applyFont="1" applyBorder="1" applyAlignment="1">
      <alignment horizontal="center"/>
    </xf>
    <xf numFmtId="49" fontId="8" fillId="0" borderId="44" xfId="0" applyNumberFormat="1" applyFont="1" applyBorder="1" applyAlignment="1">
      <alignment horizontal="center"/>
    </xf>
    <xf numFmtId="14" fontId="10" fillId="0" borderId="61" xfId="0" applyNumberFormat="1" applyFont="1" applyBorder="1" applyAlignment="1">
      <alignment horizontal="center"/>
    </xf>
    <xf numFmtId="0" fontId="6" fillId="0" borderId="0" xfId="0" applyFont="1" applyAlignment="1">
      <alignment horizontal="center"/>
    </xf>
    <xf numFmtId="0" fontId="57" fillId="5" borderId="69" xfId="0" applyFont="1" applyFill="1" applyBorder="1" applyAlignment="1">
      <alignment horizontal="left"/>
    </xf>
    <xf numFmtId="0" fontId="57" fillId="5" borderId="1" xfId="0" applyFont="1" applyFill="1" applyBorder="1" applyAlignment="1">
      <alignment horizontal="left"/>
    </xf>
    <xf numFmtId="0" fontId="33" fillId="7" borderId="61" xfId="74" applyFont="1" applyFill="1" applyBorder="1" applyAlignment="1">
      <alignment horizontal="left"/>
    </xf>
    <xf numFmtId="0" fontId="33" fillId="7" borderId="2" xfId="74" applyFont="1" applyFill="1" applyBorder="1" applyAlignment="1">
      <alignment horizontal="left"/>
    </xf>
    <xf numFmtId="0" fontId="73" fillId="7" borderId="60" xfId="74" applyFont="1" applyFill="1" applyBorder="1" applyAlignment="1">
      <alignment horizontal="left"/>
    </xf>
    <xf numFmtId="0" fontId="73" fillId="7" borderId="0" xfId="74" applyFont="1" applyFill="1" applyAlignment="1">
      <alignment horizontal="left"/>
    </xf>
    <xf numFmtId="0" fontId="18" fillId="5" borderId="4" xfId="0" applyFont="1" applyFill="1" applyBorder="1" applyAlignment="1">
      <alignment horizontal="center"/>
    </xf>
    <xf numFmtId="0" fontId="18" fillId="5" borderId="10" xfId="0" applyFont="1" applyFill="1" applyBorder="1" applyAlignment="1">
      <alignment horizontal="center"/>
    </xf>
    <xf numFmtId="3" fontId="8" fillId="0" borderId="70" xfId="0" applyNumberFormat="1" applyFont="1" applyBorder="1" applyAlignment="1">
      <alignment horizontal="center"/>
    </xf>
    <xf numFmtId="3" fontId="8" fillId="0" borderId="67" xfId="0" applyNumberFormat="1" applyFont="1" applyBorder="1" applyAlignment="1">
      <alignment horizontal="center"/>
    </xf>
    <xf numFmtId="0" fontId="16" fillId="5" borderId="21" xfId="0" applyFont="1" applyFill="1" applyBorder="1" applyAlignment="1">
      <alignment horizontal="center"/>
    </xf>
    <xf numFmtId="0" fontId="16" fillId="5" borderId="22" xfId="0" applyFont="1" applyFill="1" applyBorder="1" applyAlignment="1">
      <alignment horizontal="center"/>
    </xf>
    <xf numFmtId="0" fontId="16" fillId="5" borderId="23" xfId="0" applyFont="1" applyFill="1" applyBorder="1" applyAlignment="1">
      <alignment horizontal="center"/>
    </xf>
    <xf numFmtId="0" fontId="0" fillId="0" borderId="59" xfId="0" applyBorder="1" applyAlignment="1">
      <alignment horizontal="center"/>
    </xf>
    <xf numFmtId="0" fontId="0" fillId="0" borderId="22" xfId="0" applyBorder="1" applyAlignment="1">
      <alignment horizontal="center"/>
    </xf>
    <xf numFmtId="0" fontId="9" fillId="0" borderId="61" xfId="4" applyBorder="1" applyAlignment="1">
      <alignment horizontal="center"/>
    </xf>
    <xf numFmtId="0" fontId="0" fillId="0" borderId="2" xfId="0" applyBorder="1" applyAlignment="1">
      <alignment horizontal="center"/>
    </xf>
    <xf numFmtId="0" fontId="0" fillId="0" borderId="89" xfId="0" applyBorder="1" applyAlignment="1">
      <alignment horizontal="center"/>
    </xf>
    <xf numFmtId="0" fontId="0" fillId="0" borderId="60" xfId="0" applyBorder="1" applyAlignment="1">
      <alignment horizontal="center"/>
    </xf>
    <xf numFmtId="0" fontId="0" fillId="0" borderId="0" xfId="0" applyAlignment="1">
      <alignment horizontal="center"/>
    </xf>
    <xf numFmtId="0" fontId="0" fillId="0" borderId="80" xfId="0" applyBorder="1" applyAlignment="1">
      <alignment horizontal="center"/>
    </xf>
    <xf numFmtId="0" fontId="0" fillId="0" borderId="69" xfId="0" applyBorder="1" applyAlignment="1">
      <alignment horizontal="center"/>
    </xf>
    <xf numFmtId="0" fontId="0" fillId="0" borderId="1" xfId="0" applyBorder="1" applyAlignment="1">
      <alignment horizontal="center"/>
    </xf>
    <xf numFmtId="0" fontId="0" fillId="0" borderId="81" xfId="0" applyBorder="1" applyAlignment="1">
      <alignment horizontal="center"/>
    </xf>
    <xf numFmtId="0" fontId="20" fillId="5" borderId="4" xfId="0" applyFont="1" applyFill="1" applyBorder="1" applyAlignment="1">
      <alignment horizontal="center"/>
    </xf>
    <xf numFmtId="0" fontId="20" fillId="5" borderId="10" xfId="0" applyFont="1" applyFill="1" applyBorder="1" applyAlignment="1">
      <alignment horizontal="center"/>
    </xf>
    <xf numFmtId="0" fontId="20" fillId="5" borderId="5" xfId="0" applyFont="1" applyFill="1" applyBorder="1" applyAlignment="1">
      <alignment horizontal="center"/>
    </xf>
    <xf numFmtId="0" fontId="61" fillId="5" borderId="4" xfId="0" applyFont="1" applyFill="1" applyBorder="1" applyAlignment="1">
      <alignment horizontal="center"/>
    </xf>
    <xf numFmtId="0" fontId="61" fillId="5" borderId="5" xfId="0" applyFont="1" applyFill="1" applyBorder="1" applyAlignment="1">
      <alignment horizontal="center"/>
    </xf>
    <xf numFmtId="0" fontId="57" fillId="11" borderId="4" xfId="0" applyFont="1" applyFill="1" applyBorder="1" applyAlignment="1">
      <alignment horizontal="center"/>
    </xf>
    <xf numFmtId="0" fontId="57" fillId="11" borderId="5" xfId="0" applyFont="1" applyFill="1" applyBorder="1" applyAlignment="1">
      <alignment horizontal="center"/>
    </xf>
    <xf numFmtId="0" fontId="34" fillId="7" borderId="0" xfId="69" applyFont="1" applyFill="1" applyAlignment="1">
      <alignment horizontal="right"/>
    </xf>
    <xf numFmtId="10" fontId="34" fillId="7" borderId="2" xfId="69" applyNumberFormat="1" applyFont="1" applyFill="1" applyBorder="1" applyAlignment="1">
      <alignment horizontal="right"/>
    </xf>
    <xf numFmtId="10" fontId="0" fillId="0" borderId="0" xfId="0" applyNumberFormat="1" applyAlignment="1">
      <alignment horizontal="center" vertical="center"/>
    </xf>
    <xf numFmtId="0" fontId="0" fillId="0" borderId="0" xfId="0" applyAlignment="1">
      <alignment horizontal="center" vertical="center"/>
    </xf>
  </cellXfs>
  <cellStyles count="136">
    <cellStyle name="Comma" xfId="3" builtinId="3"/>
    <cellStyle name="Comma 10" xfId="72" xr:uid="{00000000-0005-0000-0000-000001000000}"/>
    <cellStyle name="Comma 2" xfId="34" xr:uid="{00000000-0005-0000-0000-000002000000}"/>
    <cellStyle name="Currency" xfId="1" builtinId="4"/>
    <cellStyle name="Currency 2 2" xfId="77" xr:uid="{00000000-0005-0000-0000-000004000000}"/>
    <cellStyle name="Currency 2_200_Lafayett_2-11-09 v1 (2)" xfId="73" xr:uid="{00000000-0005-0000-0000-000005000000}"/>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Hyperlink" xfId="4" builtinId="8"/>
    <cellStyle name="Normal" xfId="0" builtinId="0"/>
    <cellStyle name="Normal 10" xfId="69" xr:uid="{00000000-0005-0000-0000-00007E000000}"/>
    <cellStyle name="Normal 10 2" xfId="75" xr:uid="{00000000-0005-0000-0000-00007F000000}"/>
    <cellStyle name="Normal 12" xfId="78" xr:uid="{00000000-0005-0000-0000-000080000000}"/>
    <cellStyle name="Normal 2 2" xfId="71" xr:uid="{00000000-0005-0000-0000-000081000000}"/>
    <cellStyle name="Normal 2 3" xfId="70" xr:uid="{00000000-0005-0000-0000-000082000000}"/>
    <cellStyle name="Normal 3" xfId="32" xr:uid="{00000000-0005-0000-0000-000083000000}"/>
    <cellStyle name="Normal_2Assumptions (Input)" xfId="74" xr:uid="{00000000-0005-0000-0000-000084000000}"/>
    <cellStyle name="Percent" xfId="2" builtinId="5"/>
    <cellStyle name="Percent 2 2 2" xfId="76" xr:uid="{00000000-0005-0000-0000-000086000000}"/>
    <cellStyle name="Percent 3" xfId="33" xr:uid="{00000000-0005-0000-0000-000087000000}"/>
  </cellStyles>
  <dxfs count="72">
    <dxf>
      <fill>
        <patternFill>
          <bgColor theme="7" tint="0.79998168889431442"/>
        </patternFill>
      </fill>
    </dxf>
    <dxf>
      <fill>
        <patternFill>
          <bgColor theme="7" tint="0.79998168889431442"/>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ont>
        <color auto="1"/>
      </font>
      <fill>
        <patternFill patternType="solid">
          <fgColor indexed="64"/>
          <bgColor theme="9" tint="0.39997558519241921"/>
        </patternFill>
      </fill>
    </dxf>
    <dxf>
      <font>
        <color theme="0"/>
      </font>
      <fill>
        <patternFill patternType="solid">
          <fgColor indexed="64"/>
          <bgColor theme="0"/>
        </patternFill>
      </fill>
    </dxf>
    <dxf>
      <fill>
        <patternFill>
          <bgColor theme="7" tint="0.79998168889431442"/>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rgb="FFFF9999"/>
        </patternFill>
      </fill>
    </dxf>
    <dxf>
      <fill>
        <patternFill>
          <bgColor theme="7" tint="0.79998168889431442"/>
        </patternFill>
      </fill>
    </dxf>
    <dxf>
      <fill>
        <patternFill>
          <bgColor rgb="FFFF9999"/>
        </patternFill>
      </fill>
    </dxf>
    <dxf>
      <fill>
        <patternFill>
          <bgColor theme="7" tint="0.79998168889431442"/>
        </patternFill>
      </fill>
    </dxf>
    <dxf>
      <fill>
        <patternFill>
          <bgColor rgb="FFFF9999"/>
        </patternFill>
      </fill>
    </dxf>
    <dxf>
      <fill>
        <patternFill>
          <bgColor theme="7" tint="0.79998168889431442"/>
        </patternFill>
      </fill>
    </dxf>
    <dxf>
      <fill>
        <patternFill>
          <bgColor theme="7" tint="0.79998168889431442"/>
        </patternFill>
      </fill>
    </dxf>
    <dxf>
      <fill>
        <patternFill>
          <bgColor rgb="FFFF9999"/>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7" tint="0.79998168889431442"/>
      </font>
      <fill>
        <patternFill patternType="solid">
          <fgColor indexed="64"/>
          <bgColor theme="7" tint="0.79998168889431442"/>
        </patternFill>
      </fill>
    </dxf>
    <dxf>
      <font>
        <color theme="7" tint="0.79998168889431442"/>
      </font>
      <fill>
        <patternFill patternType="solid">
          <fgColor indexed="64"/>
          <bgColor theme="7" tint="0.79998168889431442"/>
        </patternFill>
      </fill>
    </dxf>
    <dxf>
      <fill>
        <patternFill>
          <bgColor theme="7" tint="0.79998168889431442"/>
        </patternFill>
      </fill>
    </dxf>
    <dxf>
      <fill>
        <patternFill>
          <bgColor theme="7" tint="0.79998168889431442"/>
        </patternFill>
      </fill>
    </dxf>
    <dxf>
      <font>
        <color rgb="FF1C37FC"/>
      </font>
      <numFmt numFmtId="32" formatCode="_(&quot;$&quot;* #,##0_);_(&quot;$&quot;* \(#,##0\);_(&quot;$&quot;* &quot;-&quot;_);_(@_)"/>
    </dxf>
    <dxf>
      <font>
        <color rgb="FF1C37FC"/>
      </font>
      <numFmt numFmtId="13" formatCode="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FF9999"/>
        </patternFill>
      </fill>
    </dxf>
    <dxf>
      <fill>
        <patternFill>
          <bgColor theme="7" tint="0.79998168889431442"/>
        </patternFill>
      </fill>
    </dxf>
    <dxf>
      <fill>
        <patternFill>
          <bgColor rgb="FFFF9999"/>
        </patternFill>
      </fill>
    </dxf>
    <dxf>
      <fill>
        <patternFill>
          <bgColor theme="7" tint="0.79998168889431442"/>
        </patternFill>
      </fill>
    </dxf>
    <dxf>
      <fill>
        <patternFill>
          <bgColor rgb="FFFF9999"/>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i val="0"/>
      </font>
      <border>
        <top style="thin">
          <color auto="1"/>
        </top>
        <vertical/>
        <horizontal/>
      </border>
    </dxf>
    <dxf>
      <font>
        <b/>
        <i val="0"/>
      </font>
      <border>
        <top style="thin">
          <color auto="1"/>
        </top>
        <vertical/>
        <horizontal/>
      </border>
    </dxf>
    <dxf>
      <font>
        <b/>
        <i val="0"/>
      </font>
      <border>
        <top style="thin">
          <color auto="1"/>
        </top>
        <vertical/>
        <horizontal/>
      </border>
    </dxf>
    <dxf>
      <font>
        <b/>
        <i val="0"/>
      </font>
      <border>
        <top style="thin">
          <color auto="1"/>
        </top>
        <vertical/>
        <horizontal/>
      </border>
    </dxf>
    <dxf>
      <font>
        <b/>
        <i val="0"/>
      </font>
      <border>
        <top style="thin">
          <color auto="1"/>
        </top>
        <vertical/>
        <horizontal/>
      </border>
    </dxf>
    <dxf>
      <fill>
        <patternFill>
          <bgColor rgb="FFFF9999"/>
        </patternFill>
      </fill>
    </dxf>
    <dxf>
      <fill>
        <patternFill>
          <bgColor theme="7" tint="0.79998168889431442"/>
        </patternFill>
      </fill>
    </dxf>
    <dxf>
      <font>
        <color theme="0"/>
      </font>
    </dxf>
    <dxf>
      <font>
        <b/>
        <i val="0"/>
      </font>
      <border>
        <top style="thin">
          <color auto="1"/>
        </top>
        <vertical/>
        <horizontal/>
      </border>
    </dxf>
  </dxfs>
  <tableStyles count="0" defaultTableStyle="TableStyleMedium2" defaultPivotStyle="PivotStyleLight16"/>
  <colors>
    <mruColors>
      <color rgb="FF1C37FC"/>
      <color rgb="FFD06800"/>
      <color rgb="FF0000FF"/>
      <color rgb="FFFA7D00"/>
      <color rgb="FFFF9933"/>
      <color rgb="FFFFF7E1"/>
      <color rgb="FFFF9999"/>
      <color rgb="FF2E5292"/>
      <color rgb="FF026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r>
              <a:rPr lang="en-US" sz="1400" b="0">
                <a:solidFill>
                  <a:schemeClr val="tx1">
                    <a:lumMod val="75000"/>
                    <a:lumOff val="25000"/>
                  </a:schemeClr>
                </a:solidFill>
              </a:rPr>
              <a:t>Financial Risk</a:t>
            </a:r>
          </a:p>
        </c:rich>
      </c:tx>
      <c:overlay val="0"/>
      <c:spPr>
        <a:noFill/>
        <a:ln>
          <a:noFill/>
        </a:ln>
        <a:effectLst/>
      </c:spPr>
    </c:title>
    <c:autoTitleDeleted val="0"/>
    <c:plotArea>
      <c:layout/>
      <c:pieChart>
        <c:varyColors val="1"/>
        <c:ser>
          <c:idx val="0"/>
          <c:order val="0"/>
          <c:tx>
            <c:v>Financial Risk</c:v>
          </c:tx>
          <c:explosion val="13"/>
          <c:dPt>
            <c:idx val="0"/>
            <c:bubble3D val="0"/>
            <c:spPr>
              <a:solidFill>
                <a:schemeClr val="accent1">
                  <a:tint val="77000"/>
                </a:schemeClr>
              </a:solidFill>
              <a:ln>
                <a:noFill/>
              </a:ln>
              <a:effectLst/>
            </c:spPr>
            <c:extLst>
              <c:ext xmlns:c16="http://schemas.microsoft.com/office/drawing/2014/chart" uri="{C3380CC4-5D6E-409C-BE32-E72D297353CC}">
                <c16:uniqueId val="{00000001-90E2-47FC-9B92-CC4F37D49140}"/>
              </c:ext>
            </c:extLst>
          </c:dPt>
          <c:dPt>
            <c:idx val="1"/>
            <c:bubble3D val="0"/>
            <c:spPr>
              <a:solidFill>
                <a:schemeClr val="accent1">
                  <a:shade val="76000"/>
                </a:schemeClr>
              </a:solidFill>
              <a:ln>
                <a:noFill/>
              </a:ln>
              <a:effectLst/>
            </c:spPr>
            <c:extLst>
              <c:ext xmlns:c16="http://schemas.microsoft.com/office/drawing/2014/chart" uri="{C3380CC4-5D6E-409C-BE32-E72D297353CC}">
                <c16:uniqueId val="{00000003-90E2-47FC-9B92-CC4F37D49140}"/>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shade val="95000"/>
                      <a:satMod val="105000"/>
                    </a:schemeClr>
                  </a:solidFill>
                  <a:prstDash val="solid"/>
                  <a:round/>
                </a:ln>
                <a:effectLst/>
              </c:spPr>
            </c:leaderLines>
            <c:extLst>
              <c:ext xmlns:c15="http://schemas.microsoft.com/office/drawing/2012/chart" uri="{CE6537A1-D6FC-4f65-9D91-7224C49458BB}"/>
            </c:extLst>
          </c:dLbls>
          <c:cat>
            <c:strLit>
              <c:ptCount val="2"/>
              <c:pt idx="0">
                <c:v>Sponsor</c:v>
              </c:pt>
              <c:pt idx="1">
                <c:v>Investor</c:v>
              </c:pt>
            </c:strLit>
          </c:cat>
          <c:val>
            <c:numLit>
              <c:formatCode>0%</c:formatCode>
              <c:ptCount val="2"/>
              <c:pt idx="0">
                <c:v>0.1</c:v>
              </c:pt>
              <c:pt idx="1">
                <c:v>0.9</c:v>
              </c:pt>
            </c:numLit>
          </c:val>
          <c:extLst>
            <c:ext xmlns:c16="http://schemas.microsoft.com/office/drawing/2014/chart" uri="{C3380CC4-5D6E-409C-BE32-E72D297353CC}">
              <c16:uniqueId val="{00000004-90E2-47FC-9B92-CC4F37D49140}"/>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legend>
    <c:plotVisOnly val="1"/>
    <c:dispBlanksAs val="zero"/>
    <c:showDLblsOverMax val="0"/>
  </c:chart>
  <c:spPr>
    <a:solidFill>
      <a:schemeClr val="bg1"/>
    </a:solidFill>
    <a:ln w="3175" cap="flat" cmpd="sng" algn="ctr">
      <a:solidFill>
        <a:schemeClr val="bg1">
          <a:lumMod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tx1">
                    <a:lumMod val="75000"/>
                    <a:lumOff val="25000"/>
                  </a:schemeClr>
                </a:solidFill>
                <a:latin typeface="+mn-lt"/>
                <a:ea typeface="+mn-ea"/>
                <a:cs typeface="+mn-cs"/>
              </a:defRPr>
            </a:pPr>
            <a:r>
              <a:rPr lang="en-US" sz="1400" b="0">
                <a:solidFill>
                  <a:schemeClr val="tx1">
                    <a:lumMod val="75000"/>
                    <a:lumOff val="25000"/>
                  </a:schemeClr>
                </a:solidFill>
              </a:rPr>
              <a:t>Financial Reward *</a:t>
            </a:r>
          </a:p>
        </c:rich>
      </c:tx>
      <c:overlay val="0"/>
      <c:spPr>
        <a:noFill/>
        <a:ln>
          <a:noFill/>
        </a:ln>
        <a:effectLst/>
      </c:spPr>
    </c:title>
    <c:autoTitleDeleted val="0"/>
    <c:plotArea>
      <c:layout/>
      <c:pieChart>
        <c:varyColors val="1"/>
        <c:ser>
          <c:idx val="0"/>
          <c:order val="0"/>
          <c:tx>
            <c:v>Financial Reward *</c:v>
          </c:tx>
          <c:explosion val="10"/>
          <c:dPt>
            <c:idx val="0"/>
            <c:bubble3D val="0"/>
            <c:spPr>
              <a:solidFill>
                <a:schemeClr val="accent1">
                  <a:tint val="77000"/>
                </a:schemeClr>
              </a:solidFill>
              <a:ln>
                <a:noFill/>
              </a:ln>
              <a:effectLst/>
            </c:spPr>
            <c:extLst>
              <c:ext xmlns:c16="http://schemas.microsoft.com/office/drawing/2014/chart" uri="{C3380CC4-5D6E-409C-BE32-E72D297353CC}">
                <c16:uniqueId val="{00000001-35B3-45E8-86CB-97382D30E3E3}"/>
              </c:ext>
            </c:extLst>
          </c:dPt>
          <c:dPt>
            <c:idx val="1"/>
            <c:bubble3D val="0"/>
            <c:spPr>
              <a:solidFill>
                <a:schemeClr val="accent1">
                  <a:shade val="76000"/>
                </a:schemeClr>
              </a:solidFill>
              <a:ln>
                <a:noFill/>
              </a:ln>
              <a:effectLst/>
            </c:spPr>
            <c:extLst>
              <c:ext xmlns:c16="http://schemas.microsoft.com/office/drawing/2014/chart" uri="{C3380CC4-5D6E-409C-BE32-E72D297353CC}">
                <c16:uniqueId val="{00000003-35B3-45E8-86CB-97382D30E3E3}"/>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shade val="95000"/>
                      <a:satMod val="105000"/>
                    </a:schemeClr>
                  </a:solidFill>
                  <a:prstDash val="solid"/>
                  <a:round/>
                </a:ln>
                <a:effectLst/>
              </c:spPr>
            </c:leaderLines>
            <c:extLst>
              <c:ext xmlns:c15="http://schemas.microsoft.com/office/drawing/2012/chart" uri="{CE6537A1-D6FC-4f65-9D91-7224C49458BB}"/>
            </c:extLst>
          </c:dLbls>
          <c:cat>
            <c:strLit>
              <c:ptCount val="2"/>
              <c:pt idx="0">
                <c:v>Sponsor</c:v>
              </c:pt>
              <c:pt idx="1">
                <c:v>Investor</c:v>
              </c:pt>
            </c:strLit>
          </c:cat>
          <c:val>
            <c:numLit>
              <c:formatCode>0%</c:formatCode>
              <c:ptCount val="2"/>
              <c:pt idx="0">
                <c:v>0.21416143958448</c:v>
              </c:pt>
              <c:pt idx="1">
                <c:v>0.78583856041551903</c:v>
              </c:pt>
            </c:numLit>
          </c:val>
          <c:extLst>
            <c:ext xmlns:c16="http://schemas.microsoft.com/office/drawing/2014/chart" uri="{C3380CC4-5D6E-409C-BE32-E72D297353CC}">
              <c16:uniqueId val="{00000004-35B3-45E8-86CB-97382D30E3E3}"/>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legend>
    <c:plotVisOnly val="1"/>
    <c:dispBlanksAs val="zero"/>
    <c:showDLblsOverMax val="0"/>
  </c:chart>
  <c:spPr>
    <a:solidFill>
      <a:schemeClr val="bg1"/>
    </a:solidFill>
    <a:ln w="3175" cap="flat" cmpd="sng" algn="ctr">
      <a:solidFill>
        <a:schemeClr val="bg1">
          <a:lumMod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r>
              <a:rPr lang="en-US" sz="1400" b="0">
                <a:solidFill>
                  <a:schemeClr val="tx1">
                    <a:lumMod val="75000"/>
                    <a:lumOff val="25000"/>
                  </a:schemeClr>
                </a:solidFill>
              </a:rPr>
              <a:t>Share of Cash Flows </a:t>
            </a:r>
          </a:p>
          <a:p>
            <a:pPr>
              <a:defRPr sz="1400" b="0" i="0" u="none" strike="noStrike" kern="1200" baseline="0">
                <a:solidFill>
                  <a:schemeClr val="tx1">
                    <a:lumMod val="75000"/>
                    <a:lumOff val="25000"/>
                  </a:schemeClr>
                </a:solidFill>
                <a:latin typeface="+mn-lt"/>
                <a:ea typeface="+mn-ea"/>
                <a:cs typeface="+mn-cs"/>
              </a:defRPr>
            </a:pPr>
            <a:r>
              <a:rPr lang="en-US" sz="1400" b="0">
                <a:solidFill>
                  <a:schemeClr val="tx1">
                    <a:lumMod val="75000"/>
                    <a:lumOff val="25000"/>
                  </a:schemeClr>
                </a:solidFill>
              </a:rPr>
              <a:t>By Tier</a:t>
            </a:r>
          </a:p>
        </c:rich>
      </c:tx>
      <c:overlay val="0"/>
      <c:spPr>
        <a:noFill/>
        <a:ln>
          <a:noFill/>
        </a:ln>
        <a:effectLst/>
      </c:spPr>
    </c:title>
    <c:autoTitleDeleted val="0"/>
    <c:plotArea>
      <c:layout/>
      <c:pieChart>
        <c:varyColors val="1"/>
        <c:ser>
          <c:idx val="0"/>
          <c:order val="0"/>
          <c:tx>
            <c:v>Share</c:v>
          </c:tx>
          <c:explosion val="7"/>
          <c:dPt>
            <c:idx val="0"/>
            <c:bubble3D val="0"/>
            <c:spPr>
              <a:solidFill>
                <a:schemeClr val="accent1">
                  <a:tint val="65000"/>
                </a:schemeClr>
              </a:solidFill>
              <a:ln>
                <a:noFill/>
              </a:ln>
              <a:effectLst/>
            </c:spPr>
            <c:extLst>
              <c:ext xmlns:c16="http://schemas.microsoft.com/office/drawing/2014/chart" uri="{C3380CC4-5D6E-409C-BE32-E72D297353CC}">
                <c16:uniqueId val="{00000001-DC52-4296-BEFA-D757ACEBA167}"/>
              </c:ext>
            </c:extLst>
          </c:dPt>
          <c:dPt>
            <c:idx val="1"/>
            <c:bubble3D val="0"/>
            <c:spPr>
              <a:solidFill>
                <a:schemeClr val="accent1"/>
              </a:solidFill>
              <a:ln>
                <a:noFill/>
              </a:ln>
              <a:effectLst/>
            </c:spPr>
            <c:extLst>
              <c:ext xmlns:c16="http://schemas.microsoft.com/office/drawing/2014/chart" uri="{C3380CC4-5D6E-409C-BE32-E72D297353CC}">
                <c16:uniqueId val="{00000003-DC52-4296-BEFA-D757ACEBA167}"/>
              </c:ext>
            </c:extLst>
          </c:dPt>
          <c:dPt>
            <c:idx val="2"/>
            <c:bubble3D val="0"/>
            <c:spPr>
              <a:solidFill>
                <a:schemeClr val="accent1">
                  <a:shade val="65000"/>
                </a:schemeClr>
              </a:solidFill>
              <a:ln>
                <a:noFill/>
              </a:ln>
              <a:effectLst/>
            </c:spPr>
            <c:extLst>
              <c:ext xmlns:c16="http://schemas.microsoft.com/office/drawing/2014/chart" uri="{C3380CC4-5D6E-409C-BE32-E72D297353CC}">
                <c16:uniqueId val="{00000005-DC52-4296-BEFA-D757ACEBA167}"/>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Lit>
              <c:ptCount val="3"/>
              <c:pt idx="0">
                <c:v>Tier 1</c:v>
              </c:pt>
              <c:pt idx="1">
                <c:v>Tier 2</c:v>
              </c:pt>
              <c:pt idx="2">
                <c:v>Tier 3</c:v>
              </c:pt>
            </c:strLit>
          </c:cat>
          <c:val>
            <c:numLit>
              <c:formatCode>0%</c:formatCode>
              <c:ptCount val="3"/>
              <c:pt idx="0">
                <c:v>0.42966669783936101</c:v>
              </c:pt>
              <c:pt idx="1">
                <c:v>0.45305873057084001</c:v>
              </c:pt>
              <c:pt idx="2">
                <c:v>0.117274571589799</c:v>
              </c:pt>
            </c:numLit>
          </c:val>
          <c:extLst>
            <c:ext xmlns:c16="http://schemas.microsoft.com/office/drawing/2014/chart" uri="{C3380CC4-5D6E-409C-BE32-E72D297353CC}">
              <c16:uniqueId val="{00000006-DC52-4296-BEFA-D757ACEBA167}"/>
            </c:ext>
          </c:extLst>
        </c:ser>
        <c:ser>
          <c:idx val="1"/>
          <c:order val="1"/>
          <c:tx>
            <c:v>Share</c:v>
          </c:tx>
          <c:dPt>
            <c:idx val="0"/>
            <c:bubble3D val="0"/>
            <c:spPr>
              <a:solidFill>
                <a:schemeClr val="accent1">
                  <a:tint val="65000"/>
                </a:schemeClr>
              </a:solidFill>
              <a:ln>
                <a:noFill/>
              </a:ln>
              <a:effectLst/>
            </c:spPr>
            <c:extLst>
              <c:ext xmlns:c16="http://schemas.microsoft.com/office/drawing/2014/chart" uri="{C3380CC4-5D6E-409C-BE32-E72D297353CC}">
                <c16:uniqueId val="{00000008-DC52-4296-BEFA-D757ACEBA167}"/>
              </c:ext>
            </c:extLst>
          </c:dPt>
          <c:dPt>
            <c:idx val="1"/>
            <c:bubble3D val="0"/>
            <c:spPr>
              <a:solidFill>
                <a:schemeClr val="accent1"/>
              </a:solidFill>
              <a:ln>
                <a:noFill/>
              </a:ln>
              <a:effectLst/>
            </c:spPr>
            <c:extLst>
              <c:ext xmlns:c16="http://schemas.microsoft.com/office/drawing/2014/chart" uri="{C3380CC4-5D6E-409C-BE32-E72D297353CC}">
                <c16:uniqueId val="{0000000A-DC52-4296-BEFA-D757ACEBA167}"/>
              </c:ext>
            </c:extLst>
          </c:dPt>
          <c:dPt>
            <c:idx val="2"/>
            <c:bubble3D val="0"/>
            <c:spPr>
              <a:solidFill>
                <a:schemeClr val="accent1">
                  <a:shade val="65000"/>
                </a:schemeClr>
              </a:solidFill>
              <a:ln>
                <a:noFill/>
              </a:ln>
              <a:effectLst/>
            </c:spPr>
            <c:extLst>
              <c:ext xmlns:c16="http://schemas.microsoft.com/office/drawing/2014/chart" uri="{C3380CC4-5D6E-409C-BE32-E72D297353CC}">
                <c16:uniqueId val="{0000000C-DC52-4296-BEFA-D757ACEBA167}"/>
              </c:ext>
            </c:extLst>
          </c:dPt>
          <c:cat>
            <c:strLit>
              <c:ptCount val="3"/>
              <c:pt idx="0">
                <c:v>Tier 1</c:v>
              </c:pt>
              <c:pt idx="1">
                <c:v>Tier 2</c:v>
              </c:pt>
              <c:pt idx="2">
                <c:v>Tier 3</c:v>
              </c:pt>
            </c:strLit>
          </c:cat>
          <c:val>
            <c:numLit>
              <c:formatCode>0%</c:formatCode>
              <c:ptCount val="3"/>
              <c:pt idx="0">
                <c:v>0.42966669783936101</c:v>
              </c:pt>
              <c:pt idx="1">
                <c:v>0.45305873057084001</c:v>
              </c:pt>
              <c:pt idx="2">
                <c:v>0.117274571589799</c:v>
              </c:pt>
            </c:numLit>
          </c:val>
          <c:extLst>
            <c:ext xmlns:c16="http://schemas.microsoft.com/office/drawing/2014/chart" uri="{C3380CC4-5D6E-409C-BE32-E72D297353CC}">
              <c16:uniqueId val="{0000000D-DC52-4296-BEFA-D757ACEBA167}"/>
            </c:ext>
          </c:extLst>
        </c:ser>
        <c:dLbls>
          <c:showLegendKey val="0"/>
          <c:showVal val="0"/>
          <c:showCatName val="0"/>
          <c:showSerName val="0"/>
          <c:showPercent val="0"/>
          <c:showBubbleSize val="0"/>
          <c:showLeaderLines val="0"/>
        </c:dLbls>
        <c:firstSliceAng val="0"/>
      </c:pieChart>
      <c:spPr>
        <a:noFill/>
        <a:ln w="25400">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legend>
    <c:plotVisOnly val="1"/>
    <c:dispBlanksAs val="zero"/>
    <c:showDLblsOverMax val="0"/>
  </c:chart>
  <c:spPr>
    <a:solidFill>
      <a:schemeClr val="bg1"/>
    </a:solidFill>
    <a:ln w="3175" cap="flat" cmpd="sng" algn="ctr">
      <a:solidFill>
        <a:schemeClr val="bg1">
          <a:lumMod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IRR</a:t>
            </a:r>
          </a:p>
        </c:rich>
      </c:tx>
      <c:overlay val="0"/>
      <c:spPr>
        <a:noFill/>
        <a:ln>
          <a:noFill/>
        </a:ln>
        <a:effectLst/>
      </c:spPr>
    </c:title>
    <c:autoTitleDeleted val="0"/>
    <c:plotArea>
      <c:layout>
        <c:manualLayout>
          <c:layoutTarget val="inner"/>
          <c:xMode val="edge"/>
          <c:yMode val="edge"/>
          <c:x val="0.14872408620998701"/>
          <c:y val="0.15782407407407401"/>
          <c:w val="0.78014380688248397"/>
          <c:h val="0.71254629629629596"/>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Deal</c:v>
              </c:pt>
              <c:pt idx="1">
                <c:v>Investor</c:v>
              </c:pt>
              <c:pt idx="2">
                <c:v>Sponsor</c:v>
              </c:pt>
            </c:strLit>
          </c:cat>
          <c:val>
            <c:numLit>
              <c:formatCode>0.00%</c:formatCode>
              <c:ptCount val="3"/>
              <c:pt idx="0">
                <c:v>0.174416400625174</c:v>
              </c:pt>
              <c:pt idx="1">
                <c:v>0.15783142024751801</c:v>
              </c:pt>
              <c:pt idx="2">
                <c:v>0.29151047015312898</c:v>
              </c:pt>
            </c:numLit>
          </c:val>
          <c:extLst>
            <c:ext xmlns:c16="http://schemas.microsoft.com/office/drawing/2014/chart" uri="{C3380CC4-5D6E-409C-BE32-E72D297353CC}">
              <c16:uniqueId val="{00000000-A24E-4151-9E72-706EC0E85316}"/>
            </c:ext>
          </c:extLst>
        </c:ser>
        <c:dLbls>
          <c:showLegendKey val="0"/>
          <c:showVal val="0"/>
          <c:showCatName val="0"/>
          <c:showSerName val="0"/>
          <c:showPercent val="0"/>
          <c:showBubbleSize val="0"/>
        </c:dLbls>
        <c:gapWidth val="219"/>
        <c:overlap val="-27"/>
        <c:axId val="2102400104"/>
        <c:axId val="2102403576"/>
      </c:barChart>
      <c:catAx>
        <c:axId val="2102400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02403576"/>
        <c:crosses val="autoZero"/>
        <c:auto val="1"/>
        <c:lblAlgn val="ctr"/>
        <c:lblOffset val="100"/>
        <c:noMultiLvlLbl val="0"/>
      </c:catAx>
      <c:valAx>
        <c:axId val="2102403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02400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Multiple</a:t>
            </a:r>
            <a:r>
              <a:rPr lang="en-US" baseline="0"/>
              <a:t> on Equity</a:t>
            </a:r>
            <a:endParaRPr lang="en-US"/>
          </a:p>
        </c:rich>
      </c:tx>
      <c:overlay val="0"/>
      <c:spPr>
        <a:noFill/>
        <a:ln>
          <a:noFill/>
        </a:ln>
        <a:effectLst/>
      </c:spPr>
    </c:title>
    <c:autoTitleDeleted val="0"/>
    <c:plotArea>
      <c:layout>
        <c:manualLayout>
          <c:layoutTarget val="inner"/>
          <c:xMode val="edge"/>
          <c:yMode val="edge"/>
          <c:x val="0.124431871108258"/>
          <c:y val="0.15782407407407401"/>
          <c:w val="0.80443602608467302"/>
          <c:h val="0.71717592592592605"/>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Deal</c:v>
              </c:pt>
              <c:pt idx="1">
                <c:v>Investor</c:v>
              </c:pt>
              <c:pt idx="2">
                <c:v>Sponsor</c:v>
              </c:pt>
            </c:strLit>
          </c:cat>
          <c:val>
            <c:numLit>
              <c:formatCode>0.00"x"</c:formatCode>
              <c:ptCount val="3"/>
              <c:pt idx="0">
                <c:v>2.0172274727333321</c:v>
              </c:pt>
              <c:pt idx="1">
                <c:v>1.888196191986532</c:v>
              </c:pt>
              <c:pt idx="2">
                <c:v>3.178508999454539</c:v>
              </c:pt>
            </c:numLit>
          </c:val>
          <c:extLst>
            <c:ext xmlns:c16="http://schemas.microsoft.com/office/drawing/2014/chart" uri="{C3380CC4-5D6E-409C-BE32-E72D297353CC}">
              <c16:uniqueId val="{00000000-5E38-44C2-89A3-6D0C50DA161C}"/>
            </c:ext>
          </c:extLst>
        </c:ser>
        <c:dLbls>
          <c:showLegendKey val="0"/>
          <c:showVal val="0"/>
          <c:showCatName val="0"/>
          <c:showSerName val="0"/>
          <c:showPercent val="0"/>
          <c:showBubbleSize val="0"/>
        </c:dLbls>
        <c:gapWidth val="219"/>
        <c:overlap val="-27"/>
        <c:axId val="2102447240"/>
        <c:axId val="2102450712"/>
      </c:barChart>
      <c:catAx>
        <c:axId val="2102447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02450712"/>
        <c:crosses val="autoZero"/>
        <c:auto val="1"/>
        <c:lblAlgn val="ctr"/>
        <c:lblOffset val="100"/>
        <c:noMultiLvlLbl val="0"/>
      </c:catAx>
      <c:valAx>
        <c:axId val="2102450712"/>
        <c:scaling>
          <c:orientation val="minMax"/>
        </c:scaling>
        <c:delete val="0"/>
        <c:axPos val="l"/>
        <c:majorGridlines>
          <c:spPr>
            <a:ln w="9525" cap="flat" cmpd="sng" algn="ctr">
              <a:solidFill>
                <a:schemeClr val="tx1">
                  <a:lumMod val="15000"/>
                  <a:lumOff val="85000"/>
                </a:schemeClr>
              </a:solidFill>
              <a:round/>
            </a:ln>
            <a:effectLst/>
          </c:spPr>
        </c:majorGridlines>
        <c:numFmt formatCode="0.00&quot;x&quot;"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102447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0</xdr:rowOff>
    </xdr:from>
    <xdr:to>
      <xdr:col>1</xdr:col>
      <xdr:colOff>1847258</xdr:colOff>
      <xdr:row>2</xdr:row>
      <xdr:rowOff>149395</xdr:rowOff>
    </xdr:to>
    <xdr:pic>
      <xdr:nvPicPr>
        <xdr:cNvPr id="2" name="Picture 1">
          <a:extLst>
            <a:ext uri="{FF2B5EF4-FFF2-40B4-BE49-F238E27FC236}">
              <a16:creationId xmlns:a16="http://schemas.microsoft.com/office/drawing/2014/main" id="{E024BEC0-639A-4D8C-8160-E44AFD4B79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650" y="0"/>
          <a:ext cx="1809158" cy="5113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43296</xdr:colOff>
      <xdr:row>0</xdr:row>
      <xdr:rowOff>25977</xdr:rowOff>
    </xdr:from>
    <xdr:to>
      <xdr:col>1</xdr:col>
      <xdr:colOff>1844834</xdr:colOff>
      <xdr:row>2</xdr:row>
      <xdr:rowOff>171735</xdr:rowOff>
    </xdr:to>
    <xdr:pic>
      <xdr:nvPicPr>
        <xdr:cNvPr id="2" name="Picture 1">
          <a:extLst>
            <a:ext uri="{FF2B5EF4-FFF2-40B4-BE49-F238E27FC236}">
              <a16:creationId xmlns:a16="http://schemas.microsoft.com/office/drawing/2014/main" id="{720E9D79-45C5-46BC-A1C8-C69A19FC0F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9432" y="25977"/>
          <a:ext cx="1809158" cy="5094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116417</xdr:colOff>
      <xdr:row>0</xdr:row>
      <xdr:rowOff>31750</xdr:rowOff>
    </xdr:from>
    <xdr:to>
      <xdr:col>1</xdr:col>
      <xdr:colOff>1925575</xdr:colOff>
      <xdr:row>2</xdr:row>
      <xdr:rowOff>173737</xdr:rowOff>
    </xdr:to>
    <xdr:pic>
      <xdr:nvPicPr>
        <xdr:cNvPr id="2" name="Picture 1">
          <a:extLst>
            <a:ext uri="{FF2B5EF4-FFF2-40B4-BE49-F238E27FC236}">
              <a16:creationId xmlns:a16="http://schemas.microsoft.com/office/drawing/2014/main" id="{11DF9B09-4999-40FC-9576-B8B8CD88F3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250" y="31750"/>
          <a:ext cx="1805348" cy="5094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118929</xdr:colOff>
      <xdr:row>101</xdr:row>
      <xdr:rowOff>39704</xdr:rowOff>
    </xdr:from>
    <xdr:to>
      <xdr:col>11</xdr:col>
      <xdr:colOff>404687</xdr:colOff>
      <xdr:row>117</xdr:row>
      <xdr:rowOff>110140</xdr:rowOff>
    </xdr:to>
    <xdr:graphicFrame macro="">
      <xdr:nvGraphicFramePr>
        <xdr:cNvPr id="2" name="Chart 5">
          <a:extLst>
            <a:ext uri="{FF2B5EF4-FFF2-40B4-BE49-F238E27FC236}">
              <a16:creationId xmlns:a16="http://schemas.microsoft.com/office/drawing/2014/main" id="{5A7245C4-B54E-48D9-9CC5-98C610AD9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517141</xdr:colOff>
      <xdr:row>101</xdr:row>
      <xdr:rowOff>29318</xdr:rowOff>
    </xdr:from>
    <xdr:to>
      <xdr:col>16</xdr:col>
      <xdr:colOff>443366</xdr:colOff>
      <xdr:row>117</xdr:row>
      <xdr:rowOff>101447</xdr:rowOff>
    </xdr:to>
    <xdr:graphicFrame macro="">
      <xdr:nvGraphicFramePr>
        <xdr:cNvPr id="3" name="Chart 7">
          <a:extLst>
            <a:ext uri="{FF2B5EF4-FFF2-40B4-BE49-F238E27FC236}">
              <a16:creationId xmlns:a16="http://schemas.microsoft.com/office/drawing/2014/main" id="{0F5D7DE7-D27D-4142-9544-C9C7E8C35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966928</xdr:colOff>
      <xdr:row>118</xdr:row>
      <xdr:rowOff>40973</xdr:rowOff>
    </xdr:from>
    <xdr:to>
      <xdr:col>13</xdr:col>
      <xdr:colOff>883356</xdr:colOff>
      <xdr:row>136</xdr:row>
      <xdr:rowOff>21167</xdr:rowOff>
    </xdr:to>
    <xdr:graphicFrame macro="">
      <xdr:nvGraphicFramePr>
        <xdr:cNvPr id="4" name="Chart 10">
          <a:extLst>
            <a:ext uri="{FF2B5EF4-FFF2-40B4-BE49-F238E27FC236}">
              <a16:creationId xmlns:a16="http://schemas.microsoft.com/office/drawing/2014/main" id="{0DF685C0-0AEB-425A-8443-625E806D0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135507</xdr:colOff>
      <xdr:row>86</xdr:row>
      <xdr:rowOff>222375</xdr:rowOff>
    </xdr:from>
    <xdr:to>
      <xdr:col>11</xdr:col>
      <xdr:colOff>414312</xdr:colOff>
      <xdr:row>100</xdr:row>
      <xdr:rowOff>139131</xdr:rowOff>
    </xdr:to>
    <xdr:graphicFrame macro="">
      <xdr:nvGraphicFramePr>
        <xdr:cNvPr id="5" name="Chart 4">
          <a:extLst>
            <a:ext uri="{FF2B5EF4-FFF2-40B4-BE49-F238E27FC236}">
              <a16:creationId xmlns:a16="http://schemas.microsoft.com/office/drawing/2014/main" id="{70327850-0B0F-48A1-A1CA-08C4B6B0F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497750</xdr:colOff>
      <xdr:row>87</xdr:row>
      <xdr:rowOff>3320</xdr:rowOff>
    </xdr:from>
    <xdr:to>
      <xdr:col>16</xdr:col>
      <xdr:colOff>411618</xdr:colOff>
      <xdr:row>100</xdr:row>
      <xdr:rowOff>123875</xdr:rowOff>
    </xdr:to>
    <xdr:graphicFrame macro="">
      <xdr:nvGraphicFramePr>
        <xdr:cNvPr id="6" name="Chart 5">
          <a:extLst>
            <a:ext uri="{FF2B5EF4-FFF2-40B4-BE49-F238E27FC236}">
              <a16:creationId xmlns:a16="http://schemas.microsoft.com/office/drawing/2014/main" id="{6A5BBF65-ECC0-4CCB-98F5-EADF04295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ckolas Gates" id="{DCB45E28-17C0-495F-95D9-9A0D6AAC3DDA}" userId="3151b3a04da934c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1" dT="2024-05-10T21:06:45.67" personId="{DCB45E28-17C0-495F-95D9-9A0D6AAC3DDA}" id="{5C476E61-B723-4A5E-803A-762E806587CB}">
    <text>RUBS formula in Monthly Cash Flow</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X64"/>
  <sheetViews>
    <sheetView showGridLines="0" tabSelected="1" zoomScale="90" zoomScaleNormal="90" zoomScaleSheetLayoutView="110" zoomScalePageLayoutView="90" workbookViewId="0">
      <selection activeCell="K10" sqref="K10"/>
    </sheetView>
  </sheetViews>
  <sheetFormatPr defaultColWidth="8.6328125" defaultRowHeight="14.5"/>
  <cols>
    <col min="2" max="2" width="30.6328125" bestFit="1" customWidth="1"/>
    <col min="3" max="3" width="28.54296875" customWidth="1"/>
    <col min="4" max="4" width="2.54296875" customWidth="1"/>
    <col min="5" max="5" width="24.36328125" customWidth="1"/>
    <col min="6" max="6" width="13.36328125" bestFit="1" customWidth="1"/>
    <col min="7" max="7" width="9" customWidth="1"/>
    <col min="8" max="8" width="15.54296875" bestFit="1" customWidth="1"/>
    <col min="9" max="9" width="11.6328125" bestFit="1" customWidth="1"/>
    <col min="10" max="10" width="22.08984375" bestFit="1" customWidth="1"/>
    <col min="11" max="11" width="14.90625" customWidth="1"/>
    <col min="12" max="12" width="11.36328125" bestFit="1" customWidth="1"/>
    <col min="14" max="14" width="10.6328125" bestFit="1" customWidth="1"/>
    <col min="15" max="15" width="11.6328125" bestFit="1" customWidth="1"/>
    <col min="17" max="17" width="6.6328125" bestFit="1" customWidth="1"/>
    <col min="18" max="18" width="57.6328125" customWidth="1"/>
  </cols>
  <sheetData>
    <row r="3" spans="2:17" ht="15" thickBot="1">
      <c r="Q3" s="4"/>
    </row>
    <row r="4" spans="2:17" ht="35.25" customHeight="1" thickBot="1">
      <c r="B4" s="822" t="str">
        <f>Assumptions!C3&amp;" Executive Summary"</f>
        <v>Brownstone Apartments Executive Summary</v>
      </c>
      <c r="C4" s="823"/>
      <c r="D4" s="823"/>
      <c r="E4" s="823"/>
      <c r="F4" s="823"/>
      <c r="G4" s="823"/>
      <c r="H4" s="823"/>
      <c r="I4" s="823"/>
      <c r="J4" s="823"/>
      <c r="K4" s="824"/>
    </row>
    <row r="5" spans="2:17" ht="5.4" customHeight="1">
      <c r="B5" s="128"/>
      <c r="C5" s="472"/>
      <c r="D5" s="472"/>
      <c r="E5" s="472"/>
      <c r="F5" s="472"/>
      <c r="G5" s="472"/>
      <c r="H5" s="472"/>
      <c r="I5" s="472"/>
      <c r="J5" s="472"/>
      <c r="K5" s="127"/>
    </row>
    <row r="6" spans="2:17" ht="15.5">
      <c r="B6" s="829" t="s">
        <v>123</v>
      </c>
      <c r="C6" s="830"/>
      <c r="D6" s="150"/>
      <c r="E6" s="830" t="s">
        <v>138</v>
      </c>
      <c r="F6" s="830"/>
      <c r="G6" s="830"/>
      <c r="H6" s="830" t="s">
        <v>117</v>
      </c>
      <c r="I6" s="830"/>
      <c r="J6" s="831" t="s">
        <v>111</v>
      </c>
      <c r="K6" s="832"/>
    </row>
    <row r="7" spans="2:17" ht="3.65" customHeight="1">
      <c r="B7" s="126"/>
      <c r="C7" s="473"/>
      <c r="D7" s="473"/>
      <c r="E7" s="473"/>
      <c r="F7" s="473"/>
      <c r="G7" s="473"/>
      <c r="K7" s="125"/>
    </row>
    <row r="8" spans="2:17" ht="15.5">
      <c r="B8" s="123" t="s">
        <v>24</v>
      </c>
      <c r="C8" s="508" t="str">
        <f>Assumptions!C3</f>
        <v>Brownstone Apartments</v>
      </c>
      <c r="D8" s="474"/>
      <c r="E8" s="475" t="s">
        <v>0</v>
      </c>
      <c r="F8" s="476">
        <f>Assumptions!C23</f>
        <v>3725000</v>
      </c>
      <c r="G8" s="552"/>
      <c r="H8" s="478" t="s">
        <v>113</v>
      </c>
      <c r="I8" s="805">
        <f ca="1">'Loan Summary'!G30</f>
        <v>2778100.0000000028</v>
      </c>
      <c r="J8" s="478" t="s">
        <v>113</v>
      </c>
      <c r="K8" s="713">
        <f>IF(OR(Assumptions!$AD$3&gt;'Sale Analysis'!$E$3,Assumptions!$AD$3=""),"",ROUND('Loan Summary'!C9,-3))</f>
        <v>3740000</v>
      </c>
    </row>
    <row r="9" spans="2:17" ht="15.5">
      <c r="B9" s="123" t="s">
        <v>110</v>
      </c>
      <c r="C9" s="508" t="str">
        <f>Assumptions!C4</f>
        <v>9559 Flower St</v>
      </c>
      <c r="D9" s="474"/>
      <c r="E9" s="519" t="s">
        <v>410</v>
      </c>
      <c r="F9" s="476">
        <f ca="1">ROUND(Assumptions!C24,-3)</f>
        <v>65000</v>
      </c>
      <c r="G9" s="552"/>
      <c r="H9" s="480" t="s">
        <v>296</v>
      </c>
      <c r="I9" s="111" t="str">
        <f>Assumptions!W2</f>
        <v>Bridge</v>
      </c>
      <c r="J9" s="480" t="s">
        <v>2</v>
      </c>
      <c r="K9" s="714">
        <f>IF(OR(Assumptions!$AD$3&gt;'Sale Analysis'!$E$3,Assumptions!$AD$3&gt;=""),"",'Loan Summary'!C10)</f>
        <v>5.5E-2</v>
      </c>
    </row>
    <row r="10" spans="2:17" ht="15.5">
      <c r="B10" s="123" t="s">
        <v>122</v>
      </c>
      <c r="C10" s="508" t="str">
        <f>Assumptions!C5</f>
        <v>Bellflower, CA 90706</v>
      </c>
      <c r="D10" s="474"/>
      <c r="E10" s="474" t="s">
        <v>93</v>
      </c>
      <c r="F10" s="481">
        <f ca="1">ROUND(Assumptions!C28+Assumptions!C45,-3)</f>
        <v>484000</v>
      </c>
      <c r="G10" s="553"/>
      <c r="H10" s="478" t="s">
        <v>2</v>
      </c>
      <c r="I10" s="482">
        <f>'Loan Summary'!C3</f>
        <v>5.8500000000000003E-2</v>
      </c>
      <c r="J10" s="478" t="s">
        <v>297</v>
      </c>
      <c r="K10" s="715">
        <f>IF(OR(Assumptions!$AD$3&gt;'Sale Analysis'!$E$3,Assumptions!$AD$3=""),"",Assumptions!AD9)</f>
        <v>5.7500000000000002E-2</v>
      </c>
    </row>
    <row r="11" spans="2:17" ht="15.5">
      <c r="B11" s="123" t="s">
        <v>119</v>
      </c>
      <c r="C11" s="509" t="str">
        <f>Assumptions!C6</f>
        <v>1967</v>
      </c>
      <c r="D11" s="474"/>
      <c r="E11" s="189" t="s">
        <v>120</v>
      </c>
      <c r="F11" s="190">
        <f ca="1">SUM(F8:F10)</f>
        <v>4274000</v>
      </c>
      <c r="G11" s="554"/>
      <c r="H11" s="478" t="s">
        <v>452</v>
      </c>
      <c r="I11" s="483">
        <f ca="1">G13</f>
        <v>0.64997660271408519</v>
      </c>
      <c r="J11" s="478" t="s">
        <v>298</v>
      </c>
      <c r="K11" s="713">
        <f ca="1">IFERROR(ROUND(Assumptions!AD26,-3),"")</f>
        <v>943000</v>
      </c>
    </row>
    <row r="12" spans="2:17" ht="15.5">
      <c r="B12" s="123" t="s">
        <v>118</v>
      </c>
      <c r="C12" s="510">
        <f>Assumptions!C10</f>
        <v>17</v>
      </c>
      <c r="D12" s="474"/>
      <c r="E12" s="484" t="s">
        <v>226</v>
      </c>
      <c r="F12" s="485">
        <f ca="1">ROUND(Assumptions!C36,-3)</f>
        <v>1498000</v>
      </c>
      <c r="G12" s="504">
        <f ca="1">F12/F11</f>
        <v>0.35049134300421153</v>
      </c>
      <c r="H12" s="486" t="s">
        <v>112</v>
      </c>
      <c r="I12" s="111">
        <f>'Loan Summary'!C5</f>
        <v>60</v>
      </c>
      <c r="J12" s="478" t="s">
        <v>299</v>
      </c>
      <c r="K12" s="716">
        <f ca="1">IFERROR(K11/F12,"")</f>
        <v>0.62950600801068091</v>
      </c>
      <c r="M12" s="518"/>
    </row>
    <row r="13" spans="2:17" ht="15.5">
      <c r="B13" s="469" t="s">
        <v>121</v>
      </c>
      <c r="C13" s="511">
        <f>Assumptions!C23/Assumptions!C10</f>
        <v>219117.64705882352</v>
      </c>
      <c r="D13" s="487"/>
      <c r="E13" s="519" t="s">
        <v>313</v>
      </c>
      <c r="F13" s="485">
        <f ca="1">ROUND(I8,-3)</f>
        <v>2778000</v>
      </c>
      <c r="G13" s="504">
        <f ca="1">F13/F11</f>
        <v>0.64997660271408519</v>
      </c>
      <c r="H13" s="478" t="s">
        <v>125</v>
      </c>
      <c r="I13" s="111">
        <f>'Loan Summary'!C6</f>
        <v>60</v>
      </c>
      <c r="J13" s="480" t="s">
        <v>229</v>
      </c>
      <c r="K13" s="717">
        <f>IF(OR(Assumptions!$AD$3&gt;'Sale Analysis'!$E$3,Assumptions!$AD$3=""),"",Assumptions!AD3)</f>
        <v>35</v>
      </c>
    </row>
    <row r="14" spans="2:17" ht="15.5">
      <c r="B14" s="469" t="s">
        <v>295</v>
      </c>
      <c r="C14" s="512">
        <f>Assumptions!C23/C15</f>
        <v>313.84278372230182</v>
      </c>
      <c r="D14" s="487"/>
      <c r="E14" s="474"/>
      <c r="F14" s="488"/>
      <c r="G14" s="505"/>
      <c r="J14" s="480" t="s">
        <v>456</v>
      </c>
      <c r="K14" s="795">
        <f>IF(OR(Assumptions!$AD$3&gt;'Sale Analysis'!$E$3,Assumptions!$AD$3=""),"",Assumptions!AD11)</f>
        <v>0.7</v>
      </c>
      <c r="N14" s="518"/>
    </row>
    <row r="15" spans="2:17" ht="15.5">
      <c r="B15" s="123" t="s">
        <v>132</v>
      </c>
      <c r="C15" s="513">
        <f>Assumptions!C9</f>
        <v>11869</v>
      </c>
      <c r="D15" s="487"/>
      <c r="E15" s="474"/>
      <c r="F15" s="804"/>
      <c r="G15" s="555"/>
      <c r="J15" s="480" t="s">
        <v>457</v>
      </c>
      <c r="K15" s="124">
        <f>IF(OR(Assumptions!$AD$3&gt;'Sale Analysis'!$E$3,Assumptions!$AD$3=""),"",Assumptions!AD16)</f>
        <v>1.25</v>
      </c>
    </row>
    <row r="16" spans="2:17" ht="6" customHeight="1">
      <c r="B16" s="120"/>
      <c r="C16" s="503"/>
      <c r="D16" s="474"/>
      <c r="E16" s="474"/>
      <c r="F16" s="474"/>
      <c r="G16" s="474"/>
      <c r="H16" s="556"/>
      <c r="J16" s="474"/>
      <c r="K16" s="118"/>
    </row>
    <row r="17" spans="2:23" ht="15" customHeight="1">
      <c r="B17" s="829" t="s">
        <v>305</v>
      </c>
      <c r="C17" s="830"/>
      <c r="D17" s="150"/>
      <c r="E17" s="830" t="s">
        <v>253</v>
      </c>
      <c r="F17" s="830"/>
      <c r="G17" s="491"/>
      <c r="H17" s="490" t="s">
        <v>35</v>
      </c>
      <c r="I17" s="490" t="s">
        <v>116</v>
      </c>
      <c r="J17" s="491" t="s">
        <v>115</v>
      </c>
      <c r="K17" s="152" t="s">
        <v>114</v>
      </c>
      <c r="S17" s="188"/>
      <c r="T17" s="188"/>
      <c r="U17" s="188"/>
      <c r="V17" s="188"/>
      <c r="W17" s="188"/>
    </row>
    <row r="18" spans="2:23" ht="5" customHeight="1">
      <c r="B18" s="121"/>
      <c r="C18" s="492"/>
      <c r="D18" s="492"/>
      <c r="E18" s="492"/>
      <c r="F18" s="492"/>
      <c r="G18" s="492"/>
      <c r="H18" s="493"/>
      <c r="I18" s="493"/>
      <c r="J18" s="492"/>
      <c r="K18" s="122"/>
      <c r="S18" s="188"/>
      <c r="T18" s="188"/>
      <c r="U18" s="188"/>
      <c r="V18" s="188"/>
      <c r="W18" s="188"/>
    </row>
    <row r="19" spans="2:23" ht="15.5">
      <c r="B19" s="827" t="s">
        <v>301</v>
      </c>
      <c r="C19" s="828"/>
      <c r="D19" s="474"/>
      <c r="E19" s="477" t="s">
        <v>224</v>
      </c>
      <c r="F19" s="479">
        <f ca="1">'Sale Analysis'!E11</f>
        <v>5406000</v>
      </c>
      <c r="G19" s="546"/>
      <c r="H19" s="111" t="str">
        <f>IF(H18="TOTAL","",IF('Unit Mix'!B4=0,'Unit Mix'!$B$18,'Unit Mix'!B4))</f>
        <v>Stu - ADU</v>
      </c>
      <c r="I19" s="111">
        <f>IF('Unit Mix'!C4=0,'Unit Mix'!$C$18,'Unit Mix'!C4)</f>
        <v>1</v>
      </c>
      <c r="J19" s="494">
        <f>IF('Unit Mix'!E4=0,'Unit Mix'!$E$18,'Unit Mix'!E4)</f>
        <v>1340</v>
      </c>
      <c r="K19" s="497">
        <f>IF('Unit Mix'!H4="",'Unit Mix'!$H$18,'Unit Mix'!H4)</f>
        <v>1650</v>
      </c>
      <c r="O19" s="520"/>
      <c r="S19" s="188"/>
      <c r="T19" s="188"/>
      <c r="U19" s="188"/>
      <c r="V19" s="188"/>
      <c r="W19" s="188"/>
    </row>
    <row r="20" spans="2:23" ht="15.5">
      <c r="B20" s="119" t="s">
        <v>173</v>
      </c>
      <c r="C20" s="500">
        <f ca="1">-ROUND('Waterfall Split'!C55,-3)</f>
        <v>1498000</v>
      </c>
      <c r="D20" s="474"/>
      <c r="E20" s="489" t="s">
        <v>303</v>
      </c>
      <c r="F20" s="479">
        <f ca="1">'Sale Analysis'!E18</f>
        <v>1553458.0756827639</v>
      </c>
      <c r="G20" s="546"/>
      <c r="H20" s="111" t="str">
        <f>IF(OR(H19="TOTAL",H19=""),"",IF('Unit Mix'!B5=0,'Unit Mix'!$B$18,'Unit Mix'!B5))</f>
        <v>1x1</v>
      </c>
      <c r="I20" s="111">
        <f>IF(OR(H19="TOTAL",H19=""),"",IF('Unit Mix'!C5=0,'Unit Mix'!$C$18,'Unit Mix'!C5))</f>
        <v>9</v>
      </c>
      <c r="J20" s="494">
        <f>IF(OR(H19="TOTAL",H19=""),"",IF('Unit Mix'!E5=0,'Unit Mix'!$E$18,'Unit Mix'!E5))</f>
        <v>1427</v>
      </c>
      <c r="K20" s="497">
        <f>IF(OR(H19="TOTAL",H19=""),"",IF('Unit Mix'!H5="",'Unit Mix'!$H$18,'Unit Mix'!H5))</f>
        <v>1925</v>
      </c>
    </row>
    <row r="21" spans="2:23" ht="15.5">
      <c r="B21" s="119" t="s">
        <v>174</v>
      </c>
      <c r="C21" s="500">
        <f ca="1">ROUND('Waterfall Split'!C56,-3)</f>
        <v>2965000</v>
      </c>
      <c r="D21" s="474"/>
      <c r="E21" s="477" t="s">
        <v>302</v>
      </c>
      <c r="F21" s="574">
        <f>'Sale Analysis'!E4</f>
        <v>5.7500000000000002E-2</v>
      </c>
      <c r="G21" s="547"/>
      <c r="H21" s="111" t="str">
        <f>IF(OR(H20="TOTAL",H20=""),"",IF('Unit Mix'!B6=0,'Unit Mix'!$B$18,'Unit Mix'!B6))</f>
        <v>2x1</v>
      </c>
      <c r="I21" s="111">
        <f>IF(OR(H20="TOTAL",H20=""),"",IF('Unit Mix'!C6=0,'Unit Mix'!$C$18,'Unit Mix'!C6))</f>
        <v>7</v>
      </c>
      <c r="J21" s="494">
        <f>IF(OR(H20="TOTAL",H20=""),"",IF('Unit Mix'!E6=0,'Unit Mix'!$E$18,'Unit Mix'!E6))</f>
        <v>1676</v>
      </c>
      <c r="K21" s="497">
        <f>IF(OR(H20="TOTAL",H20=""),"",IF('Unit Mix'!H6="",'Unit Mix'!$H$18,'Unit Mix'!H6))</f>
        <v>2250</v>
      </c>
    </row>
    <row r="22" spans="2:23" ht="15.5">
      <c r="B22" s="119" t="s">
        <v>340</v>
      </c>
      <c r="C22" s="501">
        <f ca="1">'Waterfall Split'!C59</f>
        <v>1.9795314037238343</v>
      </c>
      <c r="D22" s="474"/>
      <c r="E22" s="477" t="s">
        <v>304</v>
      </c>
      <c r="F22" s="499">
        <f>'Sale Analysis'!E3</f>
        <v>83</v>
      </c>
      <c r="G22" s="510"/>
      <c r="H22" s="111" t="str">
        <f>IF(OR(H21="TOTAL",H21=""),"",IF('Unit Mix'!B7=0,'Unit Mix'!$B$18,'Unit Mix'!B7))</f>
        <v>TOTAL</v>
      </c>
      <c r="I22" s="111">
        <f>IF(OR(H21="TOTAL",H21=""),"",IF('Unit Mix'!C7=0,'Unit Mix'!$C$18,'Unit Mix'!C7))</f>
        <v>17</v>
      </c>
      <c r="J22" s="494">
        <f>IF(OR(H21="TOTAL",H21=""),"",IF('Unit Mix'!E7=0,'Unit Mix'!$E$18,'Unit Mix'!E7))</f>
        <v>1524.4117647058824</v>
      </c>
      <c r="K22" s="497">
        <f>IF(OR(H21="TOTAL",H21=""),"",IF('Unit Mix'!H7="",'Unit Mix'!$H$18,'Unit Mix'!H7))</f>
        <v>2042.6470588235295</v>
      </c>
    </row>
    <row r="23" spans="2:23" ht="15.5">
      <c r="B23" s="131" t="s">
        <v>339</v>
      </c>
      <c r="C23" s="502">
        <f ca="1">'Waterfall Split'!C58</f>
        <v>0.15240297913551332</v>
      </c>
      <c r="D23" s="474"/>
      <c r="G23" s="506"/>
      <c r="H23" s="111" t="str">
        <f>IF(OR(H22="TOTAL",H22=""),"",IF('Unit Mix'!B8=0,'Unit Mix'!$B$18,'Unit Mix'!B8))</f>
        <v/>
      </c>
      <c r="I23" s="111" t="str">
        <f>IF(OR(H22="TOTAL",H22=""),"",IF('Unit Mix'!C8=0,'Unit Mix'!$C$18,'Unit Mix'!C8))</f>
        <v/>
      </c>
      <c r="J23" s="494" t="str">
        <f>IF(OR(H22="TOTAL",H22=""),"",IF('Unit Mix'!E8=0,'Unit Mix'!$E$18,'Unit Mix'!E8))</f>
        <v/>
      </c>
      <c r="K23" s="497" t="str">
        <f>IF(OR(H22="TOTAL",H22=""),"",IF('Unit Mix'!H8="",'Unit Mix'!$H$18,'Unit Mix'!H8))</f>
        <v/>
      </c>
    </row>
    <row r="24" spans="2:23" ht="15.5">
      <c r="B24" s="827" t="s">
        <v>300</v>
      </c>
      <c r="C24" s="828"/>
      <c r="D24" s="474"/>
      <c r="E24" s="474"/>
      <c r="F24" s="495"/>
      <c r="G24" s="548"/>
      <c r="H24" s="111" t="str">
        <f>IF(OR(H23="TOTAL",H23=""),"",IF('Unit Mix'!B9=0,'Unit Mix'!$B$18,'Unit Mix'!B9))</f>
        <v/>
      </c>
      <c r="I24" s="111" t="str">
        <f>IF(OR(H23="TOTAL",H23=""),"",IF('Unit Mix'!C9=0,'Unit Mix'!$C$18,'Unit Mix'!C9))</f>
        <v/>
      </c>
      <c r="J24" s="494" t="str">
        <f>IF(OR(H23="TOTAL",H23=""),"",IF('Unit Mix'!E9=0,'Unit Mix'!$E$18,'Unit Mix'!E9))</f>
        <v/>
      </c>
      <c r="K24" s="497" t="str">
        <f>IF(OR(H23="TOTAL",H23=""),"",IF('Unit Mix'!H9="",'Unit Mix'!$H$18,'Unit Mix'!H9))</f>
        <v/>
      </c>
      <c r="L24" s="518"/>
    </row>
    <row r="25" spans="2:23" ht="15.5">
      <c r="B25" s="119" t="s">
        <v>173</v>
      </c>
      <c r="C25" s="500">
        <f ca="1">-ROUND('Waterfall Split'!C62,-3)</f>
        <v>1423000</v>
      </c>
      <c r="E25" s="474"/>
      <c r="F25" s="496"/>
      <c r="G25" s="549"/>
      <c r="H25" s="111" t="str">
        <f>IF(OR(H24="TOTAL",H24=""),"",IF('Unit Mix'!B10=0,'Unit Mix'!$B$18,'Unit Mix'!B10))</f>
        <v/>
      </c>
      <c r="I25" s="111" t="str">
        <f>IF(OR(H24="TOTAL",H24=""),"",IF('Unit Mix'!C10=0,'Unit Mix'!$C$18,'Unit Mix'!C10))</f>
        <v/>
      </c>
      <c r="J25" s="494" t="str">
        <f>IF(OR(H24="TOTAL",H24=""),"",IF('Unit Mix'!E10=0,'Unit Mix'!$E$18,'Unit Mix'!E10))</f>
        <v/>
      </c>
      <c r="K25" s="497" t="str">
        <f>IF(OR(H24="TOTAL",H24=""),"",IF('Unit Mix'!H10="",'Unit Mix'!$H$18,'Unit Mix'!H10))</f>
        <v/>
      </c>
    </row>
    <row r="26" spans="2:23" ht="15.5">
      <c r="B26" s="119" t="s">
        <v>174</v>
      </c>
      <c r="C26" s="500">
        <f ca="1">ROUND('Waterfall Split'!C63,-3)</f>
        <v>2544000</v>
      </c>
      <c r="D26" s="150"/>
      <c r="E26" s="833" t="s">
        <v>331</v>
      </c>
      <c r="F26" s="833"/>
      <c r="G26" s="550" t="s">
        <v>333</v>
      </c>
      <c r="H26" s="111" t="str">
        <f>IF(OR(H25="TOTAL",H25=""),"",IF('Unit Mix'!B11=0,'Unit Mix'!$B$18,'Unit Mix'!B11))</f>
        <v/>
      </c>
      <c r="I26" s="111" t="str">
        <f>IF(OR(H25="TOTAL",H25=""),"",IF('Unit Mix'!C11=0,'Unit Mix'!$C$18,'Unit Mix'!C11))</f>
        <v/>
      </c>
      <c r="J26" s="494" t="str">
        <f>IF(OR(H25="TOTAL",H25=""),"",IF('Unit Mix'!E11=0,'Unit Mix'!$E$18,'Unit Mix'!E11))</f>
        <v/>
      </c>
      <c r="K26" s="497" t="str">
        <f>IF(OR(H25="TOTAL",H25=""),"",IF('Unit Mix'!H11="",'Unit Mix'!$H$18,'Unit Mix'!H11))</f>
        <v/>
      </c>
    </row>
    <row r="27" spans="2:23" ht="15.5">
      <c r="B27" s="119" t="s">
        <v>341</v>
      </c>
      <c r="C27" s="501">
        <f ca="1">'Waterfall Split'!C66</f>
        <v>1.7881030376614073</v>
      </c>
      <c r="D27" s="474"/>
      <c r="E27" s="111" t="s">
        <v>8</v>
      </c>
      <c r="F27" s="561">
        <f>'Cash Flow Summary'!D29</f>
        <v>0</v>
      </c>
      <c r="G27" s="551">
        <f ca="1">'Cash Flow Summary'!E15</f>
        <v>6.5173381248241194E-2</v>
      </c>
      <c r="H27" s="111" t="str">
        <f>IF(OR(H26="TOTAL",H26=""),"",IF('Unit Mix'!B12=0,'Unit Mix'!$B$18,'Unit Mix'!B12))</f>
        <v/>
      </c>
      <c r="I27" s="111" t="str">
        <f>IF(OR(H26="TOTAL",H26=""),"",IF('Unit Mix'!C12=0,'Unit Mix'!$C$18,'Unit Mix'!C12))</f>
        <v/>
      </c>
      <c r="J27" s="494" t="str">
        <f>IF(OR(H26="TOTAL",H26=""),"",IF('Unit Mix'!E12=0,'Unit Mix'!$E$18,'Unit Mix'!E12))</f>
        <v/>
      </c>
      <c r="K27" s="497" t="str">
        <f>IF(OR(H26="TOTAL",H26=""),"",IF('Unit Mix'!H12="",'Unit Mix'!$H$18,'Unit Mix'!H12))</f>
        <v/>
      </c>
    </row>
    <row r="28" spans="2:23">
      <c r="B28" s="131" t="s">
        <v>342</v>
      </c>
      <c r="C28" s="502">
        <f ca="1">'Waterfall Split'!C65</f>
        <v>0.1327483594417572</v>
      </c>
      <c r="E28" s="111" t="s">
        <v>9</v>
      </c>
      <c r="F28" s="561">
        <f>'Cash Flow Summary'!E29</f>
        <v>0.05</v>
      </c>
      <c r="G28" s="551">
        <f ca="1">'Cash Flow Summary'!F15</f>
        <v>7.5702648052400623E-2</v>
      </c>
      <c r="H28" s="111" t="str">
        <f>IF(OR(H27="TOTAL",H27=""),"",IF('Unit Mix'!B13=0,'Unit Mix'!$B$18,'Unit Mix'!B13))</f>
        <v/>
      </c>
      <c r="I28" s="111" t="str">
        <f>IF(OR(H27="TOTAL",H27=""),"",IF('Unit Mix'!C13=0,'Unit Mix'!$C$18,'Unit Mix'!C13))</f>
        <v/>
      </c>
      <c r="J28" s="494" t="str">
        <f>IF(OR(H27="TOTAL",H27=""),"",IF('Unit Mix'!E13=0,'Unit Mix'!$E$18,'Unit Mix'!E13))</f>
        <v/>
      </c>
      <c r="K28" s="497" t="str">
        <f>IF(OR(H27="TOTAL",H27=""),"",IF('Unit Mix'!H13="",'Unit Mix'!$H$18,'Unit Mix'!H13))</f>
        <v/>
      </c>
    </row>
    <row r="29" spans="2:23">
      <c r="B29" s="827"/>
      <c r="C29" s="828"/>
      <c r="E29" s="111" t="str">
        <f>IF(F22&lt;24,"","Year 3")</f>
        <v>Year 3</v>
      </c>
      <c r="F29" s="561">
        <f>IF(F22&lt;24,"",'Cash Flow Summary'!F29)</f>
        <v>7.4999999999999997E-2</v>
      </c>
      <c r="G29" s="551">
        <f ca="1">IF(F22&lt;24,"",'Cash Flow Summary'!G15)</f>
        <v>7.5010152924495727E-2</v>
      </c>
      <c r="H29" s="111" t="str">
        <f>IF(OR(H28="TOTAL",H28=""),"",IF('Unit Mix'!B14=0,'Unit Mix'!$B$18,'Unit Mix'!B14))</f>
        <v/>
      </c>
      <c r="I29" s="111" t="str">
        <f>IF(OR(H28="TOTAL",H28=""),"",IF('Unit Mix'!C14=0,'Unit Mix'!$C$18,'Unit Mix'!C14))</f>
        <v/>
      </c>
      <c r="J29" s="494" t="str">
        <f>IF(OR(H28="TOTAL",H28=""),"",IF('Unit Mix'!E14=0,'Unit Mix'!$E$18,'Unit Mix'!E14))</f>
        <v/>
      </c>
      <c r="K29" s="497" t="str">
        <f>IF(OR(H28="TOTAL",H28=""),"",IF('Unit Mix'!H14="",'Unit Mix'!$H$18,'Unit Mix'!H14))</f>
        <v/>
      </c>
      <c r="V29" s="179"/>
    </row>
    <row r="30" spans="2:23">
      <c r="B30" s="119"/>
      <c r="C30" s="500"/>
      <c r="E30" s="111" t="str">
        <f>IF(F22&lt;36,"","Year 4")</f>
        <v>Year 4</v>
      </c>
      <c r="F30" s="561">
        <f>IF(F22&lt;36,"",'Cash Flow Summary'!G29)</f>
        <v>0.12</v>
      </c>
      <c r="G30" s="551">
        <f ca="1">IF(F22&lt;36,"",'Cash Flow Summary'!H15)</f>
        <v>7.6101843841961614E-2</v>
      </c>
      <c r="H30" s="111" t="str">
        <f>IF(OR(H29="TOTAL",H29=""),"",IF('Unit Mix'!B15=0,'Unit Mix'!$B$18,'Unit Mix'!B15))</f>
        <v/>
      </c>
      <c r="I30" s="111" t="str">
        <f>IF(OR(H29="TOTAL",H29=""),"",IF('Unit Mix'!C15=0,'Unit Mix'!$C$18,'Unit Mix'!C15))</f>
        <v/>
      </c>
      <c r="J30" s="494" t="str">
        <f>IF(OR(H29="TOTAL",H29=""),"",IF('Unit Mix'!E15=0,'Unit Mix'!$E$18,'Unit Mix'!E15))</f>
        <v/>
      </c>
      <c r="K30" s="497" t="str">
        <f>IF(OR(H29="TOTAL",H29=""),"",IF('Unit Mix'!H15="",'Unit Mix'!$H$18,'Unit Mix'!H15))</f>
        <v/>
      </c>
      <c r="V30" s="179"/>
    </row>
    <row r="31" spans="2:23">
      <c r="B31" s="119"/>
      <c r="C31" s="500"/>
      <c r="E31" s="111" t="str">
        <f>IF(F22&lt;48,"","Year 5")</f>
        <v>Year 5</v>
      </c>
      <c r="F31" s="561">
        <f>IF(F22&lt;48,"",'Cash Flow Summary'!H29)</f>
        <v>0.13</v>
      </c>
      <c r="G31" s="551">
        <f ca="1">IF(F22&lt;48,"",'Cash Flow Summary'!I15)</f>
        <v>7.7036158462251217E-2</v>
      </c>
      <c r="H31" s="111" t="str">
        <f>IF(OR(H30="TOTAL",H30=""),"",IF('Unit Mix'!B16=0,'Unit Mix'!$B$18,'Unit Mix'!B16))</f>
        <v/>
      </c>
      <c r="I31" s="111" t="str">
        <f>IF(OR(H30="TOTAL",H30=""),"",IF('Unit Mix'!C16=0,'Unit Mix'!$C$18,'Unit Mix'!C16))</f>
        <v/>
      </c>
      <c r="J31" s="494" t="str">
        <f>IF(OR(H30="TOTAL",H30=""),"",IF('Unit Mix'!E16=0,'Unit Mix'!$E$18,'Unit Mix'!E16))</f>
        <v/>
      </c>
      <c r="K31" s="497" t="str">
        <f>IF(OR(H30="TOTAL",H30=""),"",IF('Unit Mix'!H16="",'Unit Mix'!$H$18,'Unit Mix'!H16))</f>
        <v/>
      </c>
    </row>
    <row r="32" spans="2:23">
      <c r="B32" s="119"/>
      <c r="C32" s="501"/>
      <c r="E32" s="111" t="str">
        <f>IF(F22&lt;60,"","Year 6")</f>
        <v>Year 6</v>
      </c>
      <c r="F32" s="561">
        <f>IF(F22&lt;60,"",'Cash Flow Summary'!I29)</f>
        <v>0.14000000000000001</v>
      </c>
      <c r="G32" s="551">
        <f ca="1">IF(F22&lt;60,"",'Cash Flow Summary'!J15)</f>
        <v>7.7987487925571405E-2</v>
      </c>
      <c r="H32" s="494"/>
      <c r="I32" s="111" t="str">
        <f>IF(OR(H31="TOTAL",H31=""),"",IF('Unit Mix'!C17=0,'Unit Mix'!$C$18,'Unit Mix'!C17))</f>
        <v/>
      </c>
      <c r="J32" s="494" t="str">
        <f>IF(OR(H31="TOTAL",H31=""),"",IF('Unit Mix'!E17=0,'Unit Mix'!$E$18,'Unit Mix'!E17))</f>
        <v/>
      </c>
      <c r="K32" s="497" t="str">
        <f>IF(OR(H31="TOTAL",H31=""),"",IF('Unit Mix'!H17="",'Unit Mix'!$H$18,'Unit Mix'!H17))</f>
        <v/>
      </c>
    </row>
    <row r="33" spans="2:24" ht="15.5">
      <c r="B33" s="131"/>
      <c r="C33" s="502"/>
      <c r="E33" s="111" t="str">
        <f>IF(F22&lt;72,"","Year 7")</f>
        <v>Year 7</v>
      </c>
      <c r="F33" s="561">
        <f>IF(F22&lt;72,"",'Cash Flow Summary'!J29)</f>
        <v>0.15</v>
      </c>
      <c r="G33" s="557">
        <f ca="1">IF(F22&lt;72,"",'Cash Flow Summary'!J15)</f>
        <v>7.7987487925571405E-2</v>
      </c>
      <c r="H33" s="558"/>
      <c r="I33" s="474"/>
      <c r="J33" s="474"/>
      <c r="K33" s="497"/>
    </row>
    <row r="34" spans="2:24" ht="4.25" customHeight="1" thickBot="1">
      <c r="B34" s="7"/>
      <c r="C34" s="507"/>
      <c r="D34" s="115"/>
      <c r="E34" s="116"/>
      <c r="F34" s="117"/>
      <c r="G34" s="117"/>
      <c r="H34" s="559"/>
      <c r="I34" s="115"/>
      <c r="J34" s="115"/>
      <c r="K34" s="498"/>
    </row>
    <row r="36" spans="2:24">
      <c r="C36" s="545"/>
      <c r="D36" s="545"/>
      <c r="E36" s="545"/>
      <c r="F36" s="545"/>
      <c r="G36" s="391"/>
    </row>
    <row r="39" spans="2:24">
      <c r="E39" t="s">
        <v>343</v>
      </c>
      <c r="H39" s="518"/>
      <c r="N39" s="518"/>
    </row>
    <row r="40" spans="2:24" ht="15.5">
      <c r="E40" s="678"/>
      <c r="F40" s="679"/>
    </row>
    <row r="41" spans="2:24" ht="15.5">
      <c r="E41" s="678"/>
      <c r="F41" s="803"/>
      <c r="G41" s="679"/>
      <c r="J41" s="545"/>
    </row>
    <row r="42" spans="2:24">
      <c r="E42" s="489"/>
      <c r="F42" s="564"/>
      <c r="G42" s="564"/>
      <c r="H42" s="520"/>
    </row>
    <row r="43" spans="2:24">
      <c r="E43" s="477"/>
      <c r="F43" s="566"/>
      <c r="G43" s="566"/>
    </row>
    <row r="45" spans="2:24">
      <c r="C45" s="520"/>
    </row>
    <row r="46" spans="2:24" ht="15.5">
      <c r="C46" s="520"/>
      <c r="E46" s="821"/>
      <c r="F46" s="821"/>
      <c r="G46" s="821"/>
    </row>
    <row r="47" spans="2:24">
      <c r="F47" s="565"/>
      <c r="G47" s="565"/>
    </row>
    <row r="48" spans="2:24">
      <c r="F48" s="564"/>
      <c r="G48" s="564"/>
      <c r="X48" t="s">
        <v>343</v>
      </c>
    </row>
    <row r="49" spans="2:9">
      <c r="F49" s="566"/>
      <c r="G49" s="566"/>
    </row>
    <row r="56" spans="2:9" ht="14" customHeight="1">
      <c r="B56" s="826"/>
      <c r="C56" s="826"/>
      <c r="D56" s="826"/>
      <c r="E56" s="826"/>
      <c r="F56" s="826"/>
      <c r="G56" s="826"/>
      <c r="H56" s="826"/>
      <c r="I56" s="826"/>
    </row>
    <row r="57" spans="2:9">
      <c r="B57" s="826"/>
      <c r="C57" s="826"/>
      <c r="D57" s="826"/>
      <c r="E57" s="826"/>
      <c r="F57" s="826"/>
      <c r="G57" s="826"/>
      <c r="H57" s="826"/>
      <c r="I57" s="826"/>
    </row>
    <row r="58" spans="2:9">
      <c r="B58" s="188"/>
      <c r="C58" s="188"/>
      <c r="D58" s="188"/>
      <c r="E58" s="188"/>
      <c r="F58" s="188"/>
      <c r="G58" s="188"/>
      <c r="H58" s="188"/>
      <c r="I58" s="188"/>
    </row>
    <row r="59" spans="2:9">
      <c r="B59" s="178"/>
    </row>
    <row r="64" spans="2:9" ht="60" customHeight="1">
      <c r="B64" s="825"/>
      <c r="C64" s="825"/>
      <c r="D64" s="825"/>
      <c r="E64" s="825"/>
    </row>
  </sheetData>
  <mergeCells count="14">
    <mergeCell ref="E46:G46"/>
    <mergeCell ref="B4:K4"/>
    <mergeCell ref="B64:E64"/>
    <mergeCell ref="B56:I57"/>
    <mergeCell ref="B19:C19"/>
    <mergeCell ref="B24:C24"/>
    <mergeCell ref="B29:C29"/>
    <mergeCell ref="B17:C17"/>
    <mergeCell ref="B6:C6"/>
    <mergeCell ref="H6:I6"/>
    <mergeCell ref="J6:K6"/>
    <mergeCell ref="E17:F17"/>
    <mergeCell ref="E26:F26"/>
    <mergeCell ref="E6:G6"/>
  </mergeCells>
  <conditionalFormatting sqref="H19:K32">
    <cfRule type="expression" dxfId="71" priority="1">
      <formula>$H19="TOTAL"</formula>
    </cfRule>
  </conditionalFormatting>
  <printOptions horizontalCentered="1"/>
  <pageMargins left="0.7" right="0.7" top="0.75" bottom="0.75" header="0.3" footer="0.3"/>
  <pageSetup scale="70" fitToHeight="0" orientation="landscape" r:id="rId1"/>
  <ignoredErrors>
    <ignoredError sqref="H1:K1 B15 D11:D12 B6 K7 H16:K18 D17:D23 B18:C18 H5:K5 H4:K4 D6 D27 B8:E8 C4:F4 B5:F5 B7:F7 E14:F14 D24:F25 B16:F16 B3:F3 H3:K3 B1:F1 B10:E10 B9:D9" emptyCellReference="1"/>
  </ignoredErrors>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7BC0-1AEA-42E4-A74E-C930B921AF95}">
  <dimension ref="B1:O16"/>
  <sheetViews>
    <sheetView showGridLines="0" zoomScale="140" zoomScaleNormal="140" workbookViewId="0">
      <selection activeCell="I23" sqref="I23"/>
    </sheetView>
  </sheetViews>
  <sheetFormatPr defaultRowHeight="14.5"/>
  <cols>
    <col min="2" max="2" width="19.54296875" bestFit="1" customWidth="1"/>
    <col min="3" max="7" width="10.6328125" bestFit="1" customWidth="1"/>
    <col min="9" max="9" width="11.81640625" bestFit="1" customWidth="1"/>
    <col min="10" max="10" width="9.6328125" bestFit="1" customWidth="1"/>
    <col min="11" max="11" width="13.453125" bestFit="1" customWidth="1"/>
  </cols>
  <sheetData>
    <row r="1" spans="2:15" ht="15" thickBot="1"/>
    <row r="2" spans="2:15" ht="15.5">
      <c r="B2" s="834" t="s">
        <v>396</v>
      </c>
      <c r="C2" s="835"/>
      <c r="D2" s="835"/>
      <c r="E2" s="835"/>
      <c r="F2" s="835"/>
      <c r="G2" s="836"/>
    </row>
    <row r="3" spans="2:15">
      <c r="B3" s="459" t="s">
        <v>398</v>
      </c>
      <c r="C3" s="690">
        <f>'Sale Analysis'!C4</f>
        <v>5.2499999999999998E-2</v>
      </c>
      <c r="D3" s="690">
        <f>'Sale Analysis'!D4</f>
        <v>5.5E-2</v>
      </c>
      <c r="E3" s="690">
        <f>'Sale Analysis'!E4</f>
        <v>5.7500000000000002E-2</v>
      </c>
      <c r="F3" s="690">
        <f>'Sale Analysis'!F4</f>
        <v>6.0000000000000005E-2</v>
      </c>
      <c r="G3" s="563">
        <f>'Sale Analysis'!G4</f>
        <v>6.25E-2</v>
      </c>
    </row>
    <row r="4" spans="2:15">
      <c r="B4" s="5" t="s">
        <v>173</v>
      </c>
      <c r="C4" s="397">
        <f ca="1">ROUND('Sale Analysis'!C20,-3)</f>
        <v>1498000</v>
      </c>
      <c r="D4" s="397">
        <f ca="1">ROUND('Sale Analysis'!D20,-3)</f>
        <v>1498000</v>
      </c>
      <c r="E4" s="397">
        <f ca="1">ROUND('Sale Analysis'!E20,-3)</f>
        <v>1498000</v>
      </c>
      <c r="F4" s="397">
        <f ca="1">ROUND('Sale Analysis'!F20,-3)</f>
        <v>1498000</v>
      </c>
      <c r="G4" s="398">
        <f ca="1">ROUND('Sale Analysis'!G20,-3)</f>
        <v>1498000</v>
      </c>
      <c r="K4" s="695"/>
    </row>
    <row r="5" spans="2:15">
      <c r="B5" s="5" t="s">
        <v>174</v>
      </c>
      <c r="C5" s="397">
        <f ca="1">ROUND('Sale Analysis'!C20+'Sale Analysis'!C21,-3)</f>
        <v>3369000</v>
      </c>
      <c r="D5" s="397">
        <f ca="1">ROUND('Sale Analysis'!D20+'Sale Analysis'!D21,-3)</f>
        <v>3160000</v>
      </c>
      <c r="E5" s="397">
        <f ca="1">ROUND('Sale Analysis'!E20+'Sale Analysis'!E21,-3)</f>
        <v>2965000</v>
      </c>
      <c r="F5" s="397">
        <f ca="1">ROUND('Sale Analysis'!F20+'Sale Analysis'!F21,-3)</f>
        <v>2783000</v>
      </c>
      <c r="G5" s="398">
        <f ca="1">ROUND('Sale Analysis'!G20+'Sale Analysis'!G21,-3)</f>
        <v>2614000</v>
      </c>
      <c r="K5" s="673"/>
    </row>
    <row r="6" spans="2:15">
      <c r="B6" s="5" t="s">
        <v>340</v>
      </c>
      <c r="C6" s="687">
        <f ca="1">'Sale Analysis'!C22</f>
        <v>2.2496160213874803</v>
      </c>
      <c r="D6" s="687">
        <f ca="1">'Sale Analysis'!D22</f>
        <v>2.1097160755473188</v>
      </c>
      <c r="E6" s="687">
        <f ca="1">'Sale Analysis'!E22</f>
        <v>1.9795314037238352</v>
      </c>
      <c r="F6" s="687">
        <f ca="1">'Sale Analysis'!F22</f>
        <v>1.8584143209825843</v>
      </c>
      <c r="G6" s="691">
        <f ca="1">'Sale Analysis'!G22</f>
        <v>1.7457171423891211</v>
      </c>
      <c r="K6" s="695"/>
    </row>
    <row r="7" spans="2:15" ht="15" thickBot="1">
      <c r="B7" s="7" t="s">
        <v>339</v>
      </c>
      <c r="C7" s="688">
        <f ca="1">'Sale Analysis'!C23</f>
        <v>0.17656094431877137</v>
      </c>
      <c r="D7" s="688">
        <f ca="1">'Sale Analysis'!D23</f>
        <v>0.16449794173240664</v>
      </c>
      <c r="E7" s="688">
        <f ca="1">'Sale Analysis'!E23</f>
        <v>0.15240297913551332</v>
      </c>
      <c r="F7" s="688">
        <f ca="1">'Sale Analysis'!F23</f>
        <v>0.14025807976722718</v>
      </c>
      <c r="G7" s="692">
        <f ca="1">'Sale Analysis'!G23</f>
        <v>0.12803772091865542</v>
      </c>
      <c r="K7" s="673"/>
    </row>
    <row r="8" spans="2:15" ht="15.5">
      <c r="E8" s="678"/>
      <c r="F8" s="679"/>
      <c r="G8" s="679"/>
      <c r="K8" s="673"/>
    </row>
    <row r="9" spans="2:15">
      <c r="E9" s="489"/>
      <c r="F9" s="564"/>
      <c r="G9" s="564"/>
      <c r="K9" s="696"/>
      <c r="L9" s="696"/>
      <c r="M9" s="696"/>
      <c r="N9" s="696"/>
      <c r="O9" s="696"/>
    </row>
    <row r="11" spans="2:15" ht="15.5">
      <c r="B11" s="837"/>
      <c r="C11" s="837"/>
      <c r="D11" s="837"/>
      <c r="E11" s="837"/>
      <c r="F11" s="837"/>
      <c r="G11" s="837"/>
    </row>
    <row r="12" spans="2:15">
      <c r="B12" s="698"/>
      <c r="C12" s="699"/>
      <c r="D12" s="699"/>
      <c r="E12" s="699"/>
      <c r="F12" s="699"/>
      <c r="G12" s="699"/>
    </row>
    <row r="13" spans="2:15">
      <c r="C13" s="397"/>
      <c r="D13" s="397"/>
      <c r="E13" s="397"/>
      <c r="F13" s="397"/>
      <c r="G13" s="397"/>
    </row>
    <row r="14" spans="2:15">
      <c r="C14" s="397"/>
      <c r="D14" s="397"/>
      <c r="E14" s="397"/>
      <c r="F14" s="397"/>
      <c r="G14" s="397"/>
    </row>
    <row r="15" spans="2:15">
      <c r="C15" s="687"/>
      <c r="D15" s="687"/>
      <c r="E15" s="687"/>
      <c r="F15" s="687"/>
      <c r="G15" s="687"/>
    </row>
    <row r="16" spans="2:15">
      <c r="C16" s="697"/>
      <c r="D16" s="697"/>
      <c r="E16" s="697"/>
      <c r="F16" s="697"/>
      <c r="G16" s="697"/>
    </row>
  </sheetData>
  <mergeCells count="2">
    <mergeCell ref="B2:G2"/>
    <mergeCell ref="B11:G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3B224-3D00-4B05-8751-BE0702C706E9}">
  <sheetPr>
    <pageSetUpPr fitToPage="1"/>
  </sheetPr>
  <dimension ref="B3:F37"/>
  <sheetViews>
    <sheetView showGridLines="0" zoomScaleNormal="100" zoomScaleSheetLayoutView="110" workbookViewId="0">
      <selection activeCell="J46" sqref="J46"/>
    </sheetView>
  </sheetViews>
  <sheetFormatPr defaultRowHeight="14.5"/>
  <cols>
    <col min="2" max="2" width="32.6328125" customWidth="1"/>
    <col min="3" max="3" width="11.54296875" bestFit="1" customWidth="1"/>
    <col min="4" max="4" width="11.1796875" bestFit="1" customWidth="1"/>
    <col min="5" max="6" width="11.54296875" bestFit="1" customWidth="1"/>
  </cols>
  <sheetData>
    <row r="3" spans="2:6" ht="15" thickBot="1"/>
    <row r="4" spans="2:6" ht="17">
      <c r="B4" s="838" t="str">
        <f>Assumptions!C3</f>
        <v>Brownstone Apartments</v>
      </c>
      <c r="C4" s="839"/>
      <c r="D4" s="839"/>
      <c r="E4" s="839"/>
      <c r="F4" s="840"/>
    </row>
    <row r="5" spans="2:6" ht="17">
      <c r="B5" s="841" t="s">
        <v>359</v>
      </c>
      <c r="C5" s="842"/>
      <c r="D5" s="842"/>
      <c r="E5" s="842"/>
      <c r="F5" s="843"/>
    </row>
    <row r="6" spans="2:6" ht="15" thickBot="1">
      <c r="B6" s="575"/>
      <c r="C6" s="576" t="s">
        <v>8</v>
      </c>
      <c r="D6" s="576" t="s">
        <v>9</v>
      </c>
      <c r="E6" s="576" t="s">
        <v>16</v>
      </c>
      <c r="F6" s="577" t="s">
        <v>17</v>
      </c>
    </row>
    <row r="7" spans="2:6">
      <c r="B7" s="534" t="s">
        <v>257</v>
      </c>
      <c r="F7" s="6"/>
    </row>
    <row r="8" spans="2:6">
      <c r="B8" s="446" t="s">
        <v>348</v>
      </c>
      <c r="C8" s="582">
        <f>'Monthly Cash Flow'!P10</f>
        <v>418953.69374812092</v>
      </c>
      <c r="D8" s="582">
        <f>'Monthly Cash Flow'!AC10</f>
        <v>426544.74055959994</v>
      </c>
      <c r="E8" s="582">
        <f>'Monthly Cash Flow'!AP10</f>
        <v>437208.35907358979</v>
      </c>
      <c r="F8" s="583">
        <f>'Monthly Cash Flow'!BC10</f>
        <v>448138.56805042952</v>
      </c>
    </row>
    <row r="9" spans="2:6">
      <c r="B9" s="578" t="s">
        <v>347</v>
      </c>
      <c r="C9" s="582">
        <f>'Monthly Cash Flow'!P11</f>
        <v>77858.224819444556</v>
      </c>
      <c r="D9" s="582">
        <f>'Monthly Cash Flow'!AC11</f>
        <v>13584.557975952193</v>
      </c>
      <c r="E9" s="582">
        <f>'Monthly Cash Flow'!AP11</f>
        <v>5410.3300640760863</v>
      </c>
      <c r="F9" s="583">
        <f>'Monthly Cash Flow'!BC11</f>
        <v>8214.1491665062276</v>
      </c>
    </row>
    <row r="10" spans="2:6">
      <c r="B10" s="586" t="s">
        <v>349</v>
      </c>
      <c r="C10" s="587">
        <f>'Monthly Cash Flow'!P12</f>
        <v>341095.46892867639</v>
      </c>
      <c r="D10" s="587">
        <f>'Monthly Cash Flow'!AC12</f>
        <v>412960.18258364766</v>
      </c>
      <c r="E10" s="587">
        <f>'Monthly Cash Flow'!AP12</f>
        <v>431798.02900951373</v>
      </c>
      <c r="F10" s="588">
        <f>'Monthly Cash Flow'!BC12</f>
        <v>439924.41888392332</v>
      </c>
    </row>
    <row r="11" spans="2:6">
      <c r="B11" s="578" t="s">
        <v>350</v>
      </c>
      <c r="C11" s="582">
        <f>'Monthly Cash Flow'!P13+'Monthly Cash Flow'!P14</f>
        <v>-45882.086825635735</v>
      </c>
      <c r="D11" s="582">
        <f>'Monthly Cash Flow'!AC13+'Monthly Cash Flow'!AC14</f>
        <v>-41454.615550743882</v>
      </c>
      <c r="E11" s="582">
        <f>'Monthly Cash Flow'!AP13+'Monthly Cash Flow'!AP14</f>
        <v>-12953.940870285414</v>
      </c>
      <c r="F11" s="583">
        <f>'Monthly Cash Flow'!BC13+'Monthly Cash Flow'!BC14</f>
        <v>-13197.732566517698</v>
      </c>
    </row>
    <row r="12" spans="2:6">
      <c r="B12" s="578" t="s">
        <v>63</v>
      </c>
      <c r="C12" s="582">
        <f>'Monthly Cash Flow'!P16</f>
        <v>0</v>
      </c>
      <c r="D12" s="582">
        <f>'Monthly Cash Flow'!AC16</f>
        <v>0</v>
      </c>
      <c r="E12" s="582">
        <f>'Monthly Cash Flow'!AP16</f>
        <v>0</v>
      </c>
      <c r="F12" s="583">
        <f>'Monthly Cash Flow'!BC16</f>
        <v>0</v>
      </c>
    </row>
    <row r="13" spans="2:6">
      <c r="B13" s="578" t="s">
        <v>351</v>
      </c>
      <c r="C13" s="582">
        <f>'Monthly Cash Flow'!P28</f>
        <v>3019.6078431372553</v>
      </c>
      <c r="D13" s="582">
        <f>'Monthly Cash Flow'!AC28</f>
        <v>10298.235294117647</v>
      </c>
      <c r="E13" s="582">
        <f>'Monthly Cash Flow'!AP28</f>
        <v>11766.999999999993</v>
      </c>
      <c r="F13" s="583">
        <f>'Monthly Cash Flow'!BC28</f>
        <v>12061.174999999994</v>
      </c>
    </row>
    <row r="14" spans="2:6">
      <c r="B14" s="578" t="s">
        <v>76</v>
      </c>
      <c r="C14" s="582">
        <f>'Monthly Cash Flow'!P30-C13</f>
        <v>8567.1</v>
      </c>
      <c r="D14" s="582">
        <f>'Monthly Cash Flow'!AC30-D13</f>
        <v>11417.100000000002</v>
      </c>
      <c r="E14" s="582">
        <f>'Monthly Cash Flow'!AP30-E13</f>
        <v>11417.099999999999</v>
      </c>
      <c r="F14" s="583">
        <f>'Monthly Cash Flow'!BC30-F13</f>
        <v>11417.1</v>
      </c>
    </row>
    <row r="15" spans="2:6">
      <c r="B15" s="586" t="s">
        <v>352</v>
      </c>
      <c r="C15" s="587">
        <f>SUM(C10:C14)</f>
        <v>306800.08994617785</v>
      </c>
      <c r="D15" s="587">
        <f t="shared" ref="D15:F15" si="0">SUM(D10:D14)</f>
        <v>393220.90232702141</v>
      </c>
      <c r="E15" s="587">
        <f t="shared" si="0"/>
        <v>442028.18813922827</v>
      </c>
      <c r="F15" s="588">
        <f t="shared" si="0"/>
        <v>450204.96131740557</v>
      </c>
    </row>
    <row r="16" spans="2:6">
      <c r="B16" s="578" t="s">
        <v>353</v>
      </c>
      <c r="C16" s="582">
        <f>C15/Assumptions!$C$10</f>
        <v>18047.064114481051</v>
      </c>
      <c r="D16" s="582">
        <f>D15/Assumptions!$C$10</f>
        <v>23130.641313354201</v>
      </c>
      <c r="E16" s="582">
        <f>E15/Assumptions!$C$10</f>
        <v>26001.658125836955</v>
      </c>
      <c r="F16" s="583">
        <f>F15/Assumptions!$C$10</f>
        <v>26482.6447833768</v>
      </c>
    </row>
    <row r="17" spans="2:6">
      <c r="B17" s="592" t="s">
        <v>354</v>
      </c>
      <c r="C17" s="526"/>
      <c r="D17" s="593">
        <f>(D15/C15)-1</f>
        <v>0.28168444277837223</v>
      </c>
      <c r="E17" s="593">
        <f t="shared" ref="E17:F17" si="1">(E15/D15)-1</f>
        <v>0.1241217990279071</v>
      </c>
      <c r="F17" s="594">
        <f t="shared" si="1"/>
        <v>1.8498307116110446E-2</v>
      </c>
    </row>
    <row r="18" spans="2:6">
      <c r="B18" s="534" t="s">
        <v>11</v>
      </c>
      <c r="C18" s="111"/>
      <c r="D18" s="111"/>
      <c r="E18" s="111"/>
      <c r="F18" s="124"/>
    </row>
    <row r="19" spans="2:6">
      <c r="B19" s="446" t="s">
        <v>79</v>
      </c>
      <c r="C19" s="582">
        <f>'Monthly Cash Flow'!P36</f>
        <v>45817.5</v>
      </c>
      <c r="D19" s="582">
        <f>'Monthly Cash Flow'!AC36</f>
        <v>46733.850000000006</v>
      </c>
      <c r="E19" s="582">
        <f>'Monthly Cash Flow'!AP36</f>
        <v>47668.526999999995</v>
      </c>
      <c r="F19" s="583">
        <f>'Monthly Cash Flow'!BC36</f>
        <v>48621.897540000005</v>
      </c>
    </row>
    <row r="20" spans="2:6">
      <c r="B20" s="446" t="s">
        <v>13</v>
      </c>
      <c r="C20" s="582">
        <f>'Monthly Cash Flow'!P37</f>
        <v>13999.999999999998</v>
      </c>
      <c r="D20" s="582">
        <f>'Monthly Cash Flow'!AC37</f>
        <v>14350.000000000002</v>
      </c>
      <c r="E20" s="582">
        <f>'Monthly Cash Flow'!AP37</f>
        <v>14708.749999999995</v>
      </c>
      <c r="F20" s="583">
        <f>'Monthly Cash Flow'!BC37</f>
        <v>15076.468749999991</v>
      </c>
    </row>
    <row r="21" spans="2:6">
      <c r="B21" s="446" t="s">
        <v>82</v>
      </c>
      <c r="C21" s="582">
        <f>'Monthly Cash Flow'!P38</f>
        <v>9204.002698385335</v>
      </c>
      <c r="D21" s="582">
        <f>'Monthly Cash Flow'!AC38</f>
        <v>11796.627069810645</v>
      </c>
      <c r="E21" s="582">
        <f>'Monthly Cash Flow'!AP38</f>
        <v>13260.84564417685</v>
      </c>
      <c r="F21" s="583">
        <f>'Monthly Cash Flow'!BC38</f>
        <v>13506.14883952217</v>
      </c>
    </row>
    <row r="22" spans="2:6">
      <c r="B22" s="446" t="s">
        <v>12</v>
      </c>
      <c r="C22" s="582">
        <f>'Monthly Cash Flow'!P47</f>
        <v>13999.999999999998</v>
      </c>
      <c r="D22" s="582">
        <f>'Monthly Cash Flow'!AC47</f>
        <v>14350.000000000002</v>
      </c>
      <c r="E22" s="582">
        <f>'Monthly Cash Flow'!AP47</f>
        <v>14708.749999999995</v>
      </c>
      <c r="F22" s="583">
        <f>'Monthly Cash Flow'!BC47</f>
        <v>15076.468749999991</v>
      </c>
    </row>
    <row r="23" spans="2:6">
      <c r="B23" s="446" t="s">
        <v>89</v>
      </c>
      <c r="C23" s="582">
        <f>'Monthly Cash Flow'!P49</f>
        <v>12750</v>
      </c>
      <c r="D23" s="582">
        <f>'Monthly Cash Flow'!AC49</f>
        <v>13068.749999999998</v>
      </c>
      <c r="E23" s="582">
        <f>'Monthly Cash Flow'!AP49</f>
        <v>13395.468749999998</v>
      </c>
      <c r="F23" s="583">
        <f>'Monthly Cash Flow'!BC49</f>
        <v>13730.355468749998</v>
      </c>
    </row>
    <row r="24" spans="2:6">
      <c r="B24" s="446" t="s">
        <v>64</v>
      </c>
      <c r="C24" s="582">
        <f>'Monthly Cash Flow'!P50</f>
        <v>0</v>
      </c>
      <c r="D24" s="582">
        <f>'Monthly Cash Flow'!AC50</f>
        <v>0</v>
      </c>
      <c r="E24" s="582">
        <f>'Monthly Cash Flow'!AP50</f>
        <v>0</v>
      </c>
      <c r="F24" s="583">
        <f>'Monthly Cash Flow'!BC50</f>
        <v>8499.9999999999982</v>
      </c>
    </row>
    <row r="25" spans="2:6">
      <c r="B25" s="446" t="s">
        <v>90</v>
      </c>
      <c r="C25" s="582">
        <f>'Monthly Cash Flow'!P51</f>
        <v>3499.9999999999995</v>
      </c>
      <c r="D25" s="582">
        <f>'Monthly Cash Flow'!AC51</f>
        <v>3587.5000000000005</v>
      </c>
      <c r="E25" s="582">
        <f>'Monthly Cash Flow'!AP51</f>
        <v>3677.1874999999986</v>
      </c>
      <c r="F25" s="583">
        <f>'Monthly Cash Flow'!BC51</f>
        <v>3769.1171874999977</v>
      </c>
    </row>
    <row r="26" spans="2:6">
      <c r="B26" s="446" t="s">
        <v>14</v>
      </c>
      <c r="C26" s="582">
        <f>'Monthly Cash Flow'!P52</f>
        <v>1500</v>
      </c>
      <c r="D26" s="582">
        <f>'Monthly Cash Flow'!AC52</f>
        <v>1537.4999999999998</v>
      </c>
      <c r="E26" s="582">
        <f>'Monthly Cash Flow'!AP52</f>
        <v>1575.9374999999998</v>
      </c>
      <c r="F26" s="583">
        <f>'Monthly Cash Flow'!BC52</f>
        <v>1615.3359374999998</v>
      </c>
    </row>
    <row r="27" spans="2:6">
      <c r="B27" s="446" t="s">
        <v>91</v>
      </c>
      <c r="C27" s="582">
        <f>'Monthly Cash Flow'!P53</f>
        <v>0</v>
      </c>
      <c r="D27" s="582">
        <f>'Monthly Cash Flow'!AC53</f>
        <v>0</v>
      </c>
      <c r="E27" s="582">
        <f>'Monthly Cash Flow'!AP53</f>
        <v>0</v>
      </c>
      <c r="F27" s="583">
        <f>'Monthly Cash Flow'!BC53</f>
        <v>0</v>
      </c>
    </row>
    <row r="28" spans="2:6">
      <c r="B28" s="446" t="s">
        <v>345</v>
      </c>
      <c r="C28" s="582">
        <f>'Monthly Cash Flow'!P54</f>
        <v>9000</v>
      </c>
      <c r="D28" s="582">
        <f>'Monthly Cash Flow'!AC54</f>
        <v>9225</v>
      </c>
      <c r="E28" s="582">
        <f>'Monthly Cash Flow'!AP54</f>
        <v>9455.625</v>
      </c>
      <c r="F28" s="583">
        <f>'Monthly Cash Flow'!BC54</f>
        <v>9692.015625</v>
      </c>
    </row>
    <row r="29" spans="2:6">
      <c r="B29" s="589" t="s">
        <v>355</v>
      </c>
      <c r="C29" s="587">
        <f>SUM(C19:C28)</f>
        <v>109771.50269838533</v>
      </c>
      <c r="D29" s="587">
        <f t="shared" ref="D29:F29" si="2">SUM(D19:D28)</f>
        <v>114649.22706981064</v>
      </c>
      <c r="E29" s="587">
        <f t="shared" si="2"/>
        <v>118451.09139417684</v>
      </c>
      <c r="F29" s="588">
        <f t="shared" si="2"/>
        <v>129587.80809827216</v>
      </c>
    </row>
    <row r="30" spans="2:6">
      <c r="B30" s="578" t="s">
        <v>353</v>
      </c>
      <c r="C30" s="582">
        <f>C29/Assumptions!$C$10</f>
        <v>6457.1472175520785</v>
      </c>
      <c r="D30" s="582">
        <f>D29/Assumptions!$C$10</f>
        <v>6744.0721805770963</v>
      </c>
      <c r="E30" s="582">
        <f>E29/Assumptions!$C$10</f>
        <v>6967.7112584809902</v>
      </c>
      <c r="F30" s="583">
        <f>F29/Assumptions!$C$10</f>
        <v>7622.8122410748329</v>
      </c>
    </row>
    <row r="31" spans="2:6">
      <c r="B31" s="590" t="s">
        <v>356</v>
      </c>
      <c r="C31" s="591">
        <f>C29/C15</f>
        <v>0.35779488434192647</v>
      </c>
      <c r="D31" s="591">
        <f>D29/D15</f>
        <v>0.29156442699595564</v>
      </c>
      <c r="E31" s="591">
        <f>E29/E15</f>
        <v>0.26797180490414241</v>
      </c>
      <c r="F31" s="530">
        <f>F29/F15</f>
        <v>0.28784180369551626</v>
      </c>
    </row>
    <row r="32" spans="2:6" ht="3" customHeight="1">
      <c r="B32" s="5"/>
      <c r="C32" s="111"/>
      <c r="D32" s="111"/>
      <c r="E32" s="111"/>
      <c r="F32" s="124"/>
    </row>
    <row r="33" spans="2:6" ht="15" thickBot="1">
      <c r="B33" s="579" t="s">
        <v>129</v>
      </c>
      <c r="C33" s="584">
        <f>C15-C29</f>
        <v>197028.58724779251</v>
      </c>
      <c r="D33" s="584">
        <f>D15-D29</f>
        <v>278571.67525721074</v>
      </c>
      <c r="E33" s="584">
        <f>E15-E29</f>
        <v>323577.09674505144</v>
      </c>
      <c r="F33" s="585">
        <f>F15-F29</f>
        <v>320617.15321913338</v>
      </c>
    </row>
    <row r="34" spans="2:6" ht="15" hidden="1" thickTop="1">
      <c r="B34" s="446" t="s">
        <v>353</v>
      </c>
      <c r="C34" s="582">
        <f>C33/Assumptions!$C$10</f>
        <v>11589.916896928971</v>
      </c>
      <c r="D34" s="582">
        <f>D33/Assumptions!$C$10</f>
        <v>16386.569132777102</v>
      </c>
      <c r="E34" s="582">
        <f>E33/Assumptions!$C$10</f>
        <v>19033.946867355968</v>
      </c>
      <c r="F34" s="583">
        <f>F33/Assumptions!$C$10</f>
        <v>18859.832542301963</v>
      </c>
    </row>
    <row r="35" spans="2:6" ht="15" thickTop="1">
      <c r="B35" s="590" t="s">
        <v>357</v>
      </c>
      <c r="C35" s="591">
        <f>C33/C15</f>
        <v>0.64220511565807359</v>
      </c>
      <c r="D35" s="591">
        <f>D33/D15</f>
        <v>0.70843557300404425</v>
      </c>
      <c r="E35" s="591">
        <f>E33/E15</f>
        <v>0.73202819509585759</v>
      </c>
      <c r="F35" s="530">
        <f>F33/F15</f>
        <v>0.71215819630448363</v>
      </c>
    </row>
    <row r="36" spans="2:6" hidden="1">
      <c r="B36" s="590" t="s">
        <v>354</v>
      </c>
      <c r="C36" s="526"/>
      <c r="D36" s="593">
        <f>(D33/C33)-1</f>
        <v>0.4138642475615264</v>
      </c>
      <c r="E36" s="593">
        <f t="shared" ref="E36:F36" si="3">(E33/D33)-1</f>
        <v>0.16155778022401712</v>
      </c>
      <c r="F36" s="594">
        <f t="shared" si="3"/>
        <v>-9.1475680933320591E-3</v>
      </c>
    </row>
    <row r="37" spans="2:6" ht="15" thickBot="1">
      <c r="B37" s="595" t="s">
        <v>358</v>
      </c>
      <c r="C37" s="596">
        <f ca="1">'Cash Flow Summary'!D15</f>
        <v>4.6095925659514272E-2</v>
      </c>
      <c r="D37" s="596">
        <f ca="1">'Cash Flow Summary'!E15</f>
        <v>6.5173381248241194E-2</v>
      </c>
      <c r="E37" s="596">
        <f ca="1">'Cash Flow Summary'!F15</f>
        <v>7.5702648052400623E-2</v>
      </c>
      <c r="F37" s="597">
        <f ca="1">'Cash Flow Summary'!G15</f>
        <v>7.5010152924495727E-2</v>
      </c>
    </row>
  </sheetData>
  <mergeCells count="2">
    <mergeCell ref="B4:F4"/>
    <mergeCell ref="B5:F5"/>
  </mergeCells>
  <printOptions horizontalCentered="1"/>
  <pageMargins left="0.7" right="0.7" top="0.75" bottom="0.75" header="0.3" footer="0.3"/>
  <pageSetup scale="9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0D6B4-148F-4A44-9030-D81C4AED5889}">
  <sheetPr>
    <pageSetUpPr fitToPage="1"/>
  </sheetPr>
  <dimension ref="B3:F49"/>
  <sheetViews>
    <sheetView showGridLines="0" zoomScale="120" zoomScaleNormal="120" zoomScaleSheetLayoutView="90" workbookViewId="0">
      <selection activeCell="L53" sqref="L53"/>
    </sheetView>
  </sheetViews>
  <sheetFormatPr defaultRowHeight="14.5"/>
  <cols>
    <col min="2" max="2" width="34.54296875" customWidth="1"/>
    <col min="3" max="3" width="14.90625" bestFit="1" customWidth="1"/>
    <col min="4" max="6" width="14.08984375" bestFit="1" customWidth="1"/>
  </cols>
  <sheetData>
    <row r="3" spans="2:6" ht="15" thickBot="1"/>
    <row r="4" spans="2:6" ht="17">
      <c r="B4" s="838" t="str">
        <f>Assumptions!C3</f>
        <v>Brownstone Apartments</v>
      </c>
      <c r="C4" s="839"/>
      <c r="D4" s="839"/>
      <c r="E4" s="839"/>
      <c r="F4" s="840"/>
    </row>
    <row r="5" spans="2:6" ht="17">
      <c r="B5" s="841" t="s">
        <v>361</v>
      </c>
      <c r="C5" s="842"/>
      <c r="D5" s="842"/>
      <c r="E5" s="842"/>
      <c r="F5" s="843"/>
    </row>
    <row r="6" spans="2:6" ht="15" thickBot="1">
      <c r="B6" s="581"/>
      <c r="C6" s="580" t="s">
        <v>360</v>
      </c>
      <c r="D6" s="576" t="s">
        <v>8</v>
      </c>
      <c r="E6" s="576" t="s">
        <v>9</v>
      </c>
      <c r="F6" s="577" t="s">
        <v>16</v>
      </c>
    </row>
    <row r="7" spans="2:6">
      <c r="B7" s="5"/>
      <c r="F7" s="6"/>
    </row>
    <row r="8" spans="2:6" ht="15.5">
      <c r="B8" s="599" t="s">
        <v>129</v>
      </c>
      <c r="C8" s="582"/>
      <c r="D8" s="582">
        <f>'Cash Flow Summary'!D13</f>
        <v>197028.58724779257</v>
      </c>
      <c r="E8" s="582">
        <f>'Cash Flow Summary'!E13</f>
        <v>278571.67525721074</v>
      </c>
      <c r="F8" s="583">
        <f>'Cash Flow Summary'!F13</f>
        <v>323577.09674505144</v>
      </c>
    </row>
    <row r="9" spans="2:6" ht="4.75" customHeight="1">
      <c r="B9" s="5"/>
      <c r="C9" s="582"/>
      <c r="D9" s="582"/>
      <c r="E9" s="582"/>
      <c r="F9" s="583"/>
    </row>
    <row r="10" spans="2:6" ht="15.5">
      <c r="B10" s="599" t="s">
        <v>362</v>
      </c>
      <c r="C10" s="582"/>
      <c r="D10" s="582"/>
      <c r="E10" s="582"/>
      <c r="F10" s="583"/>
    </row>
    <row r="11" spans="2:6" ht="3.65" customHeight="1">
      <c r="B11" s="5"/>
      <c r="C11" s="582"/>
      <c r="D11" s="582"/>
      <c r="E11" s="582"/>
      <c r="F11" s="583"/>
    </row>
    <row r="12" spans="2:6">
      <c r="B12" s="534" t="s">
        <v>363</v>
      </c>
      <c r="C12" s="582"/>
      <c r="D12" s="582"/>
      <c r="E12" s="582"/>
      <c r="F12" s="583"/>
    </row>
    <row r="13" spans="2:6">
      <c r="B13" s="446" t="s">
        <v>0</v>
      </c>
      <c r="C13" s="582">
        <f>-Assumptions!C23</f>
        <v>-3725000</v>
      </c>
      <c r="D13" s="582"/>
      <c r="E13" s="582"/>
      <c r="F13" s="583"/>
    </row>
    <row r="14" spans="2:6">
      <c r="B14" s="446" t="s">
        <v>364</v>
      </c>
      <c r="C14" s="582">
        <f ca="1">-Assumptions!C24</f>
        <v>-65030</v>
      </c>
      <c r="D14" s="582"/>
      <c r="E14" s="582"/>
      <c r="F14" s="583"/>
    </row>
    <row r="15" spans="2:6" ht="4.75" customHeight="1">
      <c r="B15" s="5"/>
      <c r="C15" s="582"/>
      <c r="D15" s="582"/>
      <c r="E15" s="582"/>
      <c r="F15" s="583"/>
    </row>
    <row r="16" spans="2:6">
      <c r="B16" s="534" t="s">
        <v>365</v>
      </c>
      <c r="C16" s="582"/>
      <c r="D16" s="582"/>
      <c r="E16" s="582"/>
      <c r="F16" s="583"/>
    </row>
    <row r="17" spans="2:6">
      <c r="B17" s="446" t="s">
        <v>366</v>
      </c>
      <c r="C17" s="582">
        <f ca="1">Assumptions!C16</f>
        <v>2357500</v>
      </c>
      <c r="D17" s="582">
        <f>SUM('Loan Summary'!K2:K13)</f>
        <v>286827.94117647054</v>
      </c>
      <c r="E17" s="582">
        <f>SUM('Loan Summary'!K14:K25)</f>
        <v>133772.05882352943</v>
      </c>
      <c r="F17" s="583">
        <f>SUM('Loan Summary'!K26:K37)</f>
        <v>0</v>
      </c>
    </row>
    <row r="18" spans="2:6">
      <c r="B18" s="446" t="s">
        <v>374</v>
      </c>
      <c r="C18" s="582"/>
      <c r="D18" s="582">
        <f>SUM('Cont. Dist.'!D13:O13)</f>
        <v>0</v>
      </c>
      <c r="E18" s="582">
        <f>SUM('Cont. Dist.'!P13:AA13)</f>
        <v>0</v>
      </c>
      <c r="F18" s="583">
        <f ca="1">SUM('Cont. Dist.'!AB13:AM13)</f>
        <v>943390.34960403095</v>
      </c>
    </row>
    <row r="19" spans="2:6">
      <c r="B19" s="446" t="s">
        <v>367</v>
      </c>
      <c r="C19" s="582"/>
      <c r="D19" s="582">
        <f ca="1">-'Cash Flow Summary'!D18-'Cash Flow Summary'!D19</f>
        <v>-146549.75514705884</v>
      </c>
      <c r="E19" s="582">
        <f ca="1">-'Cash Flow Summary'!E18-'Cash Flow Summary'!E19</f>
        <v>-159910.29485294133</v>
      </c>
      <c r="F19" s="583">
        <f ca="1">-'Cash Flow Summary'!F18-'Cash Flow Summary'!F19</f>
        <v>-169717.46197290163</v>
      </c>
    </row>
    <row r="20" spans="2:6">
      <c r="B20" s="446" t="s">
        <v>368</v>
      </c>
      <c r="C20" s="582"/>
      <c r="D20" s="582">
        <f>IF(AND('Sale Analysis'!$E$3&gt;0,'Sale Analysis'!$E$3&lt;13),'Sale Analysis'!$E$13,0)</f>
        <v>0</v>
      </c>
      <c r="E20" s="582">
        <f>IF(AND('Sale Analysis'!$E$3&gt;12,'Sale Analysis'!$E$3&lt;25),'Sale Analysis'!$E$13,0)</f>
        <v>0</v>
      </c>
      <c r="F20" s="583">
        <f>IF(AND('Sale Analysis'!$E$3&gt;24,'Sale Analysis'!$E$3&lt;37),'Sale Analysis'!$E$13,0)</f>
        <v>0</v>
      </c>
    </row>
    <row r="21" spans="2:6" ht="4.75" customHeight="1">
      <c r="B21" s="5"/>
      <c r="C21" s="582"/>
      <c r="D21" s="582"/>
      <c r="E21" s="582"/>
      <c r="F21" s="583"/>
    </row>
    <row r="22" spans="2:6">
      <c r="B22" s="534" t="s">
        <v>327</v>
      </c>
      <c r="C22" s="582"/>
      <c r="D22" s="582"/>
      <c r="E22" s="582"/>
      <c r="F22" s="583"/>
    </row>
    <row r="23" spans="2:6">
      <c r="B23" s="446" t="s">
        <v>375</v>
      </c>
      <c r="C23" s="582"/>
      <c r="D23" s="582">
        <f>-'Monthly Cash Flow'!P81*(1-'Renovation Budget'!$D$18)</f>
        <v>-181547.79411764705</v>
      </c>
      <c r="E23" s="582">
        <f>('Monthly Cash Flow'!AC81*(1-'Renovation Budget'!$D$18))*-1</f>
        <v>-127083.45588235295</v>
      </c>
      <c r="F23" s="583">
        <f>('Monthly Cash Flow'!AP81*(1-'Renovation Budget'!$D$18))*-1</f>
        <v>0</v>
      </c>
    </row>
    <row r="24" spans="2:6">
      <c r="B24" s="446" t="s">
        <v>240</v>
      </c>
      <c r="C24" s="582"/>
      <c r="D24" s="582">
        <f>('Monthly Cash Flow'!P82*(1-'Renovation Budget'!$D$18))*-1</f>
        <v>-89585.000000000015</v>
      </c>
      <c r="E24" s="582">
        <f>('Monthly Cash Flow'!AC82*(1-'Renovation Budget'!$D$18))*-1</f>
        <v>0</v>
      </c>
      <c r="F24" s="583">
        <f>('Monthly Cash Flow'!AP82*(1-'Renovation Budget'!$D$18))*-1</f>
        <v>0</v>
      </c>
    </row>
    <row r="25" spans="2:6" ht="3" customHeight="1">
      <c r="B25" s="5"/>
      <c r="C25" s="582"/>
      <c r="D25" s="582"/>
      <c r="E25" s="582"/>
      <c r="F25" s="583"/>
    </row>
    <row r="26" spans="2:6">
      <c r="B26" s="534" t="s">
        <v>369</v>
      </c>
      <c r="C26" s="582"/>
      <c r="D26" s="582"/>
      <c r="E26" s="582"/>
      <c r="F26" s="583"/>
    </row>
    <row r="27" spans="2:6">
      <c r="B27" s="446" t="s">
        <v>224</v>
      </c>
      <c r="C27" s="582"/>
      <c r="D27" s="582">
        <f>IF(AND('Sale Analysis'!$E$3&gt;0,'Sale Analysis'!$E$3&lt;13),'Sale Analysis'!$E$11,0)</f>
        <v>0</v>
      </c>
      <c r="E27" s="582">
        <f>IF(AND('Sale Analysis'!$E$3&gt;12,'Sale Analysis'!$E$3&lt;25),'Sale Analysis'!$E$11,0)</f>
        <v>0</v>
      </c>
      <c r="F27" s="583">
        <f>IF(AND('Sale Analysis'!$E$3&gt;24,'Sale Analysis'!$E$3&lt;37),'Sale Analysis'!$E$11,0)</f>
        <v>0</v>
      </c>
    </row>
    <row r="28" spans="2:6">
      <c r="B28" s="446" t="s">
        <v>370</v>
      </c>
      <c r="C28" s="582"/>
      <c r="D28" s="582">
        <f>IF(AND('Sale Analysis'!$E$3&gt;0,'Sale Analysis'!$E$3&lt;13),SUM('Sale Analysis'!$E$14:$E$17,'Sale Analysis'!$E$12),0)</f>
        <v>0</v>
      </c>
      <c r="E28" s="582">
        <f>IF(AND('Sale Analysis'!$E$3&gt;12,'Sale Analysis'!$E$3&lt;25),SUM('Sale Analysis'!$E$14:$E$17,'Sale Analysis'!$E$12),0)</f>
        <v>0</v>
      </c>
      <c r="F28" s="583">
        <f>IF(AND('Sale Analysis'!$E$3&gt;24,'Sale Analysis'!$E$3&lt;37),SUM('Sale Analysis'!$E$14:$E$17,'Sale Analysis'!$E$12),0)</f>
        <v>0</v>
      </c>
    </row>
    <row r="29" spans="2:6" ht="4.75" customHeight="1">
      <c r="B29" s="5"/>
      <c r="C29" s="582"/>
      <c r="D29" s="582"/>
      <c r="E29" s="582"/>
      <c r="F29" s="583"/>
    </row>
    <row r="30" spans="2:6">
      <c r="B30" s="534" t="s">
        <v>371</v>
      </c>
      <c r="C30" s="582"/>
      <c r="D30" s="582"/>
      <c r="E30" s="582"/>
      <c r="F30" s="583"/>
    </row>
    <row r="31" spans="2:6">
      <c r="B31" s="5" t="s">
        <v>292</v>
      </c>
      <c r="C31" s="582">
        <f ca="1">-Assumptions!C39</f>
        <v>-42092.05</v>
      </c>
      <c r="D31" s="582"/>
      <c r="E31" s="582"/>
      <c r="F31" s="583"/>
    </row>
    <row r="32" spans="2:6">
      <c r="B32" s="5" t="s">
        <v>372</v>
      </c>
      <c r="C32" s="582"/>
      <c r="D32" s="582">
        <f ca="1">('Monthly Cash Flow'!P66)*-1</f>
        <v>-22464.626280775792</v>
      </c>
      <c r="E32" s="582">
        <f ca="1">('Monthly Cash Flow'!AC66)*-1</f>
        <v>-22464.626280775792</v>
      </c>
      <c r="F32" s="583">
        <f ca="1">('Monthly Cash Flow'!AP66)*-1</f>
        <v>-22464.626280775792</v>
      </c>
    </row>
    <row r="33" spans="2:6">
      <c r="B33" s="5" t="s">
        <v>373</v>
      </c>
      <c r="C33" s="582"/>
      <c r="D33" s="582">
        <f t="shared" ref="D33:F33" si="0">((D24/0.95)*0.05)+((D23/0.95)*0.05)</f>
        <v>-14270.147058823532</v>
      </c>
      <c r="E33" s="582">
        <f t="shared" si="0"/>
        <v>-6688.6029411764721</v>
      </c>
      <c r="F33" s="583">
        <f t="shared" si="0"/>
        <v>0</v>
      </c>
    </row>
    <row r="34" spans="2:6" ht="3" customHeight="1">
      <c r="B34" s="5"/>
      <c r="C34" s="582"/>
      <c r="D34" s="582"/>
      <c r="E34" s="582"/>
      <c r="F34" s="583"/>
    </row>
    <row r="35" spans="2:6">
      <c r="B35" s="534" t="s">
        <v>376</v>
      </c>
      <c r="C35" s="582"/>
      <c r="D35" s="582">
        <f>('Monthly Cash Flow'!P62)*-1</f>
        <v>-20000</v>
      </c>
      <c r="E35" s="582">
        <f>('Monthly Cash Flow'!AC62)*-1</f>
        <v>-20500</v>
      </c>
      <c r="F35" s="583">
        <f>('Monthly Cash Flow'!AP62)*-1</f>
        <v>-21012.5</v>
      </c>
    </row>
    <row r="36" spans="2:6" ht="4.75" customHeight="1">
      <c r="B36" s="5"/>
      <c r="C36" s="582"/>
      <c r="D36" s="582"/>
      <c r="E36" s="582"/>
      <c r="F36" s="583"/>
    </row>
    <row r="37" spans="2:6" ht="15" thickBot="1">
      <c r="B37" s="607" t="s">
        <v>130</v>
      </c>
      <c r="C37" s="779">
        <f t="shared" ref="C37:F37" ca="1" si="1">SUM(C8:C35)</f>
        <v>-1474622.05</v>
      </c>
      <c r="D37" s="779">
        <f t="shared" ca="1" si="1"/>
        <v>9439.2058199578678</v>
      </c>
      <c r="E37" s="779">
        <f t="shared" ca="1" si="1"/>
        <v>75696.754123493592</v>
      </c>
      <c r="F37" s="780">
        <f t="shared" ca="1" si="1"/>
        <v>1053772.8580954052</v>
      </c>
    </row>
    <row r="38" spans="2:6">
      <c r="B38" s="1"/>
      <c r="C38" s="781"/>
      <c r="D38" s="781"/>
      <c r="E38" s="781"/>
      <c r="F38" s="781"/>
    </row>
    <row r="39" spans="2:6" ht="15.5" customHeight="1"/>
    <row r="40" spans="2:6">
      <c r="B40" s="5" t="s">
        <v>377</v>
      </c>
      <c r="C40" s="582">
        <f ca="1">'Waterfall Split'!H64</f>
        <v>-1422759.6644491339</v>
      </c>
      <c r="D40" s="582">
        <f ca="1">SUM('Waterfall Split'!I64:T64)</f>
        <v>0</v>
      </c>
      <c r="E40" s="582">
        <f ca="1">SUM('Waterfall Split'!U64:AF64)</f>
        <v>71137.983222456722</v>
      </c>
      <c r="F40" s="582">
        <f ca="1">SUM('Waterfall Split'!AG64:AR64)</f>
        <v>991725.04655596649</v>
      </c>
    </row>
    <row r="41" spans="2:6" ht="4.75" customHeight="1">
      <c r="B41" s="5"/>
      <c r="C41" s="391"/>
    </row>
    <row r="42" spans="2:6">
      <c r="B42" s="5" t="s">
        <v>378</v>
      </c>
      <c r="C42" s="91"/>
      <c r="D42" s="582">
        <f ca="1">Assumptions!$C$16-'Cont. Dist.'!O8</f>
        <v>3855141.7520517199</v>
      </c>
      <c r="E42" s="582">
        <f ca="1">Assumptions!$C$16-'Cont. Dist.'!AA8</f>
        <v>3855141.7520517199</v>
      </c>
      <c r="F42" s="582">
        <f ca="1">Assumptions!$C$16-'Cont. Dist.'!AM8</f>
        <v>3855141.7520517199</v>
      </c>
    </row>
    <row r="43" spans="2:6">
      <c r="B43" s="5" t="s">
        <v>379</v>
      </c>
      <c r="D43" s="600">
        <f ca="1">'Cash Flow Summary'!D15</f>
        <v>4.6095925659514272E-2</v>
      </c>
      <c r="E43" s="600">
        <f ca="1">'Cash Flow Summary'!E15</f>
        <v>6.5173381248241194E-2</v>
      </c>
      <c r="F43" s="600">
        <f ca="1">'Cash Flow Summary'!F15</f>
        <v>7.5702648052400623E-2</v>
      </c>
    </row>
    <row r="44" spans="2:6" ht="4.75" customHeight="1">
      <c r="B44" s="5"/>
    </row>
    <row r="45" spans="2:6">
      <c r="B45" s="5" t="s">
        <v>340</v>
      </c>
      <c r="C45" s="564">
        <f ca="1">'Executive Summary'!C22</f>
        <v>1.9795314037238343</v>
      </c>
    </row>
    <row r="46" spans="2:6">
      <c r="B46" s="5" t="s">
        <v>339</v>
      </c>
      <c r="C46" s="598">
        <f ca="1">'Executive Summary'!C23</f>
        <v>0.15240297913551332</v>
      </c>
    </row>
    <row r="47" spans="2:6" ht="3.65" customHeight="1">
      <c r="B47" s="5"/>
    </row>
    <row r="48" spans="2:6">
      <c r="B48" s="5" t="s">
        <v>341</v>
      </c>
      <c r="C48" s="564">
        <f ca="1">'Executive Summary'!C27</f>
        <v>1.7881030376614073</v>
      </c>
    </row>
    <row r="49" spans="2:6" ht="15" thickBot="1">
      <c r="B49" s="7" t="s">
        <v>342</v>
      </c>
      <c r="C49" s="601">
        <f ca="1">'Executive Summary'!C28</f>
        <v>0.1327483594417572</v>
      </c>
      <c r="D49" s="115"/>
      <c r="E49" s="115"/>
      <c r="F49" s="115"/>
    </row>
  </sheetData>
  <mergeCells count="2">
    <mergeCell ref="B4:F4"/>
    <mergeCell ref="B5:F5"/>
  </mergeCells>
  <conditionalFormatting sqref="D8:F49">
    <cfRule type="expression" dxfId="70" priority="1">
      <formula>SUM(C$27:$D$27)&gt;0</formula>
    </cfRule>
  </conditionalFormatting>
  <printOptions horizontalCentered="1"/>
  <pageMargins left="0.7" right="0.7" top="0.75" bottom="0.75" header="0.3" footer="0.3"/>
  <pageSetup scale="8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CD11-525A-48C8-A210-A6479B40BEC0}">
  <dimension ref="B1:AT58"/>
  <sheetViews>
    <sheetView showGridLines="0" topLeftCell="AC28" zoomScale="120" zoomScaleNormal="120" workbookViewId="0">
      <selection activeCell="AH55" sqref="AH55"/>
    </sheetView>
  </sheetViews>
  <sheetFormatPr defaultRowHeight="14.5"/>
  <cols>
    <col min="2" max="2" width="20" customWidth="1"/>
    <col min="3" max="3" width="12.453125" bestFit="1" customWidth="1"/>
    <col min="5" max="5" width="28.54296875" customWidth="1"/>
    <col min="6" max="6" width="11.453125" bestFit="1" customWidth="1"/>
    <col min="7" max="7" width="10.90625" customWidth="1"/>
    <col min="9" max="9" width="27.90625" customWidth="1"/>
    <col min="10" max="10" width="12.90625" bestFit="1" customWidth="1"/>
    <col min="11" max="11" width="18.54296875" bestFit="1" customWidth="1"/>
    <col min="13" max="13" width="25.1796875" customWidth="1"/>
    <col min="14" max="14" width="12" hidden="1" customWidth="1"/>
    <col min="15" max="18" width="12" customWidth="1"/>
    <col min="20" max="20" width="27.1796875" customWidth="1"/>
    <col min="21" max="21" width="12.08984375" bestFit="1" customWidth="1"/>
    <col min="24" max="24" width="26.6328125" customWidth="1"/>
    <col min="25" max="25" width="17.1796875" bestFit="1" customWidth="1"/>
    <col min="26" max="26" width="14.453125" bestFit="1" customWidth="1"/>
    <col min="27" max="27" width="8.26953125" bestFit="1" customWidth="1"/>
    <col min="28" max="28" width="10.453125" bestFit="1" customWidth="1"/>
    <col min="29" max="29" width="9.90625" bestFit="1" customWidth="1"/>
    <col min="30" max="30" width="8.81640625" bestFit="1" customWidth="1"/>
    <col min="31" max="31" width="9" bestFit="1" customWidth="1"/>
    <col min="32" max="32" width="40.36328125" customWidth="1"/>
    <col min="33" max="33" width="9.54296875" bestFit="1" customWidth="1"/>
    <col min="34" max="34" width="14.453125" customWidth="1"/>
    <col min="35" max="35" width="14.54296875" customWidth="1"/>
    <col min="36" max="36" width="13.6328125" customWidth="1"/>
    <col min="37" max="37" width="18" bestFit="1" customWidth="1"/>
    <col min="38" max="38" width="18" customWidth="1"/>
    <col min="39" max="39" width="20.54296875" customWidth="1"/>
    <col min="40" max="40" width="22.453125" bestFit="1" customWidth="1"/>
    <col min="41" max="41" width="19.36328125" bestFit="1" customWidth="1"/>
    <col min="42" max="42" width="27.6328125" bestFit="1" customWidth="1"/>
    <col min="43" max="43" width="24.54296875" bestFit="1" customWidth="1"/>
    <col min="44" max="44" width="1.90625" customWidth="1"/>
    <col min="45" max="45" width="20.54296875" bestFit="1" customWidth="1"/>
    <col min="46" max="46" width="23.1796875" bestFit="1" customWidth="1"/>
  </cols>
  <sheetData>
    <row r="1" spans="2:46" ht="15" thickBot="1"/>
    <row r="2" spans="2:46" ht="19.5">
      <c r="B2" s="848" t="s">
        <v>458</v>
      </c>
      <c r="C2" s="848"/>
      <c r="E2" s="722" t="s">
        <v>414</v>
      </c>
      <c r="F2" s="723" t="s">
        <v>61</v>
      </c>
      <c r="G2" s="723" t="s">
        <v>353</v>
      </c>
      <c r="I2" s="769" t="s">
        <v>129</v>
      </c>
      <c r="J2" s="770" t="s">
        <v>415</v>
      </c>
      <c r="K2" s="771" t="s">
        <v>461</v>
      </c>
      <c r="X2" s="724" t="s">
        <v>416</v>
      </c>
      <c r="Y2" s="725" t="s">
        <v>417</v>
      </c>
      <c r="Z2" s="726" t="s">
        <v>418</v>
      </c>
      <c r="AA2" s="726" t="s">
        <v>256</v>
      </c>
      <c r="AB2" s="726" t="s">
        <v>459</v>
      </c>
      <c r="AC2" s="726" t="s">
        <v>419</v>
      </c>
      <c r="AD2" s="726" t="s">
        <v>420</v>
      </c>
      <c r="AE2" s="726" t="s">
        <v>119</v>
      </c>
      <c r="AF2" s="726" t="s">
        <v>22</v>
      </c>
      <c r="AP2" s="849" t="s">
        <v>421</v>
      </c>
      <c r="AQ2" s="849"/>
      <c r="AS2" s="849" t="s">
        <v>422</v>
      </c>
      <c r="AT2" s="849"/>
    </row>
    <row r="3" spans="2:46" ht="15" customHeight="1">
      <c r="B3" t="s">
        <v>0</v>
      </c>
      <c r="C3" s="727">
        <f>'Executive Summary'!F8</f>
        <v>3725000</v>
      </c>
      <c r="E3" t="s">
        <v>423</v>
      </c>
      <c r="F3" s="727">
        <f>'Renovation Budget'!C15</f>
        <v>82000</v>
      </c>
      <c r="G3" s="727">
        <f>F3/$C$4</f>
        <v>4823.5294117647063</v>
      </c>
      <c r="I3" s="5" t="s">
        <v>348</v>
      </c>
      <c r="J3" s="727">
        <f>'Monthly Cash Flow'!D10*12</f>
        <v>417045.66853224806</v>
      </c>
      <c r="K3" s="772">
        <f>'Monthly Cash Flow'!AO10*12</f>
        <v>442173.39187499986</v>
      </c>
      <c r="X3" s="750"/>
      <c r="Y3" s="751"/>
      <c r="Z3" s="753"/>
      <c r="AA3" s="757"/>
      <c r="AB3" s="759"/>
      <c r="AC3" s="759"/>
      <c r="AD3" s="752"/>
      <c r="AE3" s="753"/>
      <c r="AF3" s="762"/>
      <c r="AP3" t="s">
        <v>372</v>
      </c>
      <c r="AQ3" s="2" t="s">
        <v>424</v>
      </c>
      <c r="AS3" t="s">
        <v>425</v>
      </c>
      <c r="AT3" s="2" t="s">
        <v>426</v>
      </c>
    </row>
    <row r="4" spans="2:46" ht="15" customHeight="1">
      <c r="B4" t="s">
        <v>427</v>
      </c>
      <c r="C4">
        <f>'Executive Summary'!C12</f>
        <v>17</v>
      </c>
      <c r="E4" t="s">
        <v>428</v>
      </c>
      <c r="F4" s="727">
        <f>'Renovation Budget'!C6</f>
        <v>282500</v>
      </c>
      <c r="G4" s="796">
        <f t="shared" ref="G4" si="0">F4/$C$4</f>
        <v>16617.647058823528</v>
      </c>
      <c r="I4" s="5" t="s">
        <v>429</v>
      </c>
      <c r="J4" s="727">
        <f>J5-J3</f>
        <v>-106065.66853224806</v>
      </c>
      <c r="K4" s="772">
        <f>K5-K3</f>
        <v>-5620.1046027414268</v>
      </c>
      <c r="X4" s="750"/>
      <c r="Y4" s="751"/>
      <c r="Z4" s="753"/>
      <c r="AA4" s="757"/>
      <c r="AB4" s="759"/>
      <c r="AC4" s="759"/>
      <c r="AD4" s="752"/>
      <c r="AE4" s="753"/>
      <c r="AF4" s="762"/>
      <c r="AP4" t="s">
        <v>373</v>
      </c>
      <c r="AQ4" s="2" t="s">
        <v>430</v>
      </c>
      <c r="AS4" t="s">
        <v>431</v>
      </c>
      <c r="AT4" s="730" t="s">
        <v>432</v>
      </c>
    </row>
    <row r="5" spans="2:46" ht="15" customHeight="1">
      <c r="B5" t="s">
        <v>433</v>
      </c>
      <c r="C5" s="727">
        <f>'Executive Summary'!C13</f>
        <v>219117.64705882352</v>
      </c>
      <c r="E5" t="s">
        <v>434</v>
      </c>
      <c r="F5" s="727">
        <f>ROUND('Renovation Budget'!C17+'Renovation Budget'!C18,-3)</f>
        <v>55000</v>
      </c>
      <c r="G5" s="727">
        <f>ROUND(F5/$C$4,-2)</f>
        <v>3200</v>
      </c>
      <c r="I5" s="82" t="s">
        <v>45</v>
      </c>
      <c r="J5" s="732">
        <f>'Monthly Cash Flow'!C12*12</f>
        <v>310980</v>
      </c>
      <c r="K5" s="773">
        <f>'Monthly Cash Flow'!AO12*12</f>
        <v>436553.28727225843</v>
      </c>
      <c r="X5" s="728"/>
      <c r="Y5" s="729"/>
      <c r="Z5" s="755"/>
      <c r="AA5" s="758"/>
      <c r="AB5" s="760"/>
      <c r="AC5" s="760"/>
      <c r="AD5" s="754"/>
      <c r="AE5" s="755"/>
      <c r="AF5" s="763"/>
      <c r="AP5" t="s">
        <v>292</v>
      </c>
      <c r="AQ5" s="2" t="s">
        <v>435</v>
      </c>
      <c r="AS5" t="s">
        <v>436</v>
      </c>
      <c r="AT5" s="2" t="s">
        <v>437</v>
      </c>
    </row>
    <row r="6" spans="2:46" ht="15" customHeight="1">
      <c r="B6" t="s">
        <v>438</v>
      </c>
      <c r="C6" s="727">
        <f>'Executive Summary'!C14</f>
        <v>313.84278372230182</v>
      </c>
      <c r="E6" s="731" t="s">
        <v>439</v>
      </c>
      <c r="F6" s="732">
        <f>SUM(F3:F5)</f>
        <v>419500</v>
      </c>
      <c r="G6" s="732">
        <f>ROUND(F6/$C$4,-2)</f>
        <v>24700</v>
      </c>
      <c r="I6" s="5" t="s">
        <v>76</v>
      </c>
      <c r="J6" s="727">
        <f>'Monthly Cash Flow'!C30*12</f>
        <v>3000</v>
      </c>
      <c r="K6" s="772">
        <f>'Monthly Cash Flow'!AO30*12</f>
        <v>23184.099999999995</v>
      </c>
      <c r="X6" s="728"/>
      <c r="Y6" s="729"/>
      <c r="Z6" s="755"/>
      <c r="AA6" s="758"/>
      <c r="AB6" s="760"/>
      <c r="AC6" s="760"/>
      <c r="AD6" s="754"/>
      <c r="AE6" s="755"/>
      <c r="AF6" s="763"/>
      <c r="AS6" t="s">
        <v>440</v>
      </c>
      <c r="AT6" s="2" t="s">
        <v>441</v>
      </c>
    </row>
    <row r="7" spans="2:46" ht="15" customHeight="1">
      <c r="B7" t="s">
        <v>442</v>
      </c>
      <c r="C7" s="433">
        <f>'Executive Summary'!C15</f>
        <v>11869</v>
      </c>
      <c r="E7" t="s">
        <v>443</v>
      </c>
      <c r="F7" s="727">
        <f ca="1">ROUND(Assumptions!C42+Assumptions!C35+Assumptions!C34,-3)</f>
        <v>130000</v>
      </c>
      <c r="G7" s="727">
        <f ca="1">ROUND(F7/$C$4,-2)</f>
        <v>7600</v>
      </c>
      <c r="I7" s="5" t="s">
        <v>444</v>
      </c>
      <c r="J7" s="727">
        <f>J5+J6</f>
        <v>313980</v>
      </c>
      <c r="K7" s="772">
        <f>K5+K6</f>
        <v>459737.38727225841</v>
      </c>
      <c r="X7" s="728"/>
      <c r="Y7" s="729"/>
      <c r="Z7" s="755"/>
      <c r="AA7" s="758"/>
      <c r="AB7" s="760"/>
      <c r="AC7" s="760"/>
      <c r="AD7" s="754"/>
      <c r="AE7" s="755"/>
      <c r="AF7" s="763"/>
    </row>
    <row r="8" spans="2:46" ht="15" customHeight="1">
      <c r="B8" t="s">
        <v>119</v>
      </c>
      <c r="C8" s="733" t="str">
        <f>'Executive Summary'!C11</f>
        <v>1967</v>
      </c>
      <c r="E8" t="s">
        <v>0</v>
      </c>
      <c r="F8" s="727">
        <f>Assumptions!C23</f>
        <v>3725000</v>
      </c>
      <c r="G8" s="727">
        <f>ROUND(F8/$C$4,-2)</f>
        <v>219100</v>
      </c>
      <c r="I8" s="5" t="s">
        <v>460</v>
      </c>
      <c r="J8" s="727">
        <f>-3%*J5</f>
        <v>-9329.4</v>
      </c>
      <c r="K8" s="772">
        <f>-3%*K5</f>
        <v>-13096.598618167753</v>
      </c>
      <c r="Y8" s="2"/>
      <c r="Z8" s="111"/>
      <c r="AA8" s="482"/>
      <c r="AB8" s="761"/>
      <c r="AC8" s="761"/>
      <c r="AD8" s="756"/>
      <c r="AE8" s="111"/>
      <c r="AF8" s="188"/>
    </row>
    <row r="9" spans="2:46" ht="15" customHeight="1">
      <c r="E9" t="s">
        <v>445</v>
      </c>
      <c r="F9" s="727">
        <f ca="1">F6+F7+F8</f>
        <v>4274500</v>
      </c>
      <c r="G9" s="727">
        <f ca="1">ROUND(F9/$C$4,-2)</f>
        <v>251400</v>
      </c>
      <c r="I9" s="82" t="s">
        <v>126</v>
      </c>
      <c r="J9" s="732">
        <f>J7+J8</f>
        <v>304650.59999999998</v>
      </c>
      <c r="K9" s="773">
        <f>K7+K8</f>
        <v>446640.78865409066</v>
      </c>
    </row>
    <row r="10" spans="2:46" ht="15" customHeight="1">
      <c r="I10" s="5" t="s">
        <v>446</v>
      </c>
      <c r="J10" s="727">
        <f>'Monthly Cash Flow'!C58*12</f>
        <v>109520.43000000002</v>
      </c>
      <c r="K10" s="772">
        <f>'Monthly Cash Flow'!AO58*12</f>
        <v>118589.4694096227</v>
      </c>
      <c r="AN10" s="2"/>
    </row>
    <row r="11" spans="2:46" ht="15" customHeight="1">
      <c r="I11" s="774" t="s">
        <v>129</v>
      </c>
      <c r="J11" s="734">
        <f>J9-J10</f>
        <v>195130.16999999995</v>
      </c>
      <c r="K11" s="775">
        <f>K9-K10</f>
        <v>328051.31924446794</v>
      </c>
    </row>
    <row r="12" spans="2:46" ht="15" customHeight="1" thickBot="1">
      <c r="I12" s="776" t="s">
        <v>447</v>
      </c>
      <c r="J12" s="778">
        <f ca="1">J11/(F8+F7)</f>
        <v>5.0617424124513609E-2</v>
      </c>
      <c r="K12" s="777">
        <f ca="1">K11/F9</f>
        <v>7.6746126855648134E-2</v>
      </c>
    </row>
    <row r="14" spans="2:46" ht="15" thickBot="1"/>
    <row r="15" spans="2:46" ht="24" customHeight="1">
      <c r="M15" s="845" t="s">
        <v>253</v>
      </c>
      <c r="N15" s="846"/>
      <c r="O15" s="846"/>
      <c r="P15" s="846"/>
      <c r="Q15" s="846"/>
      <c r="R15" s="847"/>
    </row>
    <row r="16" spans="2:46">
      <c r="F16" s="520"/>
      <c r="M16" s="765" t="s">
        <v>304</v>
      </c>
      <c r="N16" s="766">
        <f>'Sale Analysis'!C3</f>
        <v>83</v>
      </c>
      <c r="O16" s="766">
        <f>'Sale Analysis'!D3</f>
        <v>83</v>
      </c>
      <c r="P16" s="767">
        <f>'Sale Analysis'!E3</f>
        <v>83</v>
      </c>
      <c r="Q16" s="766">
        <f>'Sale Analysis'!F3</f>
        <v>83</v>
      </c>
      <c r="R16" s="768">
        <f>'Sale Analysis'!G3</f>
        <v>83</v>
      </c>
    </row>
    <row r="17" spans="6:18">
      <c r="M17" s="459" t="s">
        <v>256</v>
      </c>
      <c r="N17" s="684">
        <f>'Sale Analysis'!C4</f>
        <v>5.2499999999999998E-2</v>
      </c>
      <c r="O17" s="684">
        <f>'Sale Analysis'!D4</f>
        <v>5.5E-2</v>
      </c>
      <c r="P17" s="681">
        <f>'Sale Analysis'!E4</f>
        <v>5.7500000000000002E-2</v>
      </c>
      <c r="Q17" s="684">
        <f>'Sale Analysis'!F4</f>
        <v>6.0000000000000005E-2</v>
      </c>
      <c r="R17" s="735">
        <f>'Sale Analysis'!G4</f>
        <v>6.25E-2</v>
      </c>
    </row>
    <row r="18" spans="6:18">
      <c r="M18" s="5" t="s">
        <v>257</v>
      </c>
      <c r="N18" s="685">
        <f>'Sale Analysis'!C5</f>
        <v>464200.75156858808</v>
      </c>
      <c r="O18" s="685">
        <f>'Sale Analysis'!D5</f>
        <v>464200.75156858808</v>
      </c>
      <c r="P18" s="423">
        <f>'Sale Analysis'!E5</f>
        <v>464200.75156858808</v>
      </c>
      <c r="Q18" s="685">
        <f>'Sale Analysis'!F5</f>
        <v>464200.75156858808</v>
      </c>
      <c r="R18" s="736">
        <f>'Sale Analysis'!G5</f>
        <v>464200.75156858808</v>
      </c>
    </row>
    <row r="19" spans="6:18">
      <c r="F19" s="520"/>
      <c r="M19" s="5" t="s">
        <v>94</v>
      </c>
      <c r="N19" s="685">
        <f>'Sale Analysis'!C6</f>
        <v>86850.572823735216</v>
      </c>
      <c r="O19" s="685">
        <f>'Sale Analysis'!D6</f>
        <v>86850.572823735216</v>
      </c>
      <c r="P19" s="423">
        <f>'Sale Analysis'!E6</f>
        <v>86850.572823735216</v>
      </c>
      <c r="Q19" s="685">
        <f>'Sale Analysis'!F6</f>
        <v>86850.572823735216</v>
      </c>
      <c r="R19" s="736">
        <f>'Sale Analysis'!G6</f>
        <v>86850.572823735216</v>
      </c>
    </row>
    <row r="20" spans="6:18">
      <c r="M20" s="5" t="s">
        <v>394</v>
      </c>
      <c r="N20" s="685">
        <f ca="1">'Sale Analysis'!C7</f>
        <v>71622.899999999994</v>
      </c>
      <c r="O20" s="685">
        <f ca="1">'Sale Analysis'!D7</f>
        <v>68966.100000000006</v>
      </c>
      <c r="P20" s="423">
        <f ca="1">'Sale Analysis'!E7</f>
        <v>66493.8</v>
      </c>
      <c r="Q20" s="685">
        <f ca="1">'Sale Analysis'!F7</f>
        <v>64193.700000000004</v>
      </c>
      <c r="R20" s="736">
        <f ca="1">'Sale Analysis'!G7</f>
        <v>62053.5</v>
      </c>
    </row>
    <row r="21" spans="6:18">
      <c r="M21" s="456" t="s">
        <v>258</v>
      </c>
      <c r="N21" s="405">
        <f ca="1">'Sale Analysis'!C8</f>
        <v>305727.27874485287</v>
      </c>
      <c r="O21" s="405">
        <f ca="1">'Sale Analysis'!D8</f>
        <v>308384.07874485292</v>
      </c>
      <c r="P21" s="422">
        <f ca="1">'Sale Analysis'!E8</f>
        <v>310856.3787448529</v>
      </c>
      <c r="Q21" s="405">
        <f ca="1">'Sale Analysis'!F8</f>
        <v>313156.47874485288</v>
      </c>
      <c r="R21" s="406">
        <f ca="1">'Sale Analysis'!G8</f>
        <v>315296.67874485289</v>
      </c>
    </row>
    <row r="22" spans="6:18" ht="4.75" customHeight="1">
      <c r="M22" s="5"/>
      <c r="N22" s="397"/>
      <c r="O22" s="397"/>
      <c r="P22" s="421"/>
      <c r="Q22" s="397"/>
      <c r="R22" s="398"/>
    </row>
    <row r="23" spans="6:18">
      <c r="M23" s="590" t="s">
        <v>403</v>
      </c>
      <c r="N23" s="527">
        <f ca="1">'Sale Analysis'!C10</f>
        <v>342529.4117647059</v>
      </c>
      <c r="O23" s="527">
        <f ca="1">'Sale Analysis'!D10</f>
        <v>329823.5294117647</v>
      </c>
      <c r="P23" s="702">
        <f ca="1">'Sale Analysis'!E10</f>
        <v>318000</v>
      </c>
      <c r="Q23" s="527">
        <f ca="1">'Sale Analysis'!F10</f>
        <v>307000</v>
      </c>
      <c r="R23" s="703">
        <f ca="1">'Sale Analysis'!G10</f>
        <v>296764.70588235295</v>
      </c>
    </row>
    <row r="24" spans="6:18">
      <c r="M24" s="5" t="s">
        <v>224</v>
      </c>
      <c r="N24" s="397">
        <f ca="1">'Sale Analysis'!C11</f>
        <v>5823000</v>
      </c>
      <c r="O24" s="397">
        <f ca="1">'Sale Analysis'!D11</f>
        <v>5607000</v>
      </c>
      <c r="P24" s="421">
        <f ca="1">'Sale Analysis'!E11</f>
        <v>5406000</v>
      </c>
      <c r="Q24" s="397">
        <f ca="1">'Sale Analysis'!F11</f>
        <v>5219000</v>
      </c>
      <c r="R24" s="398">
        <f ca="1">'Sale Analysis'!G11</f>
        <v>5045000</v>
      </c>
    </row>
    <row r="25" spans="6:18">
      <c r="M25" s="446" t="s">
        <v>282</v>
      </c>
      <c r="N25" s="397">
        <f ca="1">'Sale Analysis'!C12</f>
        <v>49829.38181747096</v>
      </c>
      <c r="O25" s="397">
        <f ca="1">'Sale Analysis'!D12</f>
        <v>49829.38181747096</v>
      </c>
      <c r="P25" s="421">
        <f ca="1">'Sale Analysis'!E12</f>
        <v>49829.38181747096</v>
      </c>
      <c r="Q25" s="397">
        <f ca="1">'Sale Analysis'!F12</f>
        <v>49829.38181747096</v>
      </c>
      <c r="R25" s="398">
        <f ca="1">'Sale Analysis'!G12</f>
        <v>49829.38181747096</v>
      </c>
    </row>
    <row r="26" spans="6:18">
      <c r="M26" s="446" t="s">
        <v>259</v>
      </c>
      <c r="N26" s="397">
        <f>'Sale Analysis'!C13</f>
        <v>-3740191.3061347073</v>
      </c>
      <c r="O26" s="397">
        <f>'Sale Analysis'!D13</f>
        <v>-3740191.3061347073</v>
      </c>
      <c r="P26" s="421">
        <f>'Sale Analysis'!E13</f>
        <v>-3740191.3061347073</v>
      </c>
      <c r="Q26" s="397">
        <f>'Sale Analysis'!F13</f>
        <v>-3740191.3061347073</v>
      </c>
      <c r="R26" s="398">
        <f>'Sale Analysis'!G13</f>
        <v>-3740191.3061347073</v>
      </c>
    </row>
    <row r="27" spans="6:18" hidden="1">
      <c r="M27" s="446" t="s">
        <v>260</v>
      </c>
      <c r="N27" s="397" t="e">
        <f>'Sale Analysis'!#REF!</f>
        <v>#REF!</v>
      </c>
      <c r="O27" s="397">
        <f ca="1">'Sale Analysis'!D15</f>
        <v>-56070</v>
      </c>
      <c r="P27" s="421">
        <f ca="1">'Sale Analysis'!E15</f>
        <v>-54060</v>
      </c>
      <c r="Q27" s="397">
        <f ca="1">'Sale Analysis'!F15</f>
        <v>-52190</v>
      </c>
      <c r="R27" s="398">
        <f ca="1">'Sale Analysis'!G15</f>
        <v>-50450</v>
      </c>
    </row>
    <row r="28" spans="6:18">
      <c r="M28" s="446" t="s">
        <v>451</v>
      </c>
      <c r="N28" s="397">
        <f ca="1">'Sale Analysis'!C14</f>
        <v>-116460</v>
      </c>
      <c r="O28" s="397">
        <f ca="1">'Sale Analysis'!D14+O27</f>
        <v>-168210</v>
      </c>
      <c r="P28" s="421">
        <f ca="1">'Sale Analysis'!E14+P27</f>
        <v>-162180</v>
      </c>
      <c r="Q28" s="397">
        <f ca="1">'Sale Analysis'!F14+Q27</f>
        <v>-156570</v>
      </c>
      <c r="R28" s="398">
        <f ca="1">'Sale Analysis'!G14+R27</f>
        <v>-151350</v>
      </c>
    </row>
    <row r="29" spans="6:18">
      <c r="M29" s="446"/>
      <c r="N29" s="397"/>
      <c r="O29" s="397"/>
      <c r="P29" s="421"/>
      <c r="Q29" s="397"/>
      <c r="R29" s="398"/>
    </row>
    <row r="30" spans="6:18" ht="2.4" customHeight="1">
      <c r="M30" s="446"/>
      <c r="N30" s="397"/>
      <c r="O30" s="397"/>
      <c r="P30" s="421"/>
      <c r="Q30" s="397"/>
      <c r="R30" s="398"/>
    </row>
    <row r="31" spans="6:18" ht="15" thickBot="1">
      <c r="M31" s="457" t="s">
        <v>262</v>
      </c>
      <c r="N31" s="686">
        <f>'Sale Analysis'!C17</f>
        <v>0</v>
      </c>
      <c r="O31" s="686">
        <f ca="1">'Sale Analysis'!D18</f>
        <v>1748428.0756827639</v>
      </c>
      <c r="P31" s="420">
        <f ca="1">'Sale Analysis'!E18</f>
        <v>1553458.0756827639</v>
      </c>
      <c r="Q31" s="686">
        <f ca="1">'Sale Analysis'!F18</f>
        <v>1372068.0756827639</v>
      </c>
      <c r="R31" s="427">
        <f ca="1">'Sale Analysis'!G18</f>
        <v>1203288.0756827639</v>
      </c>
    </row>
    <row r="32" spans="6:18" ht="3.65" customHeight="1" thickTop="1">
      <c r="M32" s="5"/>
      <c r="N32" s="397"/>
      <c r="O32" s="397"/>
      <c r="P32" s="421"/>
      <c r="Q32" s="397"/>
      <c r="R32" s="398"/>
    </row>
    <row r="33" spans="9:21">
      <c r="M33" s="446" t="s">
        <v>263</v>
      </c>
      <c r="N33" s="685">
        <f>'Sale Analysis'!C19</f>
        <v>0</v>
      </c>
      <c r="O33" s="685">
        <f ca="1">'Sale Analysis'!C20</f>
        <v>1497641.7520517199</v>
      </c>
      <c r="P33" s="423">
        <f ca="1">'Sale Analysis'!D20</f>
        <v>1497641.7520517199</v>
      </c>
      <c r="Q33" s="685">
        <f ca="1">'Sale Analysis'!E20</f>
        <v>1497641.7520517199</v>
      </c>
      <c r="R33" s="736">
        <f ca="1">'Sale Analysis'!F20</f>
        <v>1497641.7520517199</v>
      </c>
    </row>
    <row r="34" spans="9:21">
      <c r="M34" s="446" t="s">
        <v>284</v>
      </c>
      <c r="N34" s="685">
        <f ca="1">'Sale Analysis'!C20</f>
        <v>1497641.7520517199</v>
      </c>
      <c r="O34" s="685">
        <f ca="1">'Sale Analysis'!D21</f>
        <v>1661957.1276626452</v>
      </c>
      <c r="P34" s="423">
        <f ca="1">'Sale Analysis'!E21</f>
        <v>1466987.1276626452</v>
      </c>
      <c r="Q34" s="685">
        <f ca="1">'Sale Analysis'!F21</f>
        <v>1285597.1276626452</v>
      </c>
      <c r="R34" s="736">
        <f ca="1">'Sale Analysis'!G21</f>
        <v>1116817.1276626452</v>
      </c>
    </row>
    <row r="35" spans="9:21">
      <c r="M35" s="446" t="s">
        <v>21</v>
      </c>
      <c r="N35" s="687">
        <f ca="1">'Sale Analysis'!C21</f>
        <v>1871477.1276626452</v>
      </c>
      <c r="O35" s="687">
        <f ca="1">'Sale Analysis'!D22</f>
        <v>2.1097160755473188</v>
      </c>
      <c r="P35" s="419">
        <f ca="1">'Sale Analysis'!E22</f>
        <v>1.9795314037238352</v>
      </c>
      <c r="Q35" s="687">
        <f ca="1">'Sale Analysis'!F22</f>
        <v>1.8584143209825843</v>
      </c>
      <c r="R35" s="691">
        <f ca="1">'Sale Analysis'!G22</f>
        <v>1.7457171423891211</v>
      </c>
    </row>
    <row r="36" spans="9:21" ht="15" thickBot="1">
      <c r="M36" s="458" t="s">
        <v>20</v>
      </c>
      <c r="N36" s="688">
        <f ca="1">'Sale Analysis'!C22</f>
        <v>2.2496160213874803</v>
      </c>
      <c r="O36" s="688">
        <f ca="1">'Sale Analysis'!D23</f>
        <v>0.16449794173240664</v>
      </c>
      <c r="P36" s="418">
        <f ca="1">'Sale Analysis'!E23</f>
        <v>0.15240297913551332</v>
      </c>
      <c r="Q36" s="688">
        <f ca="1">'Sale Analysis'!F23</f>
        <v>0.14025807976722718</v>
      </c>
      <c r="R36" s="692">
        <f ca="1">'Sale Analysis'!G23</f>
        <v>0.12803772091865542</v>
      </c>
    </row>
    <row r="37" spans="9:21">
      <c r="I37" s="797"/>
    </row>
    <row r="38" spans="9:21" ht="10.25" customHeight="1" thickBot="1"/>
    <row r="39" spans="9:21">
      <c r="I39" s="528"/>
      <c r="T39" s="850" t="s">
        <v>301</v>
      </c>
      <c r="U39" s="851"/>
    </row>
    <row r="40" spans="9:21">
      <c r="T40" s="119" t="s">
        <v>173</v>
      </c>
      <c r="U40" s="737">
        <f ca="1">'Executive Summary'!C20</f>
        <v>1498000</v>
      </c>
    </row>
    <row r="41" spans="9:21">
      <c r="J41" s="528"/>
      <c r="T41" s="119" t="s">
        <v>174</v>
      </c>
      <c r="U41" s="737">
        <f ca="1">'Executive Summary'!C21</f>
        <v>2965000</v>
      </c>
    </row>
    <row r="42" spans="9:21">
      <c r="T42" s="119" t="s">
        <v>340</v>
      </c>
      <c r="U42" s="738">
        <f ca="1">'Executive Summary'!C22</f>
        <v>1.9795314037238343</v>
      </c>
    </row>
    <row r="43" spans="9:21">
      <c r="T43" s="131" t="s">
        <v>339</v>
      </c>
      <c r="U43" s="714">
        <f ca="1">'Executive Summary'!C23</f>
        <v>0.15240297913551332</v>
      </c>
    </row>
    <row r="44" spans="9:21" ht="15" thickBot="1">
      <c r="T44" s="764" t="s">
        <v>448</v>
      </c>
      <c r="U44" s="739">
        <f ca="1">K12</f>
        <v>7.6746126855648134E-2</v>
      </c>
    </row>
    <row r="45" spans="9:21">
      <c r="T45" s="477"/>
      <c r="U45" s="566"/>
    </row>
    <row r="50" spans="34:41" ht="19.5">
      <c r="AH50" s="740" t="s">
        <v>449</v>
      </c>
      <c r="AI50" s="740"/>
      <c r="AJ50" s="740"/>
      <c r="AK50" s="740"/>
      <c r="AL50" s="740"/>
      <c r="AM50" s="740"/>
      <c r="AN50" s="740"/>
      <c r="AO50" s="740"/>
    </row>
    <row r="51" spans="34:41" ht="3" customHeight="1">
      <c r="AH51" s="721"/>
      <c r="AI51" s="721"/>
      <c r="AJ51" s="721"/>
      <c r="AK51" s="721"/>
      <c r="AL51" s="721"/>
      <c r="AM51" s="721"/>
      <c r="AN51" s="721"/>
      <c r="AO51" s="721"/>
    </row>
    <row r="52" spans="34:41" ht="43.5">
      <c r="AH52" s="726" t="s">
        <v>35</v>
      </c>
      <c r="AI52" s="741" t="s">
        <v>473</v>
      </c>
      <c r="AJ52" s="741" t="s">
        <v>474</v>
      </c>
      <c r="AK52" s="742"/>
      <c r="AL52" s="742"/>
      <c r="AM52" s="742"/>
      <c r="AN52" s="742"/>
      <c r="AO52" s="742"/>
    </row>
    <row r="53" spans="34:41" ht="4.75" customHeight="1">
      <c r="AH53" s="493"/>
      <c r="AI53" s="743"/>
      <c r="AJ53" s="743"/>
      <c r="AK53" s="492"/>
      <c r="AL53" s="492"/>
      <c r="AM53" s="492"/>
      <c r="AN53" s="492"/>
      <c r="AO53" s="492"/>
    </row>
    <row r="54" spans="34:41">
      <c r="AH54" s="746" t="str">
        <f>'Executive Summary'!H19</f>
        <v>Stu - ADU</v>
      </c>
      <c r="AI54" s="744"/>
      <c r="AJ54" s="744"/>
      <c r="AK54" s="494"/>
      <c r="AL54" s="494"/>
      <c r="AM54" s="494"/>
      <c r="AN54" s="494"/>
      <c r="AO54" s="494"/>
    </row>
    <row r="55" spans="34:41">
      <c r="AH55" s="745" t="str">
        <f>'Executive Summary'!H20</f>
        <v>1x1</v>
      </c>
      <c r="AI55" s="744"/>
      <c r="AJ55" s="744"/>
      <c r="AK55" s="494"/>
      <c r="AL55" s="494"/>
      <c r="AM55" s="494"/>
      <c r="AN55" s="494"/>
      <c r="AO55" s="494"/>
    </row>
    <row r="56" spans="34:41">
      <c r="AH56" s="746" t="str">
        <f>'Executive Summary'!H21</f>
        <v>2x1</v>
      </c>
      <c r="AI56" s="744"/>
      <c r="AJ56" s="744"/>
      <c r="AK56" s="494"/>
      <c r="AL56" s="494"/>
      <c r="AM56" s="494"/>
      <c r="AN56" s="494"/>
      <c r="AO56" s="494"/>
    </row>
    <row r="57" spans="34:41">
      <c r="AH57" s="719" t="s">
        <v>450</v>
      </c>
      <c r="AI57" s="747"/>
      <c r="AJ57" s="747"/>
      <c r="AK57" s="748"/>
      <c r="AL57" s="748"/>
      <c r="AM57" s="748"/>
      <c r="AN57" s="748"/>
      <c r="AO57" s="748"/>
    </row>
    <row r="58" spans="34:41">
      <c r="AH58" s="720" t="s">
        <v>22</v>
      </c>
      <c r="AI58" s="844"/>
      <c r="AJ58" s="844"/>
      <c r="AK58" s="749"/>
      <c r="AL58" s="749"/>
      <c r="AM58" s="749"/>
      <c r="AN58" s="749"/>
      <c r="AO58" s="749"/>
    </row>
  </sheetData>
  <mergeCells count="6">
    <mergeCell ref="AI58:AJ58"/>
    <mergeCell ref="M15:R15"/>
    <mergeCell ref="B2:C2"/>
    <mergeCell ref="AP2:AQ2"/>
    <mergeCell ref="AS2:AT2"/>
    <mergeCell ref="T39:U39"/>
  </mergeCells>
  <conditionalFormatting sqref="N16:R17">
    <cfRule type="expression" dxfId="69" priority="3">
      <formula>N16=""</formula>
    </cfRule>
    <cfRule type="expression" dxfId="68" priority="4">
      <formula>#REF!&gt;#REF!</formula>
    </cfRule>
  </conditionalFormatting>
  <conditionalFormatting sqref="AH58:AI58 AK58:AO58">
    <cfRule type="expression" dxfId="67" priority="5">
      <formula>$H7="TOTAL"</formula>
    </cfRule>
  </conditionalFormatting>
  <conditionalFormatting sqref="AH54:AO56">
    <cfRule type="expression" dxfId="66" priority="2">
      <formula>$H4="TOTAL"</formula>
    </cfRule>
  </conditionalFormatting>
  <conditionalFormatting sqref="AH57:AO57">
    <cfRule type="expression" dxfId="65" priority="1">
      <formula>$H6="TOTAL"</formula>
    </cfRule>
  </conditionalFormatting>
  <pageMargins left="0.7" right="0.7" top="0.75" bottom="0.75" header="0.3" footer="0.3"/>
  <ignoredErrors>
    <ignoredError sqref="J8:K8"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81469-96E4-4150-940B-1F85A9B5AB65}">
  <dimension ref="B1:M26"/>
  <sheetViews>
    <sheetView showGridLines="0" zoomScale="110" zoomScaleNormal="110" workbookViewId="0">
      <selection activeCell="G20" sqref="G20"/>
    </sheetView>
  </sheetViews>
  <sheetFormatPr defaultRowHeight="14.5"/>
  <cols>
    <col min="2" max="2" width="24.90625" customWidth="1"/>
    <col min="6" max="6" width="9.54296875" customWidth="1"/>
    <col min="7" max="7" width="44" customWidth="1"/>
    <col min="11" max="11" width="27.26953125" bestFit="1" customWidth="1"/>
    <col min="12" max="12" width="10.6328125" customWidth="1"/>
    <col min="13" max="13" width="19.54296875" customWidth="1"/>
    <col min="14" max="14" width="21.453125" customWidth="1"/>
  </cols>
  <sheetData>
    <row r="1" spans="2:7" ht="15" thickBot="1"/>
    <row r="2" spans="2:7" ht="19.5">
      <c r="B2" s="852" t="s">
        <v>449</v>
      </c>
      <c r="C2" s="853"/>
      <c r="D2" s="853"/>
      <c r="E2" s="853"/>
      <c r="F2" s="853"/>
      <c r="G2" s="854"/>
    </row>
    <row r="3" spans="2:7">
      <c r="B3" s="782" t="s">
        <v>35</v>
      </c>
      <c r="C3" s="726" t="s">
        <v>453</v>
      </c>
      <c r="D3" s="726" t="s">
        <v>454</v>
      </c>
      <c r="E3" s="726" t="s">
        <v>455</v>
      </c>
      <c r="F3" s="726" t="s">
        <v>450</v>
      </c>
      <c r="G3" s="783" t="s">
        <v>22</v>
      </c>
    </row>
    <row r="4" spans="2:7">
      <c r="B4" s="784"/>
      <c r="C4" s="744"/>
      <c r="D4" s="744"/>
      <c r="E4" s="744"/>
      <c r="F4" s="744"/>
      <c r="G4" s="855"/>
    </row>
    <row r="5" spans="2:7">
      <c r="B5" s="785"/>
      <c r="C5" s="786"/>
      <c r="D5" s="786"/>
      <c r="E5" s="786"/>
      <c r="F5" s="786"/>
      <c r="G5" s="856"/>
    </row>
    <row r="6" spans="2:7" ht="29.4" customHeight="1">
      <c r="B6" s="787"/>
      <c r="C6" s="788"/>
      <c r="D6" s="788"/>
      <c r="E6" s="788"/>
      <c r="F6" s="789"/>
      <c r="G6" s="790"/>
    </row>
    <row r="7" spans="2:7" ht="29.4" customHeight="1">
      <c r="B7" s="787"/>
      <c r="C7" s="788"/>
      <c r="D7" s="788"/>
      <c r="E7" s="788"/>
      <c r="F7" s="789"/>
      <c r="G7" s="790"/>
    </row>
    <row r="8" spans="2:7" ht="29.4" customHeight="1">
      <c r="B8" s="787"/>
      <c r="C8" s="788"/>
      <c r="D8" s="788"/>
      <c r="E8" s="788"/>
      <c r="F8" s="789"/>
      <c r="G8" s="790"/>
    </row>
    <row r="9" spans="2:7" ht="29.4" customHeight="1">
      <c r="B9" s="787"/>
      <c r="C9" s="788"/>
      <c r="D9" s="788"/>
      <c r="E9" s="788"/>
      <c r="F9" s="789"/>
      <c r="G9" s="790"/>
    </row>
    <row r="10" spans="2:7" ht="29.4" customHeight="1" thickBot="1">
      <c r="B10" s="791"/>
      <c r="C10" s="792"/>
      <c r="D10" s="792"/>
      <c r="E10" s="792"/>
      <c r="F10" s="793"/>
      <c r="G10" s="794"/>
    </row>
    <row r="19" spans="11:13" ht="15" thickBot="1"/>
    <row r="20" spans="11:13">
      <c r="K20" s="857" t="s">
        <v>330</v>
      </c>
      <c r="L20" s="858"/>
      <c r="M20" s="859"/>
    </row>
    <row r="21" spans="11:13">
      <c r="K21" s="5" t="s">
        <v>292</v>
      </c>
      <c r="L21" s="494">
        <f ca="1">Assumptions!C39</f>
        <v>42092.05</v>
      </c>
      <c r="M21" s="806" t="s">
        <v>464</v>
      </c>
    </row>
    <row r="22" spans="11:13">
      <c r="K22" s="5" t="s">
        <v>23</v>
      </c>
      <c r="L22" s="494">
        <v>105000</v>
      </c>
      <c r="M22" s="6" t="s">
        <v>466</v>
      </c>
    </row>
    <row r="23" spans="11:13">
      <c r="K23" s="5" t="s">
        <v>465</v>
      </c>
      <c r="L23" s="494">
        <f>Assumptions!C23*1%</f>
        <v>37250</v>
      </c>
      <c r="M23" s="6" t="s">
        <v>467</v>
      </c>
    </row>
    <row r="24" spans="11:13">
      <c r="K24" s="5" t="s">
        <v>468</v>
      </c>
      <c r="L24" s="494">
        <f ca="1">Assumptions!C41-L25</f>
        <v>-118218</v>
      </c>
      <c r="M24" s="6" t="s">
        <v>471</v>
      </c>
    </row>
    <row r="25" spans="11:13">
      <c r="K25" s="5" t="s">
        <v>469</v>
      </c>
      <c r="L25" s="494">
        <v>145998</v>
      </c>
      <c r="M25" s="6" t="s">
        <v>470</v>
      </c>
    </row>
    <row r="26" spans="11:13" ht="15" thickBot="1">
      <c r="K26" s="51" t="s">
        <v>472</v>
      </c>
      <c r="L26" s="807">
        <f ca="1">SUM(L21:L25)</f>
        <v>212122.05</v>
      </c>
      <c r="M26" s="808"/>
    </row>
  </sheetData>
  <mergeCells count="3">
    <mergeCell ref="B2:G2"/>
    <mergeCell ref="G4:G5"/>
    <mergeCell ref="K20:M20"/>
  </mergeCells>
  <conditionalFormatting sqref="B4:G4 B5:F5 C6:E9">
    <cfRule type="expression" dxfId="64" priority="2">
      <formula>$H1048523="TOTAL"</formula>
    </cfRule>
  </conditionalFormatting>
  <conditionalFormatting sqref="C10:E10">
    <cfRule type="expression" dxfId="63" priority="3">
      <formula>$H1048528="TOTAL"</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sheetPr>
  <dimension ref="B1:AK85"/>
  <sheetViews>
    <sheetView showGridLines="0" topLeftCell="N1" zoomScale="90" zoomScaleNormal="90" workbookViewId="0">
      <selection activeCell="AE9" sqref="AE9"/>
    </sheetView>
  </sheetViews>
  <sheetFormatPr defaultColWidth="8.6328125" defaultRowHeight="14.5"/>
  <cols>
    <col min="1" max="1" width="6.08984375" customWidth="1"/>
    <col min="2" max="2" width="34.6328125" customWidth="1"/>
    <col min="3" max="3" width="14.36328125" customWidth="1"/>
    <col min="4" max="4" width="15.54296875" customWidth="1"/>
    <col min="5" max="5" width="10.08984375" customWidth="1"/>
    <col min="6" max="6" width="27.453125" customWidth="1"/>
    <col min="7" max="7" width="10.6328125" customWidth="1"/>
    <col min="8" max="8" width="10.453125" bestFit="1" customWidth="1"/>
    <col min="9" max="14" width="9.6328125" bestFit="1" customWidth="1"/>
    <col min="17" max="17" width="15.36328125" customWidth="1"/>
    <col min="18" max="18" width="11.6328125" customWidth="1"/>
    <col min="21" max="21" width="22.36328125" bestFit="1" customWidth="1"/>
    <col min="23" max="23" width="17.453125" bestFit="1" customWidth="1"/>
    <col min="25" max="25" width="19.08984375" customWidth="1"/>
    <col min="27" max="27" width="11.54296875" bestFit="1" customWidth="1"/>
    <col min="30" max="30" width="16" customWidth="1"/>
    <col min="31" max="31" width="12.90625" bestFit="1" customWidth="1"/>
    <col min="32" max="32" width="26.1796875" customWidth="1"/>
    <col min="33" max="36" width="8.6328125" customWidth="1"/>
    <col min="37" max="37" width="21.81640625" customWidth="1"/>
  </cols>
  <sheetData>
    <row r="1" spans="2:37" ht="15" thickBot="1">
      <c r="AF1" s="888" t="s">
        <v>380</v>
      </c>
      <c r="AG1" s="888"/>
      <c r="AH1" s="888"/>
      <c r="AI1" s="888"/>
      <c r="AJ1" s="888"/>
      <c r="AK1" s="888"/>
    </row>
    <row r="2" spans="2:37" ht="18">
      <c r="B2" s="895" t="s">
        <v>104</v>
      </c>
      <c r="C2" s="896"/>
      <c r="D2" s="875"/>
      <c r="F2" s="132" t="s">
        <v>48</v>
      </c>
      <c r="G2" s="133" t="s">
        <v>77</v>
      </c>
      <c r="H2" s="133" t="s">
        <v>51</v>
      </c>
      <c r="I2" s="134" t="s">
        <v>52</v>
      </c>
      <c r="J2" s="133" t="s">
        <v>53</v>
      </c>
      <c r="K2" s="134" t="s">
        <v>54</v>
      </c>
      <c r="L2" s="134" t="s">
        <v>55</v>
      </c>
      <c r="M2" s="134" t="s">
        <v>56</v>
      </c>
      <c r="N2" s="135" t="s">
        <v>57</v>
      </c>
      <c r="R2" s="658" t="s">
        <v>210</v>
      </c>
      <c r="S2" s="611"/>
      <c r="T2" s="611"/>
      <c r="U2" s="611"/>
      <c r="V2" s="611"/>
      <c r="W2" s="614" t="s">
        <v>412</v>
      </c>
      <c r="Y2" s="658" t="s">
        <v>214</v>
      </c>
      <c r="Z2" s="611"/>
      <c r="AA2" s="611"/>
      <c r="AB2" s="611"/>
      <c r="AC2" s="611"/>
      <c r="AD2" s="661">
        <f>IF(AND(AD3&gt;12,AD3&lt;25),2,IF(AND(AD3&gt;24,AD3&lt;37),3,IF(AND(AD3&gt;36,AD3&lt;49),4,IF(AND(AD3&gt;48,AD3&lt;61),5,IF(AND(AD3&gt;60,AD3&lt;73),6,IF(AND(AD3&gt;72,AD3&lt;85),7,1))))))</f>
        <v>3</v>
      </c>
      <c r="AE2" s="611"/>
      <c r="AF2" s="334" t="s">
        <v>214</v>
      </c>
      <c r="AK2" s="602">
        <f>IF(AND(AK3&gt;12,AK3&lt;25),2,IF(AND(AK3&gt;24,AK3&lt;37),3,IF(AND(AK3&gt;36,AK3&lt;49),4,IF(AND(AK3&gt;48,AK3&lt;61),5,IF(AND(AK3&gt;60,AK3&lt;73),6,IF(AND(AK3&gt;72,AK3&lt;85),7,1))))))</f>
        <v>3</v>
      </c>
    </row>
    <row r="3" spans="2:37" ht="23">
      <c r="B3" s="82" t="s">
        <v>24</v>
      </c>
      <c r="C3" s="885" t="s">
        <v>475</v>
      </c>
      <c r="D3" s="886"/>
      <c r="F3" s="61" t="s">
        <v>49</v>
      </c>
      <c r="G3" s="58"/>
      <c r="H3" s="54">
        <v>0.01</v>
      </c>
      <c r="I3" s="54">
        <v>2.5000000000000001E-2</v>
      </c>
      <c r="J3" s="54">
        <v>2.5000000000000001E-2</v>
      </c>
      <c r="K3" s="54">
        <v>2.5000000000000001E-2</v>
      </c>
      <c r="L3" s="54">
        <v>0.02</v>
      </c>
      <c r="M3" s="54">
        <v>0.02</v>
      </c>
      <c r="N3" s="62">
        <v>0.02</v>
      </c>
      <c r="R3" s="611"/>
      <c r="S3" s="615"/>
      <c r="T3" s="615"/>
      <c r="U3" s="615"/>
      <c r="V3" s="615"/>
      <c r="W3" s="615"/>
      <c r="Y3" s="616" t="s">
        <v>217</v>
      </c>
      <c r="Z3" s="615"/>
      <c r="AA3" s="615"/>
      <c r="AB3" s="615"/>
      <c r="AC3" s="615"/>
      <c r="AD3" s="662">
        <v>35</v>
      </c>
      <c r="AE3" s="611"/>
      <c r="AF3" s="336" t="s">
        <v>217</v>
      </c>
      <c r="AG3" s="335"/>
      <c r="AH3" s="335"/>
      <c r="AI3" s="335"/>
      <c r="AJ3" s="335"/>
      <c r="AK3" s="603">
        <f>W21</f>
        <v>26</v>
      </c>
    </row>
    <row r="4" spans="2:37" ht="18">
      <c r="B4" s="82" t="s">
        <v>25</v>
      </c>
      <c r="C4" s="885" t="s">
        <v>476</v>
      </c>
      <c r="D4" s="886"/>
      <c r="F4" s="63" t="s">
        <v>50</v>
      </c>
      <c r="G4" s="59"/>
      <c r="H4" s="55">
        <f>H3+(G8-H8)</f>
        <v>0.01</v>
      </c>
      <c r="I4" s="55">
        <f t="shared" ref="I4:N4" si="0">I3+(H8-I8)</f>
        <v>2.5000000000000001E-2</v>
      </c>
      <c r="J4" s="55">
        <f t="shared" si="0"/>
        <v>2.5000000000000001E-2</v>
      </c>
      <c r="K4" s="55">
        <f t="shared" si="0"/>
        <v>2.5000000000000001E-2</v>
      </c>
      <c r="L4" s="55">
        <f t="shared" si="0"/>
        <v>0.02</v>
      </c>
      <c r="M4" s="55">
        <f t="shared" si="0"/>
        <v>0.02</v>
      </c>
      <c r="N4" s="64">
        <f t="shared" si="0"/>
        <v>0.02</v>
      </c>
      <c r="R4" s="616" t="s">
        <v>196</v>
      </c>
      <c r="S4" s="616"/>
      <c r="T4" s="616"/>
      <c r="U4" s="616"/>
      <c r="V4" s="616"/>
      <c r="W4" s="617">
        <v>30</v>
      </c>
      <c r="Y4" s="616" t="s">
        <v>223</v>
      </c>
      <c r="Z4" s="616"/>
      <c r="AA4" s="616"/>
      <c r="AB4" s="616"/>
      <c r="AC4" s="616"/>
      <c r="AD4" s="663">
        <v>30</v>
      </c>
      <c r="AE4" s="611"/>
      <c r="AF4" s="336" t="s">
        <v>223</v>
      </c>
      <c r="AG4" s="337"/>
      <c r="AH4" s="336"/>
      <c r="AI4" s="336"/>
      <c r="AJ4" s="336"/>
      <c r="AK4" s="338">
        <v>30</v>
      </c>
    </row>
    <row r="5" spans="2:37" ht="18">
      <c r="B5" s="82" t="s">
        <v>26</v>
      </c>
      <c r="C5" s="885" t="s">
        <v>477</v>
      </c>
      <c r="D5" s="886"/>
      <c r="F5" s="61" t="s">
        <v>58</v>
      </c>
      <c r="G5" s="58"/>
      <c r="H5" s="54">
        <v>0.02</v>
      </c>
      <c r="I5" s="54">
        <v>0.02</v>
      </c>
      <c r="J5" s="54">
        <v>0.03</v>
      </c>
      <c r="K5" s="54">
        <v>0.03</v>
      </c>
      <c r="L5" s="54">
        <v>0.03</v>
      </c>
      <c r="M5" s="54">
        <v>0.03</v>
      </c>
      <c r="N5" s="62">
        <v>0.03</v>
      </c>
      <c r="R5" s="616" t="s">
        <v>197</v>
      </c>
      <c r="S5" s="616"/>
      <c r="T5" s="616"/>
      <c r="U5" s="616"/>
      <c r="V5" s="616"/>
      <c r="W5" s="618">
        <v>5.8500000000000003E-2</v>
      </c>
      <c r="Y5" s="616" t="s">
        <v>197</v>
      </c>
      <c r="Z5" s="616"/>
      <c r="AA5" s="616"/>
      <c r="AB5" s="616"/>
      <c r="AC5" s="616"/>
      <c r="AD5" s="664">
        <v>5.5E-2</v>
      </c>
      <c r="AE5" s="611"/>
      <c r="AF5" s="336" t="s">
        <v>197</v>
      </c>
      <c r="AG5" s="337"/>
      <c r="AH5" s="336"/>
      <c r="AI5" s="336"/>
      <c r="AJ5" s="336"/>
      <c r="AK5" s="609">
        <f>W24</f>
        <v>5.3499999999999999E-2</v>
      </c>
    </row>
    <row r="6" spans="2:37" ht="17" customHeight="1">
      <c r="B6" s="82" t="s">
        <v>27</v>
      </c>
      <c r="C6" s="885" t="s">
        <v>478</v>
      </c>
      <c r="D6" s="886"/>
      <c r="F6" s="61" t="s">
        <v>59</v>
      </c>
      <c r="G6" s="58"/>
      <c r="H6" s="54"/>
      <c r="I6" s="54"/>
      <c r="J6" s="54"/>
      <c r="K6" s="54"/>
      <c r="L6" s="54"/>
      <c r="M6" s="54"/>
      <c r="N6" s="62"/>
      <c r="R6" s="615"/>
      <c r="S6" s="615"/>
      <c r="T6" s="615"/>
      <c r="U6" s="615"/>
      <c r="V6" s="615"/>
      <c r="W6" s="615"/>
      <c r="Y6" s="615"/>
      <c r="Z6" s="615"/>
      <c r="AA6" s="615"/>
      <c r="AB6" s="615"/>
      <c r="AC6" s="615"/>
      <c r="AD6" s="615"/>
      <c r="AE6" s="611"/>
      <c r="AF6" s="335"/>
      <c r="AG6" s="335"/>
      <c r="AH6" s="335"/>
      <c r="AI6" s="335"/>
      <c r="AJ6" s="335"/>
      <c r="AK6" s="335"/>
    </row>
    <row r="7" spans="2:37">
      <c r="B7" s="82" t="s">
        <v>28</v>
      </c>
      <c r="C7" s="887">
        <v>46204</v>
      </c>
      <c r="D7" s="871"/>
      <c r="F7" s="61" t="s">
        <v>60</v>
      </c>
      <c r="G7" s="56"/>
      <c r="H7" s="56"/>
      <c r="I7" s="56"/>
      <c r="J7" s="56"/>
      <c r="K7" s="56"/>
      <c r="L7" s="56"/>
      <c r="M7" s="56"/>
      <c r="N7" s="65"/>
      <c r="R7" s="861" t="s">
        <v>198</v>
      </c>
      <c r="S7" s="862"/>
      <c r="T7" s="862"/>
      <c r="U7" s="862"/>
      <c r="V7" s="862"/>
      <c r="W7" s="862"/>
      <c r="Y7" s="861" t="s">
        <v>198</v>
      </c>
      <c r="Z7" s="862"/>
      <c r="AA7" s="862"/>
      <c r="AB7" s="862"/>
      <c r="AC7" s="862"/>
      <c r="AD7" s="862"/>
      <c r="AE7" s="611"/>
      <c r="AF7" s="889" t="s">
        <v>198</v>
      </c>
      <c r="AG7" s="890"/>
      <c r="AH7" s="890"/>
      <c r="AI7" s="890"/>
      <c r="AJ7" s="890"/>
      <c r="AK7" s="890"/>
    </row>
    <row r="8" spans="2:37" ht="18">
      <c r="B8" s="82" t="s">
        <v>137</v>
      </c>
      <c r="C8" s="868">
        <v>18737</v>
      </c>
      <c r="D8" s="869"/>
      <c r="F8" s="69" t="s">
        <v>78</v>
      </c>
      <c r="G8" s="60">
        <f t="shared" ref="G8:N8" si="1">(G7/12)*G9</f>
        <v>0</v>
      </c>
      <c r="H8" s="57">
        <f>(H7/12)*H9</f>
        <v>0</v>
      </c>
      <c r="I8" s="57">
        <f t="shared" si="1"/>
        <v>0</v>
      </c>
      <c r="J8" s="57">
        <f t="shared" si="1"/>
        <v>0</v>
      </c>
      <c r="K8" s="57">
        <f t="shared" si="1"/>
        <v>0</v>
      </c>
      <c r="L8" s="57">
        <f t="shared" si="1"/>
        <v>0</v>
      </c>
      <c r="M8" s="57">
        <f t="shared" si="1"/>
        <v>0</v>
      </c>
      <c r="N8" s="66">
        <f t="shared" si="1"/>
        <v>0</v>
      </c>
      <c r="R8" s="619" t="s">
        <v>211</v>
      </c>
      <c r="S8" s="619"/>
      <c r="T8" s="620"/>
      <c r="U8" s="621"/>
      <c r="V8" s="621"/>
      <c r="W8" s="622">
        <f>'Monthly Cash Flow'!C60*12</f>
        <v>188910.56999999998</v>
      </c>
      <c r="Y8" s="619" t="s">
        <v>215</v>
      </c>
      <c r="Z8" s="619"/>
      <c r="AA8" s="620"/>
      <c r="AB8" s="621"/>
      <c r="AC8" s="621"/>
      <c r="AD8" s="665">
        <f>'Sale Analysis'!T7</f>
        <v>318545.92298354494</v>
      </c>
      <c r="AE8" s="694"/>
      <c r="AF8" s="366" t="s">
        <v>215</v>
      </c>
      <c r="AG8" s="366"/>
      <c r="AH8" s="367"/>
      <c r="AI8" s="340"/>
      <c r="AJ8" s="340"/>
      <c r="AK8" s="375">
        <f>'Sale Analysis'!Q7</f>
        <v>326725.61148083827</v>
      </c>
    </row>
    <row r="9" spans="2:37" ht="18.5" thickBot="1">
      <c r="B9" s="82" t="s">
        <v>135</v>
      </c>
      <c r="C9" s="868">
        <v>11869</v>
      </c>
      <c r="D9" s="869"/>
      <c r="F9" s="7" t="s">
        <v>65</v>
      </c>
      <c r="G9" s="67"/>
      <c r="H9" s="43"/>
      <c r="I9" s="68"/>
      <c r="J9" s="43"/>
      <c r="K9" s="68"/>
      <c r="L9" s="68"/>
      <c r="M9" s="68"/>
      <c r="N9" s="44"/>
      <c r="R9" s="623" t="s">
        <v>386</v>
      </c>
      <c r="S9" s="624"/>
      <c r="T9" s="624"/>
      <c r="U9" s="624"/>
      <c r="V9" s="616"/>
      <c r="W9" s="625">
        <f>C12</f>
        <v>5.0714246979865762E-2</v>
      </c>
      <c r="Y9" s="623" t="s">
        <v>392</v>
      </c>
      <c r="Z9" s="624"/>
      <c r="AA9" s="624"/>
      <c r="AB9" s="624"/>
      <c r="AC9" s="616"/>
      <c r="AD9" s="666">
        <v>5.7500000000000002E-2</v>
      </c>
      <c r="AE9" s="611"/>
      <c r="AF9" s="342" t="s">
        <v>216</v>
      </c>
      <c r="AG9" s="343"/>
      <c r="AH9" s="343"/>
      <c r="AI9" s="343"/>
      <c r="AJ9" s="336"/>
      <c r="AK9" s="705">
        <f>W25</f>
        <v>0.05</v>
      </c>
    </row>
    <row r="10" spans="2:37" ht="18.5" thickBot="1">
      <c r="B10" s="82" t="s">
        <v>29</v>
      </c>
      <c r="C10" s="870">
        <v>17</v>
      </c>
      <c r="D10" s="871"/>
      <c r="R10" s="626" t="s">
        <v>387</v>
      </c>
      <c r="S10" s="624"/>
      <c r="T10" s="627"/>
      <c r="U10" s="627"/>
      <c r="V10" s="616"/>
      <c r="W10" s="628">
        <f>W8/W9</f>
        <v>3725000.0000000005</v>
      </c>
      <c r="Y10" s="626" t="s">
        <v>393</v>
      </c>
      <c r="Z10" s="624"/>
      <c r="AA10" s="627"/>
      <c r="AB10" s="627"/>
      <c r="AC10" s="616"/>
      <c r="AD10" s="628">
        <f>AD8/AD9</f>
        <v>5539929.0953659983</v>
      </c>
      <c r="AE10" s="611"/>
      <c r="AF10" s="344" t="s">
        <v>213</v>
      </c>
      <c r="AG10" s="343"/>
      <c r="AH10" s="345"/>
      <c r="AI10" s="345"/>
      <c r="AJ10" s="336"/>
      <c r="AK10" s="346">
        <f ca="1">'Executive Summary'!F11</f>
        <v>4274000</v>
      </c>
    </row>
    <row r="11" spans="2:37" ht="18">
      <c r="B11" s="89" t="s">
        <v>30</v>
      </c>
      <c r="C11" s="897">
        <v>3850000</v>
      </c>
      <c r="D11" s="898"/>
      <c r="F11" s="132" t="s">
        <v>76</v>
      </c>
      <c r="G11" s="134" t="s">
        <v>77</v>
      </c>
      <c r="H11" s="134" t="s">
        <v>51</v>
      </c>
      <c r="I11" s="134" t="s">
        <v>52</v>
      </c>
      <c r="J11" s="134" t="s">
        <v>53</v>
      </c>
      <c r="K11" s="134" t="s">
        <v>54</v>
      </c>
      <c r="L11" s="134" t="s">
        <v>55</v>
      </c>
      <c r="M11" s="134" t="s">
        <v>56</v>
      </c>
      <c r="N11" s="136" t="s">
        <v>57</v>
      </c>
      <c r="R11" s="626" t="s">
        <v>199</v>
      </c>
      <c r="S11" s="624"/>
      <c r="T11" s="624"/>
      <c r="U11" s="624"/>
      <c r="V11" s="616"/>
      <c r="W11" s="629">
        <v>0.65</v>
      </c>
      <c r="X11" s="391"/>
      <c r="Y11" s="667" t="s">
        <v>199</v>
      </c>
      <c r="Z11" s="668"/>
      <c r="AA11" s="668"/>
      <c r="AB11" s="668"/>
      <c r="AC11" s="669"/>
      <c r="AD11" s="670">
        <v>0.7</v>
      </c>
      <c r="AE11" s="611"/>
      <c r="AF11" s="409" t="s">
        <v>199</v>
      </c>
      <c r="AG11" s="410"/>
      <c r="AH11" s="410"/>
      <c r="AI11" s="410"/>
      <c r="AJ11" s="411"/>
      <c r="AK11" s="704">
        <f>W23</f>
        <v>0.65</v>
      </c>
    </row>
    <row r="12" spans="2:37" ht="18.5" thickBot="1">
      <c r="B12" s="187" t="s">
        <v>134</v>
      </c>
      <c r="C12" s="873">
        <f>'Monthly Cash Flow'!A60/Assumptions!C23</f>
        <v>5.0714246979865762E-2</v>
      </c>
      <c r="D12" s="874"/>
      <c r="F12" s="5"/>
      <c r="G12" s="53"/>
      <c r="H12" s="53"/>
      <c r="I12" s="53"/>
      <c r="J12" s="53"/>
      <c r="K12" s="53"/>
      <c r="L12" s="53"/>
      <c r="M12" s="53"/>
      <c r="N12" s="74"/>
      <c r="R12" s="630" t="s">
        <v>200</v>
      </c>
      <c r="S12" s="631"/>
      <c r="T12" s="632"/>
      <c r="U12" s="632"/>
      <c r="V12" s="632"/>
      <c r="W12" s="633">
        <f>W10*W11</f>
        <v>2421250.0000000005</v>
      </c>
      <c r="Y12" s="630" t="s">
        <v>200</v>
      </c>
      <c r="Z12" s="631"/>
      <c r="AA12" s="632"/>
      <c r="AB12" s="632"/>
      <c r="AC12" s="632"/>
      <c r="AD12" s="633">
        <f>AD10*AD11</f>
        <v>3877950.3667561985</v>
      </c>
      <c r="AE12" s="611"/>
      <c r="AF12" s="347" t="s">
        <v>200</v>
      </c>
      <c r="AG12" s="348"/>
      <c r="AH12" s="349"/>
      <c r="AI12" s="349"/>
      <c r="AJ12" s="349"/>
      <c r="AK12" s="820">
        <f ca="1">AK10*AK11</f>
        <v>2778100</v>
      </c>
    </row>
    <row r="13" spans="2:37" ht="18.5" thickBot="1">
      <c r="D13" s="2"/>
      <c r="F13" s="69" t="s">
        <v>68</v>
      </c>
      <c r="G13" s="70"/>
      <c r="H13" s="70"/>
      <c r="I13" s="70"/>
      <c r="J13" s="70"/>
      <c r="K13" s="70"/>
      <c r="L13" s="70"/>
      <c r="M13" s="70"/>
      <c r="N13" s="71"/>
      <c r="R13" s="634"/>
      <c r="S13" s="624"/>
      <c r="T13" s="635"/>
      <c r="U13" s="636"/>
      <c r="V13" s="616"/>
      <c r="W13" s="635"/>
      <c r="Y13" s="634"/>
      <c r="Z13" s="624"/>
      <c r="AA13" s="635"/>
      <c r="AB13" s="636"/>
      <c r="AC13" s="616"/>
      <c r="AD13" s="635"/>
      <c r="AE13" s="611"/>
      <c r="AF13" s="351"/>
      <c r="AG13" s="343"/>
      <c r="AH13" s="352"/>
      <c r="AI13" s="353"/>
      <c r="AJ13" s="336"/>
      <c r="AK13" s="352"/>
    </row>
    <row r="14" spans="2:37" ht="26.5" customHeight="1">
      <c r="B14" s="876" t="s">
        <v>321</v>
      </c>
      <c r="C14" s="877"/>
      <c r="F14" s="69" t="s">
        <v>67</v>
      </c>
      <c r="G14" s="70"/>
      <c r="H14" s="543">
        <f>75*0.33*$C$10</f>
        <v>420.75</v>
      </c>
      <c r="I14" s="543">
        <f t="shared" ref="I14:N14" si="2">75*0.33*$C$10</f>
        <v>420.75</v>
      </c>
      <c r="J14" s="543">
        <f t="shared" si="2"/>
        <v>420.75</v>
      </c>
      <c r="K14" s="543">
        <f t="shared" si="2"/>
        <v>420.75</v>
      </c>
      <c r="L14" s="543">
        <f t="shared" si="2"/>
        <v>420.75</v>
      </c>
      <c r="M14" s="543">
        <f t="shared" si="2"/>
        <v>420.75</v>
      </c>
      <c r="N14" s="544">
        <f t="shared" si="2"/>
        <v>420.75</v>
      </c>
      <c r="R14" s="612" t="s">
        <v>201</v>
      </c>
      <c r="S14" s="637"/>
      <c r="T14" s="638"/>
      <c r="U14" s="638"/>
      <c r="V14" s="639"/>
      <c r="W14" s="640"/>
      <c r="Y14" s="612" t="s">
        <v>201</v>
      </c>
      <c r="Z14" s="637"/>
      <c r="AA14" s="638"/>
      <c r="AB14" s="638"/>
      <c r="AC14" s="639"/>
      <c r="AD14" s="640"/>
      <c r="AE14" s="611"/>
      <c r="AF14" s="604" t="s">
        <v>201</v>
      </c>
      <c r="AG14" s="368"/>
      <c r="AH14" s="369"/>
      <c r="AI14" s="369"/>
      <c r="AJ14" s="370"/>
      <c r="AK14" s="371"/>
    </row>
    <row r="15" spans="2:37" ht="18">
      <c r="B15" s="878" t="s">
        <v>322</v>
      </c>
      <c r="C15" s="879"/>
      <c r="F15" s="69" t="s">
        <v>69</v>
      </c>
      <c r="G15" s="70"/>
      <c r="H15" s="543">
        <f>35*0.33*$C$10</f>
        <v>196.35000000000002</v>
      </c>
      <c r="I15" s="543">
        <f t="shared" ref="I15:N15" si="3">35*0.33*$C$10</f>
        <v>196.35000000000002</v>
      </c>
      <c r="J15" s="543">
        <f t="shared" si="3"/>
        <v>196.35000000000002</v>
      </c>
      <c r="K15" s="543">
        <f t="shared" si="3"/>
        <v>196.35000000000002</v>
      </c>
      <c r="L15" s="543">
        <f t="shared" si="3"/>
        <v>196.35000000000002</v>
      </c>
      <c r="M15" s="543">
        <f t="shared" si="3"/>
        <v>196.35000000000002</v>
      </c>
      <c r="N15" s="544">
        <f t="shared" si="3"/>
        <v>196.35000000000002</v>
      </c>
      <c r="R15" s="863" t="str">
        <f>R8</f>
        <v>In-Place NOI</v>
      </c>
      <c r="S15" s="864"/>
      <c r="T15" s="864"/>
      <c r="U15" s="621"/>
      <c r="V15" s="621"/>
      <c r="W15" s="622">
        <f>W8</f>
        <v>188910.56999999998</v>
      </c>
      <c r="Y15" s="863" t="str">
        <f>Y8</f>
        <v>NOI at Point of Refinance</v>
      </c>
      <c r="Z15" s="864"/>
      <c r="AA15" s="864"/>
      <c r="AB15" s="621"/>
      <c r="AC15" s="621"/>
      <c r="AD15" s="622">
        <f>AD8</f>
        <v>318545.92298354494</v>
      </c>
      <c r="AE15" s="611"/>
      <c r="AF15" s="891" t="str">
        <f>AF8</f>
        <v>NOI at Point of Refinance</v>
      </c>
      <c r="AG15" s="892"/>
      <c r="AH15" s="892"/>
      <c r="AI15" s="340"/>
      <c r="AJ15" s="340"/>
      <c r="AK15" s="341">
        <f>AK8</f>
        <v>326725.61148083827</v>
      </c>
    </row>
    <row r="16" spans="2:37" ht="18">
      <c r="B16" s="442" t="s">
        <v>323</v>
      </c>
      <c r="C16" s="817">
        <f ca="1">W32</f>
        <v>2357500</v>
      </c>
      <c r="F16" s="69" t="s">
        <v>70</v>
      </c>
      <c r="G16" s="70"/>
      <c r="H16" s="70"/>
      <c r="I16" s="70"/>
      <c r="J16" s="70"/>
      <c r="K16" s="70"/>
      <c r="L16" s="70"/>
      <c r="M16" s="70"/>
      <c r="N16" s="71"/>
      <c r="R16" s="623" t="s">
        <v>202</v>
      </c>
      <c r="S16" s="627"/>
      <c r="T16" s="624"/>
      <c r="U16" s="624"/>
      <c r="V16" s="616"/>
      <c r="W16" s="641">
        <v>1.1499999999999999</v>
      </c>
      <c r="Y16" s="623" t="s">
        <v>202</v>
      </c>
      <c r="Z16" s="627"/>
      <c r="AA16" s="624"/>
      <c r="AB16" s="624"/>
      <c r="AC16" s="616"/>
      <c r="AD16" s="671">
        <v>1.25</v>
      </c>
      <c r="AE16" s="611"/>
      <c r="AF16" s="342" t="s">
        <v>202</v>
      </c>
      <c r="AG16" s="345"/>
      <c r="AH16" s="343"/>
      <c r="AI16" s="343"/>
      <c r="AJ16" s="336"/>
      <c r="AK16" s="608">
        <f>W22</f>
        <v>1.25</v>
      </c>
    </row>
    <row r="17" spans="2:37" ht="18">
      <c r="B17" s="455" t="s">
        <v>462</v>
      </c>
      <c r="C17" s="813">
        <f>C26+C25</f>
        <v>419175</v>
      </c>
      <c r="F17" s="69" t="s">
        <v>409</v>
      </c>
      <c r="G17" s="70">
        <f>2400</f>
        <v>2400</v>
      </c>
      <c r="H17" s="70">
        <f>300*$C$10</f>
        <v>5100</v>
      </c>
      <c r="I17" s="70">
        <f t="shared" ref="I17:N17" si="4">300*$C$10</f>
        <v>5100</v>
      </c>
      <c r="J17" s="70">
        <f t="shared" si="4"/>
        <v>5100</v>
      </c>
      <c r="K17" s="70">
        <f t="shared" si="4"/>
        <v>5100</v>
      </c>
      <c r="L17" s="70">
        <f t="shared" si="4"/>
        <v>5100</v>
      </c>
      <c r="M17" s="70">
        <f t="shared" si="4"/>
        <v>5100</v>
      </c>
      <c r="N17" s="71">
        <f t="shared" si="4"/>
        <v>5100</v>
      </c>
      <c r="R17" s="623" t="s">
        <v>203</v>
      </c>
      <c r="S17" s="627"/>
      <c r="T17" s="642"/>
      <c r="U17" s="624"/>
      <c r="V17" s="616"/>
      <c r="W17" s="628">
        <f>W15/W16</f>
        <v>164270.0608695652</v>
      </c>
      <c r="Y17" s="623" t="s">
        <v>203</v>
      </c>
      <c r="Z17" s="627"/>
      <c r="AA17" s="642"/>
      <c r="AB17" s="624"/>
      <c r="AC17" s="616"/>
      <c r="AD17" s="628">
        <f>AD15/AD16</f>
        <v>254836.73838683596</v>
      </c>
      <c r="AE17" s="611"/>
      <c r="AF17" s="342" t="s">
        <v>203</v>
      </c>
      <c r="AG17" s="345"/>
      <c r="AH17" s="354"/>
      <c r="AI17" s="343"/>
      <c r="AJ17" s="336"/>
      <c r="AK17" s="346">
        <f>AK15/AK16</f>
        <v>261380.48918467062</v>
      </c>
    </row>
    <row r="18" spans="2:37" ht="18">
      <c r="B18" s="455" t="s">
        <v>1</v>
      </c>
      <c r="C18" s="814">
        <f ca="1">C36</f>
        <v>1497641.7520517199</v>
      </c>
      <c r="F18" s="69" t="s">
        <v>71</v>
      </c>
      <c r="G18" s="70"/>
      <c r="H18" s="70"/>
      <c r="I18" s="70"/>
      <c r="J18" s="70"/>
      <c r="K18" s="70"/>
      <c r="L18" s="70"/>
      <c r="M18" s="70"/>
      <c r="N18" s="71"/>
      <c r="R18" s="643" t="s">
        <v>200</v>
      </c>
      <c r="S18" s="644"/>
      <c r="T18" s="632"/>
      <c r="U18" s="632"/>
      <c r="V18" s="632"/>
      <c r="W18" s="633">
        <f>-PV(W5/12,W4*12,W17/12)</f>
        <v>2320430.9018112952</v>
      </c>
      <c r="Y18" s="643" t="s">
        <v>200</v>
      </c>
      <c r="Z18" s="644"/>
      <c r="AA18" s="632"/>
      <c r="AB18" s="632"/>
      <c r="AC18" s="632"/>
      <c r="AD18" s="633">
        <f>-PV(AD5/12,AD4*12,AD17/12)</f>
        <v>3740191.3061347073</v>
      </c>
      <c r="AE18" s="611"/>
      <c r="AF18" s="355" t="s">
        <v>200</v>
      </c>
      <c r="AG18" s="356"/>
      <c r="AH18" s="349"/>
      <c r="AI18" s="349"/>
      <c r="AJ18" s="349"/>
      <c r="AK18" s="350">
        <f>-PV(AK5/12,AK4*12,AK17/12)</f>
        <v>3900639.9088477562</v>
      </c>
    </row>
    <row r="19" spans="2:37" ht="17" customHeight="1">
      <c r="B19" s="455" t="s">
        <v>324</v>
      </c>
      <c r="C19" s="813"/>
      <c r="F19" s="69" t="s">
        <v>72</v>
      </c>
      <c r="G19" s="70"/>
      <c r="H19" s="543"/>
      <c r="I19" s="543"/>
      <c r="J19" s="543"/>
      <c r="K19" s="543"/>
      <c r="L19" s="543"/>
      <c r="M19" s="543"/>
      <c r="N19" s="544"/>
      <c r="R19" s="624"/>
      <c r="S19" s="627"/>
      <c r="T19" s="616"/>
      <c r="U19" s="616"/>
      <c r="V19" s="616"/>
      <c r="W19" s="635"/>
      <c r="Y19" s="624"/>
      <c r="Z19" s="627"/>
      <c r="AA19" s="616"/>
      <c r="AB19" s="616"/>
      <c r="AC19" s="616"/>
      <c r="AD19" s="635"/>
      <c r="AE19" s="611"/>
      <c r="AF19" s="343"/>
      <c r="AG19" s="345"/>
      <c r="AH19" s="336"/>
      <c r="AI19" s="336"/>
      <c r="AJ19" s="336"/>
      <c r="AK19" s="352"/>
    </row>
    <row r="20" spans="2:37" ht="18">
      <c r="B20" s="809" t="s">
        <v>120</v>
      </c>
      <c r="C20" s="815">
        <f ca="1">SUM(C16:C19)</f>
        <v>4274316.7520517204</v>
      </c>
      <c r="F20" s="69" t="s">
        <v>73</v>
      </c>
      <c r="G20" s="70">
        <f>50*12</f>
        <v>600</v>
      </c>
      <c r="H20" s="70">
        <f>(((100*4)+(25*3))*12)/2</f>
        <v>2850</v>
      </c>
      <c r="I20" s="70">
        <f>(((100*4)+(25*3))*12)</f>
        <v>5700</v>
      </c>
      <c r="J20" s="70">
        <f t="shared" ref="J20:N20" si="5">(((100*4)+(25*3))*12)</f>
        <v>5700</v>
      </c>
      <c r="K20" s="70">
        <f t="shared" si="5"/>
        <v>5700</v>
      </c>
      <c r="L20" s="70">
        <f t="shared" si="5"/>
        <v>5700</v>
      </c>
      <c r="M20" s="70">
        <f t="shared" si="5"/>
        <v>5700</v>
      </c>
      <c r="N20" s="71">
        <f t="shared" si="5"/>
        <v>5700</v>
      </c>
      <c r="R20" s="612" t="s">
        <v>385</v>
      </c>
      <c r="S20" s="637"/>
      <c r="T20" s="638"/>
      <c r="U20" s="638"/>
      <c r="V20" s="639"/>
      <c r="W20" s="640"/>
      <c r="Y20" s="624"/>
      <c r="Z20" s="627"/>
      <c r="AA20" s="616"/>
      <c r="AB20" s="616"/>
      <c r="AC20" s="616"/>
      <c r="AD20" s="635"/>
      <c r="AE20" s="611"/>
      <c r="AF20" s="343"/>
      <c r="AG20" s="345"/>
      <c r="AH20" s="336"/>
      <c r="AI20" s="336"/>
      <c r="AJ20" s="336"/>
      <c r="AK20" s="352"/>
    </row>
    <row r="21" spans="2:37" ht="18.5" thickBot="1">
      <c r="B21" s="810"/>
      <c r="C21" s="811"/>
      <c r="F21" s="677" t="s">
        <v>74</v>
      </c>
      <c r="G21" s="72"/>
      <c r="H21" s="72"/>
      <c r="I21" s="72"/>
      <c r="J21" s="72"/>
      <c r="K21" s="72"/>
      <c r="L21" s="72"/>
      <c r="M21" s="72"/>
      <c r="N21" s="73"/>
      <c r="R21" s="893" t="s">
        <v>381</v>
      </c>
      <c r="S21" s="894"/>
      <c r="T21" s="894"/>
      <c r="U21" s="616"/>
      <c r="V21" s="616"/>
      <c r="W21" s="645">
        <v>26</v>
      </c>
      <c r="Y21" s="648" t="s">
        <v>389</v>
      </c>
      <c r="Z21" s="649"/>
      <c r="AA21" s="650"/>
      <c r="AB21" s="650"/>
      <c r="AC21" s="650"/>
      <c r="AD21" s="651">
        <f>MIN(AD12,AD18)</f>
        <v>3740191.3061347073</v>
      </c>
      <c r="AF21" s="357" t="s">
        <v>204</v>
      </c>
      <c r="AG21" s="358"/>
      <c r="AH21" s="339"/>
      <c r="AI21" s="339"/>
      <c r="AJ21" s="339"/>
      <c r="AK21" s="359">
        <f ca="1">MIN(AK12,AK18)-SUM('Loan Summary'!K2:K361)</f>
        <v>2357500</v>
      </c>
    </row>
    <row r="22" spans="2:37" ht="15" customHeight="1" thickBot="1">
      <c r="B22" s="865" t="s">
        <v>325</v>
      </c>
      <c r="C22" s="866"/>
      <c r="D22" s="374"/>
      <c r="R22" s="623" t="s">
        <v>202</v>
      </c>
      <c r="S22" s="627"/>
      <c r="T22" s="624"/>
      <c r="U22" s="624"/>
      <c r="V22" s="616"/>
      <c r="W22" s="641">
        <v>1.25</v>
      </c>
      <c r="Y22" s="672" t="s">
        <v>334</v>
      </c>
      <c r="Z22" s="627"/>
      <c r="AA22" s="616"/>
      <c r="AB22" s="616"/>
      <c r="AC22" s="616"/>
      <c r="AD22" s="635">
        <f ca="1">-VLOOKUP($AD$3-1,'Loan Summary'!$F$2:$L$361,7,FALSE)</f>
        <v>-2778100.0000000028</v>
      </c>
      <c r="AE22" s="694"/>
      <c r="AF22" s="343"/>
      <c r="AG22" s="345"/>
      <c r="AH22" s="336"/>
      <c r="AI22" s="336"/>
      <c r="AJ22" s="336"/>
      <c r="AK22" s="352"/>
    </row>
    <row r="23" spans="2:37" ht="18">
      <c r="B23" s="455" t="s">
        <v>0</v>
      </c>
      <c r="C23" s="819">
        <v>3725000</v>
      </c>
      <c r="F23" s="132" t="s">
        <v>94</v>
      </c>
      <c r="G23" s="133" t="s">
        <v>77</v>
      </c>
      <c r="H23" s="133" t="s">
        <v>51</v>
      </c>
      <c r="I23" s="133" t="s">
        <v>52</v>
      </c>
      <c r="J23" s="133" t="s">
        <v>53</v>
      </c>
      <c r="K23" s="133" t="s">
        <v>54</v>
      </c>
      <c r="L23" s="133" t="s">
        <v>55</v>
      </c>
      <c r="M23" s="133" t="s">
        <v>56</v>
      </c>
      <c r="N23" s="135" t="s">
        <v>57</v>
      </c>
      <c r="R23" s="623" t="s">
        <v>413</v>
      </c>
      <c r="S23" s="624"/>
      <c r="T23" s="624"/>
      <c r="U23" s="624"/>
      <c r="V23" s="616"/>
      <c r="W23" s="646">
        <v>0.65</v>
      </c>
      <c r="Y23" s="672" t="s">
        <v>335</v>
      </c>
      <c r="Z23" s="611"/>
      <c r="AA23" s="611"/>
      <c r="AB23" s="611"/>
      <c r="AC23" s="611"/>
      <c r="AD23" s="635">
        <f>-'Loan Summary'!C15</f>
        <v>-18700.956530673539</v>
      </c>
      <c r="AE23" s="611"/>
      <c r="AF23" s="360" t="s">
        <v>212</v>
      </c>
      <c r="AG23" s="361"/>
      <c r="AH23" s="361"/>
      <c r="AI23" s="361"/>
      <c r="AJ23" s="336"/>
      <c r="AK23" s="336"/>
    </row>
    <row r="24" spans="2:37" ht="18">
      <c r="B24" s="455" t="s">
        <v>326</v>
      </c>
      <c r="C24" s="814">
        <f ca="1">C40+C41</f>
        <v>65030</v>
      </c>
      <c r="F24" s="442" t="s">
        <v>79</v>
      </c>
      <c r="G24" s="818">
        <f>H24</f>
        <v>45817.5</v>
      </c>
      <c r="H24" s="539">
        <f>C23*P24</f>
        <v>45817.5</v>
      </c>
      <c r="I24" s="539">
        <f>H24*1.02</f>
        <v>46733.85</v>
      </c>
      <c r="J24" s="539">
        <f>I24*1.02</f>
        <v>47668.527000000002</v>
      </c>
      <c r="K24" s="539">
        <f>J24*1.02</f>
        <v>48621.897540000005</v>
      </c>
      <c r="L24" s="539">
        <f t="shared" ref="L24:N24" si="6">K24*1.02</f>
        <v>49594.335490800004</v>
      </c>
      <c r="M24" s="539">
        <f t="shared" si="6"/>
        <v>50586.222200616008</v>
      </c>
      <c r="N24" s="540">
        <f t="shared" si="6"/>
        <v>51597.946644628326</v>
      </c>
      <c r="O24" s="89" t="s">
        <v>237</v>
      </c>
      <c r="P24" s="610">
        <v>1.23E-2</v>
      </c>
      <c r="R24" s="623" t="s">
        <v>384</v>
      </c>
      <c r="S24" s="624"/>
      <c r="T24" s="624"/>
      <c r="U24" s="624"/>
      <c r="V24" s="616"/>
      <c r="W24" s="647">
        <v>5.3499999999999999E-2</v>
      </c>
      <c r="Y24" s="672" t="s">
        <v>400</v>
      </c>
      <c r="Z24" s="611"/>
      <c r="AA24" s="611"/>
      <c r="AB24" s="611"/>
      <c r="AC24" s="611"/>
      <c r="AD24" s="635">
        <f>-'Loan Summary'!C14</f>
        <v>0</v>
      </c>
      <c r="AE24" s="611"/>
      <c r="AF24" s="361" t="s">
        <v>197</v>
      </c>
      <c r="AG24" s="336"/>
      <c r="AH24" s="336"/>
      <c r="AI24" s="336"/>
      <c r="AJ24" s="336"/>
      <c r="AK24" s="362">
        <f>AK5</f>
        <v>5.3499999999999999E-2</v>
      </c>
    </row>
    <row r="25" spans="2:37" ht="18.5" thickBot="1">
      <c r="B25" s="455" t="s">
        <v>243</v>
      </c>
      <c r="C25" s="814">
        <f>'Renovation Budget'!C4+('Renovation Budget'!C4*'Renovation Budget'!D17)+('Renovation Budget'!C4*'Renovation Budget'!D18)</f>
        <v>48875</v>
      </c>
      <c r="D25" s="374"/>
      <c r="E25" s="528"/>
      <c r="F25" s="429" t="s">
        <v>13</v>
      </c>
      <c r="G25" s="72">
        <v>14000</v>
      </c>
      <c r="H25" s="712">
        <f>G25</f>
        <v>14000</v>
      </c>
      <c r="I25" s="539">
        <f t="shared" ref="I25:N25" si="7">H25*(1+$G$40)</f>
        <v>14349.999999999998</v>
      </c>
      <c r="J25" s="539">
        <f t="shared" si="7"/>
        <v>14708.749999999996</v>
      </c>
      <c r="K25" s="539">
        <f t="shared" si="7"/>
        <v>15076.468749999995</v>
      </c>
      <c r="L25" s="539">
        <f t="shared" si="7"/>
        <v>15453.380468749992</v>
      </c>
      <c r="M25" s="539">
        <f t="shared" si="7"/>
        <v>15839.714980468741</v>
      </c>
      <c r="N25" s="540">
        <f t="shared" si="7"/>
        <v>16235.707854980459</v>
      </c>
      <c r="P25" s="528"/>
      <c r="R25" s="623" t="s">
        <v>388</v>
      </c>
      <c r="S25" s="624"/>
      <c r="T25" s="624"/>
      <c r="U25" s="624"/>
      <c r="V25" s="616"/>
      <c r="W25" s="647">
        <v>0.05</v>
      </c>
      <c r="Y25" s="672" t="s">
        <v>314</v>
      </c>
      <c r="Z25" s="611"/>
      <c r="AA25" s="611"/>
      <c r="AB25" s="611"/>
      <c r="AC25" s="611"/>
      <c r="AD25" s="635"/>
      <c r="AE25" s="611"/>
      <c r="AF25" s="361" t="s">
        <v>205</v>
      </c>
      <c r="AG25" s="336"/>
      <c r="AH25" s="336"/>
      <c r="AI25" s="336"/>
      <c r="AJ25" s="336"/>
      <c r="AK25" s="362">
        <f>AK24/12</f>
        <v>4.4583333333333332E-3</v>
      </c>
    </row>
    <row r="26" spans="2:37" ht="18.5" thickBot="1">
      <c r="B26" s="455" t="s">
        <v>327</v>
      </c>
      <c r="C26" s="814">
        <f>C45-C25</f>
        <v>370300</v>
      </c>
      <c r="F26" s="377" t="s">
        <v>81</v>
      </c>
      <c r="G26" s="882" t="s">
        <v>83</v>
      </c>
      <c r="H26" s="883"/>
      <c r="I26" s="872">
        <v>0.03</v>
      </c>
      <c r="J26" s="872"/>
      <c r="K26" s="884" t="s">
        <v>84</v>
      </c>
      <c r="L26" s="884"/>
      <c r="M26" s="884"/>
      <c r="N26" s="452"/>
      <c r="R26" s="623" t="s">
        <v>200</v>
      </c>
      <c r="S26" s="627"/>
      <c r="T26" s="616"/>
      <c r="U26" s="616"/>
      <c r="V26" s="616"/>
      <c r="W26" s="628">
        <f ca="1">AK21</f>
        <v>2357500</v>
      </c>
      <c r="Y26" s="648" t="s">
        <v>336</v>
      </c>
      <c r="Z26" s="649"/>
      <c r="AA26" s="650"/>
      <c r="AB26" s="650"/>
      <c r="AC26" s="650"/>
      <c r="AD26" s="651">
        <f ca="1">SUM(AD21:AD25)</f>
        <v>943390.34960403095</v>
      </c>
      <c r="AE26" s="659">
        <f ca="1">AD26/C36</f>
        <v>0.62991723375207531</v>
      </c>
      <c r="AF26" s="361" t="s">
        <v>206</v>
      </c>
      <c r="AG26" s="336"/>
      <c r="AH26" s="336"/>
      <c r="AI26" s="336"/>
      <c r="AJ26" s="336"/>
      <c r="AK26" s="363">
        <f>AK4*12</f>
        <v>360</v>
      </c>
    </row>
    <row r="27" spans="2:37" ht="18">
      <c r="B27" s="810" t="s">
        <v>213</v>
      </c>
      <c r="C27" s="815">
        <f ca="1">SUM(C23:C26)</f>
        <v>4209205</v>
      </c>
      <c r="E27" s="517">
        <f>G27/$C$10</f>
        <v>823.52941176470586</v>
      </c>
      <c r="F27" s="453" t="s">
        <v>85</v>
      </c>
      <c r="G27" s="454">
        <v>14000</v>
      </c>
      <c r="H27" s="454">
        <f>G27</f>
        <v>14000</v>
      </c>
      <c r="I27" s="541">
        <f t="shared" ref="I27:N31" si="8">H27*(1+$G$40)</f>
        <v>14349.999999999998</v>
      </c>
      <c r="J27" s="541">
        <f t="shared" si="8"/>
        <v>14708.749999999996</v>
      </c>
      <c r="K27" s="541">
        <f t="shared" si="8"/>
        <v>15076.468749999995</v>
      </c>
      <c r="L27" s="541">
        <f t="shared" si="8"/>
        <v>15453.380468749992</v>
      </c>
      <c r="M27" s="541">
        <f t="shared" si="8"/>
        <v>15839.714980468741</v>
      </c>
      <c r="N27" s="542">
        <f t="shared" si="8"/>
        <v>16235.707854980459</v>
      </c>
      <c r="R27" s="623" t="s">
        <v>405</v>
      </c>
      <c r="W27" s="709" t="s">
        <v>407</v>
      </c>
      <c r="Y27" s="611"/>
      <c r="Z27" s="611"/>
      <c r="AA27" s="611"/>
      <c r="AB27" s="611"/>
      <c r="AC27" s="611"/>
      <c r="AD27" s="611"/>
      <c r="AE27" s="611"/>
      <c r="AF27" s="361" t="s">
        <v>207</v>
      </c>
      <c r="AG27" s="336"/>
      <c r="AH27" s="336"/>
      <c r="AI27" s="336"/>
      <c r="AJ27" s="336"/>
      <c r="AK27" s="364">
        <f>AK25/(1-(1/(1+AK25)^AK26))</f>
        <v>5.5841369470298451E-3</v>
      </c>
    </row>
    <row r="28" spans="2:37" ht="18">
      <c r="B28" s="455" t="s">
        <v>463</v>
      </c>
      <c r="C28" s="814">
        <f ca="1">C39+C35+C34</f>
        <v>65111.752051719894</v>
      </c>
      <c r="E28" s="517">
        <f t="shared" ref="E28:E37" si="9">G28/$C$10</f>
        <v>0</v>
      </c>
      <c r="F28" s="443" t="s">
        <v>86</v>
      </c>
      <c r="G28" s="70"/>
      <c r="H28" s="70"/>
      <c r="I28" s="543">
        <f t="shared" si="8"/>
        <v>0</v>
      </c>
      <c r="J28" s="543">
        <f t="shared" si="8"/>
        <v>0</v>
      </c>
      <c r="K28" s="543">
        <f t="shared" si="8"/>
        <v>0</v>
      </c>
      <c r="L28" s="543">
        <f t="shared" si="8"/>
        <v>0</v>
      </c>
      <c r="M28" s="543">
        <f t="shared" si="8"/>
        <v>0</v>
      </c>
      <c r="N28" s="544">
        <f t="shared" si="8"/>
        <v>0</v>
      </c>
      <c r="R28" s="643" t="s">
        <v>406</v>
      </c>
      <c r="S28" s="707"/>
      <c r="T28" s="707"/>
      <c r="U28" s="707"/>
      <c r="V28" s="707"/>
      <c r="W28" s="710" t="s">
        <v>407</v>
      </c>
      <c r="Y28" s="652" t="s">
        <v>212</v>
      </c>
      <c r="Z28" s="653"/>
      <c r="AA28" s="653"/>
      <c r="AB28" s="653"/>
      <c r="AC28" s="616"/>
      <c r="AD28" s="616"/>
      <c r="AE28" s="611"/>
      <c r="AF28" s="361" t="s">
        <v>208</v>
      </c>
      <c r="AG28" s="336"/>
      <c r="AH28" s="336"/>
      <c r="AI28" s="336"/>
      <c r="AJ28" s="336"/>
      <c r="AK28" s="365">
        <f>AK27*12</f>
        <v>6.7009643364358135E-2</v>
      </c>
    </row>
    <row r="29" spans="2:37" ht="18.5" thickBot="1">
      <c r="B29" s="812" t="s">
        <v>328</v>
      </c>
      <c r="C29" s="816">
        <f ca="1">SUM(C27:C28)</f>
        <v>4274316.7520517195</v>
      </c>
      <c r="D29" s="573"/>
      <c r="E29" s="517">
        <f t="shared" si="9"/>
        <v>0</v>
      </c>
      <c r="F29" s="443" t="s">
        <v>87</v>
      </c>
      <c r="G29" s="70"/>
      <c r="H29" s="718"/>
      <c r="I29" s="543">
        <f t="shared" si="8"/>
        <v>0</v>
      </c>
      <c r="J29" s="543">
        <f t="shared" si="8"/>
        <v>0</v>
      </c>
      <c r="K29" s="543">
        <f t="shared" si="8"/>
        <v>0</v>
      </c>
      <c r="L29" s="543">
        <f t="shared" si="8"/>
        <v>0</v>
      </c>
      <c r="M29" s="543">
        <f t="shared" si="8"/>
        <v>0</v>
      </c>
      <c r="N29" s="544">
        <f t="shared" si="8"/>
        <v>0</v>
      </c>
      <c r="R29" s="611"/>
      <c r="S29" s="611"/>
      <c r="T29" s="611"/>
      <c r="U29" s="611"/>
      <c r="V29" s="611"/>
      <c r="W29" s="611"/>
      <c r="Y29" s="653" t="s">
        <v>197</v>
      </c>
      <c r="Z29" s="616"/>
      <c r="AA29" s="616"/>
      <c r="AB29" s="616"/>
      <c r="AC29" s="616"/>
      <c r="AD29" s="654">
        <f>AD5</f>
        <v>5.5E-2</v>
      </c>
      <c r="AE29" s="611"/>
      <c r="AF29" s="336" t="s">
        <v>209</v>
      </c>
      <c r="AG29" s="336"/>
      <c r="AH29" s="336"/>
      <c r="AI29" s="336"/>
      <c r="AJ29" s="336"/>
      <c r="AK29" s="353">
        <f>AK17/AK28</f>
        <v>3900639.9088477571</v>
      </c>
    </row>
    <row r="30" spans="2:37" ht="15" thickBot="1">
      <c r="E30" s="517">
        <f t="shared" si="9"/>
        <v>0</v>
      </c>
      <c r="F30" s="445" t="s">
        <v>408</v>
      </c>
      <c r="G30" s="70"/>
      <c r="H30" s="70"/>
      <c r="I30" s="543">
        <f>H30*(1+$G$40)</f>
        <v>0</v>
      </c>
      <c r="J30" s="543">
        <f t="shared" si="8"/>
        <v>0</v>
      </c>
      <c r="K30" s="543">
        <f t="shared" si="8"/>
        <v>0</v>
      </c>
      <c r="L30" s="543">
        <f t="shared" si="8"/>
        <v>0</v>
      </c>
      <c r="M30" s="543">
        <f t="shared" si="8"/>
        <v>0</v>
      </c>
      <c r="N30" s="544">
        <f t="shared" si="8"/>
        <v>0</v>
      </c>
      <c r="R30" s="611"/>
      <c r="S30" s="611"/>
      <c r="T30" s="611"/>
      <c r="U30" s="611"/>
      <c r="V30" s="611"/>
      <c r="W30" s="611"/>
      <c r="Y30" s="653" t="s">
        <v>205</v>
      </c>
      <c r="Z30" s="616"/>
      <c r="AA30" s="616"/>
      <c r="AB30" s="616"/>
      <c r="AC30" s="616"/>
      <c r="AD30" s="654">
        <f>AD29/12</f>
        <v>4.5833333333333334E-3</v>
      </c>
      <c r="AE30" s="611"/>
    </row>
    <row r="31" spans="2:37" ht="18">
      <c r="B31" s="867" t="s">
        <v>270</v>
      </c>
      <c r="C31" s="875"/>
      <c r="E31" s="517">
        <f t="shared" si="9"/>
        <v>750</v>
      </c>
      <c r="F31" s="445" t="s">
        <v>89</v>
      </c>
      <c r="G31" s="70">
        <f>750*C10</f>
        <v>12750</v>
      </c>
      <c r="H31" s="70">
        <f>G31</f>
        <v>12750</v>
      </c>
      <c r="I31" s="543">
        <f t="shared" si="8"/>
        <v>13068.749999999998</v>
      </c>
      <c r="J31" s="543">
        <f t="shared" si="8"/>
        <v>13395.468749999996</v>
      </c>
      <c r="K31" s="543">
        <f t="shared" si="8"/>
        <v>13730.355468749995</v>
      </c>
      <c r="L31" s="543">
        <f t="shared" si="8"/>
        <v>14073.614355468742</v>
      </c>
      <c r="M31" s="543">
        <f t="shared" si="8"/>
        <v>14425.454714355459</v>
      </c>
      <c r="N31" s="544">
        <f t="shared" si="8"/>
        <v>14786.091082214345</v>
      </c>
      <c r="R31" s="624" t="s">
        <v>344</v>
      </c>
      <c r="S31" s="627"/>
      <c r="T31" s="616"/>
      <c r="U31" s="616"/>
      <c r="V31" s="616"/>
      <c r="W31" s="613"/>
      <c r="Y31" s="653" t="s">
        <v>206</v>
      </c>
      <c r="Z31" s="616"/>
      <c r="AA31" s="616"/>
      <c r="AB31" s="616"/>
      <c r="AC31" s="616"/>
      <c r="AD31" s="655">
        <f>AD4*12</f>
        <v>360</v>
      </c>
      <c r="AE31" s="611"/>
      <c r="AF31" s="361"/>
    </row>
    <row r="32" spans="2:37" ht="18">
      <c r="B32" s="5" t="s">
        <v>269</v>
      </c>
      <c r="C32" s="435">
        <f ca="1">C23-C16+C42</f>
        <v>1474622.05</v>
      </c>
      <c r="D32" s="573"/>
      <c r="E32" s="517">
        <f t="shared" si="9"/>
        <v>0</v>
      </c>
      <c r="F32" s="445" t="s">
        <v>64</v>
      </c>
      <c r="G32" s="70"/>
      <c r="H32" s="70"/>
      <c r="I32" s="543">
        <f>H32*(1+$G$40)</f>
        <v>0</v>
      </c>
      <c r="J32" s="543">
        <f>I32*(1+$G$40)</f>
        <v>0</v>
      </c>
      <c r="K32" s="543">
        <f>500*C10</f>
        <v>8500</v>
      </c>
      <c r="L32" s="543">
        <f t="shared" ref="L32:N37" si="10">K32*(1+$G$40)</f>
        <v>8712.5</v>
      </c>
      <c r="M32" s="543">
        <f t="shared" si="10"/>
        <v>8930.3125</v>
      </c>
      <c r="N32" s="544">
        <f t="shared" si="10"/>
        <v>9153.5703125</v>
      </c>
      <c r="R32" s="648" t="s">
        <v>389</v>
      </c>
      <c r="S32" s="649"/>
      <c r="T32" s="650"/>
      <c r="U32" s="650"/>
      <c r="V32" s="650"/>
      <c r="W32" s="651">
        <f ca="1">IF(W2="Assumed",$W$31,IF(W2="Bridge",W26,MIN(W12,W18)))</f>
        <v>2357500</v>
      </c>
      <c r="Y32" s="653" t="s">
        <v>390</v>
      </c>
      <c r="Z32" s="616"/>
      <c r="AA32" s="616"/>
      <c r="AB32" s="616"/>
      <c r="AC32" s="616"/>
      <c r="AD32" s="656">
        <f>AD30/(1-(1/(1+AD30)^AD31))</f>
        <v>5.6778900134700242E-3</v>
      </c>
      <c r="AE32" s="611"/>
      <c r="AF32" s="361"/>
      <c r="AK32" s="374"/>
    </row>
    <row r="33" spans="2:31" ht="18" customHeight="1">
      <c r="B33" s="5" t="s">
        <v>276</v>
      </c>
      <c r="C33" s="435">
        <f>IF('Monthly Cash Flow'!C88="Lender Draw",0,C45)</f>
        <v>0</v>
      </c>
      <c r="E33" s="517">
        <f t="shared" si="9"/>
        <v>205.88235294117646</v>
      </c>
      <c r="F33" s="445" t="s">
        <v>90</v>
      </c>
      <c r="G33" s="70">
        <v>3500</v>
      </c>
      <c r="H33" s="718">
        <f>G33</f>
        <v>3500</v>
      </c>
      <c r="I33" s="543">
        <f t="shared" ref="I33:J37" si="11">H33*(1+$G$40)</f>
        <v>3587.4999999999995</v>
      </c>
      <c r="J33" s="543">
        <f t="shared" si="11"/>
        <v>3677.1874999999991</v>
      </c>
      <c r="K33" s="543">
        <f>J33*(1+$G$40)</f>
        <v>3769.1171874999986</v>
      </c>
      <c r="L33" s="543">
        <f t="shared" si="10"/>
        <v>3863.3451171874981</v>
      </c>
      <c r="M33" s="543">
        <f t="shared" si="10"/>
        <v>3959.9287451171854</v>
      </c>
      <c r="N33" s="544">
        <f t="shared" si="10"/>
        <v>4058.9269637451148</v>
      </c>
      <c r="R33" s="624"/>
      <c r="S33" s="627"/>
      <c r="T33" s="616"/>
      <c r="U33" s="616"/>
      <c r="V33" s="616"/>
      <c r="W33" s="635"/>
      <c r="Y33" s="653" t="s">
        <v>391</v>
      </c>
      <c r="Z33" s="616"/>
      <c r="AA33" s="616"/>
      <c r="AB33" s="616"/>
      <c r="AC33" s="616"/>
      <c r="AD33" s="657">
        <f>AD32*12</f>
        <v>6.8134680161640288E-2</v>
      </c>
      <c r="AE33" s="611"/>
    </row>
    <row r="34" spans="2:31" ht="17.399999999999999" customHeight="1">
      <c r="B34" s="5" t="s">
        <v>404</v>
      </c>
      <c r="C34" s="708">
        <f ca="1">-IF(AND(W2="Bridge",W27="Yes"),'Monthly Cash Flow'!B77,0)</f>
        <v>23019.702051719891</v>
      </c>
      <c r="D34" s="573">
        <f ca="1">D36-C36</f>
        <v>0</v>
      </c>
      <c r="E34" s="517">
        <f t="shared" si="9"/>
        <v>88.235294117647058</v>
      </c>
      <c r="F34" s="445" t="s">
        <v>14</v>
      </c>
      <c r="G34" s="70">
        <v>1500</v>
      </c>
      <c r="H34" s="70">
        <f>G34</f>
        <v>1500</v>
      </c>
      <c r="I34" s="543">
        <f t="shared" si="11"/>
        <v>1537.4999999999998</v>
      </c>
      <c r="J34" s="543">
        <f t="shared" si="11"/>
        <v>1575.9374999999995</v>
      </c>
      <c r="K34" s="543">
        <f>J34*(1+$G$40)</f>
        <v>1615.3359374999993</v>
      </c>
      <c r="L34" s="543">
        <f t="shared" si="10"/>
        <v>1655.7193359374992</v>
      </c>
      <c r="M34" s="543">
        <f t="shared" si="10"/>
        <v>1697.1123193359365</v>
      </c>
      <c r="N34" s="544">
        <f t="shared" si="10"/>
        <v>1739.5401273193347</v>
      </c>
      <c r="R34" s="652" t="s">
        <v>212</v>
      </c>
      <c r="S34" s="653"/>
      <c r="T34" s="653"/>
      <c r="U34" s="653"/>
      <c r="V34" s="616"/>
      <c r="W34" s="616"/>
      <c r="Y34" s="616" t="s">
        <v>209</v>
      </c>
      <c r="Z34" s="616"/>
      <c r="AA34" s="616"/>
      <c r="AB34" s="616"/>
      <c r="AC34" s="616"/>
      <c r="AD34" s="636">
        <f>AD17/AD33</f>
        <v>3740191.3061347078</v>
      </c>
      <c r="AE34" s="611"/>
    </row>
    <row r="35" spans="2:31">
      <c r="B35" s="5" t="s">
        <v>308</v>
      </c>
      <c r="C35" s="521"/>
      <c r="D35" s="526" t="s">
        <v>320</v>
      </c>
      <c r="E35" s="517">
        <f t="shared" si="9"/>
        <v>0</v>
      </c>
      <c r="F35" s="445" t="s">
        <v>91</v>
      </c>
      <c r="G35" s="70"/>
      <c r="H35" s="70"/>
      <c r="I35" s="543">
        <f t="shared" si="11"/>
        <v>0</v>
      </c>
      <c r="J35" s="543">
        <f t="shared" si="11"/>
        <v>0</v>
      </c>
      <c r="K35" s="543">
        <f>J35*(1+$G$40)</f>
        <v>0</v>
      </c>
      <c r="L35" s="543">
        <f t="shared" si="10"/>
        <v>0</v>
      </c>
      <c r="M35" s="543">
        <f t="shared" si="10"/>
        <v>0</v>
      </c>
      <c r="N35" s="544">
        <f t="shared" si="10"/>
        <v>0</v>
      </c>
      <c r="R35" s="653" t="s">
        <v>197</v>
      </c>
      <c r="S35" s="616"/>
      <c r="T35" s="616"/>
      <c r="U35" s="616"/>
      <c r="V35" s="616"/>
      <c r="W35" s="654">
        <f>W5</f>
        <v>5.8500000000000003E-2</v>
      </c>
      <c r="Y35" s="653"/>
      <c r="Z35" s="611"/>
      <c r="AA35" s="611"/>
      <c r="AB35" s="611"/>
      <c r="AC35" s="611"/>
      <c r="AD35" s="611"/>
      <c r="AE35" s="611"/>
    </row>
    <row r="36" spans="2:31" ht="18" customHeight="1" thickBot="1">
      <c r="B36" s="51" t="s">
        <v>275</v>
      </c>
      <c r="C36" s="461">
        <f ca="1">C32+C33+C34+C35</f>
        <v>1497641.7520517199</v>
      </c>
      <c r="D36" s="527">
        <f ca="1">-'Cont. Dist.'!CI8</f>
        <v>1497641.7520517199</v>
      </c>
      <c r="E36" s="517">
        <f t="shared" si="9"/>
        <v>529.41176470588232</v>
      </c>
      <c r="F36" s="445" t="s">
        <v>345</v>
      </c>
      <c r="G36" s="70">
        <v>9000</v>
      </c>
      <c r="H36" s="70">
        <f>G36</f>
        <v>9000</v>
      </c>
      <c r="I36" s="543">
        <f t="shared" si="11"/>
        <v>9225</v>
      </c>
      <c r="J36" s="543">
        <f t="shared" si="11"/>
        <v>9455.625</v>
      </c>
      <c r="K36" s="543">
        <f>J36*(1+$G$40)</f>
        <v>9692.015625</v>
      </c>
      <c r="L36" s="543">
        <f t="shared" si="10"/>
        <v>9934.3160156249996</v>
      </c>
      <c r="M36" s="543">
        <f t="shared" si="10"/>
        <v>10182.673916015623</v>
      </c>
      <c r="N36" s="544">
        <f t="shared" si="10"/>
        <v>10437.240763916012</v>
      </c>
      <c r="R36" s="653" t="s">
        <v>205</v>
      </c>
      <c r="S36" s="616"/>
      <c r="T36" s="616"/>
      <c r="U36" s="616"/>
      <c r="V36" s="616"/>
      <c r="W36" s="654">
        <f>W35/12</f>
        <v>4.875E-3</v>
      </c>
      <c r="Y36" s="653"/>
      <c r="Z36" s="611"/>
      <c r="AA36" s="611"/>
      <c r="AB36" s="611"/>
      <c r="AC36" s="611"/>
      <c r="AD36" s="660"/>
      <c r="AE36" s="611"/>
    </row>
    <row r="37" spans="2:31" ht="18" customHeight="1" thickBot="1">
      <c r="E37" s="517">
        <f t="shared" si="9"/>
        <v>1176.4705882352941</v>
      </c>
      <c r="F37" s="447" t="s">
        <v>346</v>
      </c>
      <c r="G37" s="444">
        <v>20000</v>
      </c>
      <c r="H37" s="444">
        <f>G37</f>
        <v>20000</v>
      </c>
      <c r="I37" s="543">
        <f>H37*(1+$G$40)</f>
        <v>20500</v>
      </c>
      <c r="J37" s="543">
        <f t="shared" si="11"/>
        <v>21012.499999999996</v>
      </c>
      <c r="K37" s="543">
        <f t="shared" ref="K37" si="12">J37*(1+$G$40)</f>
        <v>21537.812499999993</v>
      </c>
      <c r="L37" s="543">
        <f t="shared" si="10"/>
        <v>22076.257812499989</v>
      </c>
      <c r="M37" s="543">
        <f t="shared" si="10"/>
        <v>22628.164257812488</v>
      </c>
      <c r="N37" s="544">
        <f t="shared" si="10"/>
        <v>23193.8683642578</v>
      </c>
      <c r="Q37" s="605"/>
      <c r="R37" s="653" t="s">
        <v>206</v>
      </c>
      <c r="S37" s="616"/>
      <c r="T37" s="616"/>
      <c r="U37" s="616"/>
      <c r="V37" s="616"/>
      <c r="W37" s="655">
        <f>W4*12</f>
        <v>360</v>
      </c>
      <c r="Y37" s="611"/>
      <c r="Z37" s="611"/>
      <c r="AA37" s="611"/>
      <c r="AB37" s="611"/>
      <c r="AC37" s="611"/>
      <c r="AD37" s="611"/>
      <c r="AE37" s="611"/>
    </row>
    <row r="38" spans="2:31" ht="18" customHeight="1" thickBot="1">
      <c r="B38" s="857" t="s">
        <v>330</v>
      </c>
      <c r="C38" s="858"/>
      <c r="D38" s="859"/>
      <c r="F38" s="429" t="s">
        <v>286</v>
      </c>
      <c r="G38" s="880">
        <v>1.4999999999999999E-2</v>
      </c>
      <c r="H38" s="881"/>
      <c r="I38" s="115"/>
      <c r="J38" s="115"/>
      <c r="K38" s="115"/>
      <c r="L38" s="115"/>
      <c r="M38" s="115"/>
      <c r="N38" s="52"/>
      <c r="R38" s="653" t="s">
        <v>390</v>
      </c>
      <c r="S38" s="616"/>
      <c r="T38" s="616"/>
      <c r="U38" s="616"/>
      <c r="V38" s="616"/>
      <c r="W38" s="656">
        <f>W36/(1-(1/(1+W36)^W37))</f>
        <v>5.8994093417928817E-3</v>
      </c>
      <c r="Y38" s="611"/>
      <c r="Z38" s="611"/>
      <c r="AA38" s="611"/>
      <c r="AB38" s="611"/>
      <c r="AC38" s="611"/>
      <c r="AD38" s="611"/>
      <c r="AE38" s="611"/>
    </row>
    <row r="39" spans="2:31" ht="18" customHeight="1" thickBot="1">
      <c r="B39" s="5" t="s">
        <v>292</v>
      </c>
      <c r="C39" s="49">
        <f ca="1">C27*D39</f>
        <v>42092.05</v>
      </c>
      <c r="D39" s="572">
        <v>0.01</v>
      </c>
      <c r="R39" s="653" t="s">
        <v>391</v>
      </c>
      <c r="S39" s="616"/>
      <c r="T39" s="616"/>
      <c r="U39" s="616"/>
      <c r="V39" s="616"/>
      <c r="W39" s="657">
        <f>W38*12</f>
        <v>7.0792912101514588E-2</v>
      </c>
    </row>
    <row r="40" spans="2:31" ht="18" customHeight="1" thickBot="1">
      <c r="B40" s="5" t="s">
        <v>23</v>
      </c>
      <c r="C40" s="49">
        <f>(C23*D40)</f>
        <v>37250</v>
      </c>
      <c r="D40" s="572">
        <v>0.01</v>
      </c>
      <c r="F40" s="377" t="s">
        <v>232</v>
      </c>
      <c r="G40" s="675">
        <v>2.5000000000000001E-2</v>
      </c>
      <c r="R40" s="616" t="s">
        <v>209</v>
      </c>
      <c r="S40" s="616"/>
      <c r="T40" s="616"/>
      <c r="U40" s="616"/>
      <c r="V40" s="616"/>
      <c r="W40" s="635">
        <f>W17/W39</f>
        <v>2320430.9018112947</v>
      </c>
    </row>
    <row r="41" spans="2:31" ht="18" customHeight="1">
      <c r="B41" s="5" t="s">
        <v>290</v>
      </c>
      <c r="C41" s="49">
        <f ca="1">D41*'Executive Summary'!F13</f>
        <v>27780</v>
      </c>
      <c r="D41" s="711">
        <v>0.01</v>
      </c>
      <c r="R41" s="536"/>
      <c r="S41" s="538"/>
    </row>
    <row r="42" spans="2:31" ht="18" customHeight="1" thickBot="1">
      <c r="B42" s="51" t="s">
        <v>329</v>
      </c>
      <c r="C42" s="535">
        <f ca="1">SUM(C39:C41)</f>
        <v>107122.05</v>
      </c>
      <c r="D42" s="52"/>
      <c r="F42" s="415"/>
      <c r="R42" s="536"/>
      <c r="S42" s="538"/>
      <c r="AA42" s="374"/>
    </row>
    <row r="43" spans="2:31" ht="18" customHeight="1" thickBot="1">
      <c r="R43" s="536"/>
    </row>
    <row r="44" spans="2:31" ht="18" customHeight="1">
      <c r="B44" s="867" t="s">
        <v>103</v>
      </c>
      <c r="C44" s="859"/>
      <c r="F44" s="528"/>
      <c r="R44" s="536"/>
      <c r="S44" s="536"/>
    </row>
    <row r="45" spans="2:31" ht="18" customHeight="1">
      <c r="B45" s="50" t="s">
        <v>31</v>
      </c>
      <c r="C45" s="154">
        <f>'Renovation Budget'!C20</f>
        <v>419175</v>
      </c>
      <c r="R45" s="537"/>
    </row>
    <row r="46" spans="2:31" ht="18" customHeight="1" thickBot="1">
      <c r="B46" s="394" t="s">
        <v>32</v>
      </c>
      <c r="C46" s="395">
        <f>C45/C10</f>
        <v>24657.352941176472</v>
      </c>
      <c r="Q46" s="1"/>
    </row>
    <row r="47" spans="2:31" ht="18" customHeight="1" thickBot="1"/>
    <row r="48" spans="2:31">
      <c r="B48" s="867" t="s">
        <v>245</v>
      </c>
      <c r="C48" s="859"/>
    </row>
    <row r="49" spans="2:3">
      <c r="B49" s="50" t="s">
        <v>31</v>
      </c>
      <c r="C49" s="154">
        <f>'Renovation Budget'!C6*(1+'Renovation Budget'!$D$17)+('Renovation Budget'!$C$6*'Renovation Budget'!$D$18)</f>
        <v>324875</v>
      </c>
    </row>
    <row r="50" spans="2:3">
      <c r="B50" s="89" t="s">
        <v>32</v>
      </c>
      <c r="C50" s="376">
        <f>C49/C53</f>
        <v>19110.294117647059</v>
      </c>
    </row>
    <row r="51" spans="2:3">
      <c r="B51" s="89" t="s">
        <v>221</v>
      </c>
      <c r="C51" s="373">
        <f>C56-C55+1</f>
        <v>18</v>
      </c>
    </row>
    <row r="52" spans="2:3">
      <c r="B52" s="89" t="s">
        <v>33</v>
      </c>
      <c r="C52" s="372">
        <f>(C53/C51)</f>
        <v>0.94444444444444442</v>
      </c>
    </row>
    <row r="53" spans="2:3">
      <c r="B53" s="5" t="s">
        <v>220</v>
      </c>
      <c r="C53" s="378">
        <v>17</v>
      </c>
    </row>
    <row r="54" spans="2:3">
      <c r="B54" s="61" t="s">
        <v>291</v>
      </c>
      <c r="C54" s="378">
        <v>2</v>
      </c>
    </row>
    <row r="55" spans="2:3">
      <c r="B55" s="61" t="s">
        <v>218</v>
      </c>
      <c r="C55" s="379">
        <v>2</v>
      </c>
    </row>
    <row r="56" spans="2:3" ht="15" thickBot="1">
      <c r="B56" s="112" t="s">
        <v>219</v>
      </c>
      <c r="C56" s="380">
        <v>19</v>
      </c>
    </row>
    <row r="57" spans="2:3" ht="15" thickBot="1"/>
    <row r="58" spans="2:3">
      <c r="B58" s="857" t="s">
        <v>246</v>
      </c>
      <c r="C58" s="860"/>
    </row>
    <row r="59" spans="2:3">
      <c r="B59" s="61" t="s">
        <v>31</v>
      </c>
      <c r="C59" s="154">
        <f>'Renovation Budget'!C15*(1+'Renovation Budget'!D17)+('Renovation Budget'!$C$15*'Renovation Budget'!$D$18)</f>
        <v>94300.000000000015</v>
      </c>
    </row>
    <row r="60" spans="2:3">
      <c r="B60" s="61" t="s">
        <v>32</v>
      </c>
      <c r="C60" s="376">
        <f>C59/Assumptions!C10</f>
        <v>5547.0588235294126</v>
      </c>
    </row>
    <row r="61" spans="2:3">
      <c r="B61" s="61" t="s">
        <v>221</v>
      </c>
      <c r="C61" s="373">
        <f>C63-C62+1</f>
        <v>4</v>
      </c>
    </row>
    <row r="62" spans="2:3">
      <c r="B62" s="61" t="s">
        <v>218</v>
      </c>
      <c r="C62" s="379">
        <v>1</v>
      </c>
    </row>
    <row r="63" spans="2:3" ht="15" thickBot="1">
      <c r="B63" s="112" t="s">
        <v>247</v>
      </c>
      <c r="C63" s="380">
        <v>4</v>
      </c>
    </row>
    <row r="83" spans="6:6">
      <c r="F83" s="531"/>
    </row>
    <row r="84" spans="6:6">
      <c r="F84" s="520"/>
    </row>
    <row r="85" spans="6:6">
      <c r="F85" s="520"/>
    </row>
  </sheetData>
  <mergeCells count="31">
    <mergeCell ref="AF1:AK1"/>
    <mergeCell ref="AF7:AK7"/>
    <mergeCell ref="AF15:AH15"/>
    <mergeCell ref="R21:T21"/>
    <mergeCell ref="B2:D2"/>
    <mergeCell ref="C11:D11"/>
    <mergeCell ref="R7:W7"/>
    <mergeCell ref="G26:H26"/>
    <mergeCell ref="K26:M26"/>
    <mergeCell ref="C8:D8"/>
    <mergeCell ref="C3:D3"/>
    <mergeCell ref="C4:D4"/>
    <mergeCell ref="C5:D5"/>
    <mergeCell ref="C6:D6"/>
    <mergeCell ref="C7:D7"/>
    <mergeCell ref="B58:C58"/>
    <mergeCell ref="B38:D38"/>
    <mergeCell ref="Y7:AD7"/>
    <mergeCell ref="Y15:AA15"/>
    <mergeCell ref="B22:C22"/>
    <mergeCell ref="B44:C44"/>
    <mergeCell ref="B48:C48"/>
    <mergeCell ref="C9:D9"/>
    <mergeCell ref="C10:D10"/>
    <mergeCell ref="I26:J26"/>
    <mergeCell ref="C12:D12"/>
    <mergeCell ref="B31:C31"/>
    <mergeCell ref="B14:C14"/>
    <mergeCell ref="B15:C15"/>
    <mergeCell ref="R15:T15"/>
    <mergeCell ref="G38:H38"/>
  </mergeCells>
  <phoneticPr fontId="19" type="noConversion"/>
  <conditionalFormatting sqref="C3:C12">
    <cfRule type="expression" dxfId="62" priority="8">
      <formula>C3=""</formula>
    </cfRule>
  </conditionalFormatting>
  <conditionalFormatting sqref="C17">
    <cfRule type="expression" dxfId="61" priority="18">
      <formula>C17=""</formula>
    </cfRule>
  </conditionalFormatting>
  <conditionalFormatting sqref="C19">
    <cfRule type="expression" dxfId="60" priority="14">
      <formula>C19=""</formula>
    </cfRule>
  </conditionalFormatting>
  <conditionalFormatting sqref="C23">
    <cfRule type="expression" dxfId="59" priority="6">
      <formula>C23=""</formula>
    </cfRule>
  </conditionalFormatting>
  <conditionalFormatting sqref="C34:C35">
    <cfRule type="expression" dxfId="58" priority="19">
      <formula>C34=""</formula>
    </cfRule>
  </conditionalFormatting>
  <conditionalFormatting sqref="C53:C54">
    <cfRule type="expression" dxfId="57" priority="56">
      <formula>#REF!&gt;#REF!</formula>
    </cfRule>
  </conditionalFormatting>
  <conditionalFormatting sqref="C53:C56">
    <cfRule type="expression" dxfId="56" priority="38">
      <formula>C53=""</formula>
    </cfRule>
  </conditionalFormatting>
  <conditionalFormatting sqref="C55:C56">
    <cfRule type="expression" dxfId="55" priority="36">
      <formula>#REF!&gt;#REF!</formula>
    </cfRule>
  </conditionalFormatting>
  <conditionalFormatting sqref="C62:C63">
    <cfRule type="expression" dxfId="54" priority="32">
      <formula>C62=""</formula>
    </cfRule>
    <cfRule type="expression" dxfId="53" priority="33">
      <formula>#REF!&gt;#REF!</formula>
    </cfRule>
  </conditionalFormatting>
  <conditionalFormatting sqref="D39:D41">
    <cfRule type="expression" dxfId="52" priority="15">
      <formula>D39=""</formula>
    </cfRule>
  </conditionalFormatting>
  <conditionalFormatting sqref="G27:G38">
    <cfRule type="expression" dxfId="51" priority="3">
      <formula>G27=""</formula>
    </cfRule>
  </conditionalFormatting>
  <conditionalFormatting sqref="G7:N7 G9:N9">
    <cfRule type="expression" dxfId="50" priority="46">
      <formula>G7=""</formula>
    </cfRule>
  </conditionalFormatting>
  <conditionalFormatting sqref="G13:N21">
    <cfRule type="expression" dxfId="49" priority="5">
      <formula>G13=""</formula>
    </cfRule>
  </conditionalFormatting>
  <conditionalFormatting sqref="G25:N25">
    <cfRule type="expression" dxfId="48" priority="4">
      <formula>G25=""</formula>
    </cfRule>
  </conditionalFormatting>
  <conditionalFormatting sqref="H3:N3">
    <cfRule type="expression" dxfId="47" priority="1">
      <formula>H3=""</formula>
    </cfRule>
  </conditionalFormatting>
  <conditionalFormatting sqref="H5:N6">
    <cfRule type="expression" dxfId="46" priority="7">
      <formula>H5=""</formula>
    </cfRule>
  </conditionalFormatting>
  <conditionalFormatting sqref="H27:N37">
    <cfRule type="expression" dxfId="45" priority="2">
      <formula>H27=""</formula>
    </cfRule>
  </conditionalFormatting>
  <conditionalFormatting sqref="I26 N26">
    <cfRule type="expression" dxfId="44" priority="44">
      <formula>I26=""</formula>
    </cfRule>
  </conditionalFormatting>
  <conditionalFormatting sqref="I26:J26 G38:H38">
    <cfRule type="expression" dxfId="43" priority="57">
      <formula>$D$69="% of Revenue"</formula>
    </cfRule>
    <cfRule type="expression" dxfId="42" priority="58">
      <formula>$D$69="Fixed"</formula>
    </cfRule>
  </conditionalFormatting>
  <conditionalFormatting sqref="P24">
    <cfRule type="expression" dxfId="41" priority="9">
      <formula>P24=""</formula>
    </cfRule>
  </conditionalFormatting>
  <conditionalFormatting sqref="W31">
    <cfRule type="expression" dxfId="40" priority="13">
      <formula>W31=""</formula>
    </cfRule>
  </conditionalFormatting>
  <conditionalFormatting sqref="AD3:AD5">
    <cfRule type="containsBlanks" dxfId="39" priority="34">
      <formula>LEN(TRIM(AD3))=0</formula>
    </cfRule>
  </conditionalFormatting>
  <conditionalFormatting sqref="AK3:AK5">
    <cfRule type="containsBlanks" dxfId="38" priority="12">
      <formula>LEN(TRIM(AK3))=0</formula>
    </cfRule>
  </conditionalFormatting>
  <dataValidations count="3">
    <dataValidation type="list" allowBlank="1" showInputMessage="1" showErrorMessage="1" sqref="G26:H26" xr:uid="{00000000-0002-0000-0100-000000000000}">
      <formula1>"% of Revenue,Fixed"</formula1>
    </dataValidation>
    <dataValidation type="list" allowBlank="1" showInputMessage="1" showErrorMessage="1" sqref="W2" xr:uid="{0842F923-3101-4020-8B00-DB3394D60DE6}">
      <formula1>"Agency,Conventional,Bridge,Assumed"</formula1>
    </dataValidation>
    <dataValidation type="list" allowBlank="1" showInputMessage="1" showErrorMessage="1" sqref="W27:W28" xr:uid="{68B2E36F-3A9E-4B13-84B3-6BE9FED752AE}">
      <formula1>"Yes,No"</formula1>
    </dataValidation>
  </dataValidations>
  <pageMargins left="0.7" right="0.7" top="0.75" bottom="0.75" header="0.3" footer="0.3"/>
  <pageSetup orientation="portrait" horizontalDpi="4294967292" verticalDpi="4294967292"/>
  <legacyDrawing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B1:L43"/>
  <sheetViews>
    <sheetView showGridLines="0" workbookViewId="0">
      <selection activeCell="K26" sqref="K26"/>
    </sheetView>
  </sheetViews>
  <sheetFormatPr defaultColWidth="8.6328125" defaultRowHeight="14.5"/>
  <cols>
    <col min="2" max="2" width="16.08984375" customWidth="1"/>
    <col min="3" max="3" width="9.453125" bestFit="1" customWidth="1"/>
    <col min="4" max="4" width="11.6328125" bestFit="1" customWidth="1"/>
    <col min="5" max="5" width="9.08984375" customWidth="1"/>
    <col min="6" max="6" width="9.453125" bestFit="1" customWidth="1"/>
    <col min="7" max="7" width="13.453125" customWidth="1"/>
    <col min="8" max="8" width="11.08984375" customWidth="1"/>
    <col min="9" max="9" width="13.6328125" customWidth="1"/>
  </cols>
  <sheetData>
    <row r="1" spans="2:12" ht="5.25" customHeight="1" thickBot="1"/>
    <row r="2" spans="2:12" ht="15.5">
      <c r="B2" s="899" t="s">
        <v>34</v>
      </c>
      <c r="C2" s="900"/>
      <c r="D2" s="900"/>
      <c r="E2" s="899" t="s">
        <v>38</v>
      </c>
      <c r="F2" s="900"/>
      <c r="G2" s="900"/>
      <c r="H2" s="900"/>
      <c r="I2" s="901"/>
    </row>
    <row r="3" spans="2:12" ht="29">
      <c r="B3" s="76" t="s">
        <v>35</v>
      </c>
      <c r="C3" s="77" t="s">
        <v>36</v>
      </c>
      <c r="D3" s="78" t="s">
        <v>37</v>
      </c>
      <c r="E3" s="79" t="s">
        <v>40</v>
      </c>
      <c r="F3" s="80" t="s">
        <v>39</v>
      </c>
      <c r="G3" s="81" t="s">
        <v>41</v>
      </c>
      <c r="H3" s="79" t="s">
        <v>42</v>
      </c>
      <c r="I3" s="81" t="s">
        <v>43</v>
      </c>
    </row>
    <row r="4" spans="2:12">
      <c r="B4" s="20" t="s">
        <v>479</v>
      </c>
      <c r="C4" s="36">
        <v>1</v>
      </c>
      <c r="D4" s="21">
        <v>499</v>
      </c>
      <c r="E4" s="24">
        <v>1340</v>
      </c>
      <c r="F4" s="25">
        <v>1650</v>
      </c>
      <c r="G4" s="32"/>
      <c r="H4" s="10">
        <f>IF(F4+G4=0,"",F4+G4)</f>
        <v>1650</v>
      </c>
      <c r="I4" s="11">
        <f t="shared" ref="I4:I17" si="0">IF(C4="","",C4*H4)</f>
        <v>1650</v>
      </c>
    </row>
    <row r="5" spans="2:12">
      <c r="B5" s="22" t="s">
        <v>411</v>
      </c>
      <c r="C5" s="37">
        <v>9</v>
      </c>
      <c r="D5" s="23">
        <v>648</v>
      </c>
      <c r="E5" s="26">
        <v>1427</v>
      </c>
      <c r="F5" s="27">
        <v>1925</v>
      </c>
      <c r="G5" s="33"/>
      <c r="H5" s="10">
        <f t="shared" ref="H5:H17" si="1">IF(F5+G5=0,"",F5+G5)</f>
        <v>1925</v>
      </c>
      <c r="I5" s="12">
        <f t="shared" si="0"/>
        <v>17325</v>
      </c>
    </row>
    <row r="6" spans="2:12">
      <c r="B6" s="22" t="s">
        <v>480</v>
      </c>
      <c r="C6" s="37">
        <v>7</v>
      </c>
      <c r="D6" s="23">
        <v>840</v>
      </c>
      <c r="E6" s="26">
        <v>1676</v>
      </c>
      <c r="F6" s="27">
        <v>2250</v>
      </c>
      <c r="G6" s="33"/>
      <c r="H6" s="10">
        <f t="shared" si="1"/>
        <v>2250</v>
      </c>
      <c r="I6" s="12">
        <f t="shared" si="0"/>
        <v>15750</v>
      </c>
    </row>
    <row r="7" spans="2:12">
      <c r="B7" s="22"/>
      <c r="C7" s="37"/>
      <c r="D7" s="23"/>
      <c r="E7" s="26"/>
      <c r="F7" s="27"/>
      <c r="G7" s="33"/>
      <c r="H7" s="10" t="str">
        <f t="shared" si="1"/>
        <v/>
      </c>
      <c r="I7" s="12" t="str">
        <f t="shared" si="0"/>
        <v/>
      </c>
    </row>
    <row r="8" spans="2:12">
      <c r="B8" s="22"/>
      <c r="C8" s="37"/>
      <c r="D8" s="23"/>
      <c r="E8" s="26"/>
      <c r="F8" s="27"/>
      <c r="G8" s="33"/>
      <c r="H8" s="10" t="str">
        <f t="shared" si="1"/>
        <v/>
      </c>
      <c r="I8" s="12" t="str">
        <f t="shared" si="0"/>
        <v/>
      </c>
    </row>
    <row r="9" spans="2:12">
      <c r="B9" s="22"/>
      <c r="C9" s="37"/>
      <c r="D9" s="23"/>
      <c r="E9" s="26"/>
      <c r="F9" s="27"/>
      <c r="G9" s="33"/>
      <c r="H9" s="10" t="str">
        <f t="shared" si="1"/>
        <v/>
      </c>
      <c r="I9" s="12" t="str">
        <f t="shared" si="0"/>
        <v/>
      </c>
    </row>
    <row r="10" spans="2:12">
      <c r="B10" s="22"/>
      <c r="C10" s="37"/>
      <c r="D10" s="23"/>
      <c r="E10" s="26"/>
      <c r="F10" s="27"/>
      <c r="G10" s="33"/>
      <c r="H10" s="10" t="str">
        <f t="shared" si="1"/>
        <v/>
      </c>
      <c r="I10" s="12" t="str">
        <f t="shared" si="0"/>
        <v/>
      </c>
      <c r="L10" s="545"/>
    </row>
    <row r="11" spans="2:12">
      <c r="B11" s="22"/>
      <c r="C11" s="37"/>
      <c r="D11" s="23"/>
      <c r="E11" s="26"/>
      <c r="F11" s="27"/>
      <c r="G11" s="33"/>
      <c r="H11" s="10" t="str">
        <f t="shared" si="1"/>
        <v/>
      </c>
      <c r="I11" s="12" t="str">
        <f t="shared" si="0"/>
        <v/>
      </c>
    </row>
    <row r="12" spans="2:12">
      <c r="B12" s="22"/>
      <c r="C12" s="37"/>
      <c r="D12" s="23"/>
      <c r="E12" s="26"/>
      <c r="F12" s="27"/>
      <c r="G12" s="33"/>
      <c r="H12" s="10" t="str">
        <f t="shared" si="1"/>
        <v/>
      </c>
      <c r="I12" s="12" t="str">
        <f t="shared" si="0"/>
        <v/>
      </c>
    </row>
    <row r="13" spans="2:12">
      <c r="B13" s="22"/>
      <c r="C13" s="37"/>
      <c r="D13" s="23"/>
      <c r="E13" s="26"/>
      <c r="F13" s="27"/>
      <c r="G13" s="33"/>
      <c r="H13" s="10" t="str">
        <f t="shared" si="1"/>
        <v/>
      </c>
      <c r="I13" s="12" t="str">
        <f t="shared" si="0"/>
        <v/>
      </c>
    </row>
    <row r="14" spans="2:12">
      <c r="B14" s="22"/>
      <c r="C14" s="37"/>
      <c r="D14" s="23"/>
      <c r="E14" s="26"/>
      <c r="F14" s="27"/>
      <c r="G14" s="33"/>
      <c r="H14" s="10" t="str">
        <f t="shared" si="1"/>
        <v/>
      </c>
      <c r="I14" s="12" t="str">
        <f t="shared" si="0"/>
        <v/>
      </c>
    </row>
    <row r="15" spans="2:12">
      <c r="B15" s="22"/>
      <c r="C15" s="37"/>
      <c r="D15" s="23"/>
      <c r="E15" s="26"/>
      <c r="F15" s="27"/>
      <c r="G15" s="33"/>
      <c r="H15" s="10" t="str">
        <f>IF(F15+G15=0,"",F15+G15)</f>
        <v/>
      </c>
      <c r="I15" s="12" t="str">
        <f t="shared" si="0"/>
        <v/>
      </c>
    </row>
    <row r="16" spans="2:12">
      <c r="B16" s="22"/>
      <c r="C16" s="37"/>
      <c r="D16" s="23"/>
      <c r="E16" s="26"/>
      <c r="F16" s="27"/>
      <c r="G16" s="33"/>
      <c r="H16" s="10" t="str">
        <f t="shared" si="1"/>
        <v/>
      </c>
      <c r="I16" s="12" t="str">
        <f t="shared" si="0"/>
        <v/>
      </c>
    </row>
    <row r="17" spans="2:11">
      <c r="B17" s="28"/>
      <c r="C17" s="38"/>
      <c r="D17" s="29"/>
      <c r="E17" s="30"/>
      <c r="F17" s="31"/>
      <c r="G17" s="34"/>
      <c r="H17" s="13" t="str">
        <f t="shared" si="1"/>
        <v/>
      </c>
      <c r="I17" s="14" t="str">
        <f t="shared" si="0"/>
        <v/>
      </c>
    </row>
    <row r="18" spans="2:11" ht="15" thickBot="1">
      <c r="B18" s="514" t="s">
        <v>306</v>
      </c>
      <c r="C18" s="39">
        <f>SUM(C3:C17)</f>
        <v>17</v>
      </c>
      <c r="D18" s="15">
        <f>IFERROR(AVERAGE(D4:D17),"")</f>
        <v>662.33333333333337</v>
      </c>
      <c r="E18" s="16">
        <f>IFERROR(SUMPRODUCT(E4:E17,C4:C17)/SUM(C4:C17),"")</f>
        <v>1524.4117647058824</v>
      </c>
      <c r="F18" s="17">
        <f>IFERROR(AVERAGE(F4:F17),"")</f>
        <v>1941.6666666666667</v>
      </c>
      <c r="G18" s="35" t="str">
        <f>IFERROR(AVERAGE(G4:G17),"")</f>
        <v/>
      </c>
      <c r="H18" s="16">
        <f>IFERROR(SUMPRODUCT(H4:H17,C4:C17)/SUM(C4:C17),"")</f>
        <v>2042.6470588235295</v>
      </c>
      <c r="I18" s="18"/>
    </row>
    <row r="19" spans="2:11">
      <c r="B19" s="9"/>
      <c r="C19" s="8"/>
      <c r="D19" s="75" t="s">
        <v>105</v>
      </c>
      <c r="E19" s="19">
        <f>SUMPRODUCT(C4:C17,E4:E17)</f>
        <v>25915</v>
      </c>
      <c r="F19" s="8"/>
      <c r="G19" s="902" t="s">
        <v>44</v>
      </c>
      <c r="H19" s="903"/>
      <c r="I19" s="19">
        <f>SUM(I4:I17)</f>
        <v>34725</v>
      </c>
      <c r="K19">
        <f>(I19/E19)-1</f>
        <v>0.33995755354042068</v>
      </c>
    </row>
    <row r="21" spans="2:11">
      <c r="I21" s="41"/>
    </row>
    <row r="22" spans="2:11">
      <c r="E22" s="42"/>
      <c r="K22" s="673"/>
    </row>
    <row r="23" spans="2:11">
      <c r="K23" s="673"/>
    </row>
    <row r="29" spans="2:11">
      <c r="B29" s="1" t="s">
        <v>289</v>
      </c>
    </row>
    <row r="30" spans="2:11">
      <c r="B30" s="904"/>
      <c r="C30" s="905"/>
      <c r="D30" s="905"/>
      <c r="E30" s="905"/>
      <c r="F30" s="905"/>
      <c r="G30" s="905"/>
      <c r="H30" s="905"/>
      <c r="I30" s="906"/>
    </row>
    <row r="31" spans="2:11">
      <c r="B31" s="907"/>
      <c r="C31" s="908"/>
      <c r="D31" s="908"/>
      <c r="E31" s="908"/>
      <c r="F31" s="908"/>
      <c r="G31" s="908"/>
      <c r="H31" s="908"/>
      <c r="I31" s="909"/>
    </row>
    <row r="32" spans="2:11">
      <c r="B32" s="907"/>
      <c r="C32" s="908"/>
      <c r="D32" s="908"/>
      <c r="E32" s="908"/>
      <c r="F32" s="908"/>
      <c r="G32" s="908"/>
      <c r="H32" s="908"/>
      <c r="I32" s="909"/>
    </row>
    <row r="33" spans="2:9">
      <c r="B33" s="907"/>
      <c r="C33" s="908"/>
      <c r="D33" s="908"/>
      <c r="E33" s="908"/>
      <c r="F33" s="908"/>
      <c r="G33" s="908"/>
      <c r="H33" s="908"/>
      <c r="I33" s="909"/>
    </row>
    <row r="34" spans="2:9">
      <c r="B34" s="907"/>
      <c r="C34" s="908"/>
      <c r="D34" s="908"/>
      <c r="E34" s="908"/>
      <c r="F34" s="908"/>
      <c r="G34" s="908"/>
      <c r="H34" s="908"/>
      <c r="I34" s="909"/>
    </row>
    <row r="35" spans="2:9">
      <c r="B35" s="907"/>
      <c r="C35" s="908"/>
      <c r="D35" s="908"/>
      <c r="E35" s="908"/>
      <c r="F35" s="908"/>
      <c r="G35" s="908"/>
      <c r="H35" s="908"/>
      <c r="I35" s="909"/>
    </row>
    <row r="36" spans="2:9">
      <c r="B36" s="907"/>
      <c r="C36" s="908"/>
      <c r="D36" s="908"/>
      <c r="E36" s="908"/>
      <c r="F36" s="908"/>
      <c r="G36" s="908"/>
      <c r="H36" s="908"/>
      <c r="I36" s="909"/>
    </row>
    <row r="37" spans="2:9">
      <c r="B37" s="907"/>
      <c r="C37" s="908"/>
      <c r="D37" s="908"/>
      <c r="E37" s="908"/>
      <c r="F37" s="908"/>
      <c r="G37" s="908"/>
      <c r="H37" s="908"/>
      <c r="I37" s="909"/>
    </row>
    <row r="38" spans="2:9">
      <c r="B38" s="907"/>
      <c r="C38" s="908"/>
      <c r="D38" s="908"/>
      <c r="E38" s="908"/>
      <c r="F38" s="908"/>
      <c r="G38" s="908"/>
      <c r="H38" s="908"/>
      <c r="I38" s="909"/>
    </row>
    <row r="39" spans="2:9">
      <c r="B39" s="907"/>
      <c r="C39" s="908"/>
      <c r="D39" s="908"/>
      <c r="E39" s="908"/>
      <c r="F39" s="908"/>
      <c r="G39" s="908"/>
      <c r="H39" s="908"/>
      <c r="I39" s="909"/>
    </row>
    <row r="40" spans="2:9">
      <c r="B40" s="907"/>
      <c r="C40" s="908"/>
      <c r="D40" s="908"/>
      <c r="E40" s="908"/>
      <c r="F40" s="908"/>
      <c r="G40" s="908"/>
      <c r="H40" s="908"/>
      <c r="I40" s="909"/>
    </row>
    <row r="41" spans="2:9">
      <c r="B41" s="907"/>
      <c r="C41" s="908"/>
      <c r="D41" s="908"/>
      <c r="E41" s="908"/>
      <c r="F41" s="908"/>
      <c r="G41" s="908"/>
      <c r="H41" s="908"/>
      <c r="I41" s="909"/>
    </row>
    <row r="42" spans="2:9">
      <c r="B42" s="907"/>
      <c r="C42" s="908"/>
      <c r="D42" s="908"/>
      <c r="E42" s="908"/>
      <c r="F42" s="908"/>
      <c r="G42" s="908"/>
      <c r="H42" s="908"/>
      <c r="I42" s="909"/>
    </row>
    <row r="43" spans="2:9">
      <c r="B43" s="910"/>
      <c r="C43" s="911"/>
      <c r="D43" s="911"/>
      <c r="E43" s="911"/>
      <c r="F43" s="911"/>
      <c r="G43" s="911"/>
      <c r="H43" s="911"/>
      <c r="I43" s="912"/>
    </row>
  </sheetData>
  <mergeCells count="17">
    <mergeCell ref="B42:I42"/>
    <mergeCell ref="B43:I43"/>
    <mergeCell ref="B37:I37"/>
    <mergeCell ref="B38:I38"/>
    <mergeCell ref="B39:I39"/>
    <mergeCell ref="B40:I40"/>
    <mergeCell ref="B41:I41"/>
    <mergeCell ref="B32:I32"/>
    <mergeCell ref="B33:I33"/>
    <mergeCell ref="B34:I34"/>
    <mergeCell ref="B35:I35"/>
    <mergeCell ref="B36:I36"/>
    <mergeCell ref="B2:D2"/>
    <mergeCell ref="E2:I2"/>
    <mergeCell ref="G19:H19"/>
    <mergeCell ref="B30:I30"/>
    <mergeCell ref="B31:I31"/>
  </mergeCells>
  <pageMargins left="0.7" right="0.7" top="0.75" bottom="0.75" header="0.3" footer="0.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B1:L37"/>
  <sheetViews>
    <sheetView showGridLines="0" zoomScaleNormal="100" workbookViewId="0">
      <selection activeCell="E17" sqref="E17"/>
    </sheetView>
  </sheetViews>
  <sheetFormatPr defaultColWidth="8.6328125" defaultRowHeight="14.5"/>
  <cols>
    <col min="2" max="2" width="29.453125" bestFit="1" customWidth="1"/>
    <col min="3" max="3" width="12.54296875" customWidth="1"/>
    <col min="4" max="4" width="34.453125" customWidth="1"/>
    <col min="5" max="5" width="28.453125" bestFit="1" customWidth="1"/>
    <col min="6" max="6" width="14.08984375" customWidth="1"/>
  </cols>
  <sheetData>
    <row r="1" spans="2:12" ht="15" thickBot="1"/>
    <row r="2" spans="2:12">
      <c r="B2" s="867" t="s">
        <v>239</v>
      </c>
      <c r="C2" s="875"/>
      <c r="D2" s="3" t="s">
        <v>22</v>
      </c>
      <c r="E2" s="867" t="s">
        <v>239</v>
      </c>
      <c r="F2" s="875"/>
    </row>
    <row r="3" spans="2:12">
      <c r="B3" s="61" t="s">
        <v>242</v>
      </c>
      <c r="C3" s="567">
        <f>F3*Assumptions!C53</f>
        <v>240000</v>
      </c>
      <c r="E3" s="61" t="s">
        <v>242</v>
      </c>
      <c r="F3" s="569">
        <f>L3</f>
        <v>14117.64705882353</v>
      </c>
      <c r="J3">
        <v>15000</v>
      </c>
      <c r="K3">
        <f>J3/17</f>
        <v>882.35294117647061</v>
      </c>
      <c r="L3">
        <f>K3*16</f>
        <v>14117.64705882353</v>
      </c>
    </row>
    <row r="4" spans="2:12">
      <c r="B4" s="82" t="s">
        <v>243</v>
      </c>
      <c r="C4" s="567">
        <f>Assumptions!C53*'Renovation Budget'!F4*'Renovation Budget'!F5</f>
        <v>42500</v>
      </c>
      <c r="E4" s="82" t="s">
        <v>243</v>
      </c>
      <c r="F4" s="569">
        <v>5000</v>
      </c>
    </row>
    <row r="5" spans="2:12" ht="15" thickBot="1">
      <c r="B5" s="82"/>
      <c r="C5" s="465"/>
      <c r="E5" s="112" t="s">
        <v>241</v>
      </c>
      <c r="F5" s="570">
        <v>0.5</v>
      </c>
    </row>
    <row r="6" spans="2:12" ht="16.25" customHeight="1" thickBot="1">
      <c r="B6" s="130" t="s">
        <v>124</v>
      </c>
      <c r="C6" s="392">
        <f>SUM(C3:C5)</f>
        <v>282500</v>
      </c>
    </row>
    <row r="7" spans="2:12" ht="15" thickBot="1"/>
    <row r="8" spans="2:12">
      <c r="B8" s="867" t="s">
        <v>240</v>
      </c>
      <c r="C8" s="875"/>
      <c r="D8" s="3" t="s">
        <v>22</v>
      </c>
    </row>
    <row r="9" spans="2:12">
      <c r="B9" s="89" t="s">
        <v>485</v>
      </c>
      <c r="C9" s="569">
        <v>25000</v>
      </c>
      <c r="D9" s="111"/>
    </row>
    <row r="10" spans="2:12">
      <c r="B10" s="89" t="s">
        <v>481</v>
      </c>
      <c r="C10" s="569">
        <v>25000</v>
      </c>
    </row>
    <row r="11" spans="2:12">
      <c r="B11" s="82" t="s">
        <v>482</v>
      </c>
      <c r="C11" s="569">
        <v>17000</v>
      </c>
    </row>
    <row r="12" spans="2:12">
      <c r="B12" s="82" t="s">
        <v>483</v>
      </c>
      <c r="C12" s="569">
        <v>5000</v>
      </c>
    </row>
    <row r="13" spans="2:12">
      <c r="B13" s="82" t="s">
        <v>484</v>
      </c>
      <c r="C13" s="569">
        <v>10000</v>
      </c>
    </row>
    <row r="14" spans="2:12">
      <c r="B14" s="82"/>
      <c r="C14" s="569"/>
    </row>
    <row r="15" spans="2:12" ht="17.399999999999999" customHeight="1">
      <c r="B15" s="129" t="s">
        <v>244</v>
      </c>
      <c r="C15" s="396">
        <f>SUM(C9:C14)</f>
        <v>82000</v>
      </c>
      <c r="E15" s="533"/>
    </row>
    <row r="16" spans="2:12">
      <c r="B16" s="5"/>
      <c r="C16" s="84"/>
    </row>
    <row r="17" spans="2:5" ht="16.25" customHeight="1">
      <c r="B17" s="89" t="s">
        <v>238</v>
      </c>
      <c r="C17" s="567">
        <f>(C15+C6)*D17</f>
        <v>36450</v>
      </c>
      <c r="D17" s="393">
        <v>0.1</v>
      </c>
    </row>
    <row r="18" spans="2:5" ht="16.25" customHeight="1">
      <c r="B18" s="5" t="s">
        <v>293</v>
      </c>
      <c r="C18" s="568">
        <f>(C6+C15)*D18</f>
        <v>18225</v>
      </c>
      <c r="D18" s="466">
        <v>0.05</v>
      </c>
    </row>
    <row r="19" spans="2:5">
      <c r="B19" s="5"/>
      <c r="C19" s="84"/>
    </row>
    <row r="20" spans="2:5" ht="15" thickBot="1">
      <c r="B20" s="130" t="s">
        <v>106</v>
      </c>
      <c r="C20" s="392">
        <f>C6+C15+C17+C18</f>
        <v>419175</v>
      </c>
      <c r="D20" s="533"/>
      <c r="E20" s="533"/>
    </row>
    <row r="26" spans="2:5">
      <c r="E26" s="533"/>
    </row>
    <row r="34" spans="3:3">
      <c r="C34" s="390"/>
    </row>
    <row r="35" spans="3:3">
      <c r="C35" s="532"/>
    </row>
    <row r="36" spans="3:3">
      <c r="C36" s="533"/>
    </row>
    <row r="37" spans="3:3">
      <c r="C37" s="390"/>
    </row>
  </sheetData>
  <mergeCells count="3">
    <mergeCell ref="B2:C2"/>
    <mergeCell ref="B8:C8"/>
    <mergeCell ref="E2:F2"/>
  </mergeCells>
  <conditionalFormatting sqref="C9:C14">
    <cfRule type="expression" dxfId="37" priority="1">
      <formula>C9=""</formula>
    </cfRule>
  </conditionalFormatting>
  <conditionalFormatting sqref="F3:F5">
    <cfRule type="expression" dxfId="36" priority="3">
      <formula>F3=""</formula>
    </cfRule>
  </conditionalFormatting>
  <pageMargins left="0.7" right="0.7" top="0.75" bottom="0.75" header="0.3" footer="0.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B1:W361"/>
  <sheetViews>
    <sheetView showGridLines="0" workbookViewId="0">
      <selection activeCell="C27" sqref="C27"/>
    </sheetView>
  </sheetViews>
  <sheetFormatPr defaultColWidth="8.6328125" defaultRowHeight="14.5"/>
  <cols>
    <col min="1" max="1" width="6.08984375" customWidth="1"/>
    <col min="2" max="2" width="16.90625" bestFit="1" customWidth="1"/>
    <col min="3" max="3" width="13.54296875" bestFit="1" customWidth="1"/>
    <col min="7" max="7" width="13.54296875" bestFit="1" customWidth="1"/>
    <col min="8" max="8" width="12.6328125" bestFit="1" customWidth="1"/>
    <col min="9" max="10" width="11.453125" bestFit="1" customWidth="1"/>
    <col min="11" max="11" width="11.453125" customWidth="1"/>
    <col min="12" max="12" width="14" bestFit="1" customWidth="1"/>
    <col min="15" max="15" width="22.90625" bestFit="1" customWidth="1"/>
    <col min="16" max="16" width="13.6328125" bestFit="1" customWidth="1"/>
    <col min="17" max="17" width="2.54296875" customWidth="1"/>
    <col min="19" max="19" width="13.90625" bestFit="1" customWidth="1"/>
    <col min="20" max="20" width="14.36328125" bestFit="1" customWidth="1"/>
    <col min="21" max="22" width="14.36328125" customWidth="1"/>
    <col min="23" max="23" width="14" bestFit="1" customWidth="1"/>
  </cols>
  <sheetData>
    <row r="1" spans="2:23">
      <c r="B1" s="913" t="s">
        <v>227</v>
      </c>
      <c r="C1" s="914"/>
      <c r="D1" s="915"/>
      <c r="F1" s="132" t="s">
        <v>95</v>
      </c>
      <c r="G1" s="133" t="s">
        <v>4</v>
      </c>
      <c r="H1" s="133" t="s">
        <v>5</v>
      </c>
      <c r="I1" s="133" t="s">
        <v>6</v>
      </c>
      <c r="J1" s="133" t="s">
        <v>107</v>
      </c>
      <c r="K1" s="448" t="s">
        <v>283</v>
      </c>
      <c r="L1" s="135" t="s">
        <v>7</v>
      </c>
      <c r="O1" s="916" t="s">
        <v>309</v>
      </c>
      <c r="P1" s="917"/>
      <c r="R1" s="417" t="s">
        <v>95</v>
      </c>
      <c r="S1" s="448" t="s">
        <v>4</v>
      </c>
      <c r="T1" s="448" t="s">
        <v>312</v>
      </c>
      <c r="U1" s="516" t="s">
        <v>337</v>
      </c>
      <c r="V1" s="516" t="s">
        <v>338</v>
      </c>
      <c r="W1" s="516" t="s">
        <v>7</v>
      </c>
    </row>
    <row r="2" spans="2:23">
      <c r="B2" s="5" t="s">
        <v>109</v>
      </c>
      <c r="C2" s="49">
        <f ca="1">Assumptions!W32</f>
        <v>2357500</v>
      </c>
      <c r="D2" s="6"/>
      <c r="F2" s="86">
        <v>1</v>
      </c>
      <c r="G2" s="85">
        <f ca="1">IF(F2&lt;$C$16,$C$2,$C$9)</f>
        <v>2357500</v>
      </c>
      <c r="H2" s="85">
        <f t="shared" ref="H2:H65" ca="1" si="0">IF(F2&lt;$C$16,IF(F2&gt;$C$6,-PMT(($C$3/12),$C$4,$C$2),I2),-PMT($C$10/12,$C$11,$C$9))</f>
        <v>11492.8125</v>
      </c>
      <c r="I2" s="85">
        <f t="shared" ref="I2:I65" ca="1" si="1">IF(F2&lt;$C$16,G2*($C$3/12),G2*($C$10/12))</f>
        <v>11492.8125</v>
      </c>
      <c r="J2" s="85">
        <f>IF(F2&lt;$C$16,IF(F2&lt;=$C$6,0,H2-I2),IF(F2&lt;=$C$16+$C$13,0,H2-I2))</f>
        <v>0</v>
      </c>
      <c r="K2" s="153">
        <f>IF('Monthly Cash Flow'!$C$88="Lender Draw",HLOOKUP(F2,'Monthly Cash Flow'!$D$79:$CP$88,10),0)</f>
        <v>25000</v>
      </c>
      <c r="L2" s="83">
        <f ca="1">G2-J2+K2</f>
        <v>2382500</v>
      </c>
      <c r="O2" s="5" t="s">
        <v>109</v>
      </c>
      <c r="P2" s="84">
        <f>Assumptions!C17</f>
        <v>419175</v>
      </c>
      <c r="R2" s="86">
        <v>1</v>
      </c>
      <c r="S2" s="517">
        <f>P2</f>
        <v>419175</v>
      </c>
      <c r="T2" s="517">
        <f>(S2*$P$3)/12</f>
        <v>4191.75</v>
      </c>
      <c r="U2" s="517">
        <f ca="1">-IF('Cash Flow Summary'!$D$24="No",0,IF(AND('Cash Flow Summary'!$D$24="Yes",HLOOKUP($R2,'Monthly Cash Flow'!$D$6:$CP$68,61,FALSE)&gt;0),HLOOKUP($R2,'Monthly Cash Flow'!$D$6:$CP$68,61,FALSE),IF('Cash Flow Summary'!$D$24="Current Pay",('Loan Summary'!S2*'Loan Summary'!$P$3)/12,0)))</f>
        <v>0</v>
      </c>
      <c r="V2" s="517">
        <f>IF('Loan Summary'!R2=Assumptions!$AD$3,Assumptions!$AD$25,0)</f>
        <v>0</v>
      </c>
      <c r="W2" s="517">
        <f ca="1">S2+T2+U2+V2</f>
        <v>423366.75</v>
      </c>
    </row>
    <row r="3" spans="2:23">
      <c r="B3" s="82" t="s">
        <v>2</v>
      </c>
      <c r="C3" s="412">
        <f>Assumptions!W5</f>
        <v>5.8500000000000003E-2</v>
      </c>
      <c r="D3" s="88"/>
      <c r="F3" s="86">
        <v>2</v>
      </c>
      <c r="G3" s="85">
        <f t="shared" ref="G3:G66" ca="1" si="2">IF(F3&lt;$C$16,L2,IF(F3=$C$16,$C$9,L2))</f>
        <v>2382500</v>
      </c>
      <c r="H3" s="85">
        <f t="shared" ca="1" si="0"/>
        <v>11614.6875</v>
      </c>
      <c r="I3" s="85">
        <f t="shared" ca="1" si="1"/>
        <v>11614.6875</v>
      </c>
      <c r="J3" s="85">
        <f t="shared" ref="J3:J66" si="3">IF(F3&lt;$C$16,IF(F3&lt;=$C$6,0,H3-I3),IF(F3&lt;=$C$16+$C$13,0,H3-I3))</f>
        <v>0</v>
      </c>
      <c r="K3" s="153">
        <f>IF('Monthly Cash Flow'!$C$88="Lender Draw",HLOOKUP(F3,'Monthly Cash Flow'!$D$79:$CP$88,10),0)</f>
        <v>23575.000000000004</v>
      </c>
      <c r="L3" s="83">
        <f t="shared" ref="L3:L66" ca="1" si="4">G3-J3+K3</f>
        <v>2406075</v>
      </c>
      <c r="O3" s="5" t="s">
        <v>310</v>
      </c>
      <c r="P3" s="463">
        <v>0.12</v>
      </c>
      <c r="R3" s="86">
        <v>2</v>
      </c>
      <c r="S3" s="517">
        <f ca="1">W2</f>
        <v>423366.75</v>
      </c>
      <c r="T3" s="517">
        <f ca="1">(S3*$P$3)/12</f>
        <v>4233.6674999999996</v>
      </c>
      <c r="U3" s="517">
        <f ca="1">-IF('Cash Flow Summary'!$D$24="No",0,IF(AND('Cash Flow Summary'!$D$24="Yes",HLOOKUP($R3,'Monthly Cash Flow'!$D$6:$CP$68,61,FALSE)&gt;0),HLOOKUP($R3,'Monthly Cash Flow'!$D$6:$CP$68,61,FALSE),IF('Cash Flow Summary'!$D$24="Current Pay",('Loan Summary'!S3*'Loan Summary'!$P$3)/12,0)))</f>
        <v>0</v>
      </c>
      <c r="V3" s="517">
        <f>IF('Loan Summary'!R3=Assumptions!$AD$3,Assumptions!$AD$25,0)</f>
        <v>0</v>
      </c>
      <c r="W3" s="517">
        <f t="shared" ref="W3:W66" ca="1" si="5">S3+T3+U3+V3</f>
        <v>427600.41749999998</v>
      </c>
    </row>
    <row r="4" spans="2:23">
      <c r="B4" s="89" t="s">
        <v>248</v>
      </c>
      <c r="C4" s="388">
        <v>360</v>
      </c>
      <c r="D4" s="90" t="s">
        <v>108</v>
      </c>
      <c r="F4" s="86">
        <v>3</v>
      </c>
      <c r="G4" s="85">
        <f t="shared" ca="1" si="2"/>
        <v>2406075</v>
      </c>
      <c r="H4" s="85">
        <f t="shared" ca="1" si="0"/>
        <v>11729.615625</v>
      </c>
      <c r="I4" s="85">
        <f t="shared" ca="1" si="1"/>
        <v>11729.615625</v>
      </c>
      <c r="J4" s="85">
        <f t="shared" si="3"/>
        <v>0</v>
      </c>
      <c r="K4" s="153">
        <f>IF('Monthly Cash Flow'!$C$88="Lender Draw",HLOOKUP(F4,'Monthly Cash Flow'!$D$79:$CP$88,10),0)</f>
        <v>42685.294117647063</v>
      </c>
      <c r="L4" s="83">
        <f t="shared" ca="1" si="4"/>
        <v>2448760.2941176472</v>
      </c>
      <c r="O4" s="5" t="s">
        <v>311</v>
      </c>
      <c r="P4" s="525">
        <v>12</v>
      </c>
      <c r="R4" s="86">
        <v>3</v>
      </c>
      <c r="S4" s="517">
        <f t="shared" ref="S4:S67" ca="1" si="6">W3</f>
        <v>427600.41749999998</v>
      </c>
      <c r="T4" s="517">
        <f t="shared" ref="T4:T66" ca="1" si="7">(S4*$P$3)/12</f>
        <v>4276.0041749999991</v>
      </c>
      <c r="U4" s="517">
        <f ca="1">-IF('Cash Flow Summary'!$D$24="No",0,IF(AND('Cash Flow Summary'!$D$24="Yes",HLOOKUP($R4,'Monthly Cash Flow'!$D$6:$CP$68,61,FALSE)&gt;0),HLOOKUP($R4,'Monthly Cash Flow'!$D$6:$CP$68,61,FALSE),IF('Cash Flow Summary'!$D$24="Current Pay",('Loan Summary'!S4*'Loan Summary'!$P$3)/12,0)))</f>
        <v>0</v>
      </c>
      <c r="V4" s="517">
        <f>IF('Loan Summary'!R4=Assumptions!$AD$3,Assumptions!$AD$25,0)</f>
        <v>0</v>
      </c>
      <c r="W4" s="517">
        <f t="shared" ca="1" si="5"/>
        <v>431876.42167499999</v>
      </c>
    </row>
    <row r="5" spans="2:23" ht="15" thickBot="1">
      <c r="B5" s="89" t="s">
        <v>3</v>
      </c>
      <c r="C5" s="388">
        <v>60</v>
      </c>
      <c r="D5" s="90" t="s">
        <v>108</v>
      </c>
      <c r="F5" s="86">
        <v>4</v>
      </c>
      <c r="G5" s="85">
        <f t="shared" ca="1" si="2"/>
        <v>2448760.2941176472</v>
      </c>
      <c r="H5" s="85">
        <f t="shared" ca="1" si="0"/>
        <v>11937.70643382353</v>
      </c>
      <c r="I5" s="85">
        <f t="shared" ca="1" si="1"/>
        <v>11937.70643382353</v>
      </c>
      <c r="J5" s="85">
        <f t="shared" si="3"/>
        <v>0</v>
      </c>
      <c r="K5" s="153">
        <f>IF('Monthly Cash Flow'!$C$88="Lender Draw",HLOOKUP(F5,'Monthly Cash Flow'!$D$79:$CP$88,10),0)</f>
        <v>42685.294117647063</v>
      </c>
      <c r="L5" s="83">
        <f t="shared" ca="1" si="4"/>
        <v>2491445.5882352944</v>
      </c>
      <c r="O5" s="7" t="s">
        <v>319</v>
      </c>
      <c r="P5" s="524" t="s">
        <v>318</v>
      </c>
      <c r="R5" s="86">
        <v>4</v>
      </c>
      <c r="S5" s="517">
        <f t="shared" ca="1" si="6"/>
        <v>431876.42167499999</v>
      </c>
      <c r="T5" s="517">
        <f t="shared" ca="1" si="7"/>
        <v>4318.7642167499998</v>
      </c>
      <c r="U5" s="517">
        <f ca="1">-IF('Cash Flow Summary'!$D$24="No",0,IF(AND('Cash Flow Summary'!$D$24="Yes",HLOOKUP($R5,'Monthly Cash Flow'!$D$6:$CP$68,61,FALSE)&gt;0),HLOOKUP($R5,'Monthly Cash Flow'!$D$6:$CP$68,61,FALSE),IF('Cash Flow Summary'!$D$24="Current Pay",('Loan Summary'!S5*'Loan Summary'!$P$3)/12,0)))</f>
        <v>0</v>
      </c>
      <c r="V5" s="517">
        <f>IF('Loan Summary'!R5=Assumptions!$AD$3,Assumptions!$AD$25,0)</f>
        <v>0</v>
      </c>
      <c r="W5" s="517">
        <f t="shared" ca="1" si="5"/>
        <v>436195.18589174998</v>
      </c>
    </row>
    <row r="6" spans="2:23" ht="15" thickBot="1">
      <c r="B6" s="7" t="s">
        <v>102</v>
      </c>
      <c r="C6" s="389">
        <v>60</v>
      </c>
      <c r="D6" s="52" t="s">
        <v>108</v>
      </c>
      <c r="F6" s="86">
        <v>5</v>
      </c>
      <c r="G6" s="85">
        <f t="shared" ca="1" si="2"/>
        <v>2491445.5882352944</v>
      </c>
      <c r="H6" s="85">
        <f t="shared" ca="1" si="0"/>
        <v>12145.797242647061</v>
      </c>
      <c r="I6" s="85">
        <f t="shared" ca="1" si="1"/>
        <v>12145.797242647061</v>
      </c>
      <c r="J6" s="85">
        <f t="shared" si="3"/>
        <v>0</v>
      </c>
      <c r="K6" s="153">
        <f>IF('Monthly Cash Flow'!$C$88="Lender Draw",HLOOKUP(F6,'Monthly Cash Flow'!$D$79:$CP$88,10),0)</f>
        <v>19110.294117647059</v>
      </c>
      <c r="L6" s="83">
        <f ca="1">G6-J6+K6</f>
        <v>2510555.8823529417</v>
      </c>
      <c r="R6" s="86">
        <v>5</v>
      </c>
      <c r="S6" s="517">
        <f t="shared" ca="1" si="6"/>
        <v>436195.18589174998</v>
      </c>
      <c r="T6" s="517">
        <f t="shared" ca="1" si="7"/>
        <v>4361.9518589174995</v>
      </c>
      <c r="U6" s="517">
        <f ca="1">-IF('Cash Flow Summary'!$D$24="No",0,IF(AND('Cash Flow Summary'!$D$24="Yes",HLOOKUP($R6,'Monthly Cash Flow'!$D$6:$CP$68,61,FALSE)&gt;0),HLOOKUP($R6,'Monthly Cash Flow'!$D$6:$CP$68,61,FALSE),IF('Cash Flow Summary'!$D$24="Current Pay",('Loan Summary'!S6*'Loan Summary'!$P$3)/12,0)))</f>
        <v>0</v>
      </c>
      <c r="V6" s="517">
        <f>IF('Loan Summary'!R6=Assumptions!$AD$3,Assumptions!$AD$25,0)</f>
        <v>0</v>
      </c>
      <c r="W6" s="517">
        <f t="shared" ca="1" si="5"/>
        <v>440557.13775066746</v>
      </c>
    </row>
    <row r="7" spans="2:23" ht="15" thickBot="1">
      <c r="F7" s="86">
        <v>6</v>
      </c>
      <c r="G7" s="85">
        <f t="shared" ca="1" si="2"/>
        <v>2510555.8823529417</v>
      </c>
      <c r="H7" s="85">
        <f t="shared" ca="1" si="0"/>
        <v>12238.95992647059</v>
      </c>
      <c r="I7" s="85">
        <f t="shared" ca="1" si="1"/>
        <v>12238.95992647059</v>
      </c>
      <c r="J7" s="85">
        <f t="shared" si="3"/>
        <v>0</v>
      </c>
      <c r="K7" s="153">
        <f>IF('Monthly Cash Flow'!$C$88="Lender Draw",HLOOKUP(F7,'Monthly Cash Flow'!$D$79:$CP$88,10),0)</f>
        <v>19110.294117647059</v>
      </c>
      <c r="L7" s="83">
        <f t="shared" ca="1" si="4"/>
        <v>2529666.1764705889</v>
      </c>
      <c r="R7" s="86">
        <v>6</v>
      </c>
      <c r="S7" s="517">
        <f t="shared" ca="1" si="6"/>
        <v>440557.13775066746</v>
      </c>
      <c r="T7" s="517">
        <f t="shared" ca="1" si="7"/>
        <v>4405.5713775066743</v>
      </c>
      <c r="U7" s="517">
        <f ca="1">-IF('Cash Flow Summary'!$D$24="No",0,IF(AND('Cash Flow Summary'!$D$24="Yes",HLOOKUP($R7,'Monthly Cash Flow'!$D$6:$CP$68,61,FALSE)&gt;0),HLOOKUP($R7,'Monthly Cash Flow'!$D$6:$CP$68,61,FALSE),IF('Cash Flow Summary'!$D$24="Current Pay",('Loan Summary'!S7*'Loan Summary'!$P$3)/12,0)))</f>
        <v>0</v>
      </c>
      <c r="V7" s="517">
        <f>IF('Loan Summary'!R7=Assumptions!$AD$3,Assumptions!$AD$25,0)</f>
        <v>0</v>
      </c>
      <c r="W7" s="517">
        <f t="shared" ca="1" si="5"/>
        <v>444962.70912817412</v>
      </c>
    </row>
    <row r="8" spans="2:23">
      <c r="B8" s="913" t="s">
        <v>228</v>
      </c>
      <c r="C8" s="914"/>
      <c r="D8" s="915"/>
      <c r="F8" s="86">
        <v>7</v>
      </c>
      <c r="G8" s="85">
        <f t="shared" ca="1" si="2"/>
        <v>2529666.1764705889</v>
      </c>
      <c r="H8" s="85">
        <f t="shared" ca="1" si="0"/>
        <v>12332.12261029412</v>
      </c>
      <c r="I8" s="85">
        <f t="shared" ca="1" si="1"/>
        <v>12332.12261029412</v>
      </c>
      <c r="J8" s="85">
        <f t="shared" si="3"/>
        <v>0</v>
      </c>
      <c r="K8" s="153">
        <f>IF('Monthly Cash Flow'!$C$88="Lender Draw",HLOOKUP(F8,'Monthly Cash Flow'!$D$79:$CP$88,10),0)</f>
        <v>19110.294117647059</v>
      </c>
      <c r="L8" s="83">
        <f t="shared" ca="1" si="4"/>
        <v>2548776.4705882361</v>
      </c>
      <c r="R8" s="86">
        <v>7</v>
      </c>
      <c r="S8" s="517">
        <f t="shared" ca="1" si="6"/>
        <v>444962.70912817412</v>
      </c>
      <c r="T8" s="517">
        <f t="shared" ca="1" si="7"/>
        <v>4449.6270912817408</v>
      </c>
      <c r="U8" s="517">
        <f ca="1">-IF('Cash Flow Summary'!$D$24="No",0,IF(AND('Cash Flow Summary'!$D$24="Yes",HLOOKUP($R8,'Monthly Cash Flow'!$D$6:$CP$68,61,FALSE)&gt;0),HLOOKUP($R8,'Monthly Cash Flow'!$D$6:$CP$68,61,FALSE),IF('Cash Flow Summary'!$D$24="Current Pay",('Loan Summary'!S8*'Loan Summary'!$P$3)/12,0)))</f>
        <v>0</v>
      </c>
      <c r="V8" s="517">
        <f>IF('Loan Summary'!R8=Assumptions!$AD$3,Assumptions!$AD$25,0)</f>
        <v>0</v>
      </c>
      <c r="W8" s="517">
        <f t="shared" ca="1" si="5"/>
        <v>449412.33621945587</v>
      </c>
    </row>
    <row r="9" spans="2:23">
      <c r="B9" s="5" t="s">
        <v>109</v>
      </c>
      <c r="C9" s="413">
        <f>Assumptions!AD21</f>
        <v>3740191.3061347073</v>
      </c>
      <c r="D9" s="6"/>
      <c r="F9" s="86">
        <v>8</v>
      </c>
      <c r="G9" s="85">
        <f t="shared" ca="1" si="2"/>
        <v>2548776.4705882361</v>
      </c>
      <c r="H9" s="85">
        <f t="shared" ca="1" si="0"/>
        <v>12425.285294117652</v>
      </c>
      <c r="I9" s="85">
        <f t="shared" ca="1" si="1"/>
        <v>12425.285294117652</v>
      </c>
      <c r="J9" s="85">
        <f t="shared" si="3"/>
        <v>0</v>
      </c>
      <c r="K9" s="153">
        <f>IF('Monthly Cash Flow'!$C$88="Lender Draw",HLOOKUP(F9,'Monthly Cash Flow'!$D$79:$CP$88,10),0)</f>
        <v>19110.294117647059</v>
      </c>
      <c r="L9" s="83">
        <f t="shared" ca="1" si="4"/>
        <v>2567886.7647058833</v>
      </c>
      <c r="R9" s="86">
        <v>8</v>
      </c>
      <c r="S9" s="517">
        <f t="shared" ca="1" si="6"/>
        <v>449412.33621945587</v>
      </c>
      <c r="T9" s="517">
        <f t="shared" ca="1" si="7"/>
        <v>4494.1233621945585</v>
      </c>
      <c r="U9" s="517">
        <f ca="1">-IF('Cash Flow Summary'!$D$24="No",0,IF(AND('Cash Flow Summary'!$D$24="Yes",HLOOKUP($R9,'Monthly Cash Flow'!$D$6:$CP$68,61,FALSE)&gt;0),HLOOKUP($R9,'Monthly Cash Flow'!$D$6:$CP$68,61,FALSE),IF('Cash Flow Summary'!$D$24="Current Pay",('Loan Summary'!S9*'Loan Summary'!$P$3)/12,0)))</f>
        <v>0</v>
      </c>
      <c r="V9" s="517">
        <f>IF('Loan Summary'!R9=Assumptions!$AD$3,Assumptions!$AD$25,0)</f>
        <v>0</v>
      </c>
      <c r="W9" s="517">
        <f t="shared" ca="1" si="5"/>
        <v>453906.45958165044</v>
      </c>
    </row>
    <row r="10" spans="2:23">
      <c r="B10" s="82" t="s">
        <v>2</v>
      </c>
      <c r="C10" s="412">
        <f>Assumptions!AD5</f>
        <v>5.5E-2</v>
      </c>
      <c r="D10" s="88"/>
      <c r="F10" s="86">
        <v>9</v>
      </c>
      <c r="G10" s="85">
        <f t="shared" ca="1" si="2"/>
        <v>2567886.7647058833</v>
      </c>
      <c r="H10" s="85">
        <f t="shared" ca="1" si="0"/>
        <v>12518.447977941181</v>
      </c>
      <c r="I10" s="85">
        <f t="shared" ca="1" si="1"/>
        <v>12518.447977941181</v>
      </c>
      <c r="J10" s="85">
        <f t="shared" si="3"/>
        <v>0</v>
      </c>
      <c r="K10" s="153">
        <f>IF('Monthly Cash Flow'!$C$88="Lender Draw",HLOOKUP(F10,'Monthly Cash Flow'!$D$79:$CP$88,10),0)</f>
        <v>19110.294117647059</v>
      </c>
      <c r="L10" s="83">
        <f t="shared" ca="1" si="4"/>
        <v>2586997.0588235306</v>
      </c>
      <c r="R10" s="86">
        <v>9</v>
      </c>
      <c r="S10" s="517">
        <f t="shared" ca="1" si="6"/>
        <v>453906.45958165044</v>
      </c>
      <c r="T10" s="517">
        <f t="shared" ca="1" si="7"/>
        <v>4539.0645958165042</v>
      </c>
      <c r="U10" s="517">
        <f ca="1">-IF('Cash Flow Summary'!$D$24="No",0,IF(AND('Cash Flow Summary'!$D$24="Yes",HLOOKUP($R10,'Monthly Cash Flow'!$D$6:$CP$68,61,FALSE)&gt;0),HLOOKUP($R10,'Monthly Cash Flow'!$D$6:$CP$68,61,FALSE),IF('Cash Flow Summary'!$D$24="Current Pay",('Loan Summary'!S10*'Loan Summary'!$P$3)/12,0)))</f>
        <v>0</v>
      </c>
      <c r="V10" s="517">
        <f>IF('Loan Summary'!R10=Assumptions!$AD$3,Assumptions!$AD$25,0)</f>
        <v>0</v>
      </c>
      <c r="W10" s="517">
        <f t="shared" ca="1" si="5"/>
        <v>458445.52417746693</v>
      </c>
    </row>
    <row r="11" spans="2:23">
      <c r="B11" s="89" t="s">
        <v>248</v>
      </c>
      <c r="C11" s="674">
        <f>Assumptions!AD4*12</f>
        <v>360</v>
      </c>
      <c r="D11" s="90" t="s">
        <v>108</v>
      </c>
      <c r="F11" s="86">
        <v>10</v>
      </c>
      <c r="G11" s="85">
        <f t="shared" ca="1" si="2"/>
        <v>2586997.0588235306</v>
      </c>
      <c r="H11" s="85">
        <f t="shared" ca="1" si="0"/>
        <v>12611.610661764711</v>
      </c>
      <c r="I11" s="85">
        <f t="shared" ca="1" si="1"/>
        <v>12611.610661764711</v>
      </c>
      <c r="J11" s="85">
        <f t="shared" si="3"/>
        <v>0</v>
      </c>
      <c r="K11" s="153">
        <f>IF('Monthly Cash Flow'!$C$88="Lender Draw",HLOOKUP(F11,'Monthly Cash Flow'!$D$79:$CP$88,10),0)</f>
        <v>19110.294117647059</v>
      </c>
      <c r="L11" s="83">
        <f t="shared" ca="1" si="4"/>
        <v>2606107.3529411778</v>
      </c>
      <c r="R11" s="86">
        <v>10</v>
      </c>
      <c r="S11" s="517">
        <f t="shared" ca="1" si="6"/>
        <v>458445.52417746693</v>
      </c>
      <c r="T11" s="517">
        <f t="shared" ca="1" si="7"/>
        <v>4584.455241774669</v>
      </c>
      <c r="U11" s="517">
        <f ca="1">-IF('Cash Flow Summary'!$D$24="No",0,IF(AND('Cash Flow Summary'!$D$24="Yes",HLOOKUP($R11,'Monthly Cash Flow'!$D$6:$CP$68,61,FALSE)&gt;0),HLOOKUP($R11,'Monthly Cash Flow'!$D$6:$CP$68,61,FALSE),IF('Cash Flow Summary'!$D$24="Current Pay",('Loan Summary'!S11*'Loan Summary'!$P$3)/12,0)))</f>
        <v>0</v>
      </c>
      <c r="V11" s="517">
        <f>IF('Loan Summary'!R11=Assumptions!$AD$3,Assumptions!$AD$25,0)</f>
        <v>0</v>
      </c>
      <c r="W11" s="517">
        <f t="shared" ca="1" si="5"/>
        <v>463029.9794192416</v>
      </c>
    </row>
    <row r="12" spans="2:23">
      <c r="B12" s="89" t="s">
        <v>3</v>
      </c>
      <c r="C12" s="388">
        <v>120</v>
      </c>
      <c r="D12" s="90" t="s">
        <v>108</v>
      </c>
      <c r="F12" s="86">
        <v>11</v>
      </c>
      <c r="G12" s="85">
        <f t="shared" ca="1" si="2"/>
        <v>2606107.3529411778</v>
      </c>
      <c r="H12" s="85">
        <f t="shared" ca="1" si="0"/>
        <v>12704.773345588243</v>
      </c>
      <c r="I12" s="85">
        <f t="shared" ca="1" si="1"/>
        <v>12704.773345588243</v>
      </c>
      <c r="J12" s="85">
        <f t="shared" si="3"/>
        <v>0</v>
      </c>
      <c r="K12" s="153">
        <f>IF('Monthly Cash Flow'!$C$88="Lender Draw",HLOOKUP(F12,'Monthly Cash Flow'!$D$79:$CP$88,10),0)</f>
        <v>19110.294117647059</v>
      </c>
      <c r="L12" s="83">
        <f t="shared" ca="1" si="4"/>
        <v>2625217.647058825</v>
      </c>
      <c r="R12" s="86">
        <v>11</v>
      </c>
      <c r="S12" s="517">
        <f t="shared" ca="1" si="6"/>
        <v>463029.9794192416</v>
      </c>
      <c r="T12" s="517">
        <f t="shared" ca="1" si="7"/>
        <v>4630.2997941924159</v>
      </c>
      <c r="U12" s="517">
        <f ca="1">-IF('Cash Flow Summary'!$D$24="No",0,IF(AND('Cash Flow Summary'!$D$24="Yes",HLOOKUP($R12,'Monthly Cash Flow'!$D$6:$CP$68,61,FALSE)&gt;0),HLOOKUP($R12,'Monthly Cash Flow'!$D$6:$CP$68,61,FALSE),IF('Cash Flow Summary'!$D$24="Current Pay",('Loan Summary'!S12*'Loan Summary'!$P$3)/12,0)))</f>
        <v>0</v>
      </c>
      <c r="V12" s="517">
        <f>IF('Loan Summary'!R12=Assumptions!$AD$3,Assumptions!$AD$25,0)</f>
        <v>0</v>
      </c>
      <c r="W12" s="517">
        <f t="shared" ca="1" si="5"/>
        <v>467660.27921343403</v>
      </c>
    </row>
    <row r="13" spans="2:23">
      <c r="B13" s="89" t="s">
        <v>102</v>
      </c>
      <c r="C13" s="468">
        <v>120</v>
      </c>
      <c r="D13" s="90" t="s">
        <v>108</v>
      </c>
      <c r="F13" s="86">
        <v>12</v>
      </c>
      <c r="G13" s="85">
        <f t="shared" ca="1" si="2"/>
        <v>2625217.647058825</v>
      </c>
      <c r="H13" s="85">
        <f t="shared" ca="1" si="0"/>
        <v>12797.936029411772</v>
      </c>
      <c r="I13" s="85">
        <f t="shared" ca="1" si="1"/>
        <v>12797.936029411772</v>
      </c>
      <c r="J13" s="85">
        <f t="shared" si="3"/>
        <v>0</v>
      </c>
      <c r="K13" s="153">
        <f>IF('Monthly Cash Flow'!$C$88="Lender Draw",HLOOKUP(F13,'Monthly Cash Flow'!$D$79:$CP$88,10),0)</f>
        <v>19110.294117647059</v>
      </c>
      <c r="L13" s="83">
        <f t="shared" ca="1" si="4"/>
        <v>2644327.9411764722</v>
      </c>
      <c r="R13" s="86">
        <v>12</v>
      </c>
      <c r="S13" s="517">
        <f t="shared" ca="1" si="6"/>
        <v>467660.27921343403</v>
      </c>
      <c r="T13" s="517">
        <f t="shared" ca="1" si="7"/>
        <v>4676.6027921343402</v>
      </c>
      <c r="U13" s="517">
        <f ca="1">-IF('Cash Flow Summary'!$D$24="No",0,IF(AND('Cash Flow Summary'!$D$24="Yes",HLOOKUP($R13,'Monthly Cash Flow'!$D$6:$CP$68,61,FALSE)&gt;0),HLOOKUP($R13,'Monthly Cash Flow'!$D$6:$CP$68,61,FALSE),IF('Cash Flow Summary'!$D$24="Current Pay",('Loan Summary'!S13*'Loan Summary'!$P$3)/12,0)))</f>
        <v>0</v>
      </c>
      <c r="V13" s="517">
        <f>IF('Loan Summary'!R13=Assumptions!$AD$3,Assumptions!$AD$25,0)</f>
        <v>0</v>
      </c>
      <c r="W13" s="517">
        <f t="shared" ca="1" si="5"/>
        <v>472336.88200556836</v>
      </c>
    </row>
    <row r="14" spans="2:23">
      <c r="B14" s="89" t="s">
        <v>399</v>
      </c>
      <c r="C14" s="471"/>
      <c r="D14" s="88"/>
      <c r="F14" s="86">
        <v>13</v>
      </c>
      <c r="G14" s="85">
        <f t="shared" ca="1" si="2"/>
        <v>2644327.9411764722</v>
      </c>
      <c r="H14" s="85">
        <f t="shared" ca="1" si="0"/>
        <v>12891.098713235302</v>
      </c>
      <c r="I14" s="85">
        <f t="shared" ca="1" si="1"/>
        <v>12891.098713235302</v>
      </c>
      <c r="J14" s="85">
        <f t="shared" si="3"/>
        <v>0</v>
      </c>
      <c r="K14" s="153">
        <f>IF('Monthly Cash Flow'!$C$88="Lender Draw",HLOOKUP(F14,'Monthly Cash Flow'!$D$79:$CP$88,10),0)</f>
        <v>19110.294117647059</v>
      </c>
      <c r="L14" s="83">
        <f t="shared" ca="1" si="4"/>
        <v>2663438.2352941195</v>
      </c>
      <c r="R14" s="86">
        <v>13</v>
      </c>
      <c r="S14" s="517">
        <f t="shared" ca="1" si="6"/>
        <v>472336.88200556836</v>
      </c>
      <c r="T14" s="517">
        <f t="shared" ca="1" si="7"/>
        <v>4723.3688200556835</v>
      </c>
      <c r="U14" s="517">
        <f ca="1">-IF('Cash Flow Summary'!$E$24="No",0,IF(AND('Cash Flow Summary'!$D$24="Yes",HLOOKUP($R14,'Monthly Cash Flow'!$D$6:$CP$68,61,FALSE)&gt;0),HLOOKUP($R14,'Monthly Cash Flow'!$D$6:$CP$68,61,FALSE),IF('Cash Flow Summary'!$E$24="Current Pay",('Loan Summary'!S14*'Loan Summary'!$P$3)/12,0)))</f>
        <v>0</v>
      </c>
      <c r="V14" s="517">
        <f>IF('Loan Summary'!R14=Assumptions!$AD$3,Assumptions!$AD$25,0)</f>
        <v>0</v>
      </c>
      <c r="W14" s="517">
        <f t="shared" ca="1" si="5"/>
        <v>477060.25082562404</v>
      </c>
    </row>
    <row r="15" spans="2:23">
      <c r="B15" s="89" t="s">
        <v>294</v>
      </c>
      <c r="C15" s="470">
        <f>D15*C9</f>
        <v>18700.956530673539</v>
      </c>
      <c r="D15" s="467">
        <v>5.0000000000000001E-3</v>
      </c>
      <c r="F15" s="86">
        <v>14</v>
      </c>
      <c r="G15" s="85">
        <f t="shared" ca="1" si="2"/>
        <v>2663438.2352941195</v>
      </c>
      <c r="H15" s="85">
        <f t="shared" ca="1" si="0"/>
        <v>12984.261397058832</v>
      </c>
      <c r="I15" s="85">
        <f t="shared" ca="1" si="1"/>
        <v>12984.261397058832</v>
      </c>
      <c r="J15" s="85">
        <f t="shared" si="3"/>
        <v>0</v>
      </c>
      <c r="K15" s="153">
        <f>IF('Monthly Cash Flow'!$C$88="Lender Draw",HLOOKUP(F15,'Monthly Cash Flow'!$D$79:$CP$88,10),0)</f>
        <v>19110.294117647059</v>
      </c>
      <c r="L15" s="83">
        <f t="shared" ca="1" si="4"/>
        <v>2682548.5294117667</v>
      </c>
      <c r="R15" s="86">
        <v>14</v>
      </c>
      <c r="S15" s="517">
        <f t="shared" ca="1" si="6"/>
        <v>477060.25082562404</v>
      </c>
      <c r="T15" s="517">
        <f t="shared" ca="1" si="7"/>
        <v>4770.6025082562401</v>
      </c>
      <c r="U15" s="517">
        <f ca="1">-IF('Cash Flow Summary'!$E$24="No",0,IF(AND('Cash Flow Summary'!$D$24="Yes",HLOOKUP($R15,'Monthly Cash Flow'!$D$6:$CP$68,61,FALSE)&gt;0),HLOOKUP($R15,'Monthly Cash Flow'!$D$6:$CP$68,61,FALSE),IF('Cash Flow Summary'!$E$24="Current Pay",('Loan Summary'!S15*'Loan Summary'!$P$3)/12,0)))</f>
        <v>0</v>
      </c>
      <c r="V15" s="517">
        <f>IF('Loan Summary'!R15=Assumptions!$AD$3,Assumptions!$AD$25,0)</f>
        <v>0</v>
      </c>
      <c r="W15" s="517">
        <f t="shared" ca="1" si="5"/>
        <v>481830.85333388025</v>
      </c>
    </row>
    <row r="16" spans="2:23" ht="15" thickBot="1">
      <c r="B16" s="7" t="s">
        <v>229</v>
      </c>
      <c r="C16" s="414">
        <f>IF(Assumptions!AD3="","",Assumptions!AD3)</f>
        <v>35</v>
      </c>
      <c r="D16" s="52"/>
      <c r="F16" s="86">
        <v>15</v>
      </c>
      <c r="G16" s="85">
        <f t="shared" ca="1" si="2"/>
        <v>2682548.5294117667</v>
      </c>
      <c r="H16" s="85">
        <f t="shared" ca="1" si="0"/>
        <v>13077.424080882363</v>
      </c>
      <c r="I16" s="85">
        <f t="shared" ca="1" si="1"/>
        <v>13077.424080882363</v>
      </c>
      <c r="J16" s="85">
        <f t="shared" si="3"/>
        <v>0</v>
      </c>
      <c r="K16" s="153">
        <f>IF('Monthly Cash Flow'!$C$88="Lender Draw",HLOOKUP(F16,'Monthly Cash Flow'!$D$79:$CP$88,10),0)</f>
        <v>19110.294117647059</v>
      </c>
      <c r="L16" s="83">
        <f t="shared" ca="1" si="4"/>
        <v>2701658.8235294139</v>
      </c>
      <c r="R16" s="86">
        <v>15</v>
      </c>
      <c r="S16" s="517">
        <f t="shared" ca="1" si="6"/>
        <v>481830.85333388025</v>
      </c>
      <c r="T16" s="517">
        <f t="shared" ca="1" si="7"/>
        <v>4818.3085333388026</v>
      </c>
      <c r="U16" s="517">
        <f ca="1">-IF('Cash Flow Summary'!$E$24="No",0,IF(AND('Cash Flow Summary'!$D$24="Yes",HLOOKUP($R16,'Monthly Cash Flow'!$D$6:$CP$68,61,FALSE)&gt;0),HLOOKUP($R16,'Monthly Cash Flow'!$D$6:$CP$68,61,FALSE),IF('Cash Flow Summary'!$E$24="Current Pay",('Loan Summary'!S16*'Loan Summary'!$P$3)/12,0)))</f>
        <v>0</v>
      </c>
      <c r="V16" s="517">
        <f>IF('Loan Summary'!R16=Assumptions!$AD$3,Assumptions!$AD$25,0)</f>
        <v>0</v>
      </c>
      <c r="W16" s="517">
        <f t="shared" ca="1" si="5"/>
        <v>486649.16186721908</v>
      </c>
    </row>
    <row r="17" spans="3:23">
      <c r="F17" s="86">
        <v>16</v>
      </c>
      <c r="G17" s="85">
        <f t="shared" ca="1" si="2"/>
        <v>2701658.8235294139</v>
      </c>
      <c r="H17" s="85">
        <f t="shared" ca="1" si="0"/>
        <v>13170.586764705893</v>
      </c>
      <c r="I17" s="85">
        <f t="shared" ca="1" si="1"/>
        <v>13170.586764705893</v>
      </c>
      <c r="J17" s="85">
        <f t="shared" si="3"/>
        <v>0</v>
      </c>
      <c r="K17" s="153">
        <f>IF('Monthly Cash Flow'!$C$88="Lender Draw",HLOOKUP(F17,'Monthly Cash Flow'!$D$79:$CP$88,10),0)</f>
        <v>19110.294117647059</v>
      </c>
      <c r="L17" s="83">
        <f t="shared" ca="1" si="4"/>
        <v>2720769.1176470611</v>
      </c>
      <c r="R17" s="86">
        <v>16</v>
      </c>
      <c r="S17" s="517">
        <f t="shared" ca="1" si="6"/>
        <v>486649.16186721908</v>
      </c>
      <c r="T17" s="517">
        <f t="shared" ca="1" si="7"/>
        <v>4866.4916186721903</v>
      </c>
      <c r="U17" s="517">
        <f ca="1">-IF('Cash Flow Summary'!$E$24="No",0,IF(AND('Cash Flow Summary'!$D$24="Yes",HLOOKUP($R17,'Monthly Cash Flow'!$D$6:$CP$68,61,FALSE)&gt;0),HLOOKUP($R17,'Monthly Cash Flow'!$D$6:$CP$68,61,FALSE),IF('Cash Flow Summary'!$E$24="Current Pay",('Loan Summary'!S17*'Loan Summary'!$P$3)/12,0)))</f>
        <v>0</v>
      </c>
      <c r="V17" s="517">
        <f>IF('Loan Summary'!R17=Assumptions!$AD$3,Assumptions!$AD$25,0)</f>
        <v>0</v>
      </c>
      <c r="W17" s="517">
        <f t="shared" ca="1" si="5"/>
        <v>491515.65348589129</v>
      </c>
    </row>
    <row r="18" spans="3:23">
      <c r="F18" s="86">
        <v>17</v>
      </c>
      <c r="G18" s="85">
        <f t="shared" ca="1" si="2"/>
        <v>2720769.1176470611</v>
      </c>
      <c r="H18" s="85">
        <f t="shared" ca="1" si="0"/>
        <v>13263.749448529423</v>
      </c>
      <c r="I18" s="85">
        <f t="shared" ca="1" si="1"/>
        <v>13263.749448529423</v>
      </c>
      <c r="J18" s="85">
        <f t="shared" si="3"/>
        <v>0</v>
      </c>
      <c r="K18" s="153">
        <f>IF('Monthly Cash Flow'!$C$88="Lender Draw",HLOOKUP(F18,'Monthly Cash Flow'!$D$79:$CP$88,10),0)</f>
        <v>19110.294117647059</v>
      </c>
      <c r="L18" s="83">
        <f t="shared" ca="1" si="4"/>
        <v>2739879.4117647083</v>
      </c>
      <c r="R18" s="86">
        <v>17</v>
      </c>
      <c r="S18" s="517">
        <f t="shared" ca="1" si="6"/>
        <v>491515.65348589129</v>
      </c>
      <c r="T18" s="517">
        <f t="shared" ca="1" si="7"/>
        <v>4915.1565348589129</v>
      </c>
      <c r="U18" s="517">
        <f ca="1">-IF('Cash Flow Summary'!$E$24="No",0,IF(AND('Cash Flow Summary'!$D$24="Yes",HLOOKUP($R18,'Monthly Cash Flow'!$D$6:$CP$68,61,FALSE)&gt;0),HLOOKUP($R18,'Monthly Cash Flow'!$D$6:$CP$68,61,FALSE),IF('Cash Flow Summary'!$E$24="Current Pay",('Loan Summary'!S18*'Loan Summary'!$P$3)/12,0)))</f>
        <v>0</v>
      </c>
      <c r="V18" s="517">
        <f>IF('Loan Summary'!R18=Assumptions!$AD$3,Assumptions!$AD$25,0)</f>
        <v>0</v>
      </c>
      <c r="W18" s="517">
        <f t="shared" ca="1" si="5"/>
        <v>496430.81002075021</v>
      </c>
    </row>
    <row r="19" spans="3:23">
      <c r="F19" s="86">
        <v>18</v>
      </c>
      <c r="G19" s="85">
        <f t="shared" ca="1" si="2"/>
        <v>2739879.4117647083</v>
      </c>
      <c r="H19" s="85">
        <f t="shared" ca="1" si="0"/>
        <v>13356.912132352953</v>
      </c>
      <c r="I19" s="85">
        <f t="shared" ca="1" si="1"/>
        <v>13356.912132352953</v>
      </c>
      <c r="J19" s="85">
        <f t="shared" si="3"/>
        <v>0</v>
      </c>
      <c r="K19" s="153">
        <f>IF('Monthly Cash Flow'!$C$88="Lender Draw",HLOOKUP(F19,'Monthly Cash Flow'!$D$79:$CP$88,10),0)</f>
        <v>19110.294117647059</v>
      </c>
      <c r="L19" s="83">
        <f t="shared" ca="1" si="4"/>
        <v>2758989.7058823556</v>
      </c>
      <c r="R19" s="86">
        <v>18</v>
      </c>
      <c r="S19" s="517">
        <f t="shared" ca="1" si="6"/>
        <v>496430.81002075021</v>
      </c>
      <c r="T19" s="517">
        <f t="shared" ca="1" si="7"/>
        <v>4964.3081002075023</v>
      </c>
      <c r="U19" s="517">
        <f ca="1">-IF('Cash Flow Summary'!$E$24="No",0,IF(AND('Cash Flow Summary'!$D$24="Yes",HLOOKUP($R19,'Monthly Cash Flow'!$D$6:$CP$68,61,FALSE)&gt;0),HLOOKUP($R19,'Monthly Cash Flow'!$D$6:$CP$68,61,FALSE),IF('Cash Flow Summary'!$E$24="Current Pay",('Loan Summary'!S19*'Loan Summary'!$P$3)/12,0)))</f>
        <v>0</v>
      </c>
      <c r="V19" s="517">
        <f>IF('Loan Summary'!R19=Assumptions!$AD$3,Assumptions!$AD$25,0)</f>
        <v>0</v>
      </c>
      <c r="W19" s="517">
        <f t="shared" ca="1" si="5"/>
        <v>501395.11812095769</v>
      </c>
    </row>
    <row r="20" spans="3:23">
      <c r="F20" s="86">
        <v>19</v>
      </c>
      <c r="G20" s="85">
        <f t="shared" ca="1" si="2"/>
        <v>2758989.7058823556</v>
      </c>
      <c r="H20" s="85">
        <f t="shared" ca="1" si="0"/>
        <v>13450.074816176484</v>
      </c>
      <c r="I20" s="85">
        <f t="shared" ca="1" si="1"/>
        <v>13450.074816176484</v>
      </c>
      <c r="J20" s="85">
        <f t="shared" si="3"/>
        <v>0</v>
      </c>
      <c r="K20" s="153">
        <f>IF('Monthly Cash Flow'!$C$88="Lender Draw",HLOOKUP(F20,'Monthly Cash Flow'!$D$79:$CP$88,10),0)</f>
        <v>19110.294117647059</v>
      </c>
      <c r="L20" s="83">
        <f t="shared" ca="1" si="4"/>
        <v>2778100.0000000028</v>
      </c>
      <c r="R20" s="86">
        <v>19</v>
      </c>
      <c r="S20" s="517">
        <f t="shared" ca="1" si="6"/>
        <v>501395.11812095769</v>
      </c>
      <c r="T20" s="517">
        <f t="shared" ca="1" si="7"/>
        <v>5013.9511812095761</v>
      </c>
      <c r="U20" s="517">
        <f ca="1">-IF('Cash Flow Summary'!$E$24="No",0,IF(AND('Cash Flow Summary'!$D$24="Yes",HLOOKUP($R20,'Monthly Cash Flow'!$D$6:$CP$68,61,FALSE)&gt;0),HLOOKUP($R20,'Monthly Cash Flow'!$D$6:$CP$68,61,FALSE),IF('Cash Flow Summary'!$E$24="Current Pay",('Loan Summary'!S20*'Loan Summary'!$P$3)/12,0)))</f>
        <v>0</v>
      </c>
      <c r="V20" s="517">
        <f>IF('Loan Summary'!R20=Assumptions!$AD$3,Assumptions!$AD$25,0)</f>
        <v>0</v>
      </c>
      <c r="W20" s="517">
        <f t="shared" ca="1" si="5"/>
        <v>506409.06930216728</v>
      </c>
    </row>
    <row r="21" spans="3:23">
      <c r="F21" s="86">
        <v>20</v>
      </c>
      <c r="G21" s="85">
        <f t="shared" ca="1" si="2"/>
        <v>2778100.0000000028</v>
      </c>
      <c r="H21" s="85">
        <f t="shared" ca="1" si="0"/>
        <v>13543.237500000014</v>
      </c>
      <c r="I21" s="85">
        <f t="shared" ca="1" si="1"/>
        <v>13543.237500000014</v>
      </c>
      <c r="J21" s="85">
        <f t="shared" si="3"/>
        <v>0</v>
      </c>
      <c r="K21" s="153">
        <f>IF('Monthly Cash Flow'!$C$88="Lender Draw",HLOOKUP(F21,'Monthly Cash Flow'!$D$79:$CP$88,10),0)</f>
        <v>0</v>
      </c>
      <c r="L21" s="83">
        <f t="shared" ca="1" si="4"/>
        <v>2778100.0000000028</v>
      </c>
      <c r="R21" s="86">
        <v>20</v>
      </c>
      <c r="S21" s="517">
        <f t="shared" ca="1" si="6"/>
        <v>506409.06930216728</v>
      </c>
      <c r="T21" s="517">
        <f t="shared" ca="1" si="7"/>
        <v>5064.0906930216725</v>
      </c>
      <c r="U21" s="517">
        <f ca="1">-IF('Cash Flow Summary'!$E$24="No",0,IF(AND('Cash Flow Summary'!$D$24="Yes",HLOOKUP($R21,'Monthly Cash Flow'!$D$6:$CP$68,61,FALSE)&gt;0),HLOOKUP($R21,'Monthly Cash Flow'!$D$6:$CP$68,61,FALSE),IF('Cash Flow Summary'!$E$24="Current Pay",('Loan Summary'!S21*'Loan Summary'!$P$3)/12,0)))</f>
        <v>0</v>
      </c>
      <c r="V21" s="517">
        <f>IF('Loan Summary'!R21=Assumptions!$AD$3,Assumptions!$AD$25,0)</f>
        <v>0</v>
      </c>
      <c r="W21" s="517">
        <f t="shared" ca="1" si="5"/>
        <v>511473.15999518894</v>
      </c>
    </row>
    <row r="22" spans="3:23">
      <c r="F22" s="86">
        <v>21</v>
      </c>
      <c r="G22" s="85">
        <f t="shared" ca="1" si="2"/>
        <v>2778100.0000000028</v>
      </c>
      <c r="H22" s="85">
        <f t="shared" ca="1" si="0"/>
        <v>13543.237500000014</v>
      </c>
      <c r="I22" s="85">
        <f t="shared" ca="1" si="1"/>
        <v>13543.237500000014</v>
      </c>
      <c r="J22" s="85">
        <f t="shared" si="3"/>
        <v>0</v>
      </c>
      <c r="K22" s="153">
        <f>IF('Monthly Cash Flow'!$C$88="Lender Draw",HLOOKUP(F22,'Monthly Cash Flow'!$D$79:$CP$88,10),0)</f>
        <v>0</v>
      </c>
      <c r="L22" s="83">
        <f t="shared" ca="1" si="4"/>
        <v>2778100.0000000028</v>
      </c>
      <c r="R22" s="86">
        <v>21</v>
      </c>
      <c r="S22" s="517">
        <f t="shared" ca="1" si="6"/>
        <v>511473.15999518894</v>
      </c>
      <c r="T22" s="517">
        <f t="shared" ca="1" si="7"/>
        <v>5114.7315999518896</v>
      </c>
      <c r="U22" s="517">
        <f ca="1">-IF('Cash Flow Summary'!$E$24="No",0,IF(AND('Cash Flow Summary'!$D$24="Yes",HLOOKUP($R22,'Monthly Cash Flow'!$D$6:$CP$68,61,FALSE)&gt;0),HLOOKUP($R22,'Monthly Cash Flow'!$D$6:$CP$68,61,FALSE),IF('Cash Flow Summary'!$E$24="Current Pay",('Loan Summary'!S22*'Loan Summary'!$P$3)/12,0)))</f>
        <v>0</v>
      </c>
      <c r="V22" s="517">
        <f>IF('Loan Summary'!R22=Assumptions!$AD$3,Assumptions!$AD$25,0)</f>
        <v>0</v>
      </c>
      <c r="W22" s="517">
        <f t="shared" ca="1" si="5"/>
        <v>516587.8915951408</v>
      </c>
    </row>
    <row r="23" spans="3:23">
      <c r="F23" s="86">
        <v>22</v>
      </c>
      <c r="G23" s="85">
        <f t="shared" ca="1" si="2"/>
        <v>2778100.0000000028</v>
      </c>
      <c r="H23" s="85">
        <f t="shared" ca="1" si="0"/>
        <v>13543.237500000014</v>
      </c>
      <c r="I23" s="85">
        <f t="shared" ca="1" si="1"/>
        <v>13543.237500000014</v>
      </c>
      <c r="J23" s="85">
        <f t="shared" si="3"/>
        <v>0</v>
      </c>
      <c r="K23" s="153">
        <f>IF('Monthly Cash Flow'!$C$88="Lender Draw",HLOOKUP(F23,'Monthly Cash Flow'!$D$79:$CP$88,10),0)</f>
        <v>0</v>
      </c>
      <c r="L23" s="83">
        <f t="shared" ca="1" si="4"/>
        <v>2778100.0000000028</v>
      </c>
      <c r="R23" s="86">
        <v>22</v>
      </c>
      <c r="S23" s="517">
        <f t="shared" ca="1" si="6"/>
        <v>516587.8915951408</v>
      </c>
      <c r="T23" s="517">
        <f t="shared" ca="1" si="7"/>
        <v>5165.8789159514081</v>
      </c>
      <c r="U23" s="517">
        <f ca="1">-IF('Cash Flow Summary'!$E$24="No",0,IF(AND('Cash Flow Summary'!$D$24="Yes",HLOOKUP($R23,'Monthly Cash Flow'!$D$6:$CP$68,61,FALSE)&gt;0),HLOOKUP($R23,'Monthly Cash Flow'!$D$6:$CP$68,61,FALSE),IF('Cash Flow Summary'!$E$24="Current Pay",('Loan Summary'!S23*'Loan Summary'!$P$3)/12,0)))</f>
        <v>0</v>
      </c>
      <c r="V23" s="517">
        <f>IF('Loan Summary'!R23=Assumptions!$AD$3,Assumptions!$AD$25,0)</f>
        <v>0</v>
      </c>
      <c r="W23" s="517">
        <f t="shared" ca="1" si="5"/>
        <v>521753.77051109221</v>
      </c>
    </row>
    <row r="24" spans="3:23">
      <c r="C24" s="390"/>
      <c r="F24" s="86">
        <v>23</v>
      </c>
      <c r="G24" s="85">
        <f t="shared" ca="1" si="2"/>
        <v>2778100.0000000028</v>
      </c>
      <c r="H24" s="85">
        <f t="shared" ca="1" si="0"/>
        <v>13543.237500000014</v>
      </c>
      <c r="I24" s="85">
        <f t="shared" ca="1" si="1"/>
        <v>13543.237500000014</v>
      </c>
      <c r="J24" s="85">
        <f t="shared" si="3"/>
        <v>0</v>
      </c>
      <c r="K24" s="153">
        <f>IF('Monthly Cash Flow'!$C$88="Lender Draw",HLOOKUP(F24,'Monthly Cash Flow'!$D$79:$CP$88,10),0)</f>
        <v>0</v>
      </c>
      <c r="L24" s="83">
        <f t="shared" ca="1" si="4"/>
        <v>2778100.0000000028</v>
      </c>
      <c r="R24" s="86">
        <v>23</v>
      </c>
      <c r="S24" s="517">
        <f t="shared" ca="1" si="6"/>
        <v>521753.77051109221</v>
      </c>
      <c r="T24" s="517">
        <f t="shared" ca="1" si="7"/>
        <v>5217.5377051109217</v>
      </c>
      <c r="U24" s="517">
        <f ca="1">-IF('Cash Flow Summary'!$E$24="No",0,IF(AND('Cash Flow Summary'!$D$24="Yes",HLOOKUP($R24,'Monthly Cash Flow'!$D$6:$CP$68,61,FALSE)&gt;0),HLOOKUP($R24,'Monthly Cash Flow'!$D$6:$CP$68,61,FALSE),IF('Cash Flow Summary'!$E$24="Current Pay",('Loan Summary'!S24*'Loan Summary'!$P$3)/12,0)))</f>
        <v>0</v>
      </c>
      <c r="V24" s="517">
        <f>IF('Loan Summary'!R24=Assumptions!$AD$3,Assumptions!$AD$25,0)</f>
        <v>0</v>
      </c>
      <c r="W24" s="517">
        <f t="shared" ca="1" si="5"/>
        <v>526971.30821620312</v>
      </c>
    </row>
    <row r="25" spans="3:23">
      <c r="F25" s="86">
        <v>24</v>
      </c>
      <c r="G25" s="85">
        <f t="shared" ca="1" si="2"/>
        <v>2778100.0000000028</v>
      </c>
      <c r="H25" s="85">
        <f t="shared" ca="1" si="0"/>
        <v>13543.237500000014</v>
      </c>
      <c r="I25" s="85">
        <f t="shared" ca="1" si="1"/>
        <v>13543.237500000014</v>
      </c>
      <c r="J25" s="85">
        <f t="shared" si="3"/>
        <v>0</v>
      </c>
      <c r="K25" s="153">
        <f>IF('Monthly Cash Flow'!$C$88="Lender Draw",HLOOKUP(F25,'Monthly Cash Flow'!$D$79:$CP$88,10),0)</f>
        <v>0</v>
      </c>
      <c r="L25" s="83">
        <f t="shared" ca="1" si="4"/>
        <v>2778100.0000000028</v>
      </c>
      <c r="R25" s="86">
        <v>24</v>
      </c>
      <c r="S25" s="517">
        <f t="shared" ca="1" si="6"/>
        <v>526971.30821620312</v>
      </c>
      <c r="T25" s="517">
        <f t="shared" ca="1" si="7"/>
        <v>5269.7130821620312</v>
      </c>
      <c r="U25" s="517">
        <f ca="1">-IF('Cash Flow Summary'!$E$24="No",0,IF(AND('Cash Flow Summary'!$D$24="Yes",HLOOKUP($R25,'Monthly Cash Flow'!$D$6:$CP$68,61,FALSE)&gt;0),HLOOKUP($R25,'Monthly Cash Flow'!$D$6:$CP$68,61,FALSE),IF('Cash Flow Summary'!$E$24="Current Pay",('Loan Summary'!S25*'Loan Summary'!$P$3)/12,0)))</f>
        <v>0</v>
      </c>
      <c r="V25" s="517">
        <f>IF('Loan Summary'!R25=Assumptions!$AD$3,Assumptions!$AD$25,0)</f>
        <v>0</v>
      </c>
      <c r="W25" s="517">
        <f t="shared" ca="1" si="5"/>
        <v>532241.0212983652</v>
      </c>
    </row>
    <row r="26" spans="3:23">
      <c r="F26" s="86">
        <v>25</v>
      </c>
      <c r="G26" s="85">
        <f t="shared" ca="1" si="2"/>
        <v>2778100.0000000028</v>
      </c>
      <c r="H26" s="85">
        <f t="shared" ca="1" si="0"/>
        <v>13543.237500000014</v>
      </c>
      <c r="I26" s="85">
        <f t="shared" ca="1" si="1"/>
        <v>13543.237500000014</v>
      </c>
      <c r="J26" s="85">
        <f t="shared" si="3"/>
        <v>0</v>
      </c>
      <c r="K26" s="153">
        <f>IF('Monthly Cash Flow'!$C$88="Lender Draw",HLOOKUP(F26,'Monthly Cash Flow'!$D$79:$CP$88,10),0)</f>
        <v>0</v>
      </c>
      <c r="L26" s="83">
        <f t="shared" ca="1" si="4"/>
        <v>2778100.0000000028</v>
      </c>
      <c r="R26" s="86">
        <v>25</v>
      </c>
      <c r="S26" s="517">
        <f t="shared" ca="1" si="6"/>
        <v>532241.0212983652</v>
      </c>
      <c r="T26" s="517">
        <f t="shared" ca="1" si="7"/>
        <v>5322.4102129836519</v>
      </c>
      <c r="U26" s="517">
        <f ca="1">-IF('Cash Flow Summary'!$F$24="No",0,IF(AND('Cash Flow Summary'!$D$24="Yes",HLOOKUP($R26,'Monthly Cash Flow'!$D$6:$CP$68,61,FALSE)&gt;0),HLOOKUP($R26,'Monthly Cash Flow'!$D$6:$CP$68,61,FALSE),IF('Cash Flow Summary'!$F$24="Current Pay",('Loan Summary'!S26*'Loan Summary'!$P$3)/12,0)))</f>
        <v>0</v>
      </c>
      <c r="V26" s="517">
        <f>IF('Loan Summary'!R26=Assumptions!$AD$3,Assumptions!$AD$25,0)</f>
        <v>0</v>
      </c>
      <c r="W26" s="517">
        <f t="shared" ca="1" si="5"/>
        <v>537563.43151134881</v>
      </c>
    </row>
    <row r="27" spans="3:23">
      <c r="F27" s="86">
        <v>26</v>
      </c>
      <c r="G27" s="85">
        <f t="shared" ca="1" si="2"/>
        <v>2778100.0000000028</v>
      </c>
      <c r="H27" s="85">
        <f t="shared" ca="1" si="0"/>
        <v>13543.237500000014</v>
      </c>
      <c r="I27" s="85">
        <f t="shared" ca="1" si="1"/>
        <v>13543.237500000014</v>
      </c>
      <c r="J27" s="85">
        <f t="shared" si="3"/>
        <v>0</v>
      </c>
      <c r="K27" s="153">
        <f>IF('Monthly Cash Flow'!$C$88="Lender Draw",HLOOKUP(F27,'Monthly Cash Flow'!$D$79:$CP$88,10),0)</f>
        <v>0</v>
      </c>
      <c r="L27" s="83">
        <f t="shared" ca="1" si="4"/>
        <v>2778100.0000000028</v>
      </c>
      <c r="R27" s="86">
        <v>26</v>
      </c>
      <c r="S27" s="517">
        <f t="shared" ca="1" si="6"/>
        <v>537563.43151134881</v>
      </c>
      <c r="T27" s="517">
        <f t="shared" ca="1" si="7"/>
        <v>5375.6343151134879</v>
      </c>
      <c r="U27" s="517">
        <f ca="1">-IF('Cash Flow Summary'!$F$24="No",0,IF(AND('Cash Flow Summary'!$D$24="Yes",HLOOKUP($R27,'Monthly Cash Flow'!$D$6:$CP$68,61,FALSE)&gt;0),HLOOKUP($R27,'Monthly Cash Flow'!$D$6:$CP$68,61,FALSE),IF('Cash Flow Summary'!$F$24="Current Pay",('Loan Summary'!S27*'Loan Summary'!$P$3)/12,0)))</f>
        <v>0</v>
      </c>
      <c r="V27" s="517">
        <f>IF('Loan Summary'!R27=Assumptions!$AD$3,Assumptions!$AD$25,0)</f>
        <v>0</v>
      </c>
      <c r="W27" s="517">
        <f t="shared" ca="1" si="5"/>
        <v>542939.06582646235</v>
      </c>
    </row>
    <row r="28" spans="3:23">
      <c r="F28" s="86">
        <v>27</v>
      </c>
      <c r="G28" s="85">
        <f t="shared" ca="1" si="2"/>
        <v>2778100.0000000028</v>
      </c>
      <c r="H28" s="85">
        <f t="shared" ca="1" si="0"/>
        <v>13543.237500000014</v>
      </c>
      <c r="I28" s="85">
        <f t="shared" ca="1" si="1"/>
        <v>13543.237500000014</v>
      </c>
      <c r="J28" s="85">
        <f t="shared" si="3"/>
        <v>0</v>
      </c>
      <c r="K28" s="153">
        <f>IF('Monthly Cash Flow'!$C$88="Lender Draw",HLOOKUP(F28,'Monthly Cash Flow'!$D$79:$CP$88,10),0)</f>
        <v>0</v>
      </c>
      <c r="L28" s="83">
        <f t="shared" ca="1" si="4"/>
        <v>2778100.0000000028</v>
      </c>
      <c r="R28" s="86">
        <v>27</v>
      </c>
      <c r="S28" s="517">
        <f t="shared" ca="1" si="6"/>
        <v>542939.06582646235</v>
      </c>
      <c r="T28" s="517">
        <f t="shared" ca="1" si="7"/>
        <v>5429.3906582646232</v>
      </c>
      <c r="U28" s="517">
        <f ca="1">-IF('Cash Flow Summary'!$F$24="No",0,IF(AND('Cash Flow Summary'!$D$24="Yes",HLOOKUP($R28,'Monthly Cash Flow'!$D$6:$CP$68,61,FALSE)&gt;0),HLOOKUP($R28,'Monthly Cash Flow'!$D$6:$CP$68,61,FALSE),IF('Cash Flow Summary'!$F$24="Current Pay",('Loan Summary'!S28*'Loan Summary'!$P$3)/12,0)))</f>
        <v>0</v>
      </c>
      <c r="V28" s="517">
        <f>IF('Loan Summary'!R28=Assumptions!$AD$3,Assumptions!$AD$25,0)</f>
        <v>0</v>
      </c>
      <c r="W28" s="517">
        <f t="shared" ca="1" si="5"/>
        <v>548368.45648472698</v>
      </c>
    </row>
    <row r="29" spans="3:23">
      <c r="F29" s="86">
        <v>28</v>
      </c>
      <c r="G29" s="85">
        <f t="shared" ca="1" si="2"/>
        <v>2778100.0000000028</v>
      </c>
      <c r="H29" s="85">
        <f t="shared" ca="1" si="0"/>
        <v>13543.237500000014</v>
      </c>
      <c r="I29" s="85">
        <f t="shared" ca="1" si="1"/>
        <v>13543.237500000014</v>
      </c>
      <c r="J29" s="85">
        <f t="shared" si="3"/>
        <v>0</v>
      </c>
      <c r="K29" s="153">
        <f>IF('Monthly Cash Flow'!$C$88="Lender Draw",HLOOKUP(F29,'Monthly Cash Flow'!$D$79:$CP$88,10),0)</f>
        <v>0</v>
      </c>
      <c r="L29" s="83">
        <f t="shared" ca="1" si="4"/>
        <v>2778100.0000000028</v>
      </c>
      <c r="R29" s="86">
        <v>28</v>
      </c>
      <c r="S29" s="517">
        <f t="shared" ca="1" si="6"/>
        <v>548368.45648472698</v>
      </c>
      <c r="T29" s="517">
        <f t="shared" ca="1" si="7"/>
        <v>5483.6845648472699</v>
      </c>
      <c r="U29" s="517">
        <f ca="1">-IF('Cash Flow Summary'!$F$24="No",0,IF(AND('Cash Flow Summary'!$D$24="Yes",HLOOKUP($R29,'Monthly Cash Flow'!$D$6:$CP$68,61,FALSE)&gt;0),HLOOKUP($R29,'Monthly Cash Flow'!$D$6:$CP$68,61,FALSE),IF('Cash Flow Summary'!$F$24="Current Pay",('Loan Summary'!S29*'Loan Summary'!$P$3)/12,0)))</f>
        <v>0</v>
      </c>
      <c r="V29" s="517">
        <f>IF('Loan Summary'!R29=Assumptions!$AD$3,Assumptions!$AD$25,0)</f>
        <v>0</v>
      </c>
      <c r="W29" s="517">
        <f t="shared" ca="1" si="5"/>
        <v>553852.14104957425</v>
      </c>
    </row>
    <row r="30" spans="3:23">
      <c r="F30" s="86">
        <v>29</v>
      </c>
      <c r="G30" s="85">
        <f t="shared" ca="1" si="2"/>
        <v>2778100.0000000028</v>
      </c>
      <c r="H30" s="85">
        <f t="shared" ca="1" si="0"/>
        <v>13543.237500000014</v>
      </c>
      <c r="I30" s="85">
        <f t="shared" ca="1" si="1"/>
        <v>13543.237500000014</v>
      </c>
      <c r="J30" s="85">
        <f t="shared" si="3"/>
        <v>0</v>
      </c>
      <c r="K30" s="153">
        <f>IF('Monthly Cash Flow'!$C$88="Lender Draw",HLOOKUP(F30,'Monthly Cash Flow'!$D$79:$CP$88,10),0)</f>
        <v>0</v>
      </c>
      <c r="L30" s="83">
        <f t="shared" ca="1" si="4"/>
        <v>2778100.0000000028</v>
      </c>
      <c r="R30" s="86">
        <v>29</v>
      </c>
      <c r="S30" s="517">
        <f t="shared" ca="1" si="6"/>
        <v>553852.14104957425</v>
      </c>
      <c r="T30" s="517">
        <f t="shared" ca="1" si="7"/>
        <v>5538.5214104957422</v>
      </c>
      <c r="U30" s="517">
        <f ca="1">-IF('Cash Flow Summary'!$F$24="No",0,IF(AND('Cash Flow Summary'!$D$24="Yes",HLOOKUP($R30,'Monthly Cash Flow'!$D$6:$CP$68,61,FALSE)&gt;0),HLOOKUP($R30,'Monthly Cash Flow'!$D$6:$CP$68,61,FALSE),IF('Cash Flow Summary'!$F$24="Current Pay",('Loan Summary'!S30*'Loan Summary'!$P$3)/12,0)))</f>
        <v>0</v>
      </c>
      <c r="V30" s="517">
        <f>IF('Loan Summary'!R30=Assumptions!$AD$3,Assumptions!$AD$25,0)</f>
        <v>0</v>
      </c>
      <c r="W30" s="517">
        <f t="shared" ca="1" si="5"/>
        <v>559390.66246006999</v>
      </c>
    </row>
    <row r="31" spans="3:23">
      <c r="F31" s="86">
        <v>30</v>
      </c>
      <c r="G31" s="85">
        <f t="shared" ca="1" si="2"/>
        <v>2778100.0000000028</v>
      </c>
      <c r="H31" s="85">
        <f t="shared" ca="1" si="0"/>
        <v>13543.237500000014</v>
      </c>
      <c r="I31" s="85">
        <f t="shared" ca="1" si="1"/>
        <v>13543.237500000014</v>
      </c>
      <c r="J31" s="85">
        <f t="shared" si="3"/>
        <v>0</v>
      </c>
      <c r="K31" s="153">
        <f>IF('Monthly Cash Flow'!$C$88="Lender Draw",HLOOKUP(F31,'Monthly Cash Flow'!$D$79:$CP$88,10),0)</f>
        <v>0</v>
      </c>
      <c r="L31" s="83">
        <f t="shared" ca="1" si="4"/>
        <v>2778100.0000000028</v>
      </c>
      <c r="R31" s="86">
        <v>30</v>
      </c>
      <c r="S31" s="517">
        <f t="shared" ca="1" si="6"/>
        <v>559390.66246006999</v>
      </c>
      <c r="T31" s="517">
        <f t="shared" ca="1" si="7"/>
        <v>5593.9066246006996</v>
      </c>
      <c r="U31" s="517">
        <f ca="1">-IF('Cash Flow Summary'!$F$24="No",0,IF(AND('Cash Flow Summary'!$D$24="Yes",HLOOKUP($R31,'Monthly Cash Flow'!$D$6:$CP$68,61,FALSE)&gt;0),HLOOKUP($R31,'Monthly Cash Flow'!$D$6:$CP$68,61,FALSE),IF('Cash Flow Summary'!$F$24="Current Pay",('Loan Summary'!S31*'Loan Summary'!$P$3)/12,0)))</f>
        <v>0</v>
      </c>
      <c r="V31" s="517">
        <f>IF('Loan Summary'!R31=Assumptions!$AD$3,Assumptions!$AD$25,0)</f>
        <v>0</v>
      </c>
      <c r="W31" s="517">
        <f t="shared" ca="1" si="5"/>
        <v>564984.56908467074</v>
      </c>
    </row>
    <row r="32" spans="3:23">
      <c r="F32" s="86">
        <v>31</v>
      </c>
      <c r="G32" s="85">
        <f t="shared" ca="1" si="2"/>
        <v>2778100.0000000028</v>
      </c>
      <c r="H32" s="85">
        <f t="shared" ca="1" si="0"/>
        <v>13543.237500000014</v>
      </c>
      <c r="I32" s="85">
        <f t="shared" ca="1" si="1"/>
        <v>13543.237500000014</v>
      </c>
      <c r="J32" s="85">
        <f t="shared" si="3"/>
        <v>0</v>
      </c>
      <c r="K32" s="153">
        <f>IF('Monthly Cash Flow'!$C$88="Lender Draw",HLOOKUP(F32,'Monthly Cash Flow'!$D$79:$CP$88,10),0)</f>
        <v>0</v>
      </c>
      <c r="L32" s="83">
        <f t="shared" ca="1" si="4"/>
        <v>2778100.0000000028</v>
      </c>
      <c r="R32" s="86">
        <v>31</v>
      </c>
      <c r="S32" s="517">
        <f t="shared" ca="1" si="6"/>
        <v>564984.56908467074</v>
      </c>
      <c r="T32" s="517">
        <f t="shared" ca="1" si="7"/>
        <v>5649.8456908467078</v>
      </c>
      <c r="U32" s="517">
        <f ca="1">-IF('Cash Flow Summary'!$F$24="No",0,IF(AND('Cash Flow Summary'!$D$24="Yes",HLOOKUP($R32,'Monthly Cash Flow'!$D$6:$CP$68,61,FALSE)&gt;0),HLOOKUP($R32,'Monthly Cash Flow'!$D$6:$CP$68,61,FALSE),IF('Cash Flow Summary'!$F$24="Current Pay",('Loan Summary'!S32*'Loan Summary'!$P$3)/12,0)))</f>
        <v>0</v>
      </c>
      <c r="V32" s="517">
        <f>IF('Loan Summary'!R32=Assumptions!$AD$3,Assumptions!$AD$25,0)</f>
        <v>0</v>
      </c>
      <c r="W32" s="517">
        <f t="shared" ca="1" si="5"/>
        <v>570634.41477551742</v>
      </c>
    </row>
    <row r="33" spans="6:23">
      <c r="F33" s="86">
        <v>32</v>
      </c>
      <c r="G33" s="85">
        <f t="shared" ca="1" si="2"/>
        <v>2778100.0000000028</v>
      </c>
      <c r="H33" s="85">
        <f t="shared" ca="1" si="0"/>
        <v>13543.237500000014</v>
      </c>
      <c r="I33" s="85">
        <f t="shared" ca="1" si="1"/>
        <v>13543.237500000014</v>
      </c>
      <c r="J33" s="85">
        <f t="shared" si="3"/>
        <v>0</v>
      </c>
      <c r="K33" s="153">
        <f>IF('Monthly Cash Flow'!$C$88="Lender Draw",HLOOKUP(F33,'Monthly Cash Flow'!$D$79:$CP$88,10),0)</f>
        <v>0</v>
      </c>
      <c r="L33" s="83">
        <f t="shared" ca="1" si="4"/>
        <v>2778100.0000000028</v>
      </c>
      <c r="R33" s="86">
        <v>32</v>
      </c>
      <c r="S33" s="517">
        <f t="shared" ca="1" si="6"/>
        <v>570634.41477551742</v>
      </c>
      <c r="T33" s="517">
        <f t="shared" ca="1" si="7"/>
        <v>5706.3441477551742</v>
      </c>
      <c r="U33" s="517">
        <f ca="1">-IF('Cash Flow Summary'!$F$24="No",0,IF(AND('Cash Flow Summary'!$D$24="Yes",HLOOKUP($R33,'Monthly Cash Flow'!$D$6:$CP$68,61,FALSE)&gt;0),HLOOKUP($R33,'Monthly Cash Flow'!$D$6:$CP$68,61,FALSE),IF('Cash Flow Summary'!$F$24="Current Pay",('Loan Summary'!S33*'Loan Summary'!$P$3)/12,0)))</f>
        <v>0</v>
      </c>
      <c r="V33" s="517">
        <f>IF('Loan Summary'!R33=Assumptions!$AD$3,Assumptions!$AD$25,0)</f>
        <v>0</v>
      </c>
      <c r="W33" s="517">
        <f t="shared" ca="1" si="5"/>
        <v>576340.7589232726</v>
      </c>
    </row>
    <row r="34" spans="6:23">
      <c r="F34" s="86">
        <v>33</v>
      </c>
      <c r="G34" s="85">
        <f t="shared" ca="1" si="2"/>
        <v>2778100.0000000028</v>
      </c>
      <c r="H34" s="85">
        <f t="shared" ca="1" si="0"/>
        <v>13543.237500000014</v>
      </c>
      <c r="I34" s="85">
        <f t="shared" ca="1" si="1"/>
        <v>13543.237500000014</v>
      </c>
      <c r="J34" s="85">
        <f t="shared" si="3"/>
        <v>0</v>
      </c>
      <c r="K34" s="153">
        <f>IF('Monthly Cash Flow'!$C$88="Lender Draw",HLOOKUP(F34,'Monthly Cash Flow'!$D$79:$CP$88,10),0)</f>
        <v>0</v>
      </c>
      <c r="L34" s="83">
        <f t="shared" ca="1" si="4"/>
        <v>2778100.0000000028</v>
      </c>
      <c r="R34" s="86">
        <v>33</v>
      </c>
      <c r="S34" s="517">
        <f t="shared" ca="1" si="6"/>
        <v>576340.7589232726</v>
      </c>
      <c r="T34" s="517">
        <f t="shared" ca="1" si="7"/>
        <v>5763.4075892327264</v>
      </c>
      <c r="U34" s="517">
        <f ca="1">-IF('Cash Flow Summary'!$F$24="No",0,IF(AND('Cash Flow Summary'!$D$24="Yes",HLOOKUP($R34,'Monthly Cash Flow'!$D$6:$CP$68,61,FALSE)&gt;0),HLOOKUP($R34,'Monthly Cash Flow'!$D$6:$CP$68,61,FALSE),IF('Cash Flow Summary'!$F$24="Current Pay",('Loan Summary'!S34*'Loan Summary'!$P$3)/12,0)))</f>
        <v>0</v>
      </c>
      <c r="V34" s="517">
        <f>IF('Loan Summary'!R34=Assumptions!$AD$3,Assumptions!$AD$25,0)</f>
        <v>0</v>
      </c>
      <c r="W34" s="517">
        <f t="shared" ca="1" si="5"/>
        <v>582104.16651250538</v>
      </c>
    </row>
    <row r="35" spans="6:23">
      <c r="F35" s="86">
        <v>34</v>
      </c>
      <c r="G35" s="85">
        <f t="shared" ca="1" si="2"/>
        <v>2778100.0000000028</v>
      </c>
      <c r="H35" s="85">
        <f t="shared" ca="1" si="0"/>
        <v>13543.237500000014</v>
      </c>
      <c r="I35" s="85">
        <f t="shared" ca="1" si="1"/>
        <v>13543.237500000014</v>
      </c>
      <c r="J35" s="85">
        <f t="shared" si="3"/>
        <v>0</v>
      </c>
      <c r="K35" s="153">
        <f>IF('Monthly Cash Flow'!$C$88="Lender Draw",HLOOKUP(F35,'Monthly Cash Flow'!$D$79:$CP$88,10),0)</f>
        <v>0</v>
      </c>
      <c r="L35" s="83">
        <f t="shared" ca="1" si="4"/>
        <v>2778100.0000000028</v>
      </c>
      <c r="R35" s="86">
        <v>34</v>
      </c>
      <c r="S35" s="517">
        <f t="shared" ca="1" si="6"/>
        <v>582104.16651250538</v>
      </c>
      <c r="T35" s="517">
        <f t="shared" ca="1" si="7"/>
        <v>5821.0416651250534</v>
      </c>
      <c r="U35" s="517">
        <f ca="1">-IF('Cash Flow Summary'!$F$24="No",0,IF(AND('Cash Flow Summary'!$D$24="Yes",HLOOKUP($R35,'Monthly Cash Flow'!$D$6:$CP$68,61,FALSE)&gt;0),HLOOKUP($R35,'Monthly Cash Flow'!$D$6:$CP$68,61,FALSE),IF('Cash Flow Summary'!$F$24="Current Pay",('Loan Summary'!S35*'Loan Summary'!$P$3)/12,0)))</f>
        <v>0</v>
      </c>
      <c r="V35" s="517">
        <f>IF('Loan Summary'!R35=Assumptions!$AD$3,Assumptions!$AD$25,0)</f>
        <v>0</v>
      </c>
      <c r="W35" s="517">
        <f t="shared" ca="1" si="5"/>
        <v>587925.20817763044</v>
      </c>
    </row>
    <row r="36" spans="6:23">
      <c r="F36" s="86">
        <v>35</v>
      </c>
      <c r="G36" s="85">
        <f t="shared" si="2"/>
        <v>3740191.3061347073</v>
      </c>
      <c r="H36" s="85">
        <f t="shared" si="0"/>
        <v>21236.394865569677</v>
      </c>
      <c r="I36" s="85">
        <f t="shared" si="1"/>
        <v>17142.543486450741</v>
      </c>
      <c r="J36" s="85">
        <f t="shared" si="3"/>
        <v>0</v>
      </c>
      <c r="K36" s="153">
        <f>IF('Monthly Cash Flow'!$C$88="Lender Draw",HLOOKUP(F36,'Monthly Cash Flow'!$D$79:$CP$88,10),0)</f>
        <v>0</v>
      </c>
      <c r="L36" s="83">
        <f t="shared" si="4"/>
        <v>3740191.3061347073</v>
      </c>
      <c r="R36" s="86">
        <v>35</v>
      </c>
      <c r="S36" s="517">
        <f t="shared" ca="1" si="6"/>
        <v>587925.20817763044</v>
      </c>
      <c r="T36" s="517">
        <f t="shared" ca="1" si="7"/>
        <v>5879.2520817763043</v>
      </c>
      <c r="U36" s="517">
        <f ca="1">-IF('Cash Flow Summary'!$F$24="No",0,IF(AND('Cash Flow Summary'!$D$24="Yes",HLOOKUP($R36,'Monthly Cash Flow'!$D$6:$CP$68,61,FALSE)&gt;0),HLOOKUP($R36,'Monthly Cash Flow'!$D$6:$CP$68,61,FALSE),IF('Cash Flow Summary'!$F$24="Current Pay",('Loan Summary'!S36*'Loan Summary'!$P$3)/12,0)))</f>
        <v>0</v>
      </c>
      <c r="V36" s="517">
        <f>IF('Loan Summary'!R36=Assumptions!$AD$3,Assumptions!$AD$25,0)</f>
        <v>0</v>
      </c>
      <c r="W36" s="517">
        <f t="shared" ca="1" si="5"/>
        <v>593804.46025940671</v>
      </c>
    </row>
    <row r="37" spans="6:23">
      <c r="F37" s="86">
        <v>36</v>
      </c>
      <c r="G37" s="85">
        <f t="shared" si="2"/>
        <v>3740191.3061347073</v>
      </c>
      <c r="H37" s="85">
        <f t="shared" si="0"/>
        <v>21236.394865569677</v>
      </c>
      <c r="I37" s="85">
        <f t="shared" si="1"/>
        <v>17142.543486450741</v>
      </c>
      <c r="J37" s="85">
        <f t="shared" si="3"/>
        <v>0</v>
      </c>
      <c r="K37" s="153">
        <f>IF('Monthly Cash Flow'!$C$88="Lender Draw",HLOOKUP(F37,'Monthly Cash Flow'!$D$79:$CP$88,10),0)</f>
        <v>0</v>
      </c>
      <c r="L37" s="83">
        <f t="shared" si="4"/>
        <v>3740191.3061347073</v>
      </c>
      <c r="R37" s="86">
        <v>36</v>
      </c>
      <c r="S37" s="517">
        <f t="shared" ca="1" si="6"/>
        <v>593804.46025940671</v>
      </c>
      <c r="T37" s="517">
        <f t="shared" ca="1" si="7"/>
        <v>5938.0446025940664</v>
      </c>
      <c r="U37" s="517">
        <f ca="1">-IF('Cash Flow Summary'!$F$24="No",0,IF(AND('Cash Flow Summary'!$D$24="Yes",HLOOKUP($R37,'Monthly Cash Flow'!$D$6:$CP$68,61,FALSE)&gt;0),HLOOKUP($R37,'Monthly Cash Flow'!$D$6:$CP$68,61,FALSE),IF('Cash Flow Summary'!$F$24="Current Pay",('Loan Summary'!S37*'Loan Summary'!$P$3)/12,0)))</f>
        <v>0</v>
      </c>
      <c r="V37" s="517">
        <f>IF('Loan Summary'!R37=Assumptions!$AD$3,Assumptions!$AD$25,0)</f>
        <v>0</v>
      </c>
      <c r="W37" s="517">
        <f t="shared" ca="1" si="5"/>
        <v>599742.50486200082</v>
      </c>
    </row>
    <row r="38" spans="6:23">
      <c r="F38" s="86">
        <v>37</v>
      </c>
      <c r="G38" s="85">
        <f t="shared" si="2"/>
        <v>3740191.3061347073</v>
      </c>
      <c r="H38" s="85">
        <f t="shared" si="0"/>
        <v>21236.394865569677</v>
      </c>
      <c r="I38" s="85">
        <f t="shared" si="1"/>
        <v>17142.543486450741</v>
      </c>
      <c r="J38" s="85">
        <f t="shared" si="3"/>
        <v>0</v>
      </c>
      <c r="K38" s="153">
        <f>IF('Monthly Cash Flow'!$C$88="Lender Draw",HLOOKUP(F38,'Monthly Cash Flow'!$D$79:$CP$88,10),0)</f>
        <v>0</v>
      </c>
      <c r="L38" s="83">
        <f t="shared" si="4"/>
        <v>3740191.3061347073</v>
      </c>
      <c r="R38" s="86">
        <v>37</v>
      </c>
      <c r="S38" s="517">
        <f t="shared" ca="1" si="6"/>
        <v>599742.50486200082</v>
      </c>
      <c r="T38" s="517">
        <f t="shared" ca="1" si="7"/>
        <v>5997.4250486200081</v>
      </c>
      <c r="U38" s="517">
        <f ca="1">-IF('Cash Flow Summary'!$G$24="No",0,IF(AND('Cash Flow Summary'!$D$24="Yes",HLOOKUP($R38,'Monthly Cash Flow'!$D$6:$CP$68,61,FALSE)&gt;0),HLOOKUP($R38,'Monthly Cash Flow'!$D$6:$CP$68,61,FALSE),IF('Cash Flow Summary'!$G$24="Current Pay",('Loan Summary'!S38*'Loan Summary'!$P$3)/12,0)))</f>
        <v>0</v>
      </c>
      <c r="V38" s="517">
        <f>IF('Loan Summary'!R38=Assumptions!$AD$3,Assumptions!$AD$25,0)</f>
        <v>0</v>
      </c>
      <c r="W38" s="517">
        <f t="shared" ca="1" si="5"/>
        <v>605739.92991062079</v>
      </c>
    </row>
    <row r="39" spans="6:23">
      <c r="F39" s="86">
        <v>38</v>
      </c>
      <c r="G39" s="85">
        <f t="shared" si="2"/>
        <v>3740191.3061347073</v>
      </c>
      <c r="H39" s="85">
        <f t="shared" si="0"/>
        <v>21236.394865569677</v>
      </c>
      <c r="I39" s="85">
        <f t="shared" si="1"/>
        <v>17142.543486450741</v>
      </c>
      <c r="J39" s="85">
        <f t="shared" si="3"/>
        <v>0</v>
      </c>
      <c r="K39" s="153">
        <f>IF('Monthly Cash Flow'!$C$88="Lender Draw",HLOOKUP(F39,'Monthly Cash Flow'!$D$79:$CP$88,10),0)</f>
        <v>0</v>
      </c>
      <c r="L39" s="83">
        <f t="shared" si="4"/>
        <v>3740191.3061347073</v>
      </c>
      <c r="R39" s="86">
        <v>38</v>
      </c>
      <c r="S39" s="517">
        <f t="shared" ca="1" si="6"/>
        <v>605739.92991062079</v>
      </c>
      <c r="T39" s="517">
        <f t="shared" ca="1" si="7"/>
        <v>6057.3992991062078</v>
      </c>
      <c r="U39" s="517">
        <f ca="1">-IF('Cash Flow Summary'!$G$24="No",0,IF(AND('Cash Flow Summary'!$D$24="Yes",HLOOKUP($R39,'Monthly Cash Flow'!$D$6:$CP$68,61,FALSE)&gt;0),HLOOKUP($R39,'Monthly Cash Flow'!$D$6:$CP$68,61,FALSE),IF('Cash Flow Summary'!$G$24="Current Pay",('Loan Summary'!S39*'Loan Summary'!$P$3)/12,0)))</f>
        <v>0</v>
      </c>
      <c r="V39" s="517">
        <f>IF('Loan Summary'!R39=Assumptions!$AD$3,Assumptions!$AD$25,0)</f>
        <v>0</v>
      </c>
      <c r="W39" s="517">
        <f t="shared" ca="1" si="5"/>
        <v>611797.329209727</v>
      </c>
    </row>
    <row r="40" spans="6:23">
      <c r="F40" s="86">
        <v>39</v>
      </c>
      <c r="G40" s="85">
        <f t="shared" si="2"/>
        <v>3740191.3061347073</v>
      </c>
      <c r="H40" s="85">
        <f t="shared" si="0"/>
        <v>21236.394865569677</v>
      </c>
      <c r="I40" s="85">
        <f t="shared" si="1"/>
        <v>17142.543486450741</v>
      </c>
      <c r="J40" s="85">
        <f t="shared" si="3"/>
        <v>0</v>
      </c>
      <c r="K40" s="153">
        <f>IF('Monthly Cash Flow'!$C$88="Lender Draw",HLOOKUP(F40,'Monthly Cash Flow'!$D$79:$CP$88,10),0)</f>
        <v>0</v>
      </c>
      <c r="L40" s="83">
        <f t="shared" si="4"/>
        <v>3740191.3061347073</v>
      </c>
      <c r="R40" s="86">
        <v>39</v>
      </c>
      <c r="S40" s="517">
        <f t="shared" ca="1" si="6"/>
        <v>611797.329209727</v>
      </c>
      <c r="T40" s="517">
        <f t="shared" ca="1" si="7"/>
        <v>6117.9732920972701</v>
      </c>
      <c r="U40" s="517">
        <f ca="1">-IF('Cash Flow Summary'!$G$24="No",0,IF(AND('Cash Flow Summary'!$D$24="Yes",HLOOKUP($R40,'Monthly Cash Flow'!$D$6:$CP$68,61,FALSE)&gt;0),HLOOKUP($R40,'Monthly Cash Flow'!$D$6:$CP$68,61,FALSE),IF('Cash Flow Summary'!$G$24="Current Pay",('Loan Summary'!S40*'Loan Summary'!$P$3)/12,0)))</f>
        <v>0</v>
      </c>
      <c r="V40" s="517">
        <f>IF('Loan Summary'!R40=Assumptions!$AD$3,Assumptions!$AD$25,0)</f>
        <v>0</v>
      </c>
      <c r="W40" s="517">
        <f t="shared" ca="1" si="5"/>
        <v>617915.30250182422</v>
      </c>
    </row>
    <row r="41" spans="6:23">
      <c r="F41" s="86">
        <v>40</v>
      </c>
      <c r="G41" s="85">
        <f t="shared" si="2"/>
        <v>3740191.3061347073</v>
      </c>
      <c r="H41" s="85">
        <f t="shared" si="0"/>
        <v>21236.394865569677</v>
      </c>
      <c r="I41" s="85">
        <f t="shared" si="1"/>
        <v>17142.543486450741</v>
      </c>
      <c r="J41" s="85">
        <f t="shared" si="3"/>
        <v>0</v>
      </c>
      <c r="K41" s="153">
        <f>IF('Monthly Cash Flow'!$C$88="Lender Draw",HLOOKUP(F41,'Monthly Cash Flow'!$D$79:$CP$88,10),0)</f>
        <v>0</v>
      </c>
      <c r="L41" s="83">
        <f t="shared" si="4"/>
        <v>3740191.3061347073</v>
      </c>
      <c r="R41" s="86">
        <v>40</v>
      </c>
      <c r="S41" s="517">
        <f t="shared" ca="1" si="6"/>
        <v>617915.30250182422</v>
      </c>
      <c r="T41" s="517">
        <f t="shared" ca="1" si="7"/>
        <v>6179.1530250182414</v>
      </c>
      <c r="U41" s="517">
        <f ca="1">-IF('Cash Flow Summary'!$G$24="No",0,IF(AND('Cash Flow Summary'!$D$24="Yes",HLOOKUP($R41,'Monthly Cash Flow'!$D$6:$CP$68,61,FALSE)&gt;0),HLOOKUP($R41,'Monthly Cash Flow'!$D$6:$CP$68,61,FALSE),IF('Cash Flow Summary'!$G$24="Current Pay",('Loan Summary'!S41*'Loan Summary'!$P$3)/12,0)))</f>
        <v>0</v>
      </c>
      <c r="V41" s="517">
        <f>IF('Loan Summary'!R41=Assumptions!$AD$3,Assumptions!$AD$25,0)</f>
        <v>0</v>
      </c>
      <c r="W41" s="517">
        <f t="shared" ca="1" si="5"/>
        <v>624094.4555268425</v>
      </c>
    </row>
    <row r="42" spans="6:23">
      <c r="F42" s="86">
        <v>41</v>
      </c>
      <c r="G42" s="85">
        <f t="shared" si="2"/>
        <v>3740191.3061347073</v>
      </c>
      <c r="H42" s="85">
        <f t="shared" si="0"/>
        <v>21236.394865569677</v>
      </c>
      <c r="I42" s="85">
        <f t="shared" si="1"/>
        <v>17142.543486450741</v>
      </c>
      <c r="J42" s="85">
        <f t="shared" si="3"/>
        <v>0</v>
      </c>
      <c r="K42" s="153">
        <f>IF('Monthly Cash Flow'!$C$88="Lender Draw",HLOOKUP(F42,'Monthly Cash Flow'!$D$79:$CP$88,10),0)</f>
        <v>0</v>
      </c>
      <c r="L42" s="83">
        <f t="shared" si="4"/>
        <v>3740191.3061347073</v>
      </c>
      <c r="R42" s="86">
        <v>41</v>
      </c>
      <c r="S42" s="517">
        <f t="shared" ca="1" si="6"/>
        <v>624094.4555268425</v>
      </c>
      <c r="T42" s="517">
        <f t="shared" ca="1" si="7"/>
        <v>6240.9445552684256</v>
      </c>
      <c r="U42" s="517">
        <f ca="1">-IF('Cash Flow Summary'!$G$24="No",0,IF(AND('Cash Flow Summary'!$D$24="Yes",HLOOKUP($R42,'Monthly Cash Flow'!$D$6:$CP$68,61,FALSE)&gt;0),HLOOKUP($R42,'Monthly Cash Flow'!$D$6:$CP$68,61,FALSE),IF('Cash Flow Summary'!$G$24="Current Pay",('Loan Summary'!S42*'Loan Summary'!$P$3)/12,0)))</f>
        <v>0</v>
      </c>
      <c r="V42" s="517">
        <f>IF('Loan Summary'!R42=Assumptions!$AD$3,Assumptions!$AD$25,0)</f>
        <v>0</v>
      </c>
      <c r="W42" s="517">
        <f t="shared" ca="1" si="5"/>
        <v>630335.40008211089</v>
      </c>
    </row>
    <row r="43" spans="6:23">
      <c r="F43" s="86">
        <v>42</v>
      </c>
      <c r="G43" s="85">
        <f t="shared" si="2"/>
        <v>3740191.3061347073</v>
      </c>
      <c r="H43" s="85">
        <f t="shared" si="0"/>
        <v>21236.394865569677</v>
      </c>
      <c r="I43" s="85">
        <f t="shared" si="1"/>
        <v>17142.543486450741</v>
      </c>
      <c r="J43" s="85">
        <f t="shared" si="3"/>
        <v>0</v>
      </c>
      <c r="K43" s="153">
        <f>IF('Monthly Cash Flow'!$C$88="Lender Draw",HLOOKUP(F43,'Monthly Cash Flow'!$D$79:$CP$88,10),0)</f>
        <v>0</v>
      </c>
      <c r="L43" s="83">
        <f t="shared" si="4"/>
        <v>3740191.3061347073</v>
      </c>
      <c r="R43" s="86">
        <v>42</v>
      </c>
      <c r="S43" s="517">
        <f t="shared" ca="1" si="6"/>
        <v>630335.40008211089</v>
      </c>
      <c r="T43" s="517">
        <f t="shared" ca="1" si="7"/>
        <v>6303.3540008211085</v>
      </c>
      <c r="U43" s="517">
        <f ca="1">-IF('Cash Flow Summary'!$G$24="No",0,IF(AND('Cash Flow Summary'!$D$24="Yes",HLOOKUP($R43,'Monthly Cash Flow'!$D$6:$CP$68,61,FALSE)&gt;0),HLOOKUP($R43,'Monthly Cash Flow'!$D$6:$CP$68,61,FALSE),IF('Cash Flow Summary'!$G$24="Current Pay",('Loan Summary'!S43*'Loan Summary'!$P$3)/12,0)))</f>
        <v>0</v>
      </c>
      <c r="V43" s="517">
        <f>IF('Loan Summary'!R43=Assumptions!$AD$3,Assumptions!$AD$25,0)</f>
        <v>0</v>
      </c>
      <c r="W43" s="517">
        <f t="shared" ca="1" si="5"/>
        <v>636638.75408293202</v>
      </c>
    </row>
    <row r="44" spans="6:23">
      <c r="F44" s="86">
        <v>43</v>
      </c>
      <c r="G44" s="85">
        <f t="shared" si="2"/>
        <v>3740191.3061347073</v>
      </c>
      <c r="H44" s="85">
        <f t="shared" si="0"/>
        <v>21236.394865569677</v>
      </c>
      <c r="I44" s="85">
        <f t="shared" si="1"/>
        <v>17142.543486450741</v>
      </c>
      <c r="J44" s="85">
        <f t="shared" si="3"/>
        <v>0</v>
      </c>
      <c r="K44" s="153">
        <f>IF('Monthly Cash Flow'!$C$88="Lender Draw",HLOOKUP(F44,'Monthly Cash Flow'!$D$79:$CP$88,10),0)</f>
        <v>0</v>
      </c>
      <c r="L44" s="83">
        <f t="shared" si="4"/>
        <v>3740191.3061347073</v>
      </c>
      <c r="R44" s="86">
        <v>43</v>
      </c>
      <c r="S44" s="517">
        <f t="shared" ca="1" si="6"/>
        <v>636638.75408293202</v>
      </c>
      <c r="T44" s="517">
        <f t="shared" ca="1" si="7"/>
        <v>6366.3875408293197</v>
      </c>
      <c r="U44" s="517">
        <f ca="1">-IF('Cash Flow Summary'!$G$24="No",0,IF(AND('Cash Flow Summary'!$D$24="Yes",HLOOKUP($R44,'Monthly Cash Flow'!$D$6:$CP$68,61,FALSE)&gt;0),HLOOKUP($R44,'Monthly Cash Flow'!$D$6:$CP$68,61,FALSE),IF('Cash Flow Summary'!$G$24="Current Pay",('Loan Summary'!S44*'Loan Summary'!$P$3)/12,0)))</f>
        <v>0</v>
      </c>
      <c r="V44" s="517">
        <f>IF('Loan Summary'!R44=Assumptions!$AD$3,Assumptions!$AD$25,0)</f>
        <v>0</v>
      </c>
      <c r="W44" s="517">
        <f t="shared" ca="1" si="5"/>
        <v>643005.14162376139</v>
      </c>
    </row>
    <row r="45" spans="6:23">
      <c r="F45" s="86">
        <v>44</v>
      </c>
      <c r="G45" s="85">
        <f t="shared" si="2"/>
        <v>3740191.3061347073</v>
      </c>
      <c r="H45" s="85">
        <f t="shared" si="0"/>
        <v>21236.394865569677</v>
      </c>
      <c r="I45" s="85">
        <f t="shared" si="1"/>
        <v>17142.543486450741</v>
      </c>
      <c r="J45" s="85">
        <f t="shared" si="3"/>
        <v>0</v>
      </c>
      <c r="K45" s="153">
        <f>IF('Monthly Cash Flow'!$C$88="Lender Draw",HLOOKUP(F45,'Monthly Cash Flow'!$D$79:$CP$88,10),0)</f>
        <v>0</v>
      </c>
      <c r="L45" s="83">
        <f t="shared" si="4"/>
        <v>3740191.3061347073</v>
      </c>
      <c r="R45" s="86">
        <v>44</v>
      </c>
      <c r="S45" s="517">
        <f t="shared" ca="1" si="6"/>
        <v>643005.14162376139</v>
      </c>
      <c r="T45" s="517">
        <f t="shared" ca="1" si="7"/>
        <v>6430.0514162376139</v>
      </c>
      <c r="U45" s="517">
        <f ca="1">-IF('Cash Flow Summary'!$G$24="No",0,IF(AND('Cash Flow Summary'!$D$24="Yes",HLOOKUP($R45,'Monthly Cash Flow'!$D$6:$CP$68,61,FALSE)&gt;0),HLOOKUP($R45,'Monthly Cash Flow'!$D$6:$CP$68,61,FALSE),IF('Cash Flow Summary'!$G$24="Current Pay",('Loan Summary'!S45*'Loan Summary'!$P$3)/12,0)))</f>
        <v>0</v>
      </c>
      <c r="V45" s="517">
        <f>IF('Loan Summary'!R45=Assumptions!$AD$3,Assumptions!$AD$25,0)</f>
        <v>0</v>
      </c>
      <c r="W45" s="517">
        <f t="shared" ca="1" si="5"/>
        <v>649435.19303999899</v>
      </c>
    </row>
    <row r="46" spans="6:23">
      <c r="F46" s="86">
        <v>45</v>
      </c>
      <c r="G46" s="85">
        <f t="shared" si="2"/>
        <v>3740191.3061347073</v>
      </c>
      <c r="H46" s="85">
        <f t="shared" si="0"/>
        <v>21236.394865569677</v>
      </c>
      <c r="I46" s="85">
        <f t="shared" si="1"/>
        <v>17142.543486450741</v>
      </c>
      <c r="J46" s="85">
        <f t="shared" si="3"/>
        <v>0</v>
      </c>
      <c r="K46" s="153">
        <f>IF('Monthly Cash Flow'!$C$88="Lender Draw",HLOOKUP(F46,'Monthly Cash Flow'!$D$79:$CP$88,10),0)</f>
        <v>0</v>
      </c>
      <c r="L46" s="83">
        <f t="shared" si="4"/>
        <v>3740191.3061347073</v>
      </c>
      <c r="R46" s="86">
        <v>45</v>
      </c>
      <c r="S46" s="517">
        <f t="shared" ca="1" si="6"/>
        <v>649435.19303999899</v>
      </c>
      <c r="T46" s="517">
        <f t="shared" ca="1" si="7"/>
        <v>6494.3519303999892</v>
      </c>
      <c r="U46" s="517">
        <f ca="1">-IF('Cash Flow Summary'!$G$24="No",0,IF(AND('Cash Flow Summary'!$D$24="Yes",HLOOKUP($R46,'Monthly Cash Flow'!$D$6:$CP$68,61,FALSE)&gt;0),HLOOKUP($R46,'Monthly Cash Flow'!$D$6:$CP$68,61,FALSE),IF('Cash Flow Summary'!$G$24="Current Pay",('Loan Summary'!S46*'Loan Summary'!$P$3)/12,0)))</f>
        <v>0</v>
      </c>
      <c r="V46" s="517">
        <f>IF('Loan Summary'!R46=Assumptions!$AD$3,Assumptions!$AD$25,0)</f>
        <v>0</v>
      </c>
      <c r="W46" s="517">
        <f t="shared" ca="1" si="5"/>
        <v>655929.544970399</v>
      </c>
    </row>
    <row r="47" spans="6:23">
      <c r="F47" s="86">
        <v>46</v>
      </c>
      <c r="G47" s="85">
        <f t="shared" si="2"/>
        <v>3740191.3061347073</v>
      </c>
      <c r="H47" s="85">
        <f t="shared" si="0"/>
        <v>21236.394865569677</v>
      </c>
      <c r="I47" s="85">
        <f t="shared" si="1"/>
        <v>17142.543486450741</v>
      </c>
      <c r="J47" s="85">
        <f t="shared" si="3"/>
        <v>0</v>
      </c>
      <c r="K47" s="153">
        <f>IF('Monthly Cash Flow'!$C$88="Lender Draw",HLOOKUP(F47,'Monthly Cash Flow'!$D$79:$CP$88,10),0)</f>
        <v>0</v>
      </c>
      <c r="L47" s="83">
        <f t="shared" si="4"/>
        <v>3740191.3061347073</v>
      </c>
      <c r="R47" s="86">
        <v>46</v>
      </c>
      <c r="S47" s="517">
        <f t="shared" ca="1" si="6"/>
        <v>655929.544970399</v>
      </c>
      <c r="T47" s="517">
        <f t="shared" ca="1" si="7"/>
        <v>6559.29544970399</v>
      </c>
      <c r="U47" s="517">
        <f ca="1">-IF('Cash Flow Summary'!$G$24="No",0,IF(AND('Cash Flow Summary'!$D$24="Yes",HLOOKUP($R47,'Monthly Cash Flow'!$D$6:$CP$68,61,FALSE)&gt;0),HLOOKUP($R47,'Monthly Cash Flow'!$D$6:$CP$68,61,FALSE),IF('Cash Flow Summary'!$G$24="Current Pay",('Loan Summary'!S47*'Loan Summary'!$P$3)/12,0)))</f>
        <v>0</v>
      </c>
      <c r="V47" s="517">
        <f>IF('Loan Summary'!R47=Assumptions!$AD$3,Assumptions!$AD$25,0)</f>
        <v>0</v>
      </c>
      <c r="W47" s="517">
        <f t="shared" ca="1" si="5"/>
        <v>662488.84042010293</v>
      </c>
    </row>
    <row r="48" spans="6:23">
      <c r="F48" s="86">
        <v>47</v>
      </c>
      <c r="G48" s="85">
        <f t="shared" si="2"/>
        <v>3740191.3061347073</v>
      </c>
      <c r="H48" s="85">
        <f t="shared" si="0"/>
        <v>21236.394865569677</v>
      </c>
      <c r="I48" s="85">
        <f t="shared" si="1"/>
        <v>17142.543486450741</v>
      </c>
      <c r="J48" s="85">
        <f t="shared" si="3"/>
        <v>0</v>
      </c>
      <c r="K48" s="153">
        <f>IF('Monthly Cash Flow'!$C$88="Lender Draw",HLOOKUP(F48,'Monthly Cash Flow'!$D$79:$CP$88,10),0)</f>
        <v>0</v>
      </c>
      <c r="L48" s="83">
        <f t="shared" si="4"/>
        <v>3740191.3061347073</v>
      </c>
      <c r="R48" s="86">
        <v>47</v>
      </c>
      <c r="S48" s="517">
        <f t="shared" ca="1" si="6"/>
        <v>662488.84042010293</v>
      </c>
      <c r="T48" s="517">
        <f t="shared" ca="1" si="7"/>
        <v>6624.8884042010286</v>
      </c>
      <c r="U48" s="517">
        <f ca="1">-IF('Cash Flow Summary'!$G$24="No",0,IF(AND('Cash Flow Summary'!$D$24="Yes",HLOOKUP($R48,'Monthly Cash Flow'!$D$6:$CP$68,61,FALSE)&gt;0),HLOOKUP($R48,'Monthly Cash Flow'!$D$6:$CP$68,61,FALSE),IF('Cash Flow Summary'!$G$24="Current Pay",('Loan Summary'!S48*'Loan Summary'!$P$3)/12,0)))</f>
        <v>0</v>
      </c>
      <c r="V48" s="517">
        <f>IF('Loan Summary'!R48=Assumptions!$AD$3,Assumptions!$AD$25,0)</f>
        <v>0</v>
      </c>
      <c r="W48" s="517">
        <f t="shared" ca="1" si="5"/>
        <v>669113.72882430395</v>
      </c>
    </row>
    <row r="49" spans="6:23">
      <c r="F49" s="86">
        <v>48</v>
      </c>
      <c r="G49" s="85">
        <f t="shared" si="2"/>
        <v>3740191.3061347073</v>
      </c>
      <c r="H49" s="85">
        <f t="shared" si="0"/>
        <v>21236.394865569677</v>
      </c>
      <c r="I49" s="85">
        <f t="shared" si="1"/>
        <v>17142.543486450741</v>
      </c>
      <c r="J49" s="85">
        <f t="shared" si="3"/>
        <v>0</v>
      </c>
      <c r="K49" s="153">
        <f>IF('Monthly Cash Flow'!$C$88="Lender Draw",HLOOKUP(F49,'Monthly Cash Flow'!$D$79:$CP$88,10),0)</f>
        <v>0</v>
      </c>
      <c r="L49" s="83">
        <f t="shared" si="4"/>
        <v>3740191.3061347073</v>
      </c>
      <c r="R49" s="86">
        <v>48</v>
      </c>
      <c r="S49" s="517">
        <f t="shared" ca="1" si="6"/>
        <v>669113.72882430395</v>
      </c>
      <c r="T49" s="517">
        <f t="shared" ca="1" si="7"/>
        <v>6691.1372882430396</v>
      </c>
      <c r="U49" s="517">
        <f ca="1">-IF('Cash Flow Summary'!$G$24="No",0,IF(AND('Cash Flow Summary'!$D$24="Yes",HLOOKUP($R49,'Monthly Cash Flow'!$D$6:$CP$68,61,FALSE)&gt;0),HLOOKUP($R49,'Monthly Cash Flow'!$D$6:$CP$68,61,FALSE),IF('Cash Flow Summary'!$G$24="Current Pay",('Loan Summary'!S49*'Loan Summary'!$P$3)/12,0)))</f>
        <v>0</v>
      </c>
      <c r="V49" s="517">
        <f>IF('Loan Summary'!R49=Assumptions!$AD$3,Assumptions!$AD$25,0)</f>
        <v>0</v>
      </c>
      <c r="W49" s="517">
        <f t="shared" ca="1" si="5"/>
        <v>675804.866112547</v>
      </c>
    </row>
    <row r="50" spans="6:23">
      <c r="F50" s="86">
        <v>49</v>
      </c>
      <c r="G50" s="85">
        <f t="shared" si="2"/>
        <v>3740191.3061347073</v>
      </c>
      <c r="H50" s="85">
        <f t="shared" si="0"/>
        <v>21236.394865569677</v>
      </c>
      <c r="I50" s="85">
        <f t="shared" si="1"/>
        <v>17142.543486450741</v>
      </c>
      <c r="J50" s="85">
        <f t="shared" si="3"/>
        <v>0</v>
      </c>
      <c r="K50" s="153">
        <f>IF('Monthly Cash Flow'!$C$88="Lender Draw",HLOOKUP(F50,'Monthly Cash Flow'!$D$79:$CP$88,10),0)</f>
        <v>0</v>
      </c>
      <c r="L50" s="83">
        <f t="shared" si="4"/>
        <v>3740191.3061347073</v>
      </c>
      <c r="R50" s="86">
        <v>49</v>
      </c>
      <c r="S50" s="517">
        <f t="shared" ca="1" si="6"/>
        <v>675804.866112547</v>
      </c>
      <c r="T50" s="517">
        <f t="shared" ca="1" si="7"/>
        <v>6758.0486611254701</v>
      </c>
      <c r="U50" s="517">
        <f ca="1">-IF('Cash Flow Summary'!$H$24="No",0,IF(AND('Cash Flow Summary'!$D$24="Yes",HLOOKUP($R50,'Monthly Cash Flow'!$D$6:$CP$68,61,FALSE)&gt;0),HLOOKUP($R50,'Monthly Cash Flow'!$D$6:$CP$68,61,FALSE),IF('Cash Flow Summary'!$H$24="Current Pay",('Loan Summary'!S50*'Loan Summary'!$P$3)/12,0)))</f>
        <v>0</v>
      </c>
      <c r="V50" s="517">
        <f>IF('Loan Summary'!R50=Assumptions!$AD$3,Assumptions!$AD$25,0)</f>
        <v>0</v>
      </c>
      <c r="W50" s="517">
        <f t="shared" ca="1" si="5"/>
        <v>682562.91477367247</v>
      </c>
    </row>
    <row r="51" spans="6:23">
      <c r="F51" s="86">
        <v>50</v>
      </c>
      <c r="G51" s="85">
        <f t="shared" si="2"/>
        <v>3740191.3061347073</v>
      </c>
      <c r="H51" s="85">
        <f t="shared" si="0"/>
        <v>21236.394865569677</v>
      </c>
      <c r="I51" s="85">
        <f t="shared" si="1"/>
        <v>17142.543486450741</v>
      </c>
      <c r="J51" s="85">
        <f t="shared" si="3"/>
        <v>0</v>
      </c>
      <c r="K51" s="153">
        <f>IF('Monthly Cash Flow'!$C$88="Lender Draw",HLOOKUP(F51,'Monthly Cash Flow'!$D$79:$CP$88,10),0)</f>
        <v>0</v>
      </c>
      <c r="L51" s="83">
        <f t="shared" si="4"/>
        <v>3740191.3061347073</v>
      </c>
      <c r="R51" s="86">
        <v>50</v>
      </c>
      <c r="S51" s="517">
        <f t="shared" ca="1" si="6"/>
        <v>682562.91477367247</v>
      </c>
      <c r="T51" s="517">
        <f t="shared" ca="1" si="7"/>
        <v>6825.629147736724</v>
      </c>
      <c r="U51" s="517">
        <f ca="1">-IF('Cash Flow Summary'!$H$24="No",0,IF(AND('Cash Flow Summary'!$D$24="Yes",HLOOKUP($R51,'Monthly Cash Flow'!$D$6:$CP$68,61,FALSE)&gt;0),HLOOKUP($R51,'Monthly Cash Flow'!$D$6:$CP$68,61,FALSE),IF('Cash Flow Summary'!$H$24="Current Pay",('Loan Summary'!S51*'Loan Summary'!$P$3)/12,0)))</f>
        <v>0</v>
      </c>
      <c r="V51" s="517">
        <f>IF('Loan Summary'!R51=Assumptions!$AD$3,Assumptions!$AD$25,0)</f>
        <v>0</v>
      </c>
      <c r="W51" s="517">
        <f t="shared" ca="1" si="5"/>
        <v>689388.54392140917</v>
      </c>
    </row>
    <row r="52" spans="6:23">
      <c r="F52" s="86">
        <v>51</v>
      </c>
      <c r="G52" s="85">
        <f t="shared" si="2"/>
        <v>3740191.3061347073</v>
      </c>
      <c r="H52" s="85">
        <f t="shared" si="0"/>
        <v>21236.394865569677</v>
      </c>
      <c r="I52" s="85">
        <f t="shared" si="1"/>
        <v>17142.543486450741</v>
      </c>
      <c r="J52" s="85">
        <f t="shared" si="3"/>
        <v>0</v>
      </c>
      <c r="K52" s="153">
        <f>IF('Monthly Cash Flow'!$C$88="Lender Draw",HLOOKUP(F52,'Monthly Cash Flow'!$D$79:$CP$88,10),0)</f>
        <v>0</v>
      </c>
      <c r="L52" s="83">
        <f t="shared" si="4"/>
        <v>3740191.3061347073</v>
      </c>
      <c r="R52" s="86">
        <v>51</v>
      </c>
      <c r="S52" s="517">
        <f t="shared" ca="1" si="6"/>
        <v>689388.54392140917</v>
      </c>
      <c r="T52" s="517">
        <f t="shared" ca="1" si="7"/>
        <v>6893.885439214092</v>
      </c>
      <c r="U52" s="517">
        <f ca="1">-IF('Cash Flow Summary'!$H$24="No",0,IF(AND('Cash Flow Summary'!$D$24="Yes",HLOOKUP($R52,'Monthly Cash Flow'!$D$6:$CP$68,61,FALSE)&gt;0),HLOOKUP($R52,'Monthly Cash Flow'!$D$6:$CP$68,61,FALSE),IF('Cash Flow Summary'!$H$24="Current Pay",('Loan Summary'!S52*'Loan Summary'!$P$3)/12,0)))</f>
        <v>0</v>
      </c>
      <c r="V52" s="517">
        <f>IF('Loan Summary'!R52=Assumptions!$AD$3,Assumptions!$AD$25,0)</f>
        <v>0</v>
      </c>
      <c r="W52" s="517">
        <f t="shared" ca="1" si="5"/>
        <v>696282.42936062324</v>
      </c>
    </row>
    <row r="53" spans="6:23">
      <c r="F53" s="86">
        <v>52</v>
      </c>
      <c r="G53" s="85">
        <f t="shared" si="2"/>
        <v>3740191.3061347073</v>
      </c>
      <c r="H53" s="85">
        <f t="shared" si="0"/>
        <v>21236.394865569677</v>
      </c>
      <c r="I53" s="85">
        <f t="shared" si="1"/>
        <v>17142.543486450741</v>
      </c>
      <c r="J53" s="85">
        <f t="shared" si="3"/>
        <v>0</v>
      </c>
      <c r="K53" s="153">
        <f>IF('Monthly Cash Flow'!$C$88="Lender Draw",HLOOKUP(F53,'Monthly Cash Flow'!$D$79:$CP$88,10),0)</f>
        <v>0</v>
      </c>
      <c r="L53" s="83">
        <f t="shared" si="4"/>
        <v>3740191.3061347073</v>
      </c>
      <c r="R53" s="86">
        <v>52</v>
      </c>
      <c r="S53" s="517">
        <f t="shared" ca="1" si="6"/>
        <v>696282.42936062324</v>
      </c>
      <c r="T53" s="517">
        <f t="shared" ca="1" si="7"/>
        <v>6962.8242936062315</v>
      </c>
      <c r="U53" s="517">
        <f ca="1">-IF('Cash Flow Summary'!$H$24="No",0,IF(AND('Cash Flow Summary'!$D$24="Yes",HLOOKUP($R53,'Monthly Cash Flow'!$D$6:$CP$68,61,FALSE)&gt;0),HLOOKUP($R53,'Monthly Cash Flow'!$D$6:$CP$68,61,FALSE),IF('Cash Flow Summary'!$H$24="Current Pay",('Loan Summary'!S53*'Loan Summary'!$P$3)/12,0)))</f>
        <v>0</v>
      </c>
      <c r="V53" s="517">
        <f>IF('Loan Summary'!R53=Assumptions!$AD$3,Assumptions!$AD$25,0)</f>
        <v>0</v>
      </c>
      <c r="W53" s="517">
        <f t="shared" ca="1" si="5"/>
        <v>703245.25365422945</v>
      </c>
    </row>
    <row r="54" spans="6:23">
      <c r="F54" s="86">
        <v>53</v>
      </c>
      <c r="G54" s="85">
        <f t="shared" si="2"/>
        <v>3740191.3061347073</v>
      </c>
      <c r="H54" s="85">
        <f t="shared" si="0"/>
        <v>21236.394865569677</v>
      </c>
      <c r="I54" s="85">
        <f t="shared" si="1"/>
        <v>17142.543486450741</v>
      </c>
      <c r="J54" s="85">
        <f t="shared" si="3"/>
        <v>0</v>
      </c>
      <c r="K54" s="153">
        <f>IF('Monthly Cash Flow'!$C$88="Lender Draw",HLOOKUP(F54,'Monthly Cash Flow'!$D$79:$CP$88,10),0)</f>
        <v>0</v>
      </c>
      <c r="L54" s="83">
        <f t="shared" si="4"/>
        <v>3740191.3061347073</v>
      </c>
      <c r="R54" s="86">
        <v>53</v>
      </c>
      <c r="S54" s="517">
        <f t="shared" ca="1" si="6"/>
        <v>703245.25365422945</v>
      </c>
      <c r="T54" s="517">
        <f t="shared" ca="1" si="7"/>
        <v>7032.4525365422951</v>
      </c>
      <c r="U54" s="517">
        <f ca="1">-IF('Cash Flow Summary'!$H$24="No",0,IF(AND('Cash Flow Summary'!$D$24="Yes",HLOOKUP($R54,'Monthly Cash Flow'!$D$6:$CP$68,61,FALSE)&gt;0),HLOOKUP($R54,'Monthly Cash Flow'!$D$6:$CP$68,61,FALSE),IF('Cash Flow Summary'!$H$24="Current Pay",('Loan Summary'!S54*'Loan Summary'!$P$3)/12,0)))</f>
        <v>0</v>
      </c>
      <c r="V54" s="517">
        <f>IF('Loan Summary'!R54=Assumptions!$AD$3,Assumptions!$AD$25,0)</f>
        <v>0</v>
      </c>
      <c r="W54" s="517">
        <f t="shared" ca="1" si="5"/>
        <v>710277.70619077177</v>
      </c>
    </row>
    <row r="55" spans="6:23">
      <c r="F55" s="86">
        <v>54</v>
      </c>
      <c r="G55" s="85">
        <f t="shared" si="2"/>
        <v>3740191.3061347073</v>
      </c>
      <c r="H55" s="85">
        <f t="shared" si="0"/>
        <v>21236.394865569677</v>
      </c>
      <c r="I55" s="85">
        <f t="shared" si="1"/>
        <v>17142.543486450741</v>
      </c>
      <c r="J55" s="85">
        <f t="shared" si="3"/>
        <v>0</v>
      </c>
      <c r="K55" s="153">
        <f>IF('Monthly Cash Flow'!$C$88="Lender Draw",HLOOKUP(F55,'Monthly Cash Flow'!$D$79:$CP$88,10),0)</f>
        <v>0</v>
      </c>
      <c r="L55" s="83">
        <f t="shared" si="4"/>
        <v>3740191.3061347073</v>
      </c>
      <c r="R55" s="86">
        <v>54</v>
      </c>
      <c r="S55" s="517">
        <f t="shared" ca="1" si="6"/>
        <v>710277.70619077177</v>
      </c>
      <c r="T55" s="517">
        <f t="shared" ca="1" si="7"/>
        <v>7102.7770619077173</v>
      </c>
      <c r="U55" s="517">
        <f ca="1">-IF('Cash Flow Summary'!$H$24="No",0,IF(AND('Cash Flow Summary'!$D$24="Yes",HLOOKUP($R55,'Monthly Cash Flow'!$D$6:$CP$68,61,FALSE)&gt;0),HLOOKUP($R55,'Monthly Cash Flow'!$D$6:$CP$68,61,FALSE),IF('Cash Flow Summary'!$H$24="Current Pay",('Loan Summary'!S55*'Loan Summary'!$P$3)/12,0)))</f>
        <v>0</v>
      </c>
      <c r="V55" s="517">
        <f>IF('Loan Summary'!R55=Assumptions!$AD$3,Assumptions!$AD$25,0)</f>
        <v>0</v>
      </c>
      <c r="W55" s="517">
        <f t="shared" ca="1" si="5"/>
        <v>717380.48325267946</v>
      </c>
    </row>
    <row r="56" spans="6:23">
      <c r="F56" s="86">
        <v>55</v>
      </c>
      <c r="G56" s="85">
        <f t="shared" si="2"/>
        <v>3740191.3061347073</v>
      </c>
      <c r="H56" s="85">
        <f t="shared" si="0"/>
        <v>21236.394865569677</v>
      </c>
      <c r="I56" s="85">
        <f t="shared" si="1"/>
        <v>17142.543486450741</v>
      </c>
      <c r="J56" s="85">
        <f t="shared" si="3"/>
        <v>0</v>
      </c>
      <c r="K56" s="153">
        <f>IF('Monthly Cash Flow'!$C$88="Lender Draw",HLOOKUP(F56,'Monthly Cash Flow'!$D$79:$CP$88,10),0)</f>
        <v>0</v>
      </c>
      <c r="L56" s="83">
        <f t="shared" si="4"/>
        <v>3740191.3061347073</v>
      </c>
      <c r="R56" s="86">
        <v>55</v>
      </c>
      <c r="S56" s="517">
        <f t="shared" ca="1" si="6"/>
        <v>717380.48325267946</v>
      </c>
      <c r="T56" s="517">
        <f t="shared" ca="1" si="7"/>
        <v>7173.8048325267946</v>
      </c>
      <c r="U56" s="517">
        <f ca="1">-IF('Cash Flow Summary'!$H$24="No",0,IF(AND('Cash Flow Summary'!$D$24="Yes",HLOOKUP($R56,'Monthly Cash Flow'!$D$6:$CP$68,61,FALSE)&gt;0),HLOOKUP($R56,'Monthly Cash Flow'!$D$6:$CP$68,61,FALSE),IF('Cash Flow Summary'!$H$24="Current Pay",('Loan Summary'!S56*'Loan Summary'!$P$3)/12,0)))</f>
        <v>0</v>
      </c>
      <c r="V56" s="517">
        <f>IF('Loan Summary'!R56=Assumptions!$AD$3,Assumptions!$AD$25,0)</f>
        <v>0</v>
      </c>
      <c r="W56" s="517">
        <f t="shared" ca="1" si="5"/>
        <v>724554.2880852063</v>
      </c>
    </row>
    <row r="57" spans="6:23">
      <c r="F57" s="86">
        <v>56</v>
      </c>
      <c r="G57" s="85">
        <f t="shared" si="2"/>
        <v>3740191.3061347073</v>
      </c>
      <c r="H57" s="85">
        <f t="shared" si="0"/>
        <v>21236.394865569677</v>
      </c>
      <c r="I57" s="85">
        <f t="shared" si="1"/>
        <v>17142.543486450741</v>
      </c>
      <c r="J57" s="85">
        <f t="shared" si="3"/>
        <v>0</v>
      </c>
      <c r="K57" s="153">
        <f>IF('Monthly Cash Flow'!$C$88="Lender Draw",HLOOKUP(F57,'Monthly Cash Flow'!$D$79:$CP$88,10),0)</f>
        <v>0</v>
      </c>
      <c r="L57" s="83">
        <f t="shared" si="4"/>
        <v>3740191.3061347073</v>
      </c>
      <c r="R57" s="86">
        <v>56</v>
      </c>
      <c r="S57" s="517">
        <f t="shared" ca="1" si="6"/>
        <v>724554.2880852063</v>
      </c>
      <c r="T57" s="517">
        <f t="shared" ca="1" si="7"/>
        <v>7245.5428808520628</v>
      </c>
      <c r="U57" s="517">
        <f ca="1">-IF('Cash Flow Summary'!$H$24="No",0,IF(AND('Cash Flow Summary'!$D$24="Yes",HLOOKUP($R57,'Monthly Cash Flow'!$D$6:$CP$68,61,FALSE)&gt;0),HLOOKUP($R57,'Monthly Cash Flow'!$D$6:$CP$68,61,FALSE),IF('Cash Flow Summary'!$H$24="Current Pay",('Loan Summary'!S57*'Loan Summary'!$P$3)/12,0)))</f>
        <v>0</v>
      </c>
      <c r="V57" s="517">
        <f>IF('Loan Summary'!R57=Assumptions!$AD$3,Assumptions!$AD$25,0)</f>
        <v>0</v>
      </c>
      <c r="W57" s="517">
        <f t="shared" ca="1" si="5"/>
        <v>731799.8309660583</v>
      </c>
    </row>
    <row r="58" spans="6:23">
      <c r="F58" s="86">
        <v>57</v>
      </c>
      <c r="G58" s="85">
        <f t="shared" si="2"/>
        <v>3740191.3061347073</v>
      </c>
      <c r="H58" s="85">
        <f t="shared" si="0"/>
        <v>21236.394865569677</v>
      </c>
      <c r="I58" s="85">
        <f t="shared" si="1"/>
        <v>17142.543486450741</v>
      </c>
      <c r="J58" s="85">
        <f t="shared" si="3"/>
        <v>0</v>
      </c>
      <c r="K58" s="153">
        <f>IF('Monthly Cash Flow'!$C$88="Lender Draw",HLOOKUP(F58,'Monthly Cash Flow'!$D$79:$CP$88,10),0)</f>
        <v>0</v>
      </c>
      <c r="L58" s="83">
        <f t="shared" si="4"/>
        <v>3740191.3061347073</v>
      </c>
      <c r="R58" s="86">
        <v>57</v>
      </c>
      <c r="S58" s="517">
        <f t="shared" ca="1" si="6"/>
        <v>731799.8309660583</v>
      </c>
      <c r="T58" s="517">
        <f t="shared" ca="1" si="7"/>
        <v>7317.9983096605829</v>
      </c>
      <c r="U58" s="517">
        <f ca="1">-IF('Cash Flow Summary'!$H$24="No",0,IF(AND('Cash Flow Summary'!$D$24="Yes",HLOOKUP($R58,'Monthly Cash Flow'!$D$6:$CP$68,61,FALSE)&gt;0),HLOOKUP($R58,'Monthly Cash Flow'!$D$6:$CP$68,61,FALSE),IF('Cash Flow Summary'!$H$24="Current Pay",('Loan Summary'!S58*'Loan Summary'!$P$3)/12,0)))</f>
        <v>0</v>
      </c>
      <c r="V58" s="517">
        <f>IF('Loan Summary'!R58=Assumptions!$AD$3,Assumptions!$AD$25,0)</f>
        <v>0</v>
      </c>
      <c r="W58" s="517">
        <f t="shared" ca="1" si="5"/>
        <v>739117.82927571889</v>
      </c>
    </row>
    <row r="59" spans="6:23">
      <c r="F59" s="86">
        <v>58</v>
      </c>
      <c r="G59" s="85">
        <f t="shared" si="2"/>
        <v>3740191.3061347073</v>
      </c>
      <c r="H59" s="85">
        <f t="shared" si="0"/>
        <v>21236.394865569677</v>
      </c>
      <c r="I59" s="85">
        <f t="shared" si="1"/>
        <v>17142.543486450741</v>
      </c>
      <c r="J59" s="85">
        <f t="shared" si="3"/>
        <v>0</v>
      </c>
      <c r="K59" s="153">
        <f>IF('Monthly Cash Flow'!$C$88="Lender Draw",HLOOKUP(F59,'Monthly Cash Flow'!$D$79:$CP$88,10),0)</f>
        <v>0</v>
      </c>
      <c r="L59" s="83">
        <f t="shared" si="4"/>
        <v>3740191.3061347073</v>
      </c>
      <c r="R59" s="86">
        <v>58</v>
      </c>
      <c r="S59" s="517">
        <f t="shared" ca="1" si="6"/>
        <v>739117.82927571889</v>
      </c>
      <c r="T59" s="517">
        <f t="shared" ca="1" si="7"/>
        <v>7391.1782927571885</v>
      </c>
      <c r="U59" s="517">
        <f ca="1">-IF('Cash Flow Summary'!$H$24="No",0,IF(AND('Cash Flow Summary'!$D$24="Yes",HLOOKUP($R59,'Monthly Cash Flow'!$D$6:$CP$68,61,FALSE)&gt;0),HLOOKUP($R59,'Monthly Cash Flow'!$D$6:$CP$68,61,FALSE),IF('Cash Flow Summary'!$H$24="Current Pay",('Loan Summary'!S59*'Loan Summary'!$P$3)/12,0)))</f>
        <v>0</v>
      </c>
      <c r="V59" s="517">
        <f>IF('Loan Summary'!R59=Assumptions!$AD$3,Assumptions!$AD$25,0)</f>
        <v>0</v>
      </c>
      <c r="W59" s="517">
        <f t="shared" ca="1" si="5"/>
        <v>746509.00756847602</v>
      </c>
    </row>
    <row r="60" spans="6:23">
      <c r="F60" s="86">
        <v>59</v>
      </c>
      <c r="G60" s="85">
        <f t="shared" si="2"/>
        <v>3740191.3061347073</v>
      </c>
      <c r="H60" s="85">
        <f t="shared" si="0"/>
        <v>21236.394865569677</v>
      </c>
      <c r="I60" s="85">
        <f t="shared" si="1"/>
        <v>17142.543486450741</v>
      </c>
      <c r="J60" s="85">
        <f t="shared" si="3"/>
        <v>0</v>
      </c>
      <c r="K60" s="153">
        <f>IF('Monthly Cash Flow'!$C$88="Lender Draw",HLOOKUP(F60,'Monthly Cash Flow'!$D$79:$CP$88,10),0)</f>
        <v>0</v>
      </c>
      <c r="L60" s="83">
        <f t="shared" si="4"/>
        <v>3740191.3061347073</v>
      </c>
      <c r="R60" s="86">
        <v>59</v>
      </c>
      <c r="S60" s="517">
        <f t="shared" ca="1" si="6"/>
        <v>746509.00756847602</v>
      </c>
      <c r="T60" s="517">
        <f t="shared" ca="1" si="7"/>
        <v>7465.0900756847595</v>
      </c>
      <c r="U60" s="517">
        <f ca="1">-IF('Cash Flow Summary'!$H$24="No",0,IF(AND('Cash Flow Summary'!$D$24="Yes",HLOOKUP($R60,'Monthly Cash Flow'!$D$6:$CP$68,61,FALSE)&gt;0),HLOOKUP($R60,'Monthly Cash Flow'!$D$6:$CP$68,61,FALSE),IF('Cash Flow Summary'!$H$24="Current Pay",('Loan Summary'!S60*'Loan Summary'!$P$3)/12,0)))</f>
        <v>0</v>
      </c>
      <c r="V60" s="517">
        <f>IF('Loan Summary'!R60=Assumptions!$AD$3,Assumptions!$AD$25,0)</f>
        <v>0</v>
      </c>
      <c r="W60" s="517">
        <f t="shared" ca="1" si="5"/>
        <v>753974.09764416073</v>
      </c>
    </row>
    <row r="61" spans="6:23">
      <c r="F61" s="86">
        <v>60</v>
      </c>
      <c r="G61" s="85">
        <f t="shared" si="2"/>
        <v>3740191.3061347073</v>
      </c>
      <c r="H61" s="85">
        <f t="shared" si="0"/>
        <v>21236.394865569677</v>
      </c>
      <c r="I61" s="85">
        <f t="shared" si="1"/>
        <v>17142.543486450741</v>
      </c>
      <c r="J61" s="85">
        <f t="shared" si="3"/>
        <v>0</v>
      </c>
      <c r="K61" s="153">
        <f>IF('Monthly Cash Flow'!$C$88="Lender Draw",HLOOKUP(F61,'Monthly Cash Flow'!$D$79:$CP$88,10),0)</f>
        <v>0</v>
      </c>
      <c r="L61" s="83">
        <f t="shared" si="4"/>
        <v>3740191.3061347073</v>
      </c>
      <c r="R61" s="86">
        <v>60</v>
      </c>
      <c r="S61" s="517">
        <f t="shared" ca="1" si="6"/>
        <v>753974.09764416073</v>
      </c>
      <c r="T61" s="517">
        <f t="shared" ca="1" si="7"/>
        <v>7539.740976441607</v>
      </c>
      <c r="U61" s="517">
        <f ca="1">-IF('Cash Flow Summary'!$H$24="No",0,IF(AND('Cash Flow Summary'!$D$24="Yes",HLOOKUP($R61,'Monthly Cash Flow'!$D$6:$CP$68,61,FALSE)&gt;0),HLOOKUP($R61,'Monthly Cash Flow'!$D$6:$CP$68,61,FALSE),IF('Cash Flow Summary'!$H$24="Current Pay",('Loan Summary'!S61*'Loan Summary'!$P$3)/12,0)))</f>
        <v>0</v>
      </c>
      <c r="V61" s="517">
        <f>IF('Loan Summary'!R61=Assumptions!$AD$3,Assumptions!$AD$25,0)</f>
        <v>0</v>
      </c>
      <c r="W61" s="517">
        <f t="shared" ca="1" si="5"/>
        <v>761513.83862060239</v>
      </c>
    </row>
    <row r="62" spans="6:23">
      <c r="F62" s="86">
        <v>61</v>
      </c>
      <c r="G62" s="85">
        <f t="shared" si="2"/>
        <v>3740191.3061347073</v>
      </c>
      <c r="H62" s="85">
        <f t="shared" si="0"/>
        <v>21236.394865569677</v>
      </c>
      <c r="I62" s="85">
        <f t="shared" si="1"/>
        <v>17142.543486450741</v>
      </c>
      <c r="J62" s="85">
        <f t="shared" si="3"/>
        <v>0</v>
      </c>
      <c r="K62" s="153">
        <f>IF('Monthly Cash Flow'!$C$88="Lender Draw",HLOOKUP(F62,'Monthly Cash Flow'!$D$79:$CP$88,10),0)</f>
        <v>0</v>
      </c>
      <c r="L62" s="83">
        <f t="shared" si="4"/>
        <v>3740191.3061347073</v>
      </c>
      <c r="R62" s="86">
        <v>61</v>
      </c>
      <c r="S62" s="517">
        <f t="shared" ca="1" si="6"/>
        <v>761513.83862060239</v>
      </c>
      <c r="T62" s="517">
        <f t="shared" ca="1" si="7"/>
        <v>7615.1383862060238</v>
      </c>
      <c r="U62" s="517">
        <f ca="1">-IF('Cash Flow Summary'!$I$24="No",0,IF(AND('Cash Flow Summary'!$D$24="Yes",HLOOKUP($R62,'Monthly Cash Flow'!$D$6:$CP$68,61,FALSE)&gt;0),HLOOKUP($R62,'Monthly Cash Flow'!$D$6:$CP$68,61,FALSE),IF('Cash Flow Summary'!$I$24="Current Pay",('Loan Summary'!S62*'Loan Summary'!$P$3)/12,0)))</f>
        <v>0</v>
      </c>
      <c r="V62" s="517">
        <f>IF('Loan Summary'!R62=Assumptions!$AD$3,Assumptions!$AD$25,0)</f>
        <v>0</v>
      </c>
      <c r="W62" s="517">
        <f t="shared" ca="1" si="5"/>
        <v>769128.97700680839</v>
      </c>
    </row>
    <row r="63" spans="6:23">
      <c r="F63" s="86">
        <v>62</v>
      </c>
      <c r="G63" s="85">
        <f t="shared" si="2"/>
        <v>3740191.3061347073</v>
      </c>
      <c r="H63" s="85">
        <f t="shared" si="0"/>
        <v>21236.394865569677</v>
      </c>
      <c r="I63" s="85">
        <f t="shared" si="1"/>
        <v>17142.543486450741</v>
      </c>
      <c r="J63" s="85">
        <f t="shared" si="3"/>
        <v>0</v>
      </c>
      <c r="K63" s="153">
        <f>IF('Monthly Cash Flow'!$C$88="Lender Draw",HLOOKUP(F63,'Monthly Cash Flow'!$D$79:$CP$88,10),0)</f>
        <v>0</v>
      </c>
      <c r="L63" s="83">
        <f t="shared" si="4"/>
        <v>3740191.3061347073</v>
      </c>
      <c r="R63" s="86">
        <v>62</v>
      </c>
      <c r="S63" s="517">
        <f t="shared" ca="1" si="6"/>
        <v>769128.97700680839</v>
      </c>
      <c r="T63" s="517">
        <f t="shared" ca="1" si="7"/>
        <v>7691.2897700680842</v>
      </c>
      <c r="U63" s="517">
        <f ca="1">-IF('Cash Flow Summary'!$I$24="No",0,IF(AND('Cash Flow Summary'!$D$24="Yes",HLOOKUP($R63,'Monthly Cash Flow'!$D$6:$CP$68,61,FALSE)&gt;0),HLOOKUP($R63,'Monthly Cash Flow'!$D$6:$CP$68,61,FALSE),IF('Cash Flow Summary'!$I$24="Current Pay",('Loan Summary'!S63*'Loan Summary'!$P$3)/12,0)))</f>
        <v>0</v>
      </c>
      <c r="V63" s="517">
        <f>IF('Loan Summary'!R63=Assumptions!$AD$3,Assumptions!$AD$25,0)</f>
        <v>0</v>
      </c>
      <c r="W63" s="517">
        <f t="shared" ca="1" si="5"/>
        <v>776820.26677687652</v>
      </c>
    </row>
    <row r="64" spans="6:23">
      <c r="F64" s="86">
        <v>63</v>
      </c>
      <c r="G64" s="85">
        <f t="shared" si="2"/>
        <v>3740191.3061347073</v>
      </c>
      <c r="H64" s="85">
        <f t="shared" si="0"/>
        <v>21236.394865569677</v>
      </c>
      <c r="I64" s="85">
        <f t="shared" si="1"/>
        <v>17142.543486450741</v>
      </c>
      <c r="J64" s="85">
        <f t="shared" si="3"/>
        <v>0</v>
      </c>
      <c r="K64" s="153">
        <f>IF('Monthly Cash Flow'!$C$88="Lender Draw",HLOOKUP(F64,'Monthly Cash Flow'!$D$79:$CP$88,10),0)</f>
        <v>0</v>
      </c>
      <c r="L64" s="83">
        <f t="shared" si="4"/>
        <v>3740191.3061347073</v>
      </c>
      <c r="R64" s="86">
        <v>63</v>
      </c>
      <c r="S64" s="517">
        <f t="shared" ca="1" si="6"/>
        <v>776820.26677687652</v>
      </c>
      <c r="T64" s="517">
        <f t="shared" ca="1" si="7"/>
        <v>7768.2026677687645</v>
      </c>
      <c r="U64" s="517">
        <f ca="1">-IF('Cash Flow Summary'!$I$24="No",0,IF(AND('Cash Flow Summary'!$D$24="Yes",HLOOKUP($R64,'Monthly Cash Flow'!$D$6:$CP$68,61,FALSE)&gt;0),HLOOKUP($R64,'Monthly Cash Flow'!$D$6:$CP$68,61,FALSE),IF('Cash Flow Summary'!$I$24="Current Pay",('Loan Summary'!S64*'Loan Summary'!$P$3)/12,0)))</f>
        <v>0</v>
      </c>
      <c r="V64" s="517">
        <f>IF('Loan Summary'!R64=Assumptions!$AD$3,Assumptions!$AD$25,0)</f>
        <v>0</v>
      </c>
      <c r="W64" s="517">
        <f t="shared" ca="1" si="5"/>
        <v>784588.46944464534</v>
      </c>
    </row>
    <row r="65" spans="6:23">
      <c r="F65" s="86">
        <v>64</v>
      </c>
      <c r="G65" s="85">
        <f t="shared" si="2"/>
        <v>3740191.3061347073</v>
      </c>
      <c r="H65" s="85">
        <f t="shared" si="0"/>
        <v>21236.394865569677</v>
      </c>
      <c r="I65" s="85">
        <f t="shared" si="1"/>
        <v>17142.543486450741</v>
      </c>
      <c r="J65" s="85">
        <f t="shared" si="3"/>
        <v>0</v>
      </c>
      <c r="K65" s="153">
        <f>IF('Monthly Cash Flow'!$C$88="Lender Draw",HLOOKUP(F65,'Monthly Cash Flow'!$D$79:$CP$88,10),0)</f>
        <v>0</v>
      </c>
      <c r="L65" s="83">
        <f t="shared" si="4"/>
        <v>3740191.3061347073</v>
      </c>
      <c r="R65" s="86">
        <v>64</v>
      </c>
      <c r="S65" s="517">
        <f t="shared" ca="1" si="6"/>
        <v>784588.46944464534</v>
      </c>
      <c r="T65" s="517">
        <f t="shared" ca="1" si="7"/>
        <v>7845.8846944464531</v>
      </c>
      <c r="U65" s="517">
        <f ca="1">-IF('Cash Flow Summary'!$I$24="No",0,IF(AND('Cash Flow Summary'!$D$24="Yes",HLOOKUP($R65,'Monthly Cash Flow'!$D$6:$CP$68,61,FALSE)&gt;0),HLOOKUP($R65,'Monthly Cash Flow'!$D$6:$CP$68,61,FALSE),IF('Cash Flow Summary'!$I$24="Current Pay",('Loan Summary'!S65*'Loan Summary'!$P$3)/12,0)))</f>
        <v>0</v>
      </c>
      <c r="V65" s="517">
        <f>IF('Loan Summary'!R65=Assumptions!$AD$3,Assumptions!$AD$25,0)</f>
        <v>0</v>
      </c>
      <c r="W65" s="517">
        <f t="shared" ca="1" si="5"/>
        <v>792434.3541390918</v>
      </c>
    </row>
    <row r="66" spans="6:23">
      <c r="F66" s="86">
        <v>65</v>
      </c>
      <c r="G66" s="85">
        <f t="shared" si="2"/>
        <v>3740191.3061347073</v>
      </c>
      <c r="H66" s="85">
        <f t="shared" ref="H66:H129" si="8">IF(F66&lt;$C$16,IF(F66&gt;$C$6,-PMT(($C$3/12),$C$4,$C$2),I66),-PMT($C$10/12,$C$11,$C$9))</f>
        <v>21236.394865569677</v>
      </c>
      <c r="I66" s="85">
        <f t="shared" ref="I66:I129" si="9">IF(F66&lt;$C$16,G66*($C$3/12),G66*($C$10/12))</f>
        <v>17142.543486450741</v>
      </c>
      <c r="J66" s="85">
        <f t="shared" si="3"/>
        <v>0</v>
      </c>
      <c r="K66" s="153">
        <f>IF('Monthly Cash Flow'!$C$88="Lender Draw",HLOOKUP(F66,'Monthly Cash Flow'!$D$79:$CP$88,10),0)</f>
        <v>0</v>
      </c>
      <c r="L66" s="83">
        <f t="shared" si="4"/>
        <v>3740191.3061347073</v>
      </c>
      <c r="R66" s="86">
        <v>65</v>
      </c>
      <c r="S66" s="517">
        <f t="shared" ca="1" si="6"/>
        <v>792434.3541390918</v>
      </c>
      <c r="T66" s="517">
        <f t="shared" ca="1" si="7"/>
        <v>7924.3435413909174</v>
      </c>
      <c r="U66" s="517">
        <f ca="1">-IF('Cash Flow Summary'!$I$24="No",0,IF(AND('Cash Flow Summary'!$D$24="Yes",HLOOKUP($R66,'Monthly Cash Flow'!$D$6:$CP$68,61,FALSE)&gt;0),HLOOKUP($R66,'Monthly Cash Flow'!$D$6:$CP$68,61,FALSE),IF('Cash Flow Summary'!$I$24="Current Pay",('Loan Summary'!S66*'Loan Summary'!$P$3)/12,0)))</f>
        <v>0</v>
      </c>
      <c r="V66" s="517">
        <f>IF('Loan Summary'!R66=Assumptions!$AD$3,Assumptions!$AD$25,0)</f>
        <v>0</v>
      </c>
      <c r="W66" s="517">
        <f t="shared" ca="1" si="5"/>
        <v>800358.69768048276</v>
      </c>
    </row>
    <row r="67" spans="6:23">
      <c r="F67" s="86">
        <v>66</v>
      </c>
      <c r="G67" s="85">
        <f t="shared" ref="G67:G130" si="10">IF(F67&lt;$C$16,L66,IF(F67=$C$16,$C$9,L66))</f>
        <v>3740191.3061347073</v>
      </c>
      <c r="H67" s="85">
        <f t="shared" si="8"/>
        <v>21236.394865569677</v>
      </c>
      <c r="I67" s="85">
        <f t="shared" si="9"/>
        <v>17142.543486450741</v>
      </c>
      <c r="J67" s="85">
        <f t="shared" ref="J67:J130" si="11">IF(F67&lt;$C$16,IF(F67&lt;=$C$6,0,H67-I67),IF(F67&lt;=$C$16+$C$13,0,H67-I67))</f>
        <v>0</v>
      </c>
      <c r="K67" s="153">
        <f>IF('Monthly Cash Flow'!$C$88="Lender Draw",HLOOKUP(F67,'Monthly Cash Flow'!$D$79:$CP$88,10),0)</f>
        <v>0</v>
      </c>
      <c r="L67" s="83">
        <f t="shared" ref="L67:L130" si="12">G67-J67+K67</f>
        <v>3740191.3061347073</v>
      </c>
      <c r="R67" s="86">
        <v>66</v>
      </c>
      <c r="S67" s="517">
        <f t="shared" ca="1" si="6"/>
        <v>800358.69768048276</v>
      </c>
      <c r="T67" s="517">
        <f t="shared" ref="T67:T130" ca="1" si="13">(S67*$P$3)/12</f>
        <v>8003.5869768048278</v>
      </c>
      <c r="U67" s="517">
        <f ca="1">-IF('Cash Flow Summary'!$I$24="No",0,IF(AND('Cash Flow Summary'!$D$24="Yes",HLOOKUP($R67,'Monthly Cash Flow'!$D$6:$CP$68,61,FALSE)&gt;0),HLOOKUP($R67,'Monthly Cash Flow'!$D$6:$CP$68,61,FALSE),IF('Cash Flow Summary'!$I$24="Current Pay",('Loan Summary'!S67*'Loan Summary'!$P$3)/12,0)))</f>
        <v>0</v>
      </c>
      <c r="V67" s="517">
        <f>IF('Loan Summary'!R67=Assumptions!$AD$3,Assumptions!$AD$25,0)</f>
        <v>0</v>
      </c>
      <c r="W67" s="517">
        <f t="shared" ref="W67:W130" ca="1" si="14">S67+T67+U67+V67</f>
        <v>808362.28465728753</v>
      </c>
    </row>
    <row r="68" spans="6:23">
      <c r="F68" s="86">
        <v>67</v>
      </c>
      <c r="G68" s="85">
        <f t="shared" si="10"/>
        <v>3740191.3061347073</v>
      </c>
      <c r="H68" s="85">
        <f t="shared" si="8"/>
        <v>21236.394865569677</v>
      </c>
      <c r="I68" s="85">
        <f t="shared" si="9"/>
        <v>17142.543486450741</v>
      </c>
      <c r="J68" s="85">
        <f t="shared" si="11"/>
        <v>0</v>
      </c>
      <c r="K68" s="153">
        <f>IF('Monthly Cash Flow'!$C$88="Lender Draw",HLOOKUP(F68,'Monthly Cash Flow'!$D$79:$CP$88,10),0)</f>
        <v>0</v>
      </c>
      <c r="L68" s="83">
        <f t="shared" si="12"/>
        <v>3740191.3061347073</v>
      </c>
      <c r="R68" s="86">
        <v>67</v>
      </c>
      <c r="S68" s="517">
        <f t="shared" ref="S68:S131" ca="1" si="15">W67</f>
        <v>808362.28465728753</v>
      </c>
      <c r="T68" s="517">
        <f t="shared" ca="1" si="13"/>
        <v>8083.6228465728746</v>
      </c>
      <c r="U68" s="517">
        <f ca="1">-IF('Cash Flow Summary'!$I$24="No",0,IF(AND('Cash Flow Summary'!$D$24="Yes",HLOOKUP($R68,'Monthly Cash Flow'!$D$6:$CP$68,61,FALSE)&gt;0),HLOOKUP($R68,'Monthly Cash Flow'!$D$6:$CP$68,61,FALSE),IF('Cash Flow Summary'!$I$24="Current Pay",('Loan Summary'!S68*'Loan Summary'!$P$3)/12,0)))</f>
        <v>0</v>
      </c>
      <c r="V68" s="517">
        <f>IF('Loan Summary'!R68=Assumptions!$AD$3,Assumptions!$AD$25,0)</f>
        <v>0</v>
      </c>
      <c r="W68" s="517">
        <f t="shared" ca="1" si="14"/>
        <v>816445.90750386042</v>
      </c>
    </row>
    <row r="69" spans="6:23">
      <c r="F69" s="86">
        <v>68</v>
      </c>
      <c r="G69" s="85">
        <f t="shared" si="10"/>
        <v>3740191.3061347073</v>
      </c>
      <c r="H69" s="85">
        <f t="shared" si="8"/>
        <v>21236.394865569677</v>
      </c>
      <c r="I69" s="85">
        <f t="shared" si="9"/>
        <v>17142.543486450741</v>
      </c>
      <c r="J69" s="85">
        <f t="shared" si="11"/>
        <v>0</v>
      </c>
      <c r="K69" s="153">
        <f>IF('Monthly Cash Flow'!$C$88="Lender Draw",HLOOKUP(F69,'Monthly Cash Flow'!$D$79:$CP$88,10),0)</f>
        <v>0</v>
      </c>
      <c r="L69" s="83">
        <f t="shared" si="12"/>
        <v>3740191.3061347073</v>
      </c>
      <c r="R69" s="86">
        <v>68</v>
      </c>
      <c r="S69" s="517">
        <f t="shared" ca="1" si="15"/>
        <v>816445.90750386042</v>
      </c>
      <c r="T69" s="517">
        <f t="shared" ca="1" si="13"/>
        <v>8164.4590750386042</v>
      </c>
      <c r="U69" s="517">
        <f ca="1">-IF('Cash Flow Summary'!$I$24="No",0,IF(AND('Cash Flow Summary'!$D$24="Yes",HLOOKUP($R69,'Monthly Cash Flow'!$D$6:$CP$68,61,FALSE)&gt;0),HLOOKUP($R69,'Monthly Cash Flow'!$D$6:$CP$68,61,FALSE),IF('Cash Flow Summary'!$I$24="Current Pay",('Loan Summary'!S69*'Loan Summary'!$P$3)/12,0)))</f>
        <v>0</v>
      </c>
      <c r="V69" s="517">
        <f>IF('Loan Summary'!R69=Assumptions!$AD$3,Assumptions!$AD$25,0)</f>
        <v>0</v>
      </c>
      <c r="W69" s="517">
        <f t="shared" ca="1" si="14"/>
        <v>824610.36657889897</v>
      </c>
    </row>
    <row r="70" spans="6:23">
      <c r="F70" s="86">
        <v>69</v>
      </c>
      <c r="G70" s="85">
        <f t="shared" si="10"/>
        <v>3740191.3061347073</v>
      </c>
      <c r="H70" s="85">
        <f t="shared" si="8"/>
        <v>21236.394865569677</v>
      </c>
      <c r="I70" s="85">
        <f t="shared" si="9"/>
        <v>17142.543486450741</v>
      </c>
      <c r="J70" s="85">
        <f t="shared" si="11"/>
        <v>0</v>
      </c>
      <c r="K70" s="153">
        <f>IF('Monthly Cash Flow'!$C$88="Lender Draw",HLOOKUP(F70,'Monthly Cash Flow'!$D$79:$CP$88,10),0)</f>
        <v>0</v>
      </c>
      <c r="L70" s="83">
        <f t="shared" si="12"/>
        <v>3740191.3061347073</v>
      </c>
      <c r="R70" s="86">
        <v>69</v>
      </c>
      <c r="S70" s="517">
        <f t="shared" ca="1" si="15"/>
        <v>824610.36657889897</v>
      </c>
      <c r="T70" s="517">
        <f t="shared" ca="1" si="13"/>
        <v>8246.103665788989</v>
      </c>
      <c r="U70" s="517">
        <f ca="1">-IF('Cash Flow Summary'!$I$24="No",0,IF(AND('Cash Flow Summary'!$D$24="Yes",HLOOKUP($R70,'Monthly Cash Flow'!$D$6:$CP$68,61,FALSE)&gt;0),HLOOKUP($R70,'Monthly Cash Flow'!$D$6:$CP$68,61,FALSE),IF('Cash Flow Summary'!$I$24="Current Pay",('Loan Summary'!S70*'Loan Summary'!$P$3)/12,0)))</f>
        <v>0</v>
      </c>
      <c r="V70" s="517">
        <f>IF('Loan Summary'!R70=Assumptions!$AD$3,Assumptions!$AD$25,0)</f>
        <v>0</v>
      </c>
      <c r="W70" s="517">
        <f t="shared" ca="1" si="14"/>
        <v>832856.47024468798</v>
      </c>
    </row>
    <row r="71" spans="6:23">
      <c r="F71" s="86">
        <v>70</v>
      </c>
      <c r="G71" s="85">
        <f t="shared" si="10"/>
        <v>3740191.3061347073</v>
      </c>
      <c r="H71" s="85">
        <f t="shared" si="8"/>
        <v>21236.394865569677</v>
      </c>
      <c r="I71" s="85">
        <f t="shared" si="9"/>
        <v>17142.543486450741</v>
      </c>
      <c r="J71" s="85">
        <f t="shared" si="11"/>
        <v>0</v>
      </c>
      <c r="K71" s="153">
        <f>IF('Monthly Cash Flow'!$C$88="Lender Draw",HLOOKUP(F71,'Monthly Cash Flow'!$D$79:$CP$88,10),0)</f>
        <v>0</v>
      </c>
      <c r="L71" s="83">
        <f t="shared" si="12"/>
        <v>3740191.3061347073</v>
      </c>
      <c r="R71" s="86">
        <v>70</v>
      </c>
      <c r="S71" s="517">
        <f t="shared" ca="1" si="15"/>
        <v>832856.47024468798</v>
      </c>
      <c r="T71" s="517">
        <f t="shared" ca="1" si="13"/>
        <v>8328.5647024468799</v>
      </c>
      <c r="U71" s="517">
        <f ca="1">-IF('Cash Flow Summary'!$I$24="No",0,IF(AND('Cash Flow Summary'!$D$24="Yes",HLOOKUP($R71,'Monthly Cash Flow'!$D$6:$CP$68,61,FALSE)&gt;0),HLOOKUP($R71,'Monthly Cash Flow'!$D$6:$CP$68,61,FALSE),IF('Cash Flow Summary'!$I$24="Current Pay",('Loan Summary'!S71*'Loan Summary'!$P$3)/12,0)))</f>
        <v>0</v>
      </c>
      <c r="V71" s="517">
        <f>IF('Loan Summary'!R71=Assumptions!$AD$3,Assumptions!$AD$25,0)</f>
        <v>0</v>
      </c>
      <c r="W71" s="517">
        <f t="shared" ca="1" si="14"/>
        <v>841185.0349471349</v>
      </c>
    </row>
    <row r="72" spans="6:23">
      <c r="F72" s="86">
        <v>71</v>
      </c>
      <c r="G72" s="85">
        <f t="shared" si="10"/>
        <v>3740191.3061347073</v>
      </c>
      <c r="H72" s="85">
        <f t="shared" si="8"/>
        <v>21236.394865569677</v>
      </c>
      <c r="I72" s="85">
        <f t="shared" si="9"/>
        <v>17142.543486450741</v>
      </c>
      <c r="J72" s="85">
        <f t="shared" si="11"/>
        <v>0</v>
      </c>
      <c r="K72" s="153">
        <f>IF('Monthly Cash Flow'!$C$88="Lender Draw",HLOOKUP(F72,'Monthly Cash Flow'!$D$79:$CP$88,10),0)</f>
        <v>0</v>
      </c>
      <c r="L72" s="83">
        <f t="shared" si="12"/>
        <v>3740191.3061347073</v>
      </c>
      <c r="R72" s="86">
        <v>71</v>
      </c>
      <c r="S72" s="517">
        <f t="shared" ca="1" si="15"/>
        <v>841185.0349471349</v>
      </c>
      <c r="T72" s="517">
        <f t="shared" ca="1" si="13"/>
        <v>8411.8503494713495</v>
      </c>
      <c r="U72" s="517">
        <f ca="1">-IF('Cash Flow Summary'!$I$24="No",0,IF(AND('Cash Flow Summary'!$D$24="Yes",HLOOKUP($R72,'Monthly Cash Flow'!$D$6:$CP$68,61,FALSE)&gt;0),HLOOKUP($R72,'Monthly Cash Flow'!$D$6:$CP$68,61,FALSE),IF('Cash Flow Summary'!$I$24="Current Pay",('Loan Summary'!S72*'Loan Summary'!$P$3)/12,0)))</f>
        <v>0</v>
      </c>
      <c r="V72" s="517">
        <f>IF('Loan Summary'!R72=Assumptions!$AD$3,Assumptions!$AD$25,0)</f>
        <v>0</v>
      </c>
      <c r="W72" s="517">
        <f t="shared" ca="1" si="14"/>
        <v>849596.88529660623</v>
      </c>
    </row>
    <row r="73" spans="6:23">
      <c r="F73" s="86">
        <v>72</v>
      </c>
      <c r="G73" s="85">
        <f t="shared" si="10"/>
        <v>3740191.3061347073</v>
      </c>
      <c r="H73" s="85">
        <f t="shared" si="8"/>
        <v>21236.394865569677</v>
      </c>
      <c r="I73" s="85">
        <f t="shared" si="9"/>
        <v>17142.543486450741</v>
      </c>
      <c r="J73" s="85">
        <f t="shared" si="11"/>
        <v>0</v>
      </c>
      <c r="K73" s="153">
        <f>IF('Monthly Cash Flow'!$C$88="Lender Draw",HLOOKUP(F73,'Monthly Cash Flow'!$D$79:$CP$88,10),0)</f>
        <v>0</v>
      </c>
      <c r="L73" s="83">
        <f t="shared" si="12"/>
        <v>3740191.3061347073</v>
      </c>
      <c r="R73" s="86">
        <v>72</v>
      </c>
      <c r="S73" s="517">
        <f t="shared" ca="1" si="15"/>
        <v>849596.88529660623</v>
      </c>
      <c r="T73" s="517">
        <f t="shared" ca="1" si="13"/>
        <v>8495.9688529660616</v>
      </c>
      <c r="U73" s="517">
        <f ca="1">-IF('Cash Flow Summary'!$I$24="No",0,IF(AND('Cash Flow Summary'!$D$24="Yes",HLOOKUP($R73,'Monthly Cash Flow'!$D$6:$CP$68,61,FALSE)&gt;0),HLOOKUP($R73,'Monthly Cash Flow'!$D$6:$CP$68,61,FALSE),IF('Cash Flow Summary'!$I$24="Current Pay",('Loan Summary'!S73*'Loan Summary'!$P$3)/12,0)))</f>
        <v>0</v>
      </c>
      <c r="V73" s="517">
        <f>IF('Loan Summary'!R73=Assumptions!$AD$3,Assumptions!$AD$25,0)</f>
        <v>0</v>
      </c>
      <c r="W73" s="517">
        <f t="shared" ca="1" si="14"/>
        <v>858092.85414957232</v>
      </c>
    </row>
    <row r="74" spans="6:23">
      <c r="F74" s="86">
        <v>73</v>
      </c>
      <c r="G74" s="85">
        <f t="shared" si="10"/>
        <v>3740191.3061347073</v>
      </c>
      <c r="H74" s="85">
        <f t="shared" si="8"/>
        <v>21236.394865569677</v>
      </c>
      <c r="I74" s="85">
        <f t="shared" si="9"/>
        <v>17142.543486450741</v>
      </c>
      <c r="J74" s="85">
        <f t="shared" si="11"/>
        <v>0</v>
      </c>
      <c r="K74" s="153">
        <f>IF('Monthly Cash Flow'!$C$88="Lender Draw",HLOOKUP(F74,'Monthly Cash Flow'!$D$79:$CP$88,10),0)</f>
        <v>0</v>
      </c>
      <c r="L74" s="83">
        <f t="shared" si="12"/>
        <v>3740191.3061347073</v>
      </c>
      <c r="R74" s="86">
        <v>73</v>
      </c>
      <c r="S74" s="517">
        <f t="shared" ca="1" si="15"/>
        <v>858092.85414957232</v>
      </c>
      <c r="T74" s="517">
        <f t="shared" ca="1" si="13"/>
        <v>8580.928541495723</v>
      </c>
      <c r="U74" s="517">
        <f ca="1">-IF('Cash Flow Summary'!$J$24="No",0,IF(AND('Cash Flow Summary'!$D$24="Yes",HLOOKUP($R74,'Monthly Cash Flow'!$D$6:$CP$68,61,FALSE)&gt;0),HLOOKUP($R74,'Monthly Cash Flow'!$D$6:$CP$68,61,FALSE),IF('Cash Flow Summary'!$J$24="Current Pay",('Loan Summary'!S74*'Loan Summary'!$P$3)/12,0)))</f>
        <v>0</v>
      </c>
      <c r="V74" s="517">
        <f>IF('Loan Summary'!R74=Assumptions!$AD$3,Assumptions!$AD$25,0)</f>
        <v>0</v>
      </c>
      <c r="W74" s="517">
        <f t="shared" ca="1" si="14"/>
        <v>866673.78269106802</v>
      </c>
    </row>
    <row r="75" spans="6:23">
      <c r="F75" s="86">
        <v>74</v>
      </c>
      <c r="G75" s="85">
        <f t="shared" si="10"/>
        <v>3740191.3061347073</v>
      </c>
      <c r="H75" s="85">
        <f t="shared" si="8"/>
        <v>21236.394865569677</v>
      </c>
      <c r="I75" s="85">
        <f t="shared" si="9"/>
        <v>17142.543486450741</v>
      </c>
      <c r="J75" s="85">
        <f t="shared" si="11"/>
        <v>0</v>
      </c>
      <c r="K75" s="153">
        <f>IF('Monthly Cash Flow'!$C$88="Lender Draw",HLOOKUP(F75,'Monthly Cash Flow'!$D$79:$CP$88,10),0)</f>
        <v>0</v>
      </c>
      <c r="L75" s="83">
        <f t="shared" si="12"/>
        <v>3740191.3061347073</v>
      </c>
      <c r="R75" s="86">
        <v>74</v>
      </c>
      <c r="S75" s="517">
        <f t="shared" ca="1" si="15"/>
        <v>866673.78269106802</v>
      </c>
      <c r="T75" s="517">
        <f t="shared" ca="1" si="13"/>
        <v>8666.7378269106794</v>
      </c>
      <c r="U75" s="517">
        <f ca="1">-IF('Cash Flow Summary'!$J$24="No",0,IF(AND('Cash Flow Summary'!$D$24="Yes",HLOOKUP($R75,'Monthly Cash Flow'!$D$6:$CP$68,61,FALSE)&gt;0),HLOOKUP($R75,'Monthly Cash Flow'!$D$6:$CP$68,61,FALSE),IF('Cash Flow Summary'!$J$24="Current Pay",('Loan Summary'!S75*'Loan Summary'!$P$3)/12,0)))</f>
        <v>0</v>
      </c>
      <c r="V75" s="517">
        <f>IF('Loan Summary'!R75=Assumptions!$AD$3,Assumptions!$AD$25,0)</f>
        <v>0</v>
      </c>
      <c r="W75" s="517">
        <f t="shared" ca="1" si="14"/>
        <v>875340.5205179787</v>
      </c>
    </row>
    <row r="76" spans="6:23">
      <c r="F76" s="86">
        <v>75</v>
      </c>
      <c r="G76" s="85">
        <f t="shared" si="10"/>
        <v>3740191.3061347073</v>
      </c>
      <c r="H76" s="85">
        <f t="shared" si="8"/>
        <v>21236.394865569677</v>
      </c>
      <c r="I76" s="85">
        <f t="shared" si="9"/>
        <v>17142.543486450741</v>
      </c>
      <c r="J76" s="85">
        <f t="shared" si="11"/>
        <v>0</v>
      </c>
      <c r="K76" s="153">
        <f>IF('Monthly Cash Flow'!$C$88="Lender Draw",HLOOKUP(F76,'Monthly Cash Flow'!$D$79:$CP$88,10),0)</f>
        <v>0</v>
      </c>
      <c r="L76" s="83">
        <f t="shared" si="12"/>
        <v>3740191.3061347073</v>
      </c>
      <c r="R76" s="86">
        <v>75</v>
      </c>
      <c r="S76" s="517">
        <f t="shared" ca="1" si="15"/>
        <v>875340.5205179787</v>
      </c>
      <c r="T76" s="517">
        <f t="shared" ca="1" si="13"/>
        <v>8753.4052051797862</v>
      </c>
      <c r="U76" s="517">
        <f ca="1">-IF('Cash Flow Summary'!$J$24="No",0,IF(AND('Cash Flow Summary'!$D$24="Yes",HLOOKUP($R76,'Monthly Cash Flow'!$D$6:$CP$68,61,FALSE)&gt;0),HLOOKUP($R76,'Monthly Cash Flow'!$D$6:$CP$68,61,FALSE),IF('Cash Flow Summary'!$J$24="Current Pay",('Loan Summary'!S76*'Loan Summary'!$P$3)/12,0)))</f>
        <v>0</v>
      </c>
      <c r="V76" s="517">
        <f>IF('Loan Summary'!R76=Assumptions!$AD$3,Assumptions!$AD$25,0)</f>
        <v>0</v>
      </c>
      <c r="W76" s="517">
        <f t="shared" ca="1" si="14"/>
        <v>884093.92572315852</v>
      </c>
    </row>
    <row r="77" spans="6:23">
      <c r="F77" s="86">
        <v>76</v>
      </c>
      <c r="G77" s="85">
        <f t="shared" si="10"/>
        <v>3740191.3061347073</v>
      </c>
      <c r="H77" s="85">
        <f t="shared" si="8"/>
        <v>21236.394865569677</v>
      </c>
      <c r="I77" s="85">
        <f t="shared" si="9"/>
        <v>17142.543486450741</v>
      </c>
      <c r="J77" s="85">
        <f t="shared" si="11"/>
        <v>0</v>
      </c>
      <c r="K77" s="153">
        <f>IF('Monthly Cash Flow'!$C$88="Lender Draw",HLOOKUP(F77,'Monthly Cash Flow'!$D$79:$CP$88,10),0)</f>
        <v>0</v>
      </c>
      <c r="L77" s="83">
        <f t="shared" si="12"/>
        <v>3740191.3061347073</v>
      </c>
      <c r="R77" s="86">
        <v>76</v>
      </c>
      <c r="S77" s="517">
        <f t="shared" ca="1" si="15"/>
        <v>884093.92572315852</v>
      </c>
      <c r="T77" s="517">
        <f t="shared" ca="1" si="13"/>
        <v>8840.9392572315846</v>
      </c>
      <c r="U77" s="517">
        <f ca="1">-IF('Cash Flow Summary'!$J$24="No",0,IF(AND('Cash Flow Summary'!$D$24="Yes",HLOOKUP($R77,'Monthly Cash Flow'!$D$6:$CP$68,61,FALSE)&gt;0),HLOOKUP($R77,'Monthly Cash Flow'!$D$6:$CP$68,61,FALSE),IF('Cash Flow Summary'!$J$24="Current Pay",('Loan Summary'!S77*'Loan Summary'!$P$3)/12,0)))</f>
        <v>0</v>
      </c>
      <c r="V77" s="517">
        <f>IF('Loan Summary'!R77=Assumptions!$AD$3,Assumptions!$AD$25,0)</f>
        <v>0</v>
      </c>
      <c r="W77" s="517">
        <f t="shared" ca="1" si="14"/>
        <v>892934.86498039006</v>
      </c>
    </row>
    <row r="78" spans="6:23">
      <c r="F78" s="86">
        <v>77</v>
      </c>
      <c r="G78" s="85">
        <f t="shared" si="10"/>
        <v>3740191.3061347073</v>
      </c>
      <c r="H78" s="85">
        <f t="shared" si="8"/>
        <v>21236.394865569677</v>
      </c>
      <c r="I78" s="85">
        <f t="shared" si="9"/>
        <v>17142.543486450741</v>
      </c>
      <c r="J78" s="85">
        <f t="shared" si="11"/>
        <v>0</v>
      </c>
      <c r="K78" s="153">
        <f>IF('Monthly Cash Flow'!$C$88="Lender Draw",HLOOKUP(F78,'Monthly Cash Flow'!$D$79:$CP$88,10),0)</f>
        <v>0</v>
      </c>
      <c r="L78" s="83">
        <f t="shared" si="12"/>
        <v>3740191.3061347073</v>
      </c>
      <c r="R78" s="86">
        <v>77</v>
      </c>
      <c r="S78" s="517">
        <f t="shared" ca="1" si="15"/>
        <v>892934.86498039006</v>
      </c>
      <c r="T78" s="517">
        <f t="shared" ca="1" si="13"/>
        <v>8929.3486498039001</v>
      </c>
      <c r="U78" s="517">
        <f ca="1">-IF('Cash Flow Summary'!$J$24="No",0,IF(AND('Cash Flow Summary'!$D$24="Yes",HLOOKUP($R78,'Monthly Cash Flow'!$D$6:$CP$68,61,FALSE)&gt;0),HLOOKUP($R78,'Monthly Cash Flow'!$D$6:$CP$68,61,FALSE),IF('Cash Flow Summary'!$J$24="Current Pay",('Loan Summary'!S78*'Loan Summary'!$P$3)/12,0)))</f>
        <v>0</v>
      </c>
      <c r="V78" s="517">
        <f>IF('Loan Summary'!R78=Assumptions!$AD$3,Assumptions!$AD$25,0)</f>
        <v>0</v>
      </c>
      <c r="W78" s="517">
        <f t="shared" ca="1" si="14"/>
        <v>901864.21363019396</v>
      </c>
    </row>
    <row r="79" spans="6:23">
      <c r="F79" s="86">
        <v>78</v>
      </c>
      <c r="G79" s="85">
        <f t="shared" si="10"/>
        <v>3740191.3061347073</v>
      </c>
      <c r="H79" s="85">
        <f t="shared" si="8"/>
        <v>21236.394865569677</v>
      </c>
      <c r="I79" s="85">
        <f t="shared" si="9"/>
        <v>17142.543486450741</v>
      </c>
      <c r="J79" s="85">
        <f t="shared" si="11"/>
        <v>0</v>
      </c>
      <c r="K79" s="153">
        <f>IF('Monthly Cash Flow'!$C$88="Lender Draw",HLOOKUP(F79,'Monthly Cash Flow'!$D$79:$CP$88,10),0)</f>
        <v>0</v>
      </c>
      <c r="L79" s="83">
        <f t="shared" si="12"/>
        <v>3740191.3061347073</v>
      </c>
      <c r="R79" s="86">
        <v>78</v>
      </c>
      <c r="S79" s="517">
        <f t="shared" ca="1" si="15"/>
        <v>901864.21363019396</v>
      </c>
      <c r="T79" s="517">
        <f t="shared" ca="1" si="13"/>
        <v>9018.6421363019381</v>
      </c>
      <c r="U79" s="517">
        <f ca="1">-IF('Cash Flow Summary'!$J$24="No",0,IF(AND('Cash Flow Summary'!$D$24="Yes",HLOOKUP($R79,'Monthly Cash Flow'!$D$6:$CP$68,61,FALSE)&gt;0),HLOOKUP($R79,'Monthly Cash Flow'!$D$6:$CP$68,61,FALSE),IF('Cash Flow Summary'!$J$24="Current Pay",('Loan Summary'!S79*'Loan Summary'!$P$3)/12,0)))</f>
        <v>0</v>
      </c>
      <c r="V79" s="517">
        <f>IF('Loan Summary'!R79=Assumptions!$AD$3,Assumptions!$AD$25,0)</f>
        <v>0</v>
      </c>
      <c r="W79" s="517">
        <f t="shared" ca="1" si="14"/>
        <v>910882.85576649592</v>
      </c>
    </row>
    <row r="80" spans="6:23">
      <c r="F80" s="86">
        <v>79</v>
      </c>
      <c r="G80" s="85">
        <f t="shared" si="10"/>
        <v>3740191.3061347073</v>
      </c>
      <c r="H80" s="85">
        <f t="shared" si="8"/>
        <v>21236.394865569677</v>
      </c>
      <c r="I80" s="85">
        <f t="shared" si="9"/>
        <v>17142.543486450741</v>
      </c>
      <c r="J80" s="85">
        <f t="shared" si="11"/>
        <v>0</v>
      </c>
      <c r="K80" s="153">
        <f>IF('Monthly Cash Flow'!$C$88="Lender Draw",HLOOKUP(F80,'Monthly Cash Flow'!$D$79:$CP$88,10),0)</f>
        <v>0</v>
      </c>
      <c r="L80" s="83">
        <f t="shared" si="12"/>
        <v>3740191.3061347073</v>
      </c>
      <c r="R80" s="86">
        <v>79</v>
      </c>
      <c r="S80" s="517">
        <f t="shared" ca="1" si="15"/>
        <v>910882.85576649592</v>
      </c>
      <c r="T80" s="517">
        <f t="shared" ca="1" si="13"/>
        <v>9108.8285576649596</v>
      </c>
      <c r="U80" s="517">
        <f ca="1">-IF('Cash Flow Summary'!$J$24="No",0,IF(AND('Cash Flow Summary'!$D$24="Yes",HLOOKUP($R80,'Monthly Cash Flow'!$D$6:$CP$68,61,FALSE)&gt;0),HLOOKUP($R80,'Monthly Cash Flow'!$D$6:$CP$68,61,FALSE),IF('Cash Flow Summary'!$J$24="Current Pay",('Loan Summary'!S80*'Loan Summary'!$P$3)/12,0)))</f>
        <v>0</v>
      </c>
      <c r="V80" s="517">
        <f>IF('Loan Summary'!R80=Assumptions!$AD$3,Assumptions!$AD$25,0)</f>
        <v>0</v>
      </c>
      <c r="W80" s="517">
        <f t="shared" ca="1" si="14"/>
        <v>919991.68432416092</v>
      </c>
    </row>
    <row r="81" spans="6:23">
      <c r="F81" s="86">
        <v>80</v>
      </c>
      <c r="G81" s="85">
        <f t="shared" si="10"/>
        <v>3740191.3061347073</v>
      </c>
      <c r="H81" s="85">
        <f t="shared" si="8"/>
        <v>21236.394865569677</v>
      </c>
      <c r="I81" s="85">
        <f t="shared" si="9"/>
        <v>17142.543486450741</v>
      </c>
      <c r="J81" s="85">
        <f t="shared" si="11"/>
        <v>0</v>
      </c>
      <c r="K81" s="153">
        <f>IF('Monthly Cash Flow'!$C$88="Lender Draw",HLOOKUP(F81,'Monthly Cash Flow'!$D$79:$CP$88,10),0)</f>
        <v>0</v>
      </c>
      <c r="L81" s="83">
        <f t="shared" si="12"/>
        <v>3740191.3061347073</v>
      </c>
      <c r="R81" s="86">
        <v>80</v>
      </c>
      <c r="S81" s="517">
        <f t="shared" ca="1" si="15"/>
        <v>919991.68432416092</v>
      </c>
      <c r="T81" s="517">
        <f t="shared" ca="1" si="13"/>
        <v>9199.91684324161</v>
      </c>
      <c r="U81" s="517">
        <f ca="1">-IF('Cash Flow Summary'!$J$24="No",0,IF(AND('Cash Flow Summary'!$D$24="Yes",HLOOKUP($R81,'Monthly Cash Flow'!$D$6:$CP$68,61,FALSE)&gt;0),HLOOKUP($R81,'Monthly Cash Flow'!$D$6:$CP$68,61,FALSE),IF('Cash Flow Summary'!$J$24="Current Pay",('Loan Summary'!S81*'Loan Summary'!$P$3)/12,0)))</f>
        <v>0</v>
      </c>
      <c r="V81" s="517">
        <f>IF('Loan Summary'!R81=Assumptions!$AD$3,Assumptions!$AD$25,0)</f>
        <v>0</v>
      </c>
      <c r="W81" s="517">
        <f t="shared" ca="1" si="14"/>
        <v>929191.60116740258</v>
      </c>
    </row>
    <row r="82" spans="6:23">
      <c r="F82" s="86">
        <v>81</v>
      </c>
      <c r="G82" s="85">
        <f t="shared" si="10"/>
        <v>3740191.3061347073</v>
      </c>
      <c r="H82" s="85">
        <f t="shared" si="8"/>
        <v>21236.394865569677</v>
      </c>
      <c r="I82" s="85">
        <f t="shared" si="9"/>
        <v>17142.543486450741</v>
      </c>
      <c r="J82" s="85">
        <f t="shared" si="11"/>
        <v>0</v>
      </c>
      <c r="K82" s="153">
        <f>IF('Monthly Cash Flow'!$C$88="Lender Draw",HLOOKUP(F82,'Monthly Cash Flow'!$D$79:$CP$88,10),0)</f>
        <v>0</v>
      </c>
      <c r="L82" s="83">
        <f t="shared" si="12"/>
        <v>3740191.3061347073</v>
      </c>
      <c r="R82" s="86">
        <v>81</v>
      </c>
      <c r="S82" s="517">
        <f t="shared" ca="1" si="15"/>
        <v>929191.60116740258</v>
      </c>
      <c r="T82" s="517">
        <f t="shared" ca="1" si="13"/>
        <v>9291.9160116740259</v>
      </c>
      <c r="U82" s="517">
        <f ca="1">-IF('Cash Flow Summary'!$J$24="No",0,IF(AND('Cash Flow Summary'!$D$24="Yes",HLOOKUP($R82,'Monthly Cash Flow'!$D$6:$CP$68,61,FALSE)&gt;0),HLOOKUP($R82,'Monthly Cash Flow'!$D$6:$CP$68,61,FALSE),IF('Cash Flow Summary'!$J$24="Current Pay",('Loan Summary'!S82*'Loan Summary'!$P$3)/12,0)))</f>
        <v>0</v>
      </c>
      <c r="V82" s="517">
        <f>IF('Loan Summary'!R82=Assumptions!$AD$3,Assumptions!$AD$25,0)</f>
        <v>0</v>
      </c>
      <c r="W82" s="517">
        <f t="shared" ca="1" si="14"/>
        <v>938483.51717907656</v>
      </c>
    </row>
    <row r="83" spans="6:23">
      <c r="F83" s="86">
        <v>82</v>
      </c>
      <c r="G83" s="85">
        <f t="shared" si="10"/>
        <v>3740191.3061347073</v>
      </c>
      <c r="H83" s="85">
        <f t="shared" si="8"/>
        <v>21236.394865569677</v>
      </c>
      <c r="I83" s="85">
        <f t="shared" si="9"/>
        <v>17142.543486450741</v>
      </c>
      <c r="J83" s="85">
        <f t="shared" si="11"/>
        <v>0</v>
      </c>
      <c r="K83" s="153">
        <f>IF('Monthly Cash Flow'!$C$88="Lender Draw",HLOOKUP(F83,'Monthly Cash Flow'!$D$79:$CP$88,10),0)</f>
        <v>0</v>
      </c>
      <c r="L83" s="83">
        <f t="shared" si="12"/>
        <v>3740191.3061347073</v>
      </c>
      <c r="R83" s="86">
        <v>82</v>
      </c>
      <c r="S83" s="517">
        <f t="shared" ca="1" si="15"/>
        <v>938483.51717907656</v>
      </c>
      <c r="T83" s="517">
        <f t="shared" ca="1" si="13"/>
        <v>9384.8351717907663</v>
      </c>
      <c r="U83" s="517">
        <f ca="1">-IF('Cash Flow Summary'!$J$24="No",0,IF(AND('Cash Flow Summary'!$D$24="Yes",HLOOKUP($R83,'Monthly Cash Flow'!$D$6:$CP$68,61,FALSE)&gt;0),HLOOKUP($R83,'Monthly Cash Flow'!$D$6:$CP$68,61,FALSE),IF('Cash Flow Summary'!$J$24="Current Pay",('Loan Summary'!S83*'Loan Summary'!$P$3)/12,0)))</f>
        <v>0</v>
      </c>
      <c r="V83" s="517">
        <f>IF('Loan Summary'!R83=Assumptions!$AD$3,Assumptions!$AD$25,0)</f>
        <v>0</v>
      </c>
      <c r="W83" s="517">
        <f t="shared" ca="1" si="14"/>
        <v>947868.35235086735</v>
      </c>
    </row>
    <row r="84" spans="6:23">
      <c r="F84" s="86">
        <v>83</v>
      </c>
      <c r="G84" s="85">
        <f t="shared" si="10"/>
        <v>3740191.3061347073</v>
      </c>
      <c r="H84" s="85">
        <f t="shared" si="8"/>
        <v>21236.394865569677</v>
      </c>
      <c r="I84" s="85">
        <f t="shared" si="9"/>
        <v>17142.543486450741</v>
      </c>
      <c r="J84" s="85">
        <f t="shared" si="11"/>
        <v>0</v>
      </c>
      <c r="K84" s="153">
        <f>IF('Monthly Cash Flow'!$C$88="Lender Draw",HLOOKUP(F84,'Monthly Cash Flow'!$D$79:$CP$88,10),0)</f>
        <v>0</v>
      </c>
      <c r="L84" s="83">
        <f t="shared" si="12"/>
        <v>3740191.3061347073</v>
      </c>
      <c r="R84" s="86">
        <v>83</v>
      </c>
      <c r="S84" s="517">
        <f t="shared" ca="1" si="15"/>
        <v>947868.35235086735</v>
      </c>
      <c r="T84" s="517">
        <f t="shared" ca="1" si="13"/>
        <v>9478.6835235086728</v>
      </c>
      <c r="U84" s="517">
        <f ca="1">-IF('Cash Flow Summary'!$J$24="No",0,IF(AND('Cash Flow Summary'!$D$24="Yes",HLOOKUP($R84,'Monthly Cash Flow'!$D$6:$CP$68,61,FALSE)&gt;0),HLOOKUP($R84,'Monthly Cash Flow'!$D$6:$CP$68,61,FALSE),IF('Cash Flow Summary'!$J$24="Current Pay",('Loan Summary'!S84*'Loan Summary'!$P$3)/12,0)))</f>
        <v>0</v>
      </c>
      <c r="V84" s="517">
        <f>IF('Loan Summary'!R84=Assumptions!$AD$3,Assumptions!$AD$25,0)</f>
        <v>0</v>
      </c>
      <c r="W84" s="517">
        <f t="shared" ca="1" si="14"/>
        <v>957347.03587437607</v>
      </c>
    </row>
    <row r="85" spans="6:23">
      <c r="F85" s="86">
        <v>84</v>
      </c>
      <c r="G85" s="85">
        <f t="shared" si="10"/>
        <v>3740191.3061347073</v>
      </c>
      <c r="H85" s="85">
        <f t="shared" si="8"/>
        <v>21236.394865569677</v>
      </c>
      <c r="I85" s="85">
        <f t="shared" si="9"/>
        <v>17142.543486450741</v>
      </c>
      <c r="J85" s="85">
        <f t="shared" si="11"/>
        <v>0</v>
      </c>
      <c r="K85" s="153">
        <f>IF('Monthly Cash Flow'!$C$88="Lender Draw",HLOOKUP(F85,'Monthly Cash Flow'!$D$79:$CP$88,10),0)</f>
        <v>0</v>
      </c>
      <c r="L85" s="83">
        <f t="shared" si="12"/>
        <v>3740191.3061347073</v>
      </c>
      <c r="R85" s="86">
        <v>84</v>
      </c>
      <c r="S85" s="517">
        <f t="shared" ca="1" si="15"/>
        <v>957347.03587437607</v>
      </c>
      <c r="T85" s="517">
        <f t="shared" ca="1" si="13"/>
        <v>9573.4703587437598</v>
      </c>
      <c r="U85" s="517">
        <f ca="1">-IF('Cash Flow Summary'!$J$24="No",0,IF(AND('Cash Flow Summary'!$D$24="Yes",HLOOKUP($R85,'Monthly Cash Flow'!$D$6:$CP$68,61,FALSE)&gt;0),HLOOKUP($R85,'Monthly Cash Flow'!$D$6:$CP$68,61,FALSE),IF('Cash Flow Summary'!$J$24="Current Pay",('Loan Summary'!S85*'Loan Summary'!$P$3)/12,0)))</f>
        <v>0</v>
      </c>
      <c r="V85" s="517">
        <f>IF('Loan Summary'!R85=Assumptions!$AD$3,Assumptions!$AD$25,0)</f>
        <v>0</v>
      </c>
      <c r="W85" s="517">
        <f t="shared" ca="1" si="14"/>
        <v>966920.50623311987</v>
      </c>
    </row>
    <row r="86" spans="6:23">
      <c r="F86" s="86">
        <v>85</v>
      </c>
      <c r="G86" s="85">
        <f t="shared" si="10"/>
        <v>3740191.3061347073</v>
      </c>
      <c r="H86" s="85">
        <f t="shared" si="8"/>
        <v>21236.394865569677</v>
      </c>
      <c r="I86" s="85">
        <f t="shared" si="9"/>
        <v>17142.543486450741</v>
      </c>
      <c r="J86" s="85">
        <f t="shared" si="11"/>
        <v>0</v>
      </c>
      <c r="K86" s="153">
        <f>IF('Monthly Cash Flow'!$C$88="Lender Draw",HLOOKUP(F86,'Monthly Cash Flow'!$D$79:$CP$88,10),0)</f>
        <v>0</v>
      </c>
      <c r="L86" s="83">
        <f t="shared" si="12"/>
        <v>3740191.3061347073</v>
      </c>
      <c r="R86" s="86">
        <v>85</v>
      </c>
      <c r="S86" s="517">
        <f t="shared" ca="1" si="15"/>
        <v>966920.50623311987</v>
      </c>
      <c r="T86" s="517">
        <f t="shared" ca="1" si="13"/>
        <v>9669.2050623311989</v>
      </c>
      <c r="U86" s="517" t="e">
        <f ca="1">-IF(AND($P$5="No",HLOOKUP('Loan Summary'!$R86,'Monthly Cash Flow'!$D$6:$CP$76,63,FALSE)&gt;T86),T86,(HLOOKUP('Loan Summary'!$R86,'Monthly Cash Flow'!$D$6:$CP$76,63,FALSE)))</f>
        <v>#N/A</v>
      </c>
      <c r="V86" s="517">
        <f>IF('Loan Summary'!R86=Assumptions!$AD$3,Assumptions!$AD$25,0)</f>
        <v>0</v>
      </c>
      <c r="W86" s="517" t="e">
        <f t="shared" ca="1" si="14"/>
        <v>#N/A</v>
      </c>
    </row>
    <row r="87" spans="6:23">
      <c r="F87" s="86">
        <v>86</v>
      </c>
      <c r="G87" s="85">
        <f t="shared" si="10"/>
        <v>3740191.3061347073</v>
      </c>
      <c r="H87" s="85">
        <f t="shared" si="8"/>
        <v>21236.394865569677</v>
      </c>
      <c r="I87" s="85">
        <f t="shared" si="9"/>
        <v>17142.543486450741</v>
      </c>
      <c r="J87" s="85">
        <f t="shared" si="11"/>
        <v>0</v>
      </c>
      <c r="K87" s="153">
        <f>IF('Monthly Cash Flow'!$C$88="Lender Draw",HLOOKUP(F87,'Monthly Cash Flow'!$D$79:$CP$88,10),0)</f>
        <v>0</v>
      </c>
      <c r="L87" s="83">
        <f t="shared" si="12"/>
        <v>3740191.3061347073</v>
      </c>
      <c r="R87" s="86">
        <v>86</v>
      </c>
      <c r="S87" s="517" t="e">
        <f t="shared" ca="1" si="15"/>
        <v>#N/A</v>
      </c>
      <c r="T87" s="517" t="e">
        <f t="shared" ca="1" si="13"/>
        <v>#N/A</v>
      </c>
      <c r="U87" s="517" t="e">
        <f ca="1">-IF(AND($P$5="No",HLOOKUP('Loan Summary'!$R87,'Monthly Cash Flow'!$D$6:$CP$76,63,FALSE)&gt;T87),T87,(HLOOKUP('Loan Summary'!$R87,'Monthly Cash Flow'!$D$6:$CP$76,63,FALSE)))</f>
        <v>#N/A</v>
      </c>
      <c r="V87" s="517">
        <f>IF('Loan Summary'!R87=Assumptions!$AD$3,Assumptions!$AD$25,0)</f>
        <v>0</v>
      </c>
      <c r="W87" s="517" t="e">
        <f t="shared" ca="1" si="14"/>
        <v>#N/A</v>
      </c>
    </row>
    <row r="88" spans="6:23">
      <c r="F88" s="86">
        <v>87</v>
      </c>
      <c r="G88" s="85">
        <f t="shared" si="10"/>
        <v>3740191.3061347073</v>
      </c>
      <c r="H88" s="85">
        <f t="shared" si="8"/>
        <v>21236.394865569677</v>
      </c>
      <c r="I88" s="85">
        <f t="shared" si="9"/>
        <v>17142.543486450741</v>
      </c>
      <c r="J88" s="85">
        <f t="shared" si="11"/>
        <v>0</v>
      </c>
      <c r="K88" s="153">
        <f>IF('Monthly Cash Flow'!$C$88="Lender Draw",HLOOKUP(F88,'Monthly Cash Flow'!$D$79:$CP$88,10),0)</f>
        <v>0</v>
      </c>
      <c r="L88" s="83">
        <f t="shared" si="12"/>
        <v>3740191.3061347073</v>
      </c>
      <c r="R88" s="86">
        <v>87</v>
      </c>
      <c r="S88" s="517" t="e">
        <f t="shared" ca="1" si="15"/>
        <v>#N/A</v>
      </c>
      <c r="T88" s="517" t="e">
        <f t="shared" ca="1" si="13"/>
        <v>#N/A</v>
      </c>
      <c r="U88" s="517" t="e">
        <f ca="1">-IF(AND($P$5="No",HLOOKUP('Loan Summary'!$R88,'Monthly Cash Flow'!$D$6:$CP$76,63,FALSE)&gt;T88),T88,(HLOOKUP('Loan Summary'!$R88,'Monthly Cash Flow'!$D$6:$CP$76,63,FALSE)))</f>
        <v>#N/A</v>
      </c>
      <c r="V88" s="517">
        <f>IF('Loan Summary'!R88=Assumptions!$AD$3,Assumptions!$AD$25,0)</f>
        <v>0</v>
      </c>
      <c r="W88" s="517" t="e">
        <f t="shared" ca="1" si="14"/>
        <v>#N/A</v>
      </c>
    </row>
    <row r="89" spans="6:23">
      <c r="F89" s="86">
        <v>88</v>
      </c>
      <c r="G89" s="85">
        <f t="shared" si="10"/>
        <v>3740191.3061347073</v>
      </c>
      <c r="H89" s="85">
        <f t="shared" si="8"/>
        <v>21236.394865569677</v>
      </c>
      <c r="I89" s="85">
        <f t="shared" si="9"/>
        <v>17142.543486450741</v>
      </c>
      <c r="J89" s="85">
        <f t="shared" si="11"/>
        <v>0</v>
      </c>
      <c r="K89" s="153">
        <f>IF('Monthly Cash Flow'!$C$88="Lender Draw",HLOOKUP(F89,'Monthly Cash Flow'!$D$79:$CP$88,10),0)</f>
        <v>0</v>
      </c>
      <c r="L89" s="83">
        <f t="shared" si="12"/>
        <v>3740191.3061347073</v>
      </c>
      <c r="R89" s="86">
        <v>88</v>
      </c>
      <c r="S89" s="517" t="e">
        <f t="shared" ca="1" si="15"/>
        <v>#N/A</v>
      </c>
      <c r="T89" s="517" t="e">
        <f t="shared" ca="1" si="13"/>
        <v>#N/A</v>
      </c>
      <c r="U89" s="517" t="e">
        <f ca="1">-IF(AND($P$5="No",HLOOKUP('Loan Summary'!$R89,'Monthly Cash Flow'!$D$6:$CP$76,63,FALSE)&gt;T89),T89,(HLOOKUP('Loan Summary'!$R89,'Monthly Cash Flow'!$D$6:$CP$76,63,FALSE)))</f>
        <v>#N/A</v>
      </c>
      <c r="V89" s="517">
        <f>IF('Loan Summary'!R89=Assumptions!$AD$3,Assumptions!$AD$25,0)</f>
        <v>0</v>
      </c>
      <c r="W89" s="517" t="e">
        <f t="shared" ca="1" si="14"/>
        <v>#N/A</v>
      </c>
    </row>
    <row r="90" spans="6:23">
      <c r="F90" s="86">
        <v>89</v>
      </c>
      <c r="G90" s="85">
        <f t="shared" si="10"/>
        <v>3740191.3061347073</v>
      </c>
      <c r="H90" s="85">
        <f t="shared" si="8"/>
        <v>21236.394865569677</v>
      </c>
      <c r="I90" s="85">
        <f t="shared" si="9"/>
        <v>17142.543486450741</v>
      </c>
      <c r="J90" s="85">
        <f t="shared" si="11"/>
        <v>0</v>
      </c>
      <c r="K90" s="153">
        <f>IF('Monthly Cash Flow'!$C$88="Lender Draw",HLOOKUP(F90,'Monthly Cash Flow'!$D$79:$CP$88,10),0)</f>
        <v>0</v>
      </c>
      <c r="L90" s="83">
        <f t="shared" si="12"/>
        <v>3740191.3061347073</v>
      </c>
      <c r="R90" s="86">
        <v>89</v>
      </c>
      <c r="S90" s="517" t="e">
        <f t="shared" ca="1" si="15"/>
        <v>#N/A</v>
      </c>
      <c r="T90" s="517" t="e">
        <f t="shared" ca="1" si="13"/>
        <v>#N/A</v>
      </c>
      <c r="U90" s="517" t="e">
        <f ca="1">-IF(AND($P$5="No",HLOOKUP('Loan Summary'!$R90,'Monthly Cash Flow'!$D$6:$CP$76,63,FALSE)&gt;T90),T90,(HLOOKUP('Loan Summary'!$R90,'Monthly Cash Flow'!$D$6:$CP$76,63,FALSE)))</f>
        <v>#N/A</v>
      </c>
      <c r="V90" s="517">
        <f>IF('Loan Summary'!R90=Assumptions!$AD$3,Assumptions!$AD$25,0)</f>
        <v>0</v>
      </c>
      <c r="W90" s="517" t="e">
        <f t="shared" ca="1" si="14"/>
        <v>#N/A</v>
      </c>
    </row>
    <row r="91" spans="6:23">
      <c r="F91" s="86">
        <v>90</v>
      </c>
      <c r="G91" s="85">
        <f t="shared" si="10"/>
        <v>3740191.3061347073</v>
      </c>
      <c r="H91" s="85">
        <f t="shared" si="8"/>
        <v>21236.394865569677</v>
      </c>
      <c r="I91" s="85">
        <f t="shared" si="9"/>
        <v>17142.543486450741</v>
      </c>
      <c r="J91" s="85">
        <f t="shared" si="11"/>
        <v>0</v>
      </c>
      <c r="K91" s="153">
        <f>IF('Monthly Cash Flow'!$C$88="Lender Draw",HLOOKUP(F91,'Monthly Cash Flow'!$D$79:$CP$88,10),0)</f>
        <v>0</v>
      </c>
      <c r="L91" s="83">
        <f t="shared" si="12"/>
        <v>3740191.3061347073</v>
      </c>
      <c r="R91" s="86">
        <v>90</v>
      </c>
      <c r="S91" s="517" t="e">
        <f t="shared" ca="1" si="15"/>
        <v>#N/A</v>
      </c>
      <c r="T91" s="517" t="e">
        <f t="shared" ca="1" si="13"/>
        <v>#N/A</v>
      </c>
      <c r="U91" s="517" t="e">
        <f ca="1">-IF(AND($P$5="No",HLOOKUP('Loan Summary'!$R91,'Monthly Cash Flow'!$D$6:$CP$76,63,FALSE)&gt;T91),T91,(HLOOKUP('Loan Summary'!$R91,'Monthly Cash Flow'!$D$6:$CP$76,63,FALSE)))</f>
        <v>#N/A</v>
      </c>
      <c r="V91" s="517">
        <f>IF('Loan Summary'!R91=Assumptions!$AD$3,Assumptions!$AD$25,0)</f>
        <v>0</v>
      </c>
      <c r="W91" s="517" t="e">
        <f t="shared" ca="1" si="14"/>
        <v>#N/A</v>
      </c>
    </row>
    <row r="92" spans="6:23">
      <c r="F92" s="86">
        <v>91</v>
      </c>
      <c r="G92" s="85">
        <f t="shared" si="10"/>
        <v>3740191.3061347073</v>
      </c>
      <c r="H92" s="85">
        <f t="shared" si="8"/>
        <v>21236.394865569677</v>
      </c>
      <c r="I92" s="85">
        <f t="shared" si="9"/>
        <v>17142.543486450741</v>
      </c>
      <c r="J92" s="85">
        <f t="shared" si="11"/>
        <v>0</v>
      </c>
      <c r="K92" s="153">
        <f>IF('Monthly Cash Flow'!$C$88="Lender Draw",HLOOKUP(F92,'Monthly Cash Flow'!$D$79:$CP$88,10),0)</f>
        <v>0</v>
      </c>
      <c r="L92" s="83">
        <f t="shared" si="12"/>
        <v>3740191.3061347073</v>
      </c>
      <c r="R92" s="86">
        <v>91</v>
      </c>
      <c r="S92" s="517" t="e">
        <f t="shared" ca="1" si="15"/>
        <v>#N/A</v>
      </c>
      <c r="T92" s="517" t="e">
        <f t="shared" ca="1" si="13"/>
        <v>#N/A</v>
      </c>
      <c r="U92" s="517" t="e">
        <f ca="1">-IF(AND($P$5="No",HLOOKUP('Loan Summary'!$R92,'Monthly Cash Flow'!$D$6:$CP$76,63,FALSE)&gt;T92),T92,(HLOOKUP('Loan Summary'!$R92,'Monthly Cash Flow'!$D$6:$CP$76,63,FALSE)))</f>
        <v>#N/A</v>
      </c>
      <c r="V92" s="517">
        <f>IF('Loan Summary'!R92=Assumptions!$AD$3,Assumptions!$AD$25,0)</f>
        <v>0</v>
      </c>
      <c r="W92" s="517" t="e">
        <f t="shared" ca="1" si="14"/>
        <v>#N/A</v>
      </c>
    </row>
    <row r="93" spans="6:23">
      <c r="F93" s="86">
        <v>92</v>
      </c>
      <c r="G93" s="85">
        <f t="shared" si="10"/>
        <v>3740191.3061347073</v>
      </c>
      <c r="H93" s="85">
        <f t="shared" si="8"/>
        <v>21236.394865569677</v>
      </c>
      <c r="I93" s="85">
        <f t="shared" si="9"/>
        <v>17142.543486450741</v>
      </c>
      <c r="J93" s="85">
        <f t="shared" si="11"/>
        <v>0</v>
      </c>
      <c r="K93" s="153">
        <f>IF('Monthly Cash Flow'!$C$88="Lender Draw",HLOOKUP(F93,'Monthly Cash Flow'!$D$79:$CP$88,10),0)</f>
        <v>0</v>
      </c>
      <c r="L93" s="83">
        <f t="shared" si="12"/>
        <v>3740191.3061347073</v>
      </c>
      <c r="R93" s="86">
        <v>92</v>
      </c>
      <c r="S93" s="517" t="e">
        <f t="shared" ca="1" si="15"/>
        <v>#N/A</v>
      </c>
      <c r="T93" s="517" t="e">
        <f t="shared" ca="1" si="13"/>
        <v>#N/A</v>
      </c>
      <c r="U93" s="517" t="e">
        <f ca="1">-IF(AND($P$5="No",HLOOKUP('Loan Summary'!$R93,'Monthly Cash Flow'!$D$6:$CP$76,63,FALSE)&gt;T93),T93,(HLOOKUP('Loan Summary'!$R93,'Monthly Cash Flow'!$D$6:$CP$76,63,FALSE)))</f>
        <v>#N/A</v>
      </c>
      <c r="V93" s="517">
        <f>IF('Loan Summary'!R93=Assumptions!$AD$3,Assumptions!$AD$25,0)</f>
        <v>0</v>
      </c>
      <c r="W93" s="517" t="e">
        <f t="shared" ca="1" si="14"/>
        <v>#N/A</v>
      </c>
    </row>
    <row r="94" spans="6:23">
      <c r="F94" s="86">
        <v>93</v>
      </c>
      <c r="G94" s="85">
        <f t="shared" si="10"/>
        <v>3740191.3061347073</v>
      </c>
      <c r="H94" s="85">
        <f t="shared" si="8"/>
        <v>21236.394865569677</v>
      </c>
      <c r="I94" s="85">
        <f t="shared" si="9"/>
        <v>17142.543486450741</v>
      </c>
      <c r="J94" s="85">
        <f t="shared" si="11"/>
        <v>0</v>
      </c>
      <c r="K94" s="153">
        <f>IF('Monthly Cash Flow'!$C$88="Lender Draw",HLOOKUP(F94,'Monthly Cash Flow'!$D$79:$CP$88,10),0)</f>
        <v>0</v>
      </c>
      <c r="L94" s="83">
        <f t="shared" si="12"/>
        <v>3740191.3061347073</v>
      </c>
      <c r="R94" s="86">
        <v>93</v>
      </c>
      <c r="S94" s="517" t="e">
        <f t="shared" ca="1" si="15"/>
        <v>#N/A</v>
      </c>
      <c r="T94" s="517" t="e">
        <f t="shared" ca="1" si="13"/>
        <v>#N/A</v>
      </c>
      <c r="U94" s="517" t="e">
        <f ca="1">-IF(AND($P$5="No",HLOOKUP('Loan Summary'!$R94,'Monthly Cash Flow'!$D$6:$CP$76,63,FALSE)&gt;T94),T94,(HLOOKUP('Loan Summary'!$R94,'Monthly Cash Flow'!$D$6:$CP$76,63,FALSE)))</f>
        <v>#N/A</v>
      </c>
      <c r="V94" s="517">
        <f>IF('Loan Summary'!R94=Assumptions!$AD$3,Assumptions!$AD$25,0)</f>
        <v>0</v>
      </c>
      <c r="W94" s="517" t="e">
        <f t="shared" ca="1" si="14"/>
        <v>#N/A</v>
      </c>
    </row>
    <row r="95" spans="6:23">
      <c r="F95" s="86">
        <v>94</v>
      </c>
      <c r="G95" s="85">
        <f t="shared" si="10"/>
        <v>3740191.3061347073</v>
      </c>
      <c r="H95" s="85">
        <f t="shared" si="8"/>
        <v>21236.394865569677</v>
      </c>
      <c r="I95" s="85">
        <f t="shared" si="9"/>
        <v>17142.543486450741</v>
      </c>
      <c r="J95" s="85">
        <f t="shared" si="11"/>
        <v>0</v>
      </c>
      <c r="K95" s="153">
        <f>IF('Monthly Cash Flow'!$C$88="Lender Draw",HLOOKUP(F95,'Monthly Cash Flow'!$D$79:$CP$88,10),0)</f>
        <v>0</v>
      </c>
      <c r="L95" s="83">
        <f t="shared" si="12"/>
        <v>3740191.3061347073</v>
      </c>
      <c r="R95" s="86">
        <v>94</v>
      </c>
      <c r="S95" s="517" t="e">
        <f t="shared" ca="1" si="15"/>
        <v>#N/A</v>
      </c>
      <c r="T95" s="517" t="e">
        <f t="shared" ca="1" si="13"/>
        <v>#N/A</v>
      </c>
      <c r="U95" s="517" t="e">
        <f ca="1">-IF(AND($P$5="No",HLOOKUP('Loan Summary'!$R95,'Monthly Cash Flow'!$D$6:$CP$76,63,FALSE)&gt;T95),T95,(HLOOKUP('Loan Summary'!$R95,'Monthly Cash Flow'!$D$6:$CP$76,63,FALSE)))</f>
        <v>#N/A</v>
      </c>
      <c r="V95" s="517">
        <f>IF('Loan Summary'!R95=Assumptions!$AD$3,Assumptions!$AD$25,0)</f>
        <v>0</v>
      </c>
      <c r="W95" s="517" t="e">
        <f t="shared" ca="1" si="14"/>
        <v>#N/A</v>
      </c>
    </row>
    <row r="96" spans="6:23">
      <c r="F96" s="86">
        <v>95</v>
      </c>
      <c r="G96" s="85">
        <f t="shared" si="10"/>
        <v>3740191.3061347073</v>
      </c>
      <c r="H96" s="85">
        <f t="shared" si="8"/>
        <v>21236.394865569677</v>
      </c>
      <c r="I96" s="85">
        <f t="shared" si="9"/>
        <v>17142.543486450741</v>
      </c>
      <c r="J96" s="85">
        <f t="shared" si="11"/>
        <v>0</v>
      </c>
      <c r="K96" s="153">
        <f>IF('Monthly Cash Flow'!$C$88="Lender Draw",HLOOKUP(F96,'Monthly Cash Flow'!$D$79:$CP$88,10),0)</f>
        <v>0</v>
      </c>
      <c r="L96" s="83">
        <f t="shared" si="12"/>
        <v>3740191.3061347073</v>
      </c>
      <c r="R96" s="86">
        <v>95</v>
      </c>
      <c r="S96" s="517" t="e">
        <f t="shared" ca="1" si="15"/>
        <v>#N/A</v>
      </c>
      <c r="T96" s="517" t="e">
        <f t="shared" ca="1" si="13"/>
        <v>#N/A</v>
      </c>
      <c r="U96" s="517" t="e">
        <f ca="1">-IF(AND($P$5="No",HLOOKUP('Loan Summary'!$R96,'Monthly Cash Flow'!$D$6:$CP$76,63,FALSE)&gt;T96),T96,(HLOOKUP('Loan Summary'!$R96,'Monthly Cash Flow'!$D$6:$CP$76,63,FALSE)))</f>
        <v>#N/A</v>
      </c>
      <c r="V96" s="517">
        <f>IF('Loan Summary'!R96=Assumptions!$AD$3,Assumptions!$AD$25,0)</f>
        <v>0</v>
      </c>
      <c r="W96" s="517" t="e">
        <f t="shared" ca="1" si="14"/>
        <v>#N/A</v>
      </c>
    </row>
    <row r="97" spans="6:23">
      <c r="F97" s="86">
        <v>96</v>
      </c>
      <c r="G97" s="85">
        <f t="shared" si="10"/>
        <v>3740191.3061347073</v>
      </c>
      <c r="H97" s="85">
        <f t="shared" si="8"/>
        <v>21236.394865569677</v>
      </c>
      <c r="I97" s="85">
        <f t="shared" si="9"/>
        <v>17142.543486450741</v>
      </c>
      <c r="J97" s="85">
        <f t="shared" si="11"/>
        <v>0</v>
      </c>
      <c r="K97" s="153">
        <f>IF('Monthly Cash Flow'!$C$88="Lender Draw",HLOOKUP(F97,'Monthly Cash Flow'!$D$79:$CP$88,10),0)</f>
        <v>0</v>
      </c>
      <c r="L97" s="83">
        <f t="shared" si="12"/>
        <v>3740191.3061347073</v>
      </c>
      <c r="R97" s="86">
        <v>96</v>
      </c>
      <c r="S97" s="517" t="e">
        <f t="shared" ca="1" si="15"/>
        <v>#N/A</v>
      </c>
      <c r="T97" s="517" t="e">
        <f t="shared" ca="1" si="13"/>
        <v>#N/A</v>
      </c>
      <c r="U97" s="517" t="e">
        <f ca="1">-IF(AND($P$5="No",HLOOKUP('Loan Summary'!$R97,'Monthly Cash Flow'!$D$6:$CP$76,63,FALSE)&gt;T97),T97,(HLOOKUP('Loan Summary'!$R97,'Monthly Cash Flow'!$D$6:$CP$76,63,FALSE)))</f>
        <v>#N/A</v>
      </c>
      <c r="V97" s="517">
        <f>IF('Loan Summary'!R97=Assumptions!$AD$3,Assumptions!$AD$25,0)</f>
        <v>0</v>
      </c>
      <c r="W97" s="517" t="e">
        <f t="shared" ca="1" si="14"/>
        <v>#N/A</v>
      </c>
    </row>
    <row r="98" spans="6:23">
      <c r="F98" s="86">
        <v>97</v>
      </c>
      <c r="G98" s="85">
        <f t="shared" si="10"/>
        <v>3740191.3061347073</v>
      </c>
      <c r="H98" s="85">
        <f t="shared" si="8"/>
        <v>21236.394865569677</v>
      </c>
      <c r="I98" s="85">
        <f t="shared" si="9"/>
        <v>17142.543486450741</v>
      </c>
      <c r="J98" s="85">
        <f t="shared" si="11"/>
        <v>0</v>
      </c>
      <c r="K98" s="153">
        <f>IF('Monthly Cash Flow'!$C$88="Lender Draw",HLOOKUP(F98,'Monthly Cash Flow'!$D$79:$CP$88,10),0)</f>
        <v>0</v>
      </c>
      <c r="L98" s="83">
        <f t="shared" si="12"/>
        <v>3740191.3061347073</v>
      </c>
      <c r="R98" s="86">
        <v>97</v>
      </c>
      <c r="S98" s="517" t="e">
        <f t="shared" ca="1" si="15"/>
        <v>#N/A</v>
      </c>
      <c r="T98" s="517" t="e">
        <f t="shared" ca="1" si="13"/>
        <v>#N/A</v>
      </c>
      <c r="U98" s="517" t="e">
        <f ca="1">-IF(AND($P$5="No",HLOOKUP('Loan Summary'!$R98,'Monthly Cash Flow'!$D$6:$CP$76,63,FALSE)&gt;T98),T98,(HLOOKUP('Loan Summary'!$R98,'Monthly Cash Flow'!$D$6:$CP$76,63,FALSE)))</f>
        <v>#N/A</v>
      </c>
      <c r="V98" s="517">
        <f>IF('Loan Summary'!R98=Assumptions!$AD$3,Assumptions!$AD$25,0)</f>
        <v>0</v>
      </c>
      <c r="W98" s="517" t="e">
        <f t="shared" ca="1" si="14"/>
        <v>#N/A</v>
      </c>
    </row>
    <row r="99" spans="6:23">
      <c r="F99" s="86">
        <v>98</v>
      </c>
      <c r="G99" s="85">
        <f t="shared" si="10"/>
        <v>3740191.3061347073</v>
      </c>
      <c r="H99" s="85">
        <f t="shared" si="8"/>
        <v>21236.394865569677</v>
      </c>
      <c r="I99" s="85">
        <f t="shared" si="9"/>
        <v>17142.543486450741</v>
      </c>
      <c r="J99" s="85">
        <f t="shared" si="11"/>
        <v>0</v>
      </c>
      <c r="K99" s="153">
        <f>IF('Monthly Cash Flow'!$C$88="Lender Draw",HLOOKUP(F99,'Monthly Cash Flow'!$D$79:$CP$88,10),0)</f>
        <v>0</v>
      </c>
      <c r="L99" s="83">
        <f t="shared" si="12"/>
        <v>3740191.3061347073</v>
      </c>
      <c r="R99" s="86">
        <v>98</v>
      </c>
      <c r="S99" s="517" t="e">
        <f t="shared" ca="1" si="15"/>
        <v>#N/A</v>
      </c>
      <c r="T99" s="517" t="e">
        <f t="shared" ca="1" si="13"/>
        <v>#N/A</v>
      </c>
      <c r="U99" s="517" t="e">
        <f ca="1">-IF(AND($P$5="No",HLOOKUP('Loan Summary'!$R99,'Monthly Cash Flow'!$D$6:$CP$76,63,FALSE)&gt;T99),T99,(HLOOKUP('Loan Summary'!$R99,'Monthly Cash Flow'!$D$6:$CP$76,63,FALSE)))</f>
        <v>#N/A</v>
      </c>
      <c r="V99" s="517">
        <f>IF('Loan Summary'!R99=Assumptions!$AD$3,Assumptions!$AD$25,0)</f>
        <v>0</v>
      </c>
      <c r="W99" s="517" t="e">
        <f t="shared" ca="1" si="14"/>
        <v>#N/A</v>
      </c>
    </row>
    <row r="100" spans="6:23">
      <c r="F100" s="86">
        <v>99</v>
      </c>
      <c r="G100" s="85">
        <f t="shared" si="10"/>
        <v>3740191.3061347073</v>
      </c>
      <c r="H100" s="85">
        <f t="shared" si="8"/>
        <v>21236.394865569677</v>
      </c>
      <c r="I100" s="85">
        <f t="shared" si="9"/>
        <v>17142.543486450741</v>
      </c>
      <c r="J100" s="85">
        <f t="shared" si="11"/>
        <v>0</v>
      </c>
      <c r="K100" s="153">
        <f>IF('Monthly Cash Flow'!$C$88="Lender Draw",HLOOKUP(F100,'Monthly Cash Flow'!$D$79:$CP$88,10),0)</f>
        <v>0</v>
      </c>
      <c r="L100" s="83">
        <f t="shared" si="12"/>
        <v>3740191.3061347073</v>
      </c>
      <c r="R100" s="86">
        <v>99</v>
      </c>
      <c r="S100" s="517" t="e">
        <f t="shared" ca="1" si="15"/>
        <v>#N/A</v>
      </c>
      <c r="T100" s="517" t="e">
        <f t="shared" ca="1" si="13"/>
        <v>#N/A</v>
      </c>
      <c r="U100" s="517" t="e">
        <f ca="1">-IF(AND($P$5="No",HLOOKUP('Loan Summary'!$R100,'Monthly Cash Flow'!$D$6:$CP$76,63,FALSE)&gt;T100),T100,(HLOOKUP('Loan Summary'!$R100,'Monthly Cash Flow'!$D$6:$CP$76,63,FALSE)))</f>
        <v>#N/A</v>
      </c>
      <c r="V100" s="517">
        <f>IF('Loan Summary'!R100=Assumptions!$AD$3,Assumptions!$AD$25,0)</f>
        <v>0</v>
      </c>
      <c r="W100" s="517" t="e">
        <f t="shared" ca="1" si="14"/>
        <v>#N/A</v>
      </c>
    </row>
    <row r="101" spans="6:23">
      <c r="F101" s="86">
        <v>100</v>
      </c>
      <c r="G101" s="85">
        <f t="shared" si="10"/>
        <v>3740191.3061347073</v>
      </c>
      <c r="H101" s="85">
        <f t="shared" si="8"/>
        <v>21236.394865569677</v>
      </c>
      <c r="I101" s="85">
        <f t="shared" si="9"/>
        <v>17142.543486450741</v>
      </c>
      <c r="J101" s="85">
        <f t="shared" si="11"/>
        <v>0</v>
      </c>
      <c r="K101" s="153">
        <f>IF('Monthly Cash Flow'!$C$88="Lender Draw",HLOOKUP(F101,'Monthly Cash Flow'!$D$79:$CP$88,10),0)</f>
        <v>0</v>
      </c>
      <c r="L101" s="83">
        <f t="shared" si="12"/>
        <v>3740191.3061347073</v>
      </c>
      <c r="R101" s="86">
        <v>100</v>
      </c>
      <c r="S101" s="517" t="e">
        <f t="shared" ca="1" si="15"/>
        <v>#N/A</v>
      </c>
      <c r="T101" s="517" t="e">
        <f t="shared" ca="1" si="13"/>
        <v>#N/A</v>
      </c>
      <c r="U101" s="517" t="e">
        <f ca="1">-IF(AND($P$5="No",HLOOKUP('Loan Summary'!$R101,'Monthly Cash Flow'!$D$6:$CP$76,63,FALSE)&gt;T101),T101,(HLOOKUP('Loan Summary'!$R101,'Monthly Cash Flow'!$D$6:$CP$76,63,FALSE)))</f>
        <v>#N/A</v>
      </c>
      <c r="V101" s="517">
        <f>IF('Loan Summary'!R101=Assumptions!$AD$3,Assumptions!$AD$25,0)</f>
        <v>0</v>
      </c>
      <c r="W101" s="517" t="e">
        <f t="shared" ca="1" si="14"/>
        <v>#N/A</v>
      </c>
    </row>
    <row r="102" spans="6:23">
      <c r="F102" s="86">
        <v>101</v>
      </c>
      <c r="G102" s="85">
        <f t="shared" si="10"/>
        <v>3740191.3061347073</v>
      </c>
      <c r="H102" s="85">
        <f t="shared" si="8"/>
        <v>21236.394865569677</v>
      </c>
      <c r="I102" s="85">
        <f t="shared" si="9"/>
        <v>17142.543486450741</v>
      </c>
      <c r="J102" s="85">
        <f t="shared" si="11"/>
        <v>0</v>
      </c>
      <c r="K102" s="153">
        <f>IF('Monthly Cash Flow'!$C$88="Lender Draw",HLOOKUP(F102,'Monthly Cash Flow'!$D$79:$CP$88,10),0)</f>
        <v>0</v>
      </c>
      <c r="L102" s="83">
        <f t="shared" si="12"/>
        <v>3740191.3061347073</v>
      </c>
      <c r="R102" s="86">
        <v>101</v>
      </c>
      <c r="S102" s="517" t="e">
        <f t="shared" ca="1" si="15"/>
        <v>#N/A</v>
      </c>
      <c r="T102" s="517" t="e">
        <f t="shared" ca="1" si="13"/>
        <v>#N/A</v>
      </c>
      <c r="U102" s="517" t="e">
        <f ca="1">-IF(AND($P$5="No",HLOOKUP('Loan Summary'!$R102,'Monthly Cash Flow'!$D$6:$CP$76,63,FALSE)&gt;T102),T102,(HLOOKUP('Loan Summary'!$R102,'Monthly Cash Flow'!$D$6:$CP$76,63,FALSE)))</f>
        <v>#N/A</v>
      </c>
      <c r="V102" s="517">
        <f>IF('Loan Summary'!R102=Assumptions!$AD$3,Assumptions!$AD$25,0)</f>
        <v>0</v>
      </c>
      <c r="W102" s="517" t="e">
        <f t="shared" ca="1" si="14"/>
        <v>#N/A</v>
      </c>
    </row>
    <row r="103" spans="6:23">
      <c r="F103" s="86">
        <v>102</v>
      </c>
      <c r="G103" s="85">
        <f t="shared" si="10"/>
        <v>3740191.3061347073</v>
      </c>
      <c r="H103" s="85">
        <f t="shared" si="8"/>
        <v>21236.394865569677</v>
      </c>
      <c r="I103" s="85">
        <f t="shared" si="9"/>
        <v>17142.543486450741</v>
      </c>
      <c r="J103" s="85">
        <f t="shared" si="11"/>
        <v>0</v>
      </c>
      <c r="K103" s="153">
        <f>IF('Monthly Cash Flow'!$C$88="Lender Draw",HLOOKUP(F103,'Monthly Cash Flow'!$D$79:$CP$88,10),0)</f>
        <v>0</v>
      </c>
      <c r="L103" s="83">
        <f t="shared" si="12"/>
        <v>3740191.3061347073</v>
      </c>
      <c r="R103" s="86">
        <v>102</v>
      </c>
      <c r="S103" s="517" t="e">
        <f t="shared" ca="1" si="15"/>
        <v>#N/A</v>
      </c>
      <c r="T103" s="517" t="e">
        <f t="shared" ca="1" si="13"/>
        <v>#N/A</v>
      </c>
      <c r="U103" s="517" t="e">
        <f ca="1">-IF(AND($P$5="No",HLOOKUP('Loan Summary'!$R103,'Monthly Cash Flow'!$D$6:$CP$76,63,FALSE)&gt;T103),T103,(HLOOKUP('Loan Summary'!$R103,'Monthly Cash Flow'!$D$6:$CP$76,63,FALSE)))</f>
        <v>#N/A</v>
      </c>
      <c r="V103" s="517">
        <f>IF('Loan Summary'!R103=Assumptions!$AD$3,Assumptions!$AD$25,0)</f>
        <v>0</v>
      </c>
      <c r="W103" s="517" t="e">
        <f t="shared" ca="1" si="14"/>
        <v>#N/A</v>
      </c>
    </row>
    <row r="104" spans="6:23">
      <c r="F104" s="86">
        <v>103</v>
      </c>
      <c r="G104" s="85">
        <f t="shared" si="10"/>
        <v>3740191.3061347073</v>
      </c>
      <c r="H104" s="85">
        <f t="shared" si="8"/>
        <v>21236.394865569677</v>
      </c>
      <c r="I104" s="85">
        <f t="shared" si="9"/>
        <v>17142.543486450741</v>
      </c>
      <c r="J104" s="85">
        <f t="shared" si="11"/>
        <v>0</v>
      </c>
      <c r="K104" s="153">
        <f>IF('Monthly Cash Flow'!$C$88="Lender Draw",HLOOKUP(F104,'Monthly Cash Flow'!$D$79:$CP$88,10),0)</f>
        <v>0</v>
      </c>
      <c r="L104" s="83">
        <f t="shared" si="12"/>
        <v>3740191.3061347073</v>
      </c>
      <c r="R104" s="86">
        <v>103</v>
      </c>
      <c r="S104" s="517" t="e">
        <f t="shared" ca="1" si="15"/>
        <v>#N/A</v>
      </c>
      <c r="T104" s="517" t="e">
        <f t="shared" ca="1" si="13"/>
        <v>#N/A</v>
      </c>
      <c r="U104" s="517" t="e">
        <f ca="1">-IF(AND($P$5="No",HLOOKUP('Loan Summary'!$R104,'Monthly Cash Flow'!$D$6:$CP$76,63,FALSE)&gt;T104),T104,(HLOOKUP('Loan Summary'!$R104,'Monthly Cash Flow'!$D$6:$CP$76,63,FALSE)))</f>
        <v>#N/A</v>
      </c>
      <c r="V104" s="517">
        <f>IF('Loan Summary'!R104=Assumptions!$AD$3,Assumptions!$AD$25,0)</f>
        <v>0</v>
      </c>
      <c r="W104" s="517" t="e">
        <f t="shared" ca="1" si="14"/>
        <v>#N/A</v>
      </c>
    </row>
    <row r="105" spans="6:23">
      <c r="F105" s="86">
        <v>104</v>
      </c>
      <c r="G105" s="85">
        <f t="shared" si="10"/>
        <v>3740191.3061347073</v>
      </c>
      <c r="H105" s="85">
        <f t="shared" si="8"/>
        <v>21236.394865569677</v>
      </c>
      <c r="I105" s="85">
        <f t="shared" si="9"/>
        <v>17142.543486450741</v>
      </c>
      <c r="J105" s="85">
        <f t="shared" si="11"/>
        <v>0</v>
      </c>
      <c r="K105" s="153">
        <f>IF('Monthly Cash Flow'!$C$88="Lender Draw",HLOOKUP(F105,'Monthly Cash Flow'!$D$79:$CP$88,10),0)</f>
        <v>0</v>
      </c>
      <c r="L105" s="83">
        <f t="shared" si="12"/>
        <v>3740191.3061347073</v>
      </c>
      <c r="R105" s="86">
        <v>104</v>
      </c>
      <c r="S105" s="517" t="e">
        <f t="shared" ca="1" si="15"/>
        <v>#N/A</v>
      </c>
      <c r="T105" s="517" t="e">
        <f t="shared" ca="1" si="13"/>
        <v>#N/A</v>
      </c>
      <c r="U105" s="517" t="e">
        <f ca="1">-IF(AND($P$5="No",HLOOKUP('Loan Summary'!$R105,'Monthly Cash Flow'!$D$6:$CP$76,63,FALSE)&gt;T105),T105,(HLOOKUP('Loan Summary'!$R105,'Monthly Cash Flow'!$D$6:$CP$76,63,FALSE)))</f>
        <v>#N/A</v>
      </c>
      <c r="V105" s="517">
        <f>IF('Loan Summary'!R105=Assumptions!$AD$3,Assumptions!$AD$25,0)</f>
        <v>0</v>
      </c>
      <c r="W105" s="517" t="e">
        <f t="shared" ca="1" si="14"/>
        <v>#N/A</v>
      </c>
    </row>
    <row r="106" spans="6:23">
      <c r="F106" s="86">
        <v>105</v>
      </c>
      <c r="G106" s="85">
        <f t="shared" si="10"/>
        <v>3740191.3061347073</v>
      </c>
      <c r="H106" s="85">
        <f t="shared" si="8"/>
        <v>21236.394865569677</v>
      </c>
      <c r="I106" s="85">
        <f t="shared" si="9"/>
        <v>17142.543486450741</v>
      </c>
      <c r="J106" s="85">
        <f t="shared" si="11"/>
        <v>0</v>
      </c>
      <c r="K106" s="153">
        <f>IF('Monthly Cash Flow'!$C$88="Lender Draw",HLOOKUP(F106,'Monthly Cash Flow'!$D$79:$CP$88,10),0)</f>
        <v>0</v>
      </c>
      <c r="L106" s="83">
        <f t="shared" si="12"/>
        <v>3740191.3061347073</v>
      </c>
      <c r="R106" s="86">
        <v>105</v>
      </c>
      <c r="S106" s="517" t="e">
        <f t="shared" ca="1" si="15"/>
        <v>#N/A</v>
      </c>
      <c r="T106" s="517" t="e">
        <f t="shared" ca="1" si="13"/>
        <v>#N/A</v>
      </c>
      <c r="U106" s="517" t="e">
        <f ca="1">-IF(AND($P$5="No",HLOOKUP('Loan Summary'!$R106,'Monthly Cash Flow'!$D$6:$CP$76,63,FALSE)&gt;T106),T106,(HLOOKUP('Loan Summary'!$R106,'Monthly Cash Flow'!$D$6:$CP$76,63,FALSE)))</f>
        <v>#N/A</v>
      </c>
      <c r="V106" s="517">
        <f>IF('Loan Summary'!R106=Assumptions!$AD$3,Assumptions!$AD$25,0)</f>
        <v>0</v>
      </c>
      <c r="W106" s="517" t="e">
        <f t="shared" ca="1" si="14"/>
        <v>#N/A</v>
      </c>
    </row>
    <row r="107" spans="6:23">
      <c r="F107" s="86">
        <v>106</v>
      </c>
      <c r="G107" s="85">
        <f t="shared" si="10"/>
        <v>3740191.3061347073</v>
      </c>
      <c r="H107" s="85">
        <f t="shared" si="8"/>
        <v>21236.394865569677</v>
      </c>
      <c r="I107" s="85">
        <f t="shared" si="9"/>
        <v>17142.543486450741</v>
      </c>
      <c r="J107" s="85">
        <f t="shared" si="11"/>
        <v>0</v>
      </c>
      <c r="K107" s="153">
        <f>IF('Monthly Cash Flow'!$C$88="Lender Draw",HLOOKUP(F107,'Monthly Cash Flow'!$D$79:$CP$88,10),0)</f>
        <v>0</v>
      </c>
      <c r="L107" s="83">
        <f t="shared" si="12"/>
        <v>3740191.3061347073</v>
      </c>
      <c r="R107" s="86">
        <v>106</v>
      </c>
      <c r="S107" s="517" t="e">
        <f t="shared" ca="1" si="15"/>
        <v>#N/A</v>
      </c>
      <c r="T107" s="517" t="e">
        <f t="shared" ca="1" si="13"/>
        <v>#N/A</v>
      </c>
      <c r="U107" s="517" t="e">
        <f ca="1">-IF(AND($P$5="No",HLOOKUP('Loan Summary'!$R107,'Monthly Cash Flow'!$D$6:$CP$76,63,FALSE)&gt;T107),T107,(HLOOKUP('Loan Summary'!$R107,'Monthly Cash Flow'!$D$6:$CP$76,63,FALSE)))</f>
        <v>#N/A</v>
      </c>
      <c r="V107" s="517">
        <f>IF('Loan Summary'!R107=Assumptions!$AD$3,Assumptions!$AD$25,0)</f>
        <v>0</v>
      </c>
      <c r="W107" s="517" t="e">
        <f t="shared" ca="1" si="14"/>
        <v>#N/A</v>
      </c>
    </row>
    <row r="108" spans="6:23">
      <c r="F108" s="86">
        <v>107</v>
      </c>
      <c r="G108" s="85">
        <f t="shared" si="10"/>
        <v>3740191.3061347073</v>
      </c>
      <c r="H108" s="85">
        <f t="shared" si="8"/>
        <v>21236.394865569677</v>
      </c>
      <c r="I108" s="85">
        <f t="shared" si="9"/>
        <v>17142.543486450741</v>
      </c>
      <c r="J108" s="85">
        <f t="shared" si="11"/>
        <v>0</v>
      </c>
      <c r="K108" s="153">
        <f>IF('Monthly Cash Flow'!$C$88="Lender Draw",HLOOKUP(F108,'Monthly Cash Flow'!$D$79:$CP$88,10),0)</f>
        <v>0</v>
      </c>
      <c r="L108" s="83">
        <f t="shared" si="12"/>
        <v>3740191.3061347073</v>
      </c>
      <c r="R108" s="86">
        <v>107</v>
      </c>
      <c r="S108" s="517" t="e">
        <f t="shared" ca="1" si="15"/>
        <v>#N/A</v>
      </c>
      <c r="T108" s="517" t="e">
        <f t="shared" ca="1" si="13"/>
        <v>#N/A</v>
      </c>
      <c r="U108" s="517" t="e">
        <f ca="1">-IF(AND($P$5="No",HLOOKUP('Loan Summary'!$R108,'Monthly Cash Flow'!$D$6:$CP$76,63,FALSE)&gt;T108),T108,(HLOOKUP('Loan Summary'!$R108,'Monthly Cash Flow'!$D$6:$CP$76,63,FALSE)))</f>
        <v>#N/A</v>
      </c>
      <c r="V108" s="517">
        <f>IF('Loan Summary'!R108=Assumptions!$AD$3,Assumptions!$AD$25,0)</f>
        <v>0</v>
      </c>
      <c r="W108" s="517" t="e">
        <f t="shared" ca="1" si="14"/>
        <v>#N/A</v>
      </c>
    </row>
    <row r="109" spans="6:23">
      <c r="F109" s="86">
        <v>108</v>
      </c>
      <c r="G109" s="85">
        <f t="shared" si="10"/>
        <v>3740191.3061347073</v>
      </c>
      <c r="H109" s="85">
        <f t="shared" si="8"/>
        <v>21236.394865569677</v>
      </c>
      <c r="I109" s="85">
        <f t="shared" si="9"/>
        <v>17142.543486450741</v>
      </c>
      <c r="J109" s="85">
        <f t="shared" si="11"/>
        <v>0</v>
      </c>
      <c r="K109" s="153">
        <f>IF('Monthly Cash Flow'!$C$88="Lender Draw",HLOOKUP(F109,'Monthly Cash Flow'!$D$79:$CP$88,10),0)</f>
        <v>0</v>
      </c>
      <c r="L109" s="83">
        <f t="shared" si="12"/>
        <v>3740191.3061347073</v>
      </c>
      <c r="R109" s="86">
        <v>108</v>
      </c>
      <c r="S109" s="517" t="e">
        <f t="shared" ca="1" si="15"/>
        <v>#N/A</v>
      </c>
      <c r="T109" s="517" t="e">
        <f t="shared" ca="1" si="13"/>
        <v>#N/A</v>
      </c>
      <c r="U109" s="517" t="e">
        <f ca="1">-IF(AND($P$5="No",HLOOKUP('Loan Summary'!$R109,'Monthly Cash Flow'!$D$6:$CP$76,63,FALSE)&gt;T109),T109,(HLOOKUP('Loan Summary'!$R109,'Monthly Cash Flow'!$D$6:$CP$76,63,FALSE)))</f>
        <v>#N/A</v>
      </c>
      <c r="V109" s="517">
        <f>IF('Loan Summary'!R109=Assumptions!$AD$3,Assumptions!$AD$25,0)</f>
        <v>0</v>
      </c>
      <c r="W109" s="517" t="e">
        <f t="shared" ca="1" si="14"/>
        <v>#N/A</v>
      </c>
    </row>
    <row r="110" spans="6:23">
      <c r="F110" s="86">
        <v>109</v>
      </c>
      <c r="G110" s="85">
        <f t="shared" si="10"/>
        <v>3740191.3061347073</v>
      </c>
      <c r="H110" s="85">
        <f t="shared" si="8"/>
        <v>21236.394865569677</v>
      </c>
      <c r="I110" s="85">
        <f t="shared" si="9"/>
        <v>17142.543486450741</v>
      </c>
      <c r="J110" s="85">
        <f t="shared" si="11"/>
        <v>0</v>
      </c>
      <c r="K110" s="153">
        <f>IF('Monthly Cash Flow'!$C$88="Lender Draw",HLOOKUP(F110,'Monthly Cash Flow'!$D$79:$CP$88,10),0)</f>
        <v>0</v>
      </c>
      <c r="L110" s="83">
        <f t="shared" si="12"/>
        <v>3740191.3061347073</v>
      </c>
      <c r="R110" s="86">
        <v>109</v>
      </c>
      <c r="S110" s="517" t="e">
        <f t="shared" ca="1" si="15"/>
        <v>#N/A</v>
      </c>
      <c r="T110" s="517" t="e">
        <f t="shared" ca="1" si="13"/>
        <v>#N/A</v>
      </c>
      <c r="U110" s="517" t="e">
        <f ca="1">-IF(AND($P$5="No",HLOOKUP('Loan Summary'!$R110,'Monthly Cash Flow'!$D$6:$CP$76,63,FALSE)&gt;T110),T110,(HLOOKUP('Loan Summary'!$R110,'Monthly Cash Flow'!$D$6:$CP$76,63,FALSE)))</f>
        <v>#N/A</v>
      </c>
      <c r="V110" s="517">
        <f>IF('Loan Summary'!R110=Assumptions!$AD$3,Assumptions!$AD$25,0)</f>
        <v>0</v>
      </c>
      <c r="W110" s="517" t="e">
        <f t="shared" ca="1" si="14"/>
        <v>#N/A</v>
      </c>
    </row>
    <row r="111" spans="6:23">
      <c r="F111" s="86">
        <v>110</v>
      </c>
      <c r="G111" s="85">
        <f t="shared" si="10"/>
        <v>3740191.3061347073</v>
      </c>
      <c r="H111" s="85">
        <f t="shared" si="8"/>
        <v>21236.394865569677</v>
      </c>
      <c r="I111" s="85">
        <f t="shared" si="9"/>
        <v>17142.543486450741</v>
      </c>
      <c r="J111" s="85">
        <f t="shared" si="11"/>
        <v>0</v>
      </c>
      <c r="K111" s="153">
        <f>IF('Monthly Cash Flow'!$C$88="Lender Draw",HLOOKUP(F111,'Monthly Cash Flow'!$D$79:$CP$88,10),0)</f>
        <v>0</v>
      </c>
      <c r="L111" s="83">
        <f t="shared" si="12"/>
        <v>3740191.3061347073</v>
      </c>
      <c r="R111" s="86">
        <v>110</v>
      </c>
      <c r="S111" s="517" t="e">
        <f t="shared" ca="1" si="15"/>
        <v>#N/A</v>
      </c>
      <c r="T111" s="517" t="e">
        <f t="shared" ca="1" si="13"/>
        <v>#N/A</v>
      </c>
      <c r="U111" s="517" t="e">
        <f ca="1">-IF(AND($P$5="No",HLOOKUP('Loan Summary'!$R111,'Monthly Cash Flow'!$D$6:$CP$76,63,FALSE)&gt;T111),T111,(HLOOKUP('Loan Summary'!$R111,'Monthly Cash Flow'!$D$6:$CP$76,63,FALSE)))</f>
        <v>#N/A</v>
      </c>
      <c r="V111" s="517">
        <f>IF('Loan Summary'!R111=Assumptions!$AD$3,Assumptions!$AD$25,0)</f>
        <v>0</v>
      </c>
      <c r="W111" s="517" t="e">
        <f t="shared" ca="1" si="14"/>
        <v>#N/A</v>
      </c>
    </row>
    <row r="112" spans="6:23">
      <c r="F112" s="86">
        <v>111</v>
      </c>
      <c r="G112" s="85">
        <f t="shared" si="10"/>
        <v>3740191.3061347073</v>
      </c>
      <c r="H112" s="85">
        <f t="shared" si="8"/>
        <v>21236.394865569677</v>
      </c>
      <c r="I112" s="85">
        <f t="shared" si="9"/>
        <v>17142.543486450741</v>
      </c>
      <c r="J112" s="85">
        <f t="shared" si="11"/>
        <v>0</v>
      </c>
      <c r="K112" s="153">
        <f>IF('Monthly Cash Flow'!$C$88="Lender Draw",HLOOKUP(F112,'Monthly Cash Flow'!$D$79:$CP$88,10),0)</f>
        <v>0</v>
      </c>
      <c r="L112" s="83">
        <f t="shared" si="12"/>
        <v>3740191.3061347073</v>
      </c>
      <c r="R112" s="86">
        <v>111</v>
      </c>
      <c r="S112" s="517" t="e">
        <f t="shared" ca="1" si="15"/>
        <v>#N/A</v>
      </c>
      <c r="T112" s="517" t="e">
        <f t="shared" ca="1" si="13"/>
        <v>#N/A</v>
      </c>
      <c r="U112" s="517" t="e">
        <f ca="1">-IF(AND($P$5="No",HLOOKUP('Loan Summary'!$R112,'Monthly Cash Flow'!$D$6:$CP$76,63,FALSE)&gt;T112),T112,(HLOOKUP('Loan Summary'!$R112,'Monthly Cash Flow'!$D$6:$CP$76,63,FALSE)))</f>
        <v>#N/A</v>
      </c>
      <c r="V112" s="517">
        <f>IF('Loan Summary'!R112=Assumptions!$AD$3,Assumptions!$AD$25,0)</f>
        <v>0</v>
      </c>
      <c r="W112" s="517" t="e">
        <f t="shared" ca="1" si="14"/>
        <v>#N/A</v>
      </c>
    </row>
    <row r="113" spans="6:23">
      <c r="F113" s="86">
        <v>112</v>
      </c>
      <c r="G113" s="85">
        <f t="shared" si="10"/>
        <v>3740191.3061347073</v>
      </c>
      <c r="H113" s="85">
        <f t="shared" si="8"/>
        <v>21236.394865569677</v>
      </c>
      <c r="I113" s="85">
        <f t="shared" si="9"/>
        <v>17142.543486450741</v>
      </c>
      <c r="J113" s="85">
        <f t="shared" si="11"/>
        <v>0</v>
      </c>
      <c r="K113" s="153">
        <f>IF('Monthly Cash Flow'!$C$88="Lender Draw",HLOOKUP(F113,'Monthly Cash Flow'!$D$79:$CP$88,10),0)</f>
        <v>0</v>
      </c>
      <c r="L113" s="83">
        <f t="shared" si="12"/>
        <v>3740191.3061347073</v>
      </c>
      <c r="R113" s="86">
        <v>112</v>
      </c>
      <c r="S113" s="517" t="e">
        <f t="shared" ca="1" si="15"/>
        <v>#N/A</v>
      </c>
      <c r="T113" s="517" t="e">
        <f t="shared" ca="1" si="13"/>
        <v>#N/A</v>
      </c>
      <c r="U113" s="517" t="e">
        <f ca="1">-IF(AND($P$5="No",HLOOKUP('Loan Summary'!$R113,'Monthly Cash Flow'!$D$6:$CP$76,63,FALSE)&gt;T113),T113,(HLOOKUP('Loan Summary'!$R113,'Monthly Cash Flow'!$D$6:$CP$76,63,FALSE)))</f>
        <v>#N/A</v>
      </c>
      <c r="V113" s="517">
        <f>IF('Loan Summary'!R113=Assumptions!$AD$3,Assumptions!$AD$25,0)</f>
        <v>0</v>
      </c>
      <c r="W113" s="517" t="e">
        <f t="shared" ca="1" si="14"/>
        <v>#N/A</v>
      </c>
    </row>
    <row r="114" spans="6:23">
      <c r="F114" s="86">
        <v>113</v>
      </c>
      <c r="G114" s="85">
        <f t="shared" si="10"/>
        <v>3740191.3061347073</v>
      </c>
      <c r="H114" s="85">
        <f t="shared" si="8"/>
        <v>21236.394865569677</v>
      </c>
      <c r="I114" s="85">
        <f t="shared" si="9"/>
        <v>17142.543486450741</v>
      </c>
      <c r="J114" s="85">
        <f t="shared" si="11"/>
        <v>0</v>
      </c>
      <c r="K114" s="153">
        <f>IF('Monthly Cash Flow'!$C$88="Lender Draw",HLOOKUP(F114,'Monthly Cash Flow'!$D$79:$CP$88,10),0)</f>
        <v>0</v>
      </c>
      <c r="L114" s="83">
        <f t="shared" si="12"/>
        <v>3740191.3061347073</v>
      </c>
      <c r="R114" s="86">
        <v>113</v>
      </c>
      <c r="S114" s="517" t="e">
        <f t="shared" ca="1" si="15"/>
        <v>#N/A</v>
      </c>
      <c r="T114" s="517" t="e">
        <f t="shared" ca="1" si="13"/>
        <v>#N/A</v>
      </c>
      <c r="U114" s="517" t="e">
        <f ca="1">-IF(AND($P$5="No",HLOOKUP('Loan Summary'!$R114,'Monthly Cash Flow'!$D$6:$CP$76,63,FALSE)&gt;T114),T114,(HLOOKUP('Loan Summary'!$R114,'Monthly Cash Flow'!$D$6:$CP$76,63,FALSE)))</f>
        <v>#N/A</v>
      </c>
      <c r="V114" s="517">
        <f>IF('Loan Summary'!R114=Assumptions!$AD$3,Assumptions!$AD$25,0)</f>
        <v>0</v>
      </c>
      <c r="W114" s="517" t="e">
        <f t="shared" ca="1" si="14"/>
        <v>#N/A</v>
      </c>
    </row>
    <row r="115" spans="6:23">
      <c r="F115" s="86">
        <v>114</v>
      </c>
      <c r="G115" s="85">
        <f t="shared" si="10"/>
        <v>3740191.3061347073</v>
      </c>
      <c r="H115" s="85">
        <f t="shared" si="8"/>
        <v>21236.394865569677</v>
      </c>
      <c r="I115" s="85">
        <f t="shared" si="9"/>
        <v>17142.543486450741</v>
      </c>
      <c r="J115" s="85">
        <f t="shared" si="11"/>
        <v>0</v>
      </c>
      <c r="K115" s="153">
        <f>IF('Monthly Cash Flow'!$C$88="Lender Draw",HLOOKUP(F115,'Monthly Cash Flow'!$D$79:$CP$88,10),0)</f>
        <v>0</v>
      </c>
      <c r="L115" s="83">
        <f t="shared" si="12"/>
        <v>3740191.3061347073</v>
      </c>
      <c r="R115" s="86">
        <v>114</v>
      </c>
      <c r="S115" s="517" t="e">
        <f t="shared" ca="1" si="15"/>
        <v>#N/A</v>
      </c>
      <c r="T115" s="517" t="e">
        <f t="shared" ca="1" si="13"/>
        <v>#N/A</v>
      </c>
      <c r="U115" s="517" t="e">
        <f ca="1">-IF(AND($P$5="No",HLOOKUP('Loan Summary'!$R115,'Monthly Cash Flow'!$D$6:$CP$76,63,FALSE)&gt;T115),T115,(HLOOKUP('Loan Summary'!$R115,'Monthly Cash Flow'!$D$6:$CP$76,63,FALSE)))</f>
        <v>#N/A</v>
      </c>
      <c r="V115" s="517">
        <f>IF('Loan Summary'!R115=Assumptions!$AD$3,Assumptions!$AD$25,0)</f>
        <v>0</v>
      </c>
      <c r="W115" s="517" t="e">
        <f t="shared" ca="1" si="14"/>
        <v>#N/A</v>
      </c>
    </row>
    <row r="116" spans="6:23">
      <c r="F116" s="86">
        <v>115</v>
      </c>
      <c r="G116" s="85">
        <f t="shared" si="10"/>
        <v>3740191.3061347073</v>
      </c>
      <c r="H116" s="85">
        <f t="shared" si="8"/>
        <v>21236.394865569677</v>
      </c>
      <c r="I116" s="85">
        <f t="shared" si="9"/>
        <v>17142.543486450741</v>
      </c>
      <c r="J116" s="85">
        <f t="shared" si="11"/>
        <v>0</v>
      </c>
      <c r="K116" s="153">
        <f>IF('Monthly Cash Flow'!$C$88="Lender Draw",HLOOKUP(F116,'Monthly Cash Flow'!$D$79:$CP$88,10),0)</f>
        <v>0</v>
      </c>
      <c r="L116" s="83">
        <f t="shared" si="12"/>
        <v>3740191.3061347073</v>
      </c>
      <c r="R116" s="86">
        <v>115</v>
      </c>
      <c r="S116" s="517" t="e">
        <f t="shared" ca="1" si="15"/>
        <v>#N/A</v>
      </c>
      <c r="T116" s="517" t="e">
        <f t="shared" ca="1" si="13"/>
        <v>#N/A</v>
      </c>
      <c r="U116" s="517" t="e">
        <f ca="1">-IF(AND($P$5="No",HLOOKUP('Loan Summary'!$R116,'Monthly Cash Flow'!$D$6:$CP$76,63,FALSE)&gt;T116),T116,(HLOOKUP('Loan Summary'!$R116,'Monthly Cash Flow'!$D$6:$CP$76,63,FALSE)))</f>
        <v>#N/A</v>
      </c>
      <c r="V116" s="517">
        <f>IF('Loan Summary'!R116=Assumptions!$AD$3,Assumptions!$AD$25,0)</f>
        <v>0</v>
      </c>
      <c r="W116" s="517" t="e">
        <f t="shared" ca="1" si="14"/>
        <v>#N/A</v>
      </c>
    </row>
    <row r="117" spans="6:23">
      <c r="F117" s="86">
        <v>116</v>
      </c>
      <c r="G117" s="85">
        <f t="shared" si="10"/>
        <v>3740191.3061347073</v>
      </c>
      <c r="H117" s="85">
        <f t="shared" si="8"/>
        <v>21236.394865569677</v>
      </c>
      <c r="I117" s="85">
        <f t="shared" si="9"/>
        <v>17142.543486450741</v>
      </c>
      <c r="J117" s="85">
        <f t="shared" si="11"/>
        <v>0</v>
      </c>
      <c r="K117" s="153">
        <f>IF('Monthly Cash Flow'!$C$88="Lender Draw",HLOOKUP(F117,'Monthly Cash Flow'!$D$79:$CP$88,10),0)</f>
        <v>0</v>
      </c>
      <c r="L117" s="83">
        <f t="shared" si="12"/>
        <v>3740191.3061347073</v>
      </c>
      <c r="R117" s="86">
        <v>116</v>
      </c>
      <c r="S117" s="517" t="e">
        <f t="shared" ca="1" si="15"/>
        <v>#N/A</v>
      </c>
      <c r="T117" s="517" t="e">
        <f t="shared" ca="1" si="13"/>
        <v>#N/A</v>
      </c>
      <c r="U117" s="517" t="e">
        <f ca="1">-IF(AND($P$5="No",HLOOKUP('Loan Summary'!$R117,'Monthly Cash Flow'!$D$6:$CP$76,63,FALSE)&gt;T117),T117,(HLOOKUP('Loan Summary'!$R117,'Monthly Cash Flow'!$D$6:$CP$76,63,FALSE)))</f>
        <v>#N/A</v>
      </c>
      <c r="V117" s="517">
        <f>IF('Loan Summary'!R117=Assumptions!$AD$3,Assumptions!$AD$25,0)</f>
        <v>0</v>
      </c>
      <c r="W117" s="517" t="e">
        <f t="shared" ca="1" si="14"/>
        <v>#N/A</v>
      </c>
    </row>
    <row r="118" spans="6:23">
      <c r="F118" s="86">
        <v>117</v>
      </c>
      <c r="G118" s="85">
        <f t="shared" si="10"/>
        <v>3740191.3061347073</v>
      </c>
      <c r="H118" s="85">
        <f t="shared" si="8"/>
        <v>21236.394865569677</v>
      </c>
      <c r="I118" s="85">
        <f t="shared" si="9"/>
        <v>17142.543486450741</v>
      </c>
      <c r="J118" s="85">
        <f t="shared" si="11"/>
        <v>0</v>
      </c>
      <c r="K118" s="153">
        <f>IF('Monthly Cash Flow'!$C$88="Lender Draw",HLOOKUP(F118,'Monthly Cash Flow'!$D$79:$CP$88,10),0)</f>
        <v>0</v>
      </c>
      <c r="L118" s="83">
        <f t="shared" si="12"/>
        <v>3740191.3061347073</v>
      </c>
      <c r="R118" s="86">
        <v>117</v>
      </c>
      <c r="S118" s="517" t="e">
        <f t="shared" ca="1" si="15"/>
        <v>#N/A</v>
      </c>
      <c r="T118" s="517" t="e">
        <f t="shared" ca="1" si="13"/>
        <v>#N/A</v>
      </c>
      <c r="U118" s="517" t="e">
        <f ca="1">-IF(AND($P$5="No",HLOOKUP('Loan Summary'!$R118,'Monthly Cash Flow'!$D$6:$CP$76,63,FALSE)&gt;T118),T118,(HLOOKUP('Loan Summary'!$R118,'Monthly Cash Flow'!$D$6:$CP$76,63,FALSE)))</f>
        <v>#N/A</v>
      </c>
      <c r="V118" s="517">
        <f>IF('Loan Summary'!R118=Assumptions!$AD$3,Assumptions!$AD$25,0)</f>
        <v>0</v>
      </c>
      <c r="W118" s="517" t="e">
        <f t="shared" ca="1" si="14"/>
        <v>#N/A</v>
      </c>
    </row>
    <row r="119" spans="6:23">
      <c r="F119" s="86">
        <v>118</v>
      </c>
      <c r="G119" s="85">
        <f t="shared" si="10"/>
        <v>3740191.3061347073</v>
      </c>
      <c r="H119" s="85">
        <f t="shared" si="8"/>
        <v>21236.394865569677</v>
      </c>
      <c r="I119" s="85">
        <f t="shared" si="9"/>
        <v>17142.543486450741</v>
      </c>
      <c r="J119" s="85">
        <f t="shared" si="11"/>
        <v>0</v>
      </c>
      <c r="K119" s="153">
        <f>IF('Monthly Cash Flow'!$C$88="Lender Draw",HLOOKUP(F119,'Monthly Cash Flow'!$D$79:$CP$88,10),0)</f>
        <v>0</v>
      </c>
      <c r="L119" s="83">
        <f t="shared" si="12"/>
        <v>3740191.3061347073</v>
      </c>
      <c r="R119" s="86">
        <v>118</v>
      </c>
      <c r="S119" s="517" t="e">
        <f t="shared" ca="1" si="15"/>
        <v>#N/A</v>
      </c>
      <c r="T119" s="517" t="e">
        <f t="shared" ca="1" si="13"/>
        <v>#N/A</v>
      </c>
      <c r="U119" s="517" t="e">
        <f ca="1">-IF(AND($P$5="No",HLOOKUP('Loan Summary'!$R119,'Monthly Cash Flow'!$D$6:$CP$76,63,FALSE)&gt;T119),T119,(HLOOKUP('Loan Summary'!$R119,'Monthly Cash Flow'!$D$6:$CP$76,63,FALSE)))</f>
        <v>#N/A</v>
      </c>
      <c r="V119" s="517">
        <f>IF('Loan Summary'!R119=Assumptions!$AD$3,Assumptions!$AD$25,0)</f>
        <v>0</v>
      </c>
      <c r="W119" s="517" t="e">
        <f t="shared" ca="1" si="14"/>
        <v>#N/A</v>
      </c>
    </row>
    <row r="120" spans="6:23">
      <c r="F120" s="86">
        <v>119</v>
      </c>
      <c r="G120" s="85">
        <f t="shared" si="10"/>
        <v>3740191.3061347073</v>
      </c>
      <c r="H120" s="85">
        <f t="shared" si="8"/>
        <v>21236.394865569677</v>
      </c>
      <c r="I120" s="85">
        <f t="shared" si="9"/>
        <v>17142.543486450741</v>
      </c>
      <c r="J120" s="85">
        <f t="shared" si="11"/>
        <v>0</v>
      </c>
      <c r="K120" s="153">
        <f>IF('Monthly Cash Flow'!$C$88="Lender Draw",HLOOKUP(F120,'Monthly Cash Flow'!$D$79:$CP$88,10),0)</f>
        <v>0</v>
      </c>
      <c r="L120" s="83">
        <f t="shared" si="12"/>
        <v>3740191.3061347073</v>
      </c>
      <c r="R120" s="86">
        <v>119</v>
      </c>
      <c r="S120" s="517" t="e">
        <f t="shared" ca="1" si="15"/>
        <v>#N/A</v>
      </c>
      <c r="T120" s="517" t="e">
        <f t="shared" ca="1" si="13"/>
        <v>#N/A</v>
      </c>
      <c r="U120" s="517" t="e">
        <f ca="1">-IF(AND($P$5="No",HLOOKUP('Loan Summary'!$R120,'Monthly Cash Flow'!$D$6:$CP$76,63,FALSE)&gt;T120),T120,(HLOOKUP('Loan Summary'!$R120,'Monthly Cash Flow'!$D$6:$CP$76,63,FALSE)))</f>
        <v>#N/A</v>
      </c>
      <c r="V120" s="517">
        <f>IF('Loan Summary'!R120=Assumptions!$AD$3,Assumptions!$AD$25,0)</f>
        <v>0</v>
      </c>
      <c r="W120" s="517" t="e">
        <f t="shared" ca="1" si="14"/>
        <v>#N/A</v>
      </c>
    </row>
    <row r="121" spans="6:23">
      <c r="F121" s="86">
        <v>120</v>
      </c>
      <c r="G121" s="85">
        <f t="shared" si="10"/>
        <v>3740191.3061347073</v>
      </c>
      <c r="H121" s="85">
        <f t="shared" si="8"/>
        <v>21236.394865569677</v>
      </c>
      <c r="I121" s="85">
        <f t="shared" si="9"/>
        <v>17142.543486450741</v>
      </c>
      <c r="J121" s="85">
        <f t="shared" si="11"/>
        <v>0</v>
      </c>
      <c r="K121" s="153">
        <f>IF('Monthly Cash Flow'!$C$88="Lender Draw",HLOOKUP(F121,'Monthly Cash Flow'!$D$79:$CP$88,10),0)</f>
        <v>0</v>
      </c>
      <c r="L121" s="83">
        <f t="shared" si="12"/>
        <v>3740191.3061347073</v>
      </c>
      <c r="R121" s="86">
        <v>120</v>
      </c>
      <c r="S121" s="517" t="e">
        <f t="shared" ca="1" si="15"/>
        <v>#N/A</v>
      </c>
      <c r="T121" s="517" t="e">
        <f t="shared" ca="1" si="13"/>
        <v>#N/A</v>
      </c>
      <c r="U121" s="517" t="e">
        <f ca="1">-IF(AND($P$5="No",HLOOKUP('Loan Summary'!$R121,'Monthly Cash Flow'!$D$6:$CP$76,63,FALSE)&gt;T121),T121,(HLOOKUP('Loan Summary'!$R121,'Monthly Cash Flow'!$D$6:$CP$76,63,FALSE)))</f>
        <v>#N/A</v>
      </c>
      <c r="V121" s="517">
        <f>IF('Loan Summary'!R121=Assumptions!$AD$3,Assumptions!$AD$25,0)</f>
        <v>0</v>
      </c>
      <c r="W121" s="517" t="e">
        <f t="shared" ca="1" si="14"/>
        <v>#N/A</v>
      </c>
    </row>
    <row r="122" spans="6:23">
      <c r="F122" s="86">
        <v>121</v>
      </c>
      <c r="G122" s="85">
        <f t="shared" si="10"/>
        <v>3740191.3061347073</v>
      </c>
      <c r="H122" s="85">
        <f t="shared" si="8"/>
        <v>21236.394865569677</v>
      </c>
      <c r="I122" s="85">
        <f t="shared" si="9"/>
        <v>17142.543486450741</v>
      </c>
      <c r="J122" s="85">
        <f t="shared" si="11"/>
        <v>0</v>
      </c>
      <c r="K122" s="153">
        <f>IF('Monthly Cash Flow'!$C$88="Lender Draw",HLOOKUP(F122,'Monthly Cash Flow'!$D$79:$CP$88,10),0)</f>
        <v>0</v>
      </c>
      <c r="L122" s="83">
        <f t="shared" si="12"/>
        <v>3740191.3061347073</v>
      </c>
      <c r="R122" s="86">
        <v>121</v>
      </c>
      <c r="S122" s="517" t="e">
        <f t="shared" ca="1" si="15"/>
        <v>#N/A</v>
      </c>
      <c r="T122" s="517" t="e">
        <f t="shared" ca="1" si="13"/>
        <v>#N/A</v>
      </c>
      <c r="U122" s="517" t="e">
        <f ca="1">-IF(AND($P$5="No",HLOOKUP('Loan Summary'!$R122,'Monthly Cash Flow'!$D$6:$CP$76,63,FALSE)&gt;T122),T122,(HLOOKUP('Loan Summary'!$R122,'Monthly Cash Flow'!$D$6:$CP$76,63,FALSE)))</f>
        <v>#N/A</v>
      </c>
      <c r="V122" s="517">
        <f>IF('Loan Summary'!R122=Assumptions!$AD$3,Assumptions!$AD$25,0)</f>
        <v>0</v>
      </c>
      <c r="W122" s="517" t="e">
        <f t="shared" ca="1" si="14"/>
        <v>#N/A</v>
      </c>
    </row>
    <row r="123" spans="6:23">
      <c r="F123" s="86">
        <v>122</v>
      </c>
      <c r="G123" s="85">
        <f t="shared" si="10"/>
        <v>3740191.3061347073</v>
      </c>
      <c r="H123" s="85">
        <f t="shared" si="8"/>
        <v>21236.394865569677</v>
      </c>
      <c r="I123" s="85">
        <f t="shared" si="9"/>
        <v>17142.543486450741</v>
      </c>
      <c r="J123" s="85">
        <f t="shared" si="11"/>
        <v>0</v>
      </c>
      <c r="K123" s="153">
        <f>IF('Monthly Cash Flow'!$C$88="Lender Draw",HLOOKUP(F123,'Monthly Cash Flow'!$D$79:$CP$88,10),0)</f>
        <v>0</v>
      </c>
      <c r="L123" s="83">
        <f t="shared" si="12"/>
        <v>3740191.3061347073</v>
      </c>
      <c r="R123" s="86">
        <v>122</v>
      </c>
      <c r="S123" s="517" t="e">
        <f t="shared" ca="1" si="15"/>
        <v>#N/A</v>
      </c>
      <c r="T123" s="517" t="e">
        <f t="shared" ca="1" si="13"/>
        <v>#N/A</v>
      </c>
      <c r="U123" s="517" t="e">
        <f ca="1">-IF(AND($P$5="No",HLOOKUP('Loan Summary'!$R123,'Monthly Cash Flow'!$D$6:$CP$76,63,FALSE)&gt;T123),T123,(HLOOKUP('Loan Summary'!$R123,'Monthly Cash Flow'!$D$6:$CP$76,63,FALSE)))</f>
        <v>#N/A</v>
      </c>
      <c r="V123" s="517">
        <f>IF('Loan Summary'!R123=Assumptions!$AD$3,Assumptions!$AD$25,0)</f>
        <v>0</v>
      </c>
      <c r="W123" s="517" t="e">
        <f t="shared" ca="1" si="14"/>
        <v>#N/A</v>
      </c>
    </row>
    <row r="124" spans="6:23">
      <c r="F124" s="86">
        <v>123</v>
      </c>
      <c r="G124" s="85">
        <f t="shared" si="10"/>
        <v>3740191.3061347073</v>
      </c>
      <c r="H124" s="85">
        <f t="shared" si="8"/>
        <v>21236.394865569677</v>
      </c>
      <c r="I124" s="85">
        <f t="shared" si="9"/>
        <v>17142.543486450741</v>
      </c>
      <c r="J124" s="85">
        <f t="shared" si="11"/>
        <v>0</v>
      </c>
      <c r="K124" s="153">
        <f>IF('Monthly Cash Flow'!$C$88="Lender Draw",HLOOKUP(F124,'Monthly Cash Flow'!$D$79:$CP$88,10),0)</f>
        <v>0</v>
      </c>
      <c r="L124" s="83">
        <f t="shared" si="12"/>
        <v>3740191.3061347073</v>
      </c>
      <c r="R124" s="86">
        <v>123</v>
      </c>
      <c r="S124" s="517" t="e">
        <f t="shared" ca="1" si="15"/>
        <v>#N/A</v>
      </c>
      <c r="T124" s="517" t="e">
        <f t="shared" ca="1" si="13"/>
        <v>#N/A</v>
      </c>
      <c r="U124" s="517" t="e">
        <f ca="1">-IF(AND($P$5="No",HLOOKUP('Loan Summary'!$R124,'Monthly Cash Flow'!$D$6:$CP$76,63,FALSE)&gt;T124),T124,(HLOOKUP('Loan Summary'!$R124,'Monthly Cash Flow'!$D$6:$CP$76,63,FALSE)))</f>
        <v>#N/A</v>
      </c>
      <c r="V124" s="517">
        <f>IF('Loan Summary'!R124=Assumptions!$AD$3,Assumptions!$AD$25,0)</f>
        <v>0</v>
      </c>
      <c r="W124" s="517" t="e">
        <f t="shared" ca="1" si="14"/>
        <v>#N/A</v>
      </c>
    </row>
    <row r="125" spans="6:23">
      <c r="F125" s="86">
        <v>124</v>
      </c>
      <c r="G125" s="85">
        <f t="shared" si="10"/>
        <v>3740191.3061347073</v>
      </c>
      <c r="H125" s="85">
        <f t="shared" si="8"/>
        <v>21236.394865569677</v>
      </c>
      <c r="I125" s="85">
        <f t="shared" si="9"/>
        <v>17142.543486450741</v>
      </c>
      <c r="J125" s="85">
        <f t="shared" si="11"/>
        <v>0</v>
      </c>
      <c r="K125" s="153">
        <f>IF('Monthly Cash Flow'!$C$88="Lender Draw",HLOOKUP(F125,'Monthly Cash Flow'!$D$79:$CP$88,10),0)</f>
        <v>0</v>
      </c>
      <c r="L125" s="83">
        <f t="shared" si="12"/>
        <v>3740191.3061347073</v>
      </c>
      <c r="R125" s="86">
        <v>124</v>
      </c>
      <c r="S125" s="517" t="e">
        <f t="shared" ca="1" si="15"/>
        <v>#N/A</v>
      </c>
      <c r="T125" s="517" t="e">
        <f t="shared" ca="1" si="13"/>
        <v>#N/A</v>
      </c>
      <c r="U125" s="517" t="e">
        <f ca="1">-IF(AND($P$5="No",HLOOKUP('Loan Summary'!$R125,'Monthly Cash Flow'!$D$6:$CP$76,63,FALSE)&gt;T125),T125,(HLOOKUP('Loan Summary'!$R125,'Monthly Cash Flow'!$D$6:$CP$76,63,FALSE)))</f>
        <v>#N/A</v>
      </c>
      <c r="V125" s="517">
        <f>IF('Loan Summary'!R125=Assumptions!$AD$3,Assumptions!$AD$25,0)</f>
        <v>0</v>
      </c>
      <c r="W125" s="517" t="e">
        <f t="shared" ca="1" si="14"/>
        <v>#N/A</v>
      </c>
    </row>
    <row r="126" spans="6:23">
      <c r="F126" s="86">
        <v>125</v>
      </c>
      <c r="G126" s="85">
        <f t="shared" si="10"/>
        <v>3740191.3061347073</v>
      </c>
      <c r="H126" s="85">
        <f t="shared" si="8"/>
        <v>21236.394865569677</v>
      </c>
      <c r="I126" s="85">
        <f t="shared" si="9"/>
        <v>17142.543486450741</v>
      </c>
      <c r="J126" s="85">
        <f t="shared" si="11"/>
        <v>0</v>
      </c>
      <c r="K126" s="153">
        <f>IF('Monthly Cash Flow'!$C$88="Lender Draw",HLOOKUP(F126,'Monthly Cash Flow'!$D$79:$CP$88,10),0)</f>
        <v>0</v>
      </c>
      <c r="L126" s="83">
        <f t="shared" si="12"/>
        <v>3740191.3061347073</v>
      </c>
      <c r="R126" s="86">
        <v>125</v>
      </c>
      <c r="S126" s="517" t="e">
        <f t="shared" ca="1" si="15"/>
        <v>#N/A</v>
      </c>
      <c r="T126" s="517" t="e">
        <f t="shared" ca="1" si="13"/>
        <v>#N/A</v>
      </c>
      <c r="U126" s="517" t="e">
        <f ca="1">-IF(AND($P$5="No",HLOOKUP('Loan Summary'!$R126,'Monthly Cash Flow'!$D$6:$CP$76,63,FALSE)&gt;T126),T126,(HLOOKUP('Loan Summary'!$R126,'Monthly Cash Flow'!$D$6:$CP$76,63,FALSE)))</f>
        <v>#N/A</v>
      </c>
      <c r="V126" s="517">
        <f>IF('Loan Summary'!R126=Assumptions!$AD$3,Assumptions!$AD$25,0)</f>
        <v>0</v>
      </c>
      <c r="W126" s="517" t="e">
        <f t="shared" ca="1" si="14"/>
        <v>#N/A</v>
      </c>
    </row>
    <row r="127" spans="6:23">
      <c r="F127" s="86">
        <v>126</v>
      </c>
      <c r="G127" s="85">
        <f t="shared" si="10"/>
        <v>3740191.3061347073</v>
      </c>
      <c r="H127" s="85">
        <f t="shared" si="8"/>
        <v>21236.394865569677</v>
      </c>
      <c r="I127" s="85">
        <f t="shared" si="9"/>
        <v>17142.543486450741</v>
      </c>
      <c r="J127" s="85">
        <f t="shared" si="11"/>
        <v>0</v>
      </c>
      <c r="K127" s="153">
        <f>IF('Monthly Cash Flow'!$C$88="Lender Draw",HLOOKUP(F127,'Monthly Cash Flow'!$D$79:$CP$88,10),0)</f>
        <v>0</v>
      </c>
      <c r="L127" s="83">
        <f t="shared" si="12"/>
        <v>3740191.3061347073</v>
      </c>
      <c r="R127" s="86">
        <v>126</v>
      </c>
      <c r="S127" s="517" t="e">
        <f t="shared" ca="1" si="15"/>
        <v>#N/A</v>
      </c>
      <c r="T127" s="517" t="e">
        <f t="shared" ca="1" si="13"/>
        <v>#N/A</v>
      </c>
      <c r="U127" s="517" t="e">
        <f ca="1">-IF(AND($P$5="No",HLOOKUP('Loan Summary'!$R127,'Monthly Cash Flow'!$D$6:$CP$76,63,FALSE)&gt;T127),T127,(HLOOKUP('Loan Summary'!$R127,'Monthly Cash Flow'!$D$6:$CP$76,63,FALSE)))</f>
        <v>#N/A</v>
      </c>
      <c r="V127" s="517">
        <f>IF('Loan Summary'!R127=Assumptions!$AD$3,Assumptions!$AD$25,0)</f>
        <v>0</v>
      </c>
      <c r="W127" s="517" t="e">
        <f t="shared" ca="1" si="14"/>
        <v>#N/A</v>
      </c>
    </row>
    <row r="128" spans="6:23">
      <c r="F128" s="86">
        <v>127</v>
      </c>
      <c r="G128" s="85">
        <f t="shared" si="10"/>
        <v>3740191.3061347073</v>
      </c>
      <c r="H128" s="85">
        <f t="shared" si="8"/>
        <v>21236.394865569677</v>
      </c>
      <c r="I128" s="85">
        <f t="shared" si="9"/>
        <v>17142.543486450741</v>
      </c>
      <c r="J128" s="85">
        <f t="shared" si="11"/>
        <v>0</v>
      </c>
      <c r="K128" s="153">
        <f>IF('Monthly Cash Flow'!$C$88="Lender Draw",HLOOKUP(F128,'Monthly Cash Flow'!$D$79:$CP$88,10),0)</f>
        <v>0</v>
      </c>
      <c r="L128" s="83">
        <f t="shared" si="12"/>
        <v>3740191.3061347073</v>
      </c>
      <c r="R128" s="86">
        <v>127</v>
      </c>
      <c r="S128" s="517" t="e">
        <f t="shared" ca="1" si="15"/>
        <v>#N/A</v>
      </c>
      <c r="T128" s="517" t="e">
        <f t="shared" ca="1" si="13"/>
        <v>#N/A</v>
      </c>
      <c r="U128" s="517" t="e">
        <f ca="1">-IF(AND($P$5="No",HLOOKUP('Loan Summary'!$R128,'Monthly Cash Flow'!$D$6:$CP$76,63,FALSE)&gt;T128),T128,(HLOOKUP('Loan Summary'!$R128,'Monthly Cash Flow'!$D$6:$CP$76,63,FALSE)))</f>
        <v>#N/A</v>
      </c>
      <c r="V128" s="517">
        <f>IF('Loan Summary'!R128=Assumptions!$AD$3,Assumptions!$AD$25,0)</f>
        <v>0</v>
      </c>
      <c r="W128" s="517" t="e">
        <f t="shared" ca="1" si="14"/>
        <v>#N/A</v>
      </c>
    </row>
    <row r="129" spans="6:23">
      <c r="F129" s="86">
        <v>128</v>
      </c>
      <c r="G129" s="85">
        <f t="shared" si="10"/>
        <v>3740191.3061347073</v>
      </c>
      <c r="H129" s="85">
        <f t="shared" si="8"/>
        <v>21236.394865569677</v>
      </c>
      <c r="I129" s="85">
        <f t="shared" si="9"/>
        <v>17142.543486450741</v>
      </c>
      <c r="J129" s="85">
        <f t="shared" si="11"/>
        <v>0</v>
      </c>
      <c r="K129" s="153">
        <f>IF('Monthly Cash Flow'!$C$88="Lender Draw",HLOOKUP(F129,'Monthly Cash Flow'!$D$79:$CP$88,10),0)</f>
        <v>0</v>
      </c>
      <c r="L129" s="83">
        <f t="shared" si="12"/>
        <v>3740191.3061347073</v>
      </c>
      <c r="R129" s="86">
        <v>128</v>
      </c>
      <c r="S129" s="517" t="e">
        <f t="shared" ca="1" si="15"/>
        <v>#N/A</v>
      </c>
      <c r="T129" s="517" t="e">
        <f t="shared" ca="1" si="13"/>
        <v>#N/A</v>
      </c>
      <c r="U129" s="517" t="e">
        <f ca="1">-IF(AND($P$5="No",HLOOKUP('Loan Summary'!$R129,'Monthly Cash Flow'!$D$6:$CP$76,63,FALSE)&gt;T129),T129,(HLOOKUP('Loan Summary'!$R129,'Monthly Cash Flow'!$D$6:$CP$76,63,FALSE)))</f>
        <v>#N/A</v>
      </c>
      <c r="V129" s="517">
        <f>IF('Loan Summary'!R129=Assumptions!$AD$3,Assumptions!$AD$25,0)</f>
        <v>0</v>
      </c>
      <c r="W129" s="517" t="e">
        <f t="shared" ca="1" si="14"/>
        <v>#N/A</v>
      </c>
    </row>
    <row r="130" spans="6:23">
      <c r="F130" s="86">
        <v>129</v>
      </c>
      <c r="G130" s="85">
        <f t="shared" si="10"/>
        <v>3740191.3061347073</v>
      </c>
      <c r="H130" s="85">
        <f t="shared" ref="H130:H193" si="16">IF(F130&lt;$C$16,IF(F130&gt;$C$6,-PMT(($C$3/12),$C$4,$C$2),I130),-PMT($C$10/12,$C$11,$C$9))</f>
        <v>21236.394865569677</v>
      </c>
      <c r="I130" s="85">
        <f t="shared" ref="I130:I193" si="17">IF(F130&lt;$C$16,G130*($C$3/12),G130*($C$10/12))</f>
        <v>17142.543486450741</v>
      </c>
      <c r="J130" s="85">
        <f t="shared" si="11"/>
        <v>0</v>
      </c>
      <c r="K130" s="153">
        <f>IF('Monthly Cash Flow'!$C$88="Lender Draw",HLOOKUP(F130,'Monthly Cash Flow'!$D$79:$CP$88,10),0)</f>
        <v>0</v>
      </c>
      <c r="L130" s="83">
        <f t="shared" si="12"/>
        <v>3740191.3061347073</v>
      </c>
      <c r="R130" s="86">
        <v>129</v>
      </c>
      <c r="S130" s="517" t="e">
        <f t="shared" ca="1" si="15"/>
        <v>#N/A</v>
      </c>
      <c r="T130" s="517" t="e">
        <f t="shared" ca="1" si="13"/>
        <v>#N/A</v>
      </c>
      <c r="U130" s="517" t="e">
        <f ca="1">-IF(AND($P$5="No",HLOOKUP('Loan Summary'!$R130,'Monthly Cash Flow'!$D$6:$CP$76,63,FALSE)&gt;T130),T130,(HLOOKUP('Loan Summary'!$R130,'Monthly Cash Flow'!$D$6:$CP$76,63,FALSE)))</f>
        <v>#N/A</v>
      </c>
      <c r="V130" s="517">
        <f>IF('Loan Summary'!R130=Assumptions!$AD$3,Assumptions!$AD$25,0)</f>
        <v>0</v>
      </c>
      <c r="W130" s="517" t="e">
        <f t="shared" ca="1" si="14"/>
        <v>#N/A</v>
      </c>
    </row>
    <row r="131" spans="6:23">
      <c r="F131" s="86">
        <v>130</v>
      </c>
      <c r="G131" s="85">
        <f t="shared" ref="G131:G194" si="18">IF(F131&lt;$C$16,L130,IF(F131=$C$16,$C$9,L130))</f>
        <v>3740191.3061347073</v>
      </c>
      <c r="H131" s="85">
        <f t="shared" si="16"/>
        <v>21236.394865569677</v>
      </c>
      <c r="I131" s="85">
        <f t="shared" si="17"/>
        <v>17142.543486450741</v>
      </c>
      <c r="J131" s="85">
        <f t="shared" ref="J131:J194" si="19">IF(F131&lt;$C$16,IF(F131&lt;=$C$6,0,H131-I131),IF(F131&lt;=$C$16+$C$13,0,H131-I131))</f>
        <v>0</v>
      </c>
      <c r="K131" s="153">
        <f>IF('Monthly Cash Flow'!$C$88="Lender Draw",HLOOKUP(F131,'Monthly Cash Flow'!$D$79:$CP$88,10),0)</f>
        <v>0</v>
      </c>
      <c r="L131" s="83">
        <f t="shared" ref="L131:L194" si="20">G131-J131+K131</f>
        <v>3740191.3061347073</v>
      </c>
      <c r="R131" s="86">
        <v>130</v>
      </c>
      <c r="S131" s="517" t="e">
        <f t="shared" ca="1" si="15"/>
        <v>#N/A</v>
      </c>
      <c r="T131" s="517" t="e">
        <f t="shared" ref="T131:T194" ca="1" si="21">(S131*$P$3)/12</f>
        <v>#N/A</v>
      </c>
      <c r="U131" s="517" t="e">
        <f ca="1">-IF(AND($P$5="No",HLOOKUP('Loan Summary'!$R131,'Monthly Cash Flow'!$D$6:$CP$76,63,FALSE)&gt;T131),T131,(HLOOKUP('Loan Summary'!$R131,'Monthly Cash Flow'!$D$6:$CP$76,63,FALSE)))</f>
        <v>#N/A</v>
      </c>
      <c r="V131" s="517">
        <f>IF('Loan Summary'!R131=Assumptions!$AD$3,Assumptions!$AD$25,0)</f>
        <v>0</v>
      </c>
      <c r="W131" s="517" t="e">
        <f t="shared" ref="W131:W194" ca="1" si="22">S131+T131+U131+V131</f>
        <v>#N/A</v>
      </c>
    </row>
    <row r="132" spans="6:23">
      <c r="F132" s="86">
        <v>131</v>
      </c>
      <c r="G132" s="85">
        <f t="shared" si="18"/>
        <v>3740191.3061347073</v>
      </c>
      <c r="H132" s="85">
        <f t="shared" si="16"/>
        <v>21236.394865569677</v>
      </c>
      <c r="I132" s="85">
        <f t="shared" si="17"/>
        <v>17142.543486450741</v>
      </c>
      <c r="J132" s="85">
        <f t="shared" si="19"/>
        <v>0</v>
      </c>
      <c r="K132" s="153">
        <f>IF('Monthly Cash Flow'!$C$88="Lender Draw",HLOOKUP(F132,'Monthly Cash Flow'!$D$79:$CP$88,10),0)</f>
        <v>0</v>
      </c>
      <c r="L132" s="83">
        <f t="shared" si="20"/>
        <v>3740191.3061347073</v>
      </c>
      <c r="R132" s="86">
        <v>131</v>
      </c>
      <c r="S132" s="517" t="e">
        <f t="shared" ref="S132:S195" ca="1" si="23">W131</f>
        <v>#N/A</v>
      </c>
      <c r="T132" s="517" t="e">
        <f t="shared" ca="1" si="21"/>
        <v>#N/A</v>
      </c>
      <c r="U132" s="517" t="e">
        <f ca="1">-IF(AND($P$5="No",HLOOKUP('Loan Summary'!$R132,'Monthly Cash Flow'!$D$6:$CP$76,63,FALSE)&gt;T132),T132,(HLOOKUP('Loan Summary'!$R132,'Monthly Cash Flow'!$D$6:$CP$76,63,FALSE)))</f>
        <v>#N/A</v>
      </c>
      <c r="V132" s="517">
        <f>IF('Loan Summary'!R132=Assumptions!$AD$3,Assumptions!$AD$25,0)</f>
        <v>0</v>
      </c>
      <c r="W132" s="517" t="e">
        <f t="shared" ca="1" si="22"/>
        <v>#N/A</v>
      </c>
    </row>
    <row r="133" spans="6:23">
      <c r="F133" s="86">
        <v>132</v>
      </c>
      <c r="G133" s="85">
        <f t="shared" si="18"/>
        <v>3740191.3061347073</v>
      </c>
      <c r="H133" s="85">
        <f t="shared" si="16"/>
        <v>21236.394865569677</v>
      </c>
      <c r="I133" s="85">
        <f t="shared" si="17"/>
        <v>17142.543486450741</v>
      </c>
      <c r="J133" s="85">
        <f t="shared" si="19"/>
        <v>0</v>
      </c>
      <c r="K133" s="153">
        <f>IF('Monthly Cash Flow'!$C$88="Lender Draw",HLOOKUP(F133,'Monthly Cash Flow'!$D$79:$CP$88,10),0)</f>
        <v>0</v>
      </c>
      <c r="L133" s="83">
        <f t="shared" si="20"/>
        <v>3740191.3061347073</v>
      </c>
      <c r="R133" s="86">
        <v>132</v>
      </c>
      <c r="S133" s="517" t="e">
        <f t="shared" ca="1" si="23"/>
        <v>#N/A</v>
      </c>
      <c r="T133" s="517" t="e">
        <f t="shared" ca="1" si="21"/>
        <v>#N/A</v>
      </c>
      <c r="U133" s="517" t="e">
        <f ca="1">-IF(AND($P$5="No",HLOOKUP('Loan Summary'!$R133,'Monthly Cash Flow'!$D$6:$CP$76,63,FALSE)&gt;T133),T133,(HLOOKUP('Loan Summary'!$R133,'Monthly Cash Flow'!$D$6:$CP$76,63,FALSE)))</f>
        <v>#N/A</v>
      </c>
      <c r="V133" s="517">
        <f>IF('Loan Summary'!R133=Assumptions!$AD$3,Assumptions!$AD$25,0)</f>
        <v>0</v>
      </c>
      <c r="W133" s="517" t="e">
        <f t="shared" ca="1" si="22"/>
        <v>#N/A</v>
      </c>
    </row>
    <row r="134" spans="6:23">
      <c r="F134" s="86">
        <v>133</v>
      </c>
      <c r="G134" s="85">
        <f t="shared" si="18"/>
        <v>3740191.3061347073</v>
      </c>
      <c r="H134" s="85">
        <f t="shared" si="16"/>
        <v>21236.394865569677</v>
      </c>
      <c r="I134" s="85">
        <f t="shared" si="17"/>
        <v>17142.543486450741</v>
      </c>
      <c r="J134" s="85">
        <f t="shared" si="19"/>
        <v>0</v>
      </c>
      <c r="K134" s="153">
        <f>IF('Monthly Cash Flow'!$C$88="Lender Draw",HLOOKUP(F134,'Monthly Cash Flow'!$D$79:$CP$88,10),0)</f>
        <v>0</v>
      </c>
      <c r="L134" s="83">
        <f t="shared" si="20"/>
        <v>3740191.3061347073</v>
      </c>
      <c r="R134" s="86">
        <v>133</v>
      </c>
      <c r="S134" s="517" t="e">
        <f t="shared" ca="1" si="23"/>
        <v>#N/A</v>
      </c>
      <c r="T134" s="517" t="e">
        <f t="shared" ca="1" si="21"/>
        <v>#N/A</v>
      </c>
      <c r="U134" s="517" t="e">
        <f ca="1">-IF(AND($P$5="No",HLOOKUP('Loan Summary'!$R134,'Monthly Cash Flow'!$D$6:$CP$76,63,FALSE)&gt;T134),T134,(HLOOKUP('Loan Summary'!$R134,'Monthly Cash Flow'!$D$6:$CP$76,63,FALSE)))</f>
        <v>#N/A</v>
      </c>
      <c r="V134" s="517">
        <f>IF('Loan Summary'!R134=Assumptions!$AD$3,Assumptions!$AD$25,0)</f>
        <v>0</v>
      </c>
      <c r="W134" s="517" t="e">
        <f t="shared" ca="1" si="22"/>
        <v>#N/A</v>
      </c>
    </row>
    <row r="135" spans="6:23">
      <c r="F135" s="86">
        <v>134</v>
      </c>
      <c r="G135" s="85">
        <f t="shared" si="18"/>
        <v>3740191.3061347073</v>
      </c>
      <c r="H135" s="85">
        <f t="shared" si="16"/>
        <v>21236.394865569677</v>
      </c>
      <c r="I135" s="85">
        <f t="shared" si="17"/>
        <v>17142.543486450741</v>
      </c>
      <c r="J135" s="85">
        <f t="shared" si="19"/>
        <v>0</v>
      </c>
      <c r="K135" s="153">
        <f>IF('Monthly Cash Flow'!$C$88="Lender Draw",HLOOKUP(F135,'Monthly Cash Flow'!$D$79:$CP$88,10),0)</f>
        <v>0</v>
      </c>
      <c r="L135" s="83">
        <f t="shared" si="20"/>
        <v>3740191.3061347073</v>
      </c>
      <c r="R135" s="86">
        <v>134</v>
      </c>
      <c r="S135" s="517" t="e">
        <f t="shared" ca="1" si="23"/>
        <v>#N/A</v>
      </c>
      <c r="T135" s="517" t="e">
        <f t="shared" ca="1" si="21"/>
        <v>#N/A</v>
      </c>
      <c r="U135" s="517" t="e">
        <f ca="1">-IF(AND($P$5="No",HLOOKUP('Loan Summary'!$R135,'Monthly Cash Flow'!$D$6:$CP$76,63,FALSE)&gt;T135),T135,(HLOOKUP('Loan Summary'!$R135,'Monthly Cash Flow'!$D$6:$CP$76,63,FALSE)))</f>
        <v>#N/A</v>
      </c>
      <c r="V135" s="517">
        <f>IF('Loan Summary'!R135=Assumptions!$AD$3,Assumptions!$AD$25,0)</f>
        <v>0</v>
      </c>
      <c r="W135" s="517" t="e">
        <f t="shared" ca="1" si="22"/>
        <v>#N/A</v>
      </c>
    </row>
    <row r="136" spans="6:23">
      <c r="F136" s="86">
        <v>135</v>
      </c>
      <c r="G136" s="85">
        <f t="shared" si="18"/>
        <v>3740191.3061347073</v>
      </c>
      <c r="H136" s="85">
        <f t="shared" si="16"/>
        <v>21236.394865569677</v>
      </c>
      <c r="I136" s="85">
        <f t="shared" si="17"/>
        <v>17142.543486450741</v>
      </c>
      <c r="J136" s="85">
        <f t="shared" si="19"/>
        <v>0</v>
      </c>
      <c r="K136" s="153">
        <f>IF('Monthly Cash Flow'!$C$88="Lender Draw",HLOOKUP(F136,'Monthly Cash Flow'!$D$79:$CP$88,10),0)</f>
        <v>0</v>
      </c>
      <c r="L136" s="83">
        <f t="shared" si="20"/>
        <v>3740191.3061347073</v>
      </c>
      <c r="R136" s="86">
        <v>135</v>
      </c>
      <c r="S136" s="517" t="e">
        <f t="shared" ca="1" si="23"/>
        <v>#N/A</v>
      </c>
      <c r="T136" s="517" t="e">
        <f t="shared" ca="1" si="21"/>
        <v>#N/A</v>
      </c>
      <c r="U136" s="517" t="e">
        <f ca="1">-IF(AND($P$5="No",HLOOKUP('Loan Summary'!$R136,'Monthly Cash Flow'!$D$6:$CP$76,63,FALSE)&gt;T136),T136,(HLOOKUP('Loan Summary'!$R136,'Monthly Cash Flow'!$D$6:$CP$76,63,FALSE)))</f>
        <v>#N/A</v>
      </c>
      <c r="V136" s="517">
        <f>IF('Loan Summary'!R136=Assumptions!$AD$3,Assumptions!$AD$25,0)</f>
        <v>0</v>
      </c>
      <c r="W136" s="517" t="e">
        <f t="shared" ca="1" si="22"/>
        <v>#N/A</v>
      </c>
    </row>
    <row r="137" spans="6:23">
      <c r="F137" s="86">
        <v>136</v>
      </c>
      <c r="G137" s="85">
        <f t="shared" si="18"/>
        <v>3740191.3061347073</v>
      </c>
      <c r="H137" s="85">
        <f t="shared" si="16"/>
        <v>21236.394865569677</v>
      </c>
      <c r="I137" s="85">
        <f t="shared" si="17"/>
        <v>17142.543486450741</v>
      </c>
      <c r="J137" s="85">
        <f t="shared" si="19"/>
        <v>0</v>
      </c>
      <c r="K137" s="153">
        <f>IF('Monthly Cash Flow'!$C$88="Lender Draw",HLOOKUP(F137,'Monthly Cash Flow'!$D$79:$CP$88,10),0)</f>
        <v>0</v>
      </c>
      <c r="L137" s="83">
        <f t="shared" si="20"/>
        <v>3740191.3061347073</v>
      </c>
      <c r="R137" s="86">
        <v>136</v>
      </c>
      <c r="S137" s="517" t="e">
        <f t="shared" ca="1" si="23"/>
        <v>#N/A</v>
      </c>
      <c r="T137" s="517" t="e">
        <f t="shared" ca="1" si="21"/>
        <v>#N/A</v>
      </c>
      <c r="U137" s="517" t="e">
        <f ca="1">-IF(AND($P$5="No",HLOOKUP('Loan Summary'!$R137,'Monthly Cash Flow'!$D$6:$CP$76,63,FALSE)&gt;T137),T137,(HLOOKUP('Loan Summary'!$R137,'Monthly Cash Flow'!$D$6:$CP$76,63,FALSE)))</f>
        <v>#N/A</v>
      </c>
      <c r="V137" s="517">
        <f>IF('Loan Summary'!R137=Assumptions!$AD$3,Assumptions!$AD$25,0)</f>
        <v>0</v>
      </c>
      <c r="W137" s="517" t="e">
        <f t="shared" ca="1" si="22"/>
        <v>#N/A</v>
      </c>
    </row>
    <row r="138" spans="6:23">
      <c r="F138" s="86">
        <v>137</v>
      </c>
      <c r="G138" s="85">
        <f t="shared" si="18"/>
        <v>3740191.3061347073</v>
      </c>
      <c r="H138" s="85">
        <f t="shared" si="16"/>
        <v>21236.394865569677</v>
      </c>
      <c r="I138" s="85">
        <f t="shared" si="17"/>
        <v>17142.543486450741</v>
      </c>
      <c r="J138" s="85">
        <f t="shared" si="19"/>
        <v>0</v>
      </c>
      <c r="K138" s="153">
        <f>IF('Monthly Cash Flow'!$C$88="Lender Draw",HLOOKUP(F138,'Monthly Cash Flow'!$D$79:$CP$88,10),0)</f>
        <v>0</v>
      </c>
      <c r="L138" s="83">
        <f t="shared" si="20"/>
        <v>3740191.3061347073</v>
      </c>
      <c r="R138" s="86">
        <v>137</v>
      </c>
      <c r="S138" s="517" t="e">
        <f t="shared" ca="1" si="23"/>
        <v>#N/A</v>
      </c>
      <c r="T138" s="517" t="e">
        <f t="shared" ca="1" si="21"/>
        <v>#N/A</v>
      </c>
      <c r="U138" s="517" t="e">
        <f ca="1">-IF(AND($P$5="No",HLOOKUP('Loan Summary'!$R138,'Monthly Cash Flow'!$D$6:$CP$76,63,FALSE)&gt;T138),T138,(HLOOKUP('Loan Summary'!$R138,'Monthly Cash Flow'!$D$6:$CP$76,63,FALSE)))</f>
        <v>#N/A</v>
      </c>
      <c r="V138" s="517">
        <f>IF('Loan Summary'!R138=Assumptions!$AD$3,Assumptions!$AD$25,0)</f>
        <v>0</v>
      </c>
      <c r="W138" s="517" t="e">
        <f t="shared" ca="1" si="22"/>
        <v>#N/A</v>
      </c>
    </row>
    <row r="139" spans="6:23">
      <c r="F139" s="86">
        <v>138</v>
      </c>
      <c r="G139" s="85">
        <f t="shared" si="18"/>
        <v>3740191.3061347073</v>
      </c>
      <c r="H139" s="85">
        <f t="shared" si="16"/>
        <v>21236.394865569677</v>
      </c>
      <c r="I139" s="85">
        <f t="shared" si="17"/>
        <v>17142.543486450741</v>
      </c>
      <c r="J139" s="85">
        <f t="shared" si="19"/>
        <v>0</v>
      </c>
      <c r="K139" s="153">
        <f>IF('Monthly Cash Flow'!$C$88="Lender Draw",HLOOKUP(F139,'Monthly Cash Flow'!$D$79:$CP$88,10),0)</f>
        <v>0</v>
      </c>
      <c r="L139" s="83">
        <f t="shared" si="20"/>
        <v>3740191.3061347073</v>
      </c>
      <c r="R139" s="86">
        <v>138</v>
      </c>
      <c r="S139" s="517" t="e">
        <f t="shared" ca="1" si="23"/>
        <v>#N/A</v>
      </c>
      <c r="T139" s="517" t="e">
        <f t="shared" ca="1" si="21"/>
        <v>#N/A</v>
      </c>
      <c r="U139" s="517" t="e">
        <f ca="1">-IF(AND($P$5="No",HLOOKUP('Loan Summary'!$R139,'Monthly Cash Flow'!$D$6:$CP$76,63,FALSE)&gt;T139),T139,(HLOOKUP('Loan Summary'!$R139,'Monthly Cash Flow'!$D$6:$CP$76,63,FALSE)))</f>
        <v>#N/A</v>
      </c>
      <c r="V139" s="517">
        <f>IF('Loan Summary'!R139=Assumptions!$AD$3,Assumptions!$AD$25,0)</f>
        <v>0</v>
      </c>
      <c r="W139" s="517" t="e">
        <f t="shared" ca="1" si="22"/>
        <v>#N/A</v>
      </c>
    </row>
    <row r="140" spans="6:23">
      <c r="F140" s="86">
        <v>139</v>
      </c>
      <c r="G140" s="85">
        <f t="shared" si="18"/>
        <v>3740191.3061347073</v>
      </c>
      <c r="H140" s="85">
        <f t="shared" si="16"/>
        <v>21236.394865569677</v>
      </c>
      <c r="I140" s="85">
        <f t="shared" si="17"/>
        <v>17142.543486450741</v>
      </c>
      <c r="J140" s="85">
        <f t="shared" si="19"/>
        <v>0</v>
      </c>
      <c r="K140" s="153">
        <f>IF('Monthly Cash Flow'!$C$88="Lender Draw",HLOOKUP(F140,'Monthly Cash Flow'!$D$79:$CP$88,10),0)</f>
        <v>0</v>
      </c>
      <c r="L140" s="83">
        <f t="shared" si="20"/>
        <v>3740191.3061347073</v>
      </c>
      <c r="R140" s="86">
        <v>139</v>
      </c>
      <c r="S140" s="517" t="e">
        <f t="shared" ca="1" si="23"/>
        <v>#N/A</v>
      </c>
      <c r="T140" s="517" t="e">
        <f t="shared" ca="1" si="21"/>
        <v>#N/A</v>
      </c>
      <c r="U140" s="517" t="e">
        <f ca="1">-IF(AND($P$5="No",HLOOKUP('Loan Summary'!$R140,'Monthly Cash Flow'!$D$6:$CP$76,63,FALSE)&gt;T140),T140,(HLOOKUP('Loan Summary'!$R140,'Monthly Cash Flow'!$D$6:$CP$76,63,FALSE)))</f>
        <v>#N/A</v>
      </c>
      <c r="V140" s="517">
        <f>IF('Loan Summary'!R140=Assumptions!$AD$3,Assumptions!$AD$25,0)</f>
        <v>0</v>
      </c>
      <c r="W140" s="517" t="e">
        <f t="shared" ca="1" si="22"/>
        <v>#N/A</v>
      </c>
    </row>
    <row r="141" spans="6:23">
      <c r="F141" s="86">
        <v>140</v>
      </c>
      <c r="G141" s="85">
        <f t="shared" si="18"/>
        <v>3740191.3061347073</v>
      </c>
      <c r="H141" s="85">
        <f t="shared" si="16"/>
        <v>21236.394865569677</v>
      </c>
      <c r="I141" s="85">
        <f t="shared" si="17"/>
        <v>17142.543486450741</v>
      </c>
      <c r="J141" s="85">
        <f t="shared" si="19"/>
        <v>0</v>
      </c>
      <c r="K141" s="153">
        <f>IF('Monthly Cash Flow'!$C$88="Lender Draw",HLOOKUP(F141,'Monthly Cash Flow'!$D$79:$CP$88,10),0)</f>
        <v>0</v>
      </c>
      <c r="L141" s="83">
        <f t="shared" si="20"/>
        <v>3740191.3061347073</v>
      </c>
      <c r="R141" s="86">
        <v>140</v>
      </c>
      <c r="S141" s="517" t="e">
        <f t="shared" ca="1" si="23"/>
        <v>#N/A</v>
      </c>
      <c r="T141" s="517" t="e">
        <f t="shared" ca="1" si="21"/>
        <v>#N/A</v>
      </c>
      <c r="U141" s="517" t="e">
        <f ca="1">-IF(AND($P$5="No",HLOOKUP('Loan Summary'!$R141,'Monthly Cash Flow'!$D$6:$CP$76,63,FALSE)&gt;T141),T141,(HLOOKUP('Loan Summary'!$R141,'Monthly Cash Flow'!$D$6:$CP$76,63,FALSE)))</f>
        <v>#N/A</v>
      </c>
      <c r="V141" s="517">
        <f>IF('Loan Summary'!R141=Assumptions!$AD$3,Assumptions!$AD$25,0)</f>
        <v>0</v>
      </c>
      <c r="W141" s="517" t="e">
        <f t="shared" ca="1" si="22"/>
        <v>#N/A</v>
      </c>
    </row>
    <row r="142" spans="6:23">
      <c r="F142" s="86">
        <v>141</v>
      </c>
      <c r="G142" s="85">
        <f t="shared" si="18"/>
        <v>3740191.3061347073</v>
      </c>
      <c r="H142" s="85">
        <f t="shared" si="16"/>
        <v>21236.394865569677</v>
      </c>
      <c r="I142" s="85">
        <f t="shared" si="17"/>
        <v>17142.543486450741</v>
      </c>
      <c r="J142" s="85">
        <f t="shared" si="19"/>
        <v>0</v>
      </c>
      <c r="K142" s="153">
        <f>IF('Monthly Cash Flow'!$C$88="Lender Draw",HLOOKUP(F142,'Monthly Cash Flow'!$D$79:$CP$88,10),0)</f>
        <v>0</v>
      </c>
      <c r="L142" s="83">
        <f t="shared" si="20"/>
        <v>3740191.3061347073</v>
      </c>
      <c r="R142" s="86">
        <v>141</v>
      </c>
      <c r="S142" s="517" t="e">
        <f t="shared" ca="1" si="23"/>
        <v>#N/A</v>
      </c>
      <c r="T142" s="517" t="e">
        <f t="shared" ca="1" si="21"/>
        <v>#N/A</v>
      </c>
      <c r="U142" s="517" t="e">
        <f ca="1">-IF(AND($P$5="No",HLOOKUP('Loan Summary'!$R142,'Monthly Cash Flow'!$D$6:$CP$76,63,FALSE)&gt;T142),T142,(HLOOKUP('Loan Summary'!$R142,'Monthly Cash Flow'!$D$6:$CP$76,63,FALSE)))</f>
        <v>#N/A</v>
      </c>
      <c r="V142" s="517">
        <f>IF('Loan Summary'!R142=Assumptions!$AD$3,Assumptions!$AD$25,0)</f>
        <v>0</v>
      </c>
      <c r="W142" s="517" t="e">
        <f t="shared" ca="1" si="22"/>
        <v>#N/A</v>
      </c>
    </row>
    <row r="143" spans="6:23">
      <c r="F143" s="86">
        <v>142</v>
      </c>
      <c r="G143" s="85">
        <f t="shared" si="18"/>
        <v>3740191.3061347073</v>
      </c>
      <c r="H143" s="85">
        <f t="shared" si="16"/>
        <v>21236.394865569677</v>
      </c>
      <c r="I143" s="85">
        <f t="shared" si="17"/>
        <v>17142.543486450741</v>
      </c>
      <c r="J143" s="85">
        <f t="shared" si="19"/>
        <v>0</v>
      </c>
      <c r="K143" s="153">
        <f>IF('Monthly Cash Flow'!$C$88="Lender Draw",HLOOKUP(F143,'Monthly Cash Flow'!$D$79:$CP$88,10),0)</f>
        <v>0</v>
      </c>
      <c r="L143" s="83">
        <f t="shared" si="20"/>
        <v>3740191.3061347073</v>
      </c>
      <c r="R143" s="86">
        <v>142</v>
      </c>
      <c r="S143" s="517" t="e">
        <f t="shared" ca="1" si="23"/>
        <v>#N/A</v>
      </c>
      <c r="T143" s="517" t="e">
        <f t="shared" ca="1" si="21"/>
        <v>#N/A</v>
      </c>
      <c r="U143" s="517" t="e">
        <f ca="1">-IF(AND($P$5="No",HLOOKUP('Loan Summary'!$R143,'Monthly Cash Flow'!$D$6:$CP$76,63,FALSE)&gt;T143),T143,(HLOOKUP('Loan Summary'!$R143,'Monthly Cash Flow'!$D$6:$CP$76,63,FALSE)))</f>
        <v>#N/A</v>
      </c>
      <c r="V143" s="517">
        <f>IF('Loan Summary'!R143=Assumptions!$AD$3,Assumptions!$AD$25,0)</f>
        <v>0</v>
      </c>
      <c r="W143" s="517" t="e">
        <f t="shared" ca="1" si="22"/>
        <v>#N/A</v>
      </c>
    </row>
    <row r="144" spans="6:23">
      <c r="F144" s="86">
        <v>143</v>
      </c>
      <c r="G144" s="85">
        <f t="shared" si="18"/>
        <v>3740191.3061347073</v>
      </c>
      <c r="H144" s="85">
        <f t="shared" si="16"/>
        <v>21236.394865569677</v>
      </c>
      <c r="I144" s="85">
        <f t="shared" si="17"/>
        <v>17142.543486450741</v>
      </c>
      <c r="J144" s="85">
        <f t="shared" si="19"/>
        <v>0</v>
      </c>
      <c r="K144" s="153">
        <f>IF('Monthly Cash Flow'!$C$88="Lender Draw",HLOOKUP(F144,'Monthly Cash Flow'!$D$79:$CP$88,10),0)</f>
        <v>0</v>
      </c>
      <c r="L144" s="83">
        <f t="shared" si="20"/>
        <v>3740191.3061347073</v>
      </c>
      <c r="R144" s="86">
        <v>143</v>
      </c>
      <c r="S144" s="517" t="e">
        <f t="shared" ca="1" si="23"/>
        <v>#N/A</v>
      </c>
      <c r="T144" s="517" t="e">
        <f t="shared" ca="1" si="21"/>
        <v>#N/A</v>
      </c>
      <c r="U144" s="517" t="e">
        <f ca="1">-IF(AND($P$5="No",HLOOKUP('Loan Summary'!$R144,'Monthly Cash Flow'!$D$6:$CP$76,63,FALSE)&gt;T144),T144,(HLOOKUP('Loan Summary'!$R144,'Monthly Cash Flow'!$D$6:$CP$76,63,FALSE)))</f>
        <v>#N/A</v>
      </c>
      <c r="V144" s="517">
        <f>IF('Loan Summary'!R144=Assumptions!$AD$3,Assumptions!$AD$25,0)</f>
        <v>0</v>
      </c>
      <c r="W144" s="517" t="e">
        <f t="shared" ca="1" si="22"/>
        <v>#N/A</v>
      </c>
    </row>
    <row r="145" spans="6:23">
      <c r="F145" s="86">
        <v>144</v>
      </c>
      <c r="G145" s="85">
        <f t="shared" si="18"/>
        <v>3740191.3061347073</v>
      </c>
      <c r="H145" s="85">
        <f t="shared" si="16"/>
        <v>21236.394865569677</v>
      </c>
      <c r="I145" s="85">
        <f t="shared" si="17"/>
        <v>17142.543486450741</v>
      </c>
      <c r="J145" s="85">
        <f t="shared" si="19"/>
        <v>0</v>
      </c>
      <c r="K145" s="153">
        <f>IF('Monthly Cash Flow'!$C$88="Lender Draw",HLOOKUP(F145,'Monthly Cash Flow'!$D$79:$CP$88,10),0)</f>
        <v>0</v>
      </c>
      <c r="L145" s="83">
        <f t="shared" si="20"/>
        <v>3740191.3061347073</v>
      </c>
      <c r="R145" s="86">
        <v>144</v>
      </c>
      <c r="S145" s="517" t="e">
        <f t="shared" ca="1" si="23"/>
        <v>#N/A</v>
      </c>
      <c r="T145" s="517" t="e">
        <f t="shared" ca="1" si="21"/>
        <v>#N/A</v>
      </c>
      <c r="U145" s="517" t="e">
        <f ca="1">-IF(AND($P$5="No",HLOOKUP('Loan Summary'!$R145,'Monthly Cash Flow'!$D$6:$CP$76,63,FALSE)&gt;T145),T145,(HLOOKUP('Loan Summary'!$R145,'Monthly Cash Flow'!$D$6:$CP$76,63,FALSE)))</f>
        <v>#N/A</v>
      </c>
      <c r="V145" s="517">
        <f>IF('Loan Summary'!R145=Assumptions!$AD$3,Assumptions!$AD$25,0)</f>
        <v>0</v>
      </c>
      <c r="W145" s="517" t="e">
        <f t="shared" ca="1" si="22"/>
        <v>#N/A</v>
      </c>
    </row>
    <row r="146" spans="6:23">
      <c r="F146" s="86">
        <v>145</v>
      </c>
      <c r="G146" s="85">
        <f t="shared" si="18"/>
        <v>3740191.3061347073</v>
      </c>
      <c r="H146" s="85">
        <f t="shared" si="16"/>
        <v>21236.394865569677</v>
      </c>
      <c r="I146" s="85">
        <f t="shared" si="17"/>
        <v>17142.543486450741</v>
      </c>
      <c r="J146" s="85">
        <f t="shared" si="19"/>
        <v>0</v>
      </c>
      <c r="K146" s="153">
        <f>IF('Monthly Cash Flow'!$C$88="Lender Draw",HLOOKUP(F146,'Monthly Cash Flow'!$D$79:$CP$88,10),0)</f>
        <v>0</v>
      </c>
      <c r="L146" s="83">
        <f t="shared" si="20"/>
        <v>3740191.3061347073</v>
      </c>
      <c r="R146" s="86">
        <v>145</v>
      </c>
      <c r="S146" s="517" t="e">
        <f t="shared" ca="1" si="23"/>
        <v>#N/A</v>
      </c>
      <c r="T146" s="517" t="e">
        <f t="shared" ca="1" si="21"/>
        <v>#N/A</v>
      </c>
      <c r="U146" s="517" t="e">
        <f ca="1">-IF(AND($P$5="No",HLOOKUP('Loan Summary'!$R146,'Monthly Cash Flow'!$D$6:$CP$76,63,FALSE)&gt;T146),T146,(HLOOKUP('Loan Summary'!$R146,'Monthly Cash Flow'!$D$6:$CP$76,63,FALSE)))</f>
        <v>#N/A</v>
      </c>
      <c r="V146" s="517">
        <f>IF('Loan Summary'!R146=Assumptions!$AD$3,Assumptions!$AD$25,0)</f>
        <v>0</v>
      </c>
      <c r="W146" s="517" t="e">
        <f t="shared" ca="1" si="22"/>
        <v>#N/A</v>
      </c>
    </row>
    <row r="147" spans="6:23">
      <c r="F147" s="86">
        <v>146</v>
      </c>
      <c r="G147" s="85">
        <f t="shared" si="18"/>
        <v>3740191.3061347073</v>
      </c>
      <c r="H147" s="85">
        <f t="shared" si="16"/>
        <v>21236.394865569677</v>
      </c>
      <c r="I147" s="85">
        <f t="shared" si="17"/>
        <v>17142.543486450741</v>
      </c>
      <c r="J147" s="85">
        <f t="shared" si="19"/>
        <v>0</v>
      </c>
      <c r="K147" s="153">
        <f>IF('Monthly Cash Flow'!$C$88="Lender Draw",HLOOKUP(F147,'Monthly Cash Flow'!$D$79:$CP$88,10),0)</f>
        <v>0</v>
      </c>
      <c r="L147" s="83">
        <f t="shared" si="20"/>
        <v>3740191.3061347073</v>
      </c>
      <c r="R147" s="86">
        <v>146</v>
      </c>
      <c r="S147" s="517" t="e">
        <f t="shared" ca="1" si="23"/>
        <v>#N/A</v>
      </c>
      <c r="T147" s="517" t="e">
        <f t="shared" ca="1" si="21"/>
        <v>#N/A</v>
      </c>
      <c r="U147" s="517" t="e">
        <f ca="1">-IF(AND($P$5="No",HLOOKUP('Loan Summary'!$R147,'Monthly Cash Flow'!$D$6:$CP$76,63,FALSE)&gt;T147),T147,(HLOOKUP('Loan Summary'!$R147,'Monthly Cash Flow'!$D$6:$CP$76,63,FALSE)))</f>
        <v>#N/A</v>
      </c>
      <c r="V147" s="517">
        <f>IF('Loan Summary'!R147=Assumptions!$AD$3,Assumptions!$AD$25,0)</f>
        <v>0</v>
      </c>
      <c r="W147" s="517" t="e">
        <f t="shared" ca="1" si="22"/>
        <v>#N/A</v>
      </c>
    </row>
    <row r="148" spans="6:23">
      <c r="F148" s="86">
        <v>147</v>
      </c>
      <c r="G148" s="85">
        <f t="shared" si="18"/>
        <v>3740191.3061347073</v>
      </c>
      <c r="H148" s="85">
        <f t="shared" si="16"/>
        <v>21236.394865569677</v>
      </c>
      <c r="I148" s="85">
        <f t="shared" si="17"/>
        <v>17142.543486450741</v>
      </c>
      <c r="J148" s="85">
        <f t="shared" si="19"/>
        <v>0</v>
      </c>
      <c r="K148" s="153">
        <f>IF('Monthly Cash Flow'!$C$88="Lender Draw",HLOOKUP(F148,'Monthly Cash Flow'!$D$79:$CP$88,10),0)</f>
        <v>0</v>
      </c>
      <c r="L148" s="83">
        <f t="shared" si="20"/>
        <v>3740191.3061347073</v>
      </c>
      <c r="R148" s="86">
        <v>147</v>
      </c>
      <c r="S148" s="517" t="e">
        <f t="shared" ca="1" si="23"/>
        <v>#N/A</v>
      </c>
      <c r="T148" s="517" t="e">
        <f t="shared" ca="1" si="21"/>
        <v>#N/A</v>
      </c>
      <c r="U148" s="517" t="e">
        <f ca="1">-IF(AND($P$5="No",HLOOKUP('Loan Summary'!$R148,'Monthly Cash Flow'!$D$6:$CP$76,63,FALSE)&gt;T148),T148,(HLOOKUP('Loan Summary'!$R148,'Monthly Cash Flow'!$D$6:$CP$76,63,FALSE)))</f>
        <v>#N/A</v>
      </c>
      <c r="V148" s="517">
        <f>IF('Loan Summary'!R148=Assumptions!$AD$3,Assumptions!$AD$25,0)</f>
        <v>0</v>
      </c>
      <c r="W148" s="517" t="e">
        <f t="shared" ca="1" si="22"/>
        <v>#N/A</v>
      </c>
    </row>
    <row r="149" spans="6:23">
      <c r="F149" s="86">
        <v>148</v>
      </c>
      <c r="G149" s="85">
        <f t="shared" si="18"/>
        <v>3740191.3061347073</v>
      </c>
      <c r="H149" s="85">
        <f t="shared" si="16"/>
        <v>21236.394865569677</v>
      </c>
      <c r="I149" s="85">
        <f t="shared" si="17"/>
        <v>17142.543486450741</v>
      </c>
      <c r="J149" s="85">
        <f t="shared" si="19"/>
        <v>0</v>
      </c>
      <c r="K149" s="153">
        <f>IF('Monthly Cash Flow'!$C$88="Lender Draw",HLOOKUP(F149,'Monthly Cash Flow'!$D$79:$CP$88,10),0)</f>
        <v>0</v>
      </c>
      <c r="L149" s="83">
        <f t="shared" si="20"/>
        <v>3740191.3061347073</v>
      </c>
      <c r="R149" s="86">
        <v>148</v>
      </c>
      <c r="S149" s="517" t="e">
        <f t="shared" ca="1" si="23"/>
        <v>#N/A</v>
      </c>
      <c r="T149" s="517" t="e">
        <f t="shared" ca="1" si="21"/>
        <v>#N/A</v>
      </c>
      <c r="U149" s="517" t="e">
        <f ca="1">-IF(AND($P$5="No",HLOOKUP('Loan Summary'!$R149,'Monthly Cash Flow'!$D$6:$CP$76,63,FALSE)&gt;T149),T149,(HLOOKUP('Loan Summary'!$R149,'Monthly Cash Flow'!$D$6:$CP$76,63,FALSE)))</f>
        <v>#N/A</v>
      </c>
      <c r="V149" s="517">
        <f>IF('Loan Summary'!R149=Assumptions!$AD$3,Assumptions!$AD$25,0)</f>
        <v>0</v>
      </c>
      <c r="W149" s="517" t="e">
        <f t="shared" ca="1" si="22"/>
        <v>#N/A</v>
      </c>
    </row>
    <row r="150" spans="6:23">
      <c r="F150" s="86">
        <v>149</v>
      </c>
      <c r="G150" s="85">
        <f t="shared" si="18"/>
        <v>3740191.3061347073</v>
      </c>
      <c r="H150" s="85">
        <f t="shared" si="16"/>
        <v>21236.394865569677</v>
      </c>
      <c r="I150" s="85">
        <f t="shared" si="17"/>
        <v>17142.543486450741</v>
      </c>
      <c r="J150" s="85">
        <f t="shared" si="19"/>
        <v>0</v>
      </c>
      <c r="K150" s="153">
        <f>IF('Monthly Cash Flow'!$C$88="Lender Draw",HLOOKUP(F150,'Monthly Cash Flow'!$D$79:$CP$88,10),0)</f>
        <v>0</v>
      </c>
      <c r="L150" s="83">
        <f t="shared" si="20"/>
        <v>3740191.3061347073</v>
      </c>
      <c r="R150" s="86">
        <v>149</v>
      </c>
      <c r="S150" s="517" t="e">
        <f t="shared" ca="1" si="23"/>
        <v>#N/A</v>
      </c>
      <c r="T150" s="517" t="e">
        <f t="shared" ca="1" si="21"/>
        <v>#N/A</v>
      </c>
      <c r="U150" s="517" t="e">
        <f ca="1">-IF(AND($P$5="No",HLOOKUP('Loan Summary'!$R150,'Monthly Cash Flow'!$D$6:$CP$76,63,FALSE)&gt;T150),T150,(HLOOKUP('Loan Summary'!$R150,'Monthly Cash Flow'!$D$6:$CP$76,63,FALSE)))</f>
        <v>#N/A</v>
      </c>
      <c r="V150" s="517">
        <f>IF('Loan Summary'!R150=Assumptions!$AD$3,Assumptions!$AD$25,0)</f>
        <v>0</v>
      </c>
      <c r="W150" s="517" t="e">
        <f t="shared" ca="1" si="22"/>
        <v>#N/A</v>
      </c>
    </row>
    <row r="151" spans="6:23">
      <c r="F151" s="86">
        <v>150</v>
      </c>
      <c r="G151" s="85">
        <f t="shared" si="18"/>
        <v>3740191.3061347073</v>
      </c>
      <c r="H151" s="85">
        <f t="shared" si="16"/>
        <v>21236.394865569677</v>
      </c>
      <c r="I151" s="85">
        <f t="shared" si="17"/>
        <v>17142.543486450741</v>
      </c>
      <c r="J151" s="85">
        <f t="shared" si="19"/>
        <v>0</v>
      </c>
      <c r="K151" s="153">
        <f>IF('Monthly Cash Flow'!$C$88="Lender Draw",HLOOKUP(F151,'Monthly Cash Flow'!$D$79:$CP$88,10),0)</f>
        <v>0</v>
      </c>
      <c r="L151" s="83">
        <f t="shared" si="20"/>
        <v>3740191.3061347073</v>
      </c>
      <c r="R151" s="86">
        <v>150</v>
      </c>
      <c r="S151" s="517" t="e">
        <f t="shared" ca="1" si="23"/>
        <v>#N/A</v>
      </c>
      <c r="T151" s="517" t="e">
        <f t="shared" ca="1" si="21"/>
        <v>#N/A</v>
      </c>
      <c r="U151" s="517" t="e">
        <f ca="1">-IF(AND($P$5="No",HLOOKUP('Loan Summary'!$R151,'Monthly Cash Flow'!$D$6:$CP$76,63,FALSE)&gt;T151),T151,(HLOOKUP('Loan Summary'!$R151,'Monthly Cash Flow'!$D$6:$CP$76,63,FALSE)))</f>
        <v>#N/A</v>
      </c>
      <c r="V151" s="517">
        <f>IF('Loan Summary'!R151=Assumptions!$AD$3,Assumptions!$AD$25,0)</f>
        <v>0</v>
      </c>
      <c r="W151" s="517" t="e">
        <f t="shared" ca="1" si="22"/>
        <v>#N/A</v>
      </c>
    </row>
    <row r="152" spans="6:23">
      <c r="F152" s="86">
        <v>151</v>
      </c>
      <c r="G152" s="85">
        <f t="shared" si="18"/>
        <v>3740191.3061347073</v>
      </c>
      <c r="H152" s="85">
        <f t="shared" si="16"/>
        <v>21236.394865569677</v>
      </c>
      <c r="I152" s="85">
        <f t="shared" si="17"/>
        <v>17142.543486450741</v>
      </c>
      <c r="J152" s="85">
        <f t="shared" si="19"/>
        <v>0</v>
      </c>
      <c r="K152" s="153">
        <f>IF('Monthly Cash Flow'!$C$88="Lender Draw",HLOOKUP(F152,'Monthly Cash Flow'!$D$79:$CP$88,10),0)</f>
        <v>0</v>
      </c>
      <c r="L152" s="83">
        <f t="shared" si="20"/>
        <v>3740191.3061347073</v>
      </c>
      <c r="R152" s="86">
        <v>151</v>
      </c>
      <c r="S152" s="517" t="e">
        <f t="shared" ca="1" si="23"/>
        <v>#N/A</v>
      </c>
      <c r="T152" s="517" t="e">
        <f t="shared" ca="1" si="21"/>
        <v>#N/A</v>
      </c>
      <c r="U152" s="517" t="e">
        <f ca="1">-IF(AND($P$5="No",HLOOKUP('Loan Summary'!$R152,'Monthly Cash Flow'!$D$6:$CP$76,63,FALSE)&gt;T152),T152,(HLOOKUP('Loan Summary'!$R152,'Monthly Cash Flow'!$D$6:$CP$76,63,FALSE)))</f>
        <v>#N/A</v>
      </c>
      <c r="V152" s="517">
        <f>IF('Loan Summary'!R152=Assumptions!$AD$3,Assumptions!$AD$25,0)</f>
        <v>0</v>
      </c>
      <c r="W152" s="517" t="e">
        <f t="shared" ca="1" si="22"/>
        <v>#N/A</v>
      </c>
    </row>
    <row r="153" spans="6:23">
      <c r="F153" s="86">
        <v>152</v>
      </c>
      <c r="G153" s="85">
        <f t="shared" si="18"/>
        <v>3740191.3061347073</v>
      </c>
      <c r="H153" s="85">
        <f t="shared" si="16"/>
        <v>21236.394865569677</v>
      </c>
      <c r="I153" s="85">
        <f t="shared" si="17"/>
        <v>17142.543486450741</v>
      </c>
      <c r="J153" s="85">
        <f t="shared" si="19"/>
        <v>0</v>
      </c>
      <c r="K153" s="153">
        <f>IF('Monthly Cash Flow'!$C$88="Lender Draw",HLOOKUP(F153,'Monthly Cash Flow'!$D$79:$CP$88,10),0)</f>
        <v>0</v>
      </c>
      <c r="L153" s="83">
        <f t="shared" si="20"/>
        <v>3740191.3061347073</v>
      </c>
      <c r="R153" s="86">
        <v>152</v>
      </c>
      <c r="S153" s="517" t="e">
        <f t="shared" ca="1" si="23"/>
        <v>#N/A</v>
      </c>
      <c r="T153" s="517" t="e">
        <f t="shared" ca="1" si="21"/>
        <v>#N/A</v>
      </c>
      <c r="U153" s="517" t="e">
        <f ca="1">-IF(AND($P$5="No",HLOOKUP('Loan Summary'!$R153,'Monthly Cash Flow'!$D$6:$CP$76,63,FALSE)&gt;T153),T153,(HLOOKUP('Loan Summary'!$R153,'Monthly Cash Flow'!$D$6:$CP$76,63,FALSE)))</f>
        <v>#N/A</v>
      </c>
      <c r="V153" s="517">
        <f>IF('Loan Summary'!R153=Assumptions!$AD$3,Assumptions!$AD$25,0)</f>
        <v>0</v>
      </c>
      <c r="W153" s="517" t="e">
        <f t="shared" ca="1" si="22"/>
        <v>#N/A</v>
      </c>
    </row>
    <row r="154" spans="6:23">
      <c r="F154" s="86">
        <v>153</v>
      </c>
      <c r="G154" s="85">
        <f t="shared" si="18"/>
        <v>3740191.3061347073</v>
      </c>
      <c r="H154" s="85">
        <f t="shared" si="16"/>
        <v>21236.394865569677</v>
      </c>
      <c r="I154" s="85">
        <f t="shared" si="17"/>
        <v>17142.543486450741</v>
      </c>
      <c r="J154" s="85">
        <f t="shared" si="19"/>
        <v>0</v>
      </c>
      <c r="K154" s="153">
        <f>IF('Monthly Cash Flow'!$C$88="Lender Draw",HLOOKUP(F154,'Monthly Cash Flow'!$D$79:$CP$88,10),0)</f>
        <v>0</v>
      </c>
      <c r="L154" s="83">
        <f t="shared" si="20"/>
        <v>3740191.3061347073</v>
      </c>
      <c r="R154" s="86">
        <v>153</v>
      </c>
      <c r="S154" s="517" t="e">
        <f t="shared" ca="1" si="23"/>
        <v>#N/A</v>
      </c>
      <c r="T154" s="517" t="e">
        <f t="shared" ca="1" si="21"/>
        <v>#N/A</v>
      </c>
      <c r="U154" s="517" t="e">
        <f ca="1">-IF(AND($P$5="No",HLOOKUP('Loan Summary'!$R154,'Monthly Cash Flow'!$D$6:$CP$76,63,FALSE)&gt;T154),T154,(HLOOKUP('Loan Summary'!$R154,'Monthly Cash Flow'!$D$6:$CP$76,63,FALSE)))</f>
        <v>#N/A</v>
      </c>
      <c r="V154" s="517">
        <f>IF('Loan Summary'!R154=Assumptions!$AD$3,Assumptions!$AD$25,0)</f>
        <v>0</v>
      </c>
      <c r="W154" s="517" t="e">
        <f t="shared" ca="1" si="22"/>
        <v>#N/A</v>
      </c>
    </row>
    <row r="155" spans="6:23">
      <c r="F155" s="86">
        <v>154</v>
      </c>
      <c r="G155" s="85">
        <f t="shared" si="18"/>
        <v>3740191.3061347073</v>
      </c>
      <c r="H155" s="85">
        <f t="shared" si="16"/>
        <v>21236.394865569677</v>
      </c>
      <c r="I155" s="85">
        <f t="shared" si="17"/>
        <v>17142.543486450741</v>
      </c>
      <c r="J155" s="85">
        <f t="shared" si="19"/>
        <v>0</v>
      </c>
      <c r="K155" s="153">
        <f>IF('Monthly Cash Flow'!$C$88="Lender Draw",HLOOKUP(F155,'Monthly Cash Flow'!$D$79:$CP$88,10),0)</f>
        <v>0</v>
      </c>
      <c r="L155" s="83">
        <f t="shared" si="20"/>
        <v>3740191.3061347073</v>
      </c>
      <c r="R155" s="86">
        <v>154</v>
      </c>
      <c r="S155" s="517" t="e">
        <f t="shared" ca="1" si="23"/>
        <v>#N/A</v>
      </c>
      <c r="T155" s="517" t="e">
        <f t="shared" ca="1" si="21"/>
        <v>#N/A</v>
      </c>
      <c r="U155" s="517" t="e">
        <f ca="1">-IF(AND($P$5="No",HLOOKUP('Loan Summary'!$R155,'Monthly Cash Flow'!$D$6:$CP$76,63,FALSE)&gt;T155),T155,(HLOOKUP('Loan Summary'!$R155,'Monthly Cash Flow'!$D$6:$CP$76,63,FALSE)))</f>
        <v>#N/A</v>
      </c>
      <c r="V155" s="517">
        <f>IF('Loan Summary'!R155=Assumptions!$AD$3,Assumptions!$AD$25,0)</f>
        <v>0</v>
      </c>
      <c r="W155" s="517" t="e">
        <f t="shared" ca="1" si="22"/>
        <v>#N/A</v>
      </c>
    </row>
    <row r="156" spans="6:23">
      <c r="F156" s="86">
        <v>155</v>
      </c>
      <c r="G156" s="85">
        <f t="shared" si="18"/>
        <v>3740191.3061347073</v>
      </c>
      <c r="H156" s="85">
        <f t="shared" si="16"/>
        <v>21236.394865569677</v>
      </c>
      <c r="I156" s="85">
        <f t="shared" si="17"/>
        <v>17142.543486450741</v>
      </c>
      <c r="J156" s="85">
        <f t="shared" si="19"/>
        <v>0</v>
      </c>
      <c r="K156" s="153">
        <f>IF('Monthly Cash Flow'!$C$88="Lender Draw",HLOOKUP(F156,'Monthly Cash Flow'!$D$79:$CP$88,10),0)</f>
        <v>0</v>
      </c>
      <c r="L156" s="83">
        <f t="shared" si="20"/>
        <v>3740191.3061347073</v>
      </c>
      <c r="R156" s="86">
        <v>155</v>
      </c>
      <c r="S156" s="517" t="e">
        <f t="shared" ca="1" si="23"/>
        <v>#N/A</v>
      </c>
      <c r="T156" s="517" t="e">
        <f t="shared" ca="1" si="21"/>
        <v>#N/A</v>
      </c>
      <c r="U156" s="517" t="e">
        <f ca="1">-IF(AND($P$5="No",HLOOKUP('Loan Summary'!$R156,'Monthly Cash Flow'!$D$6:$CP$76,63,FALSE)&gt;T156),T156,(HLOOKUP('Loan Summary'!$R156,'Monthly Cash Flow'!$D$6:$CP$76,63,FALSE)))</f>
        <v>#N/A</v>
      </c>
      <c r="V156" s="517">
        <f>IF('Loan Summary'!R156=Assumptions!$AD$3,Assumptions!$AD$25,0)</f>
        <v>0</v>
      </c>
      <c r="W156" s="517" t="e">
        <f t="shared" ca="1" si="22"/>
        <v>#N/A</v>
      </c>
    </row>
    <row r="157" spans="6:23">
      <c r="F157" s="86">
        <v>156</v>
      </c>
      <c r="G157" s="85">
        <f t="shared" si="18"/>
        <v>3740191.3061347073</v>
      </c>
      <c r="H157" s="85">
        <f t="shared" si="16"/>
        <v>21236.394865569677</v>
      </c>
      <c r="I157" s="85">
        <f t="shared" si="17"/>
        <v>17142.543486450741</v>
      </c>
      <c r="J157" s="85">
        <f t="shared" si="19"/>
        <v>4093.8513791189362</v>
      </c>
      <c r="K157" s="153">
        <f>IF('Monthly Cash Flow'!$C$88="Lender Draw",HLOOKUP(F157,'Monthly Cash Flow'!$D$79:$CP$88,10),0)</f>
        <v>0</v>
      </c>
      <c r="L157" s="83">
        <f t="shared" si="20"/>
        <v>3736097.4547555884</v>
      </c>
      <c r="R157" s="86">
        <v>156</v>
      </c>
      <c r="S157" s="517" t="e">
        <f t="shared" ca="1" si="23"/>
        <v>#N/A</v>
      </c>
      <c r="T157" s="517" t="e">
        <f t="shared" ca="1" si="21"/>
        <v>#N/A</v>
      </c>
      <c r="U157" s="517" t="e">
        <f ca="1">-IF(AND($P$5="No",HLOOKUP('Loan Summary'!$R157,'Monthly Cash Flow'!$D$6:$CP$76,63,FALSE)&gt;T157),T157,(HLOOKUP('Loan Summary'!$R157,'Monthly Cash Flow'!$D$6:$CP$76,63,FALSE)))</f>
        <v>#N/A</v>
      </c>
      <c r="V157" s="517">
        <f>IF('Loan Summary'!R157=Assumptions!$AD$3,Assumptions!$AD$25,0)</f>
        <v>0</v>
      </c>
      <c r="W157" s="517" t="e">
        <f t="shared" ca="1" si="22"/>
        <v>#N/A</v>
      </c>
    </row>
    <row r="158" spans="6:23">
      <c r="F158" s="86">
        <v>157</v>
      </c>
      <c r="G158" s="85">
        <f t="shared" si="18"/>
        <v>3736097.4547555884</v>
      </c>
      <c r="H158" s="85">
        <f t="shared" si="16"/>
        <v>21236.394865569677</v>
      </c>
      <c r="I158" s="85">
        <f t="shared" si="17"/>
        <v>17123.780000963114</v>
      </c>
      <c r="J158" s="85">
        <f t="shared" si="19"/>
        <v>4112.6148646065631</v>
      </c>
      <c r="K158" s="153">
        <f>IF('Monthly Cash Flow'!$C$88="Lender Draw",HLOOKUP(F158,'Monthly Cash Flow'!$D$79:$CP$88,10),0)</f>
        <v>0</v>
      </c>
      <c r="L158" s="83">
        <f t="shared" si="20"/>
        <v>3731984.839890982</v>
      </c>
      <c r="R158" s="86">
        <v>157</v>
      </c>
      <c r="S158" s="517" t="e">
        <f t="shared" ca="1" si="23"/>
        <v>#N/A</v>
      </c>
      <c r="T158" s="517" t="e">
        <f t="shared" ca="1" si="21"/>
        <v>#N/A</v>
      </c>
      <c r="U158" s="517" t="e">
        <f ca="1">-IF(AND($P$5="No",HLOOKUP('Loan Summary'!$R158,'Monthly Cash Flow'!$D$6:$CP$76,63,FALSE)&gt;T158),T158,(HLOOKUP('Loan Summary'!$R158,'Monthly Cash Flow'!$D$6:$CP$76,63,FALSE)))</f>
        <v>#N/A</v>
      </c>
      <c r="V158" s="517">
        <f>IF('Loan Summary'!R158=Assumptions!$AD$3,Assumptions!$AD$25,0)</f>
        <v>0</v>
      </c>
      <c r="W158" s="517" t="e">
        <f t="shared" ca="1" si="22"/>
        <v>#N/A</v>
      </c>
    </row>
    <row r="159" spans="6:23">
      <c r="F159" s="86">
        <v>158</v>
      </c>
      <c r="G159" s="85">
        <f t="shared" si="18"/>
        <v>3731984.839890982</v>
      </c>
      <c r="H159" s="85">
        <f t="shared" si="16"/>
        <v>21236.394865569677</v>
      </c>
      <c r="I159" s="85">
        <f t="shared" si="17"/>
        <v>17104.930516167002</v>
      </c>
      <c r="J159" s="85">
        <f t="shared" si="19"/>
        <v>4131.464349402675</v>
      </c>
      <c r="K159" s="153">
        <f>IF('Monthly Cash Flow'!$C$88="Lender Draw",HLOOKUP(F159,'Monthly Cash Flow'!$D$79:$CP$88,10),0)</f>
        <v>0</v>
      </c>
      <c r="L159" s="83">
        <f t="shared" si="20"/>
        <v>3727853.3755415794</v>
      </c>
      <c r="R159" s="86">
        <v>158</v>
      </c>
      <c r="S159" s="517" t="e">
        <f t="shared" ca="1" si="23"/>
        <v>#N/A</v>
      </c>
      <c r="T159" s="517" t="e">
        <f t="shared" ca="1" si="21"/>
        <v>#N/A</v>
      </c>
      <c r="U159" s="517" t="e">
        <f ca="1">-IF(AND($P$5="No",HLOOKUP('Loan Summary'!$R159,'Monthly Cash Flow'!$D$6:$CP$76,63,FALSE)&gt;T159),T159,(HLOOKUP('Loan Summary'!$R159,'Monthly Cash Flow'!$D$6:$CP$76,63,FALSE)))</f>
        <v>#N/A</v>
      </c>
      <c r="V159" s="517">
        <f>IF('Loan Summary'!R159=Assumptions!$AD$3,Assumptions!$AD$25,0)</f>
        <v>0</v>
      </c>
      <c r="W159" s="517" t="e">
        <f t="shared" ca="1" si="22"/>
        <v>#N/A</v>
      </c>
    </row>
    <row r="160" spans="6:23">
      <c r="F160" s="86">
        <v>159</v>
      </c>
      <c r="G160" s="85">
        <f t="shared" si="18"/>
        <v>3727853.3755415794</v>
      </c>
      <c r="H160" s="85">
        <f t="shared" si="16"/>
        <v>21236.394865569677</v>
      </c>
      <c r="I160" s="85">
        <f t="shared" si="17"/>
        <v>17085.994637898904</v>
      </c>
      <c r="J160" s="85">
        <f t="shared" si="19"/>
        <v>4150.4002276707724</v>
      </c>
      <c r="K160" s="153">
        <f>IF('Monthly Cash Flow'!$C$88="Lender Draw",HLOOKUP(F160,'Monthly Cash Flow'!$D$79:$CP$88,10),0)</f>
        <v>0</v>
      </c>
      <c r="L160" s="83">
        <f t="shared" si="20"/>
        <v>3723702.9753139089</v>
      </c>
      <c r="R160" s="86">
        <v>159</v>
      </c>
      <c r="S160" s="517" t="e">
        <f t="shared" ca="1" si="23"/>
        <v>#N/A</v>
      </c>
      <c r="T160" s="517" t="e">
        <f t="shared" ca="1" si="21"/>
        <v>#N/A</v>
      </c>
      <c r="U160" s="517" t="e">
        <f ca="1">-IF(AND($P$5="No",HLOOKUP('Loan Summary'!$R160,'Monthly Cash Flow'!$D$6:$CP$76,63,FALSE)&gt;T160),T160,(HLOOKUP('Loan Summary'!$R160,'Monthly Cash Flow'!$D$6:$CP$76,63,FALSE)))</f>
        <v>#N/A</v>
      </c>
      <c r="V160" s="517">
        <f>IF('Loan Summary'!R160=Assumptions!$AD$3,Assumptions!$AD$25,0)</f>
        <v>0</v>
      </c>
      <c r="W160" s="517" t="e">
        <f t="shared" ca="1" si="22"/>
        <v>#N/A</v>
      </c>
    </row>
    <row r="161" spans="6:23">
      <c r="F161" s="86">
        <v>160</v>
      </c>
      <c r="G161" s="85">
        <f t="shared" si="18"/>
        <v>3723702.9753139089</v>
      </c>
      <c r="H161" s="85">
        <f t="shared" si="16"/>
        <v>21236.394865569677</v>
      </c>
      <c r="I161" s="85">
        <f t="shared" si="17"/>
        <v>17066.971970188748</v>
      </c>
      <c r="J161" s="85">
        <f t="shared" si="19"/>
        <v>4169.4228953809288</v>
      </c>
      <c r="K161" s="153">
        <f>IF('Monthly Cash Flow'!$C$88="Lender Draw",HLOOKUP(F161,'Monthly Cash Flow'!$D$79:$CP$88,10),0)</f>
        <v>0</v>
      </c>
      <c r="L161" s="83">
        <f t="shared" si="20"/>
        <v>3719533.5524185281</v>
      </c>
      <c r="R161" s="86">
        <v>160</v>
      </c>
      <c r="S161" s="517" t="e">
        <f t="shared" ca="1" si="23"/>
        <v>#N/A</v>
      </c>
      <c r="T161" s="517" t="e">
        <f t="shared" ca="1" si="21"/>
        <v>#N/A</v>
      </c>
      <c r="U161" s="517" t="e">
        <f ca="1">-IF(AND($P$5="No",HLOOKUP('Loan Summary'!$R161,'Monthly Cash Flow'!$D$6:$CP$76,63,FALSE)&gt;T161),T161,(HLOOKUP('Loan Summary'!$R161,'Monthly Cash Flow'!$D$6:$CP$76,63,FALSE)))</f>
        <v>#N/A</v>
      </c>
      <c r="V161" s="517">
        <f>IF('Loan Summary'!R161=Assumptions!$AD$3,Assumptions!$AD$25,0)</f>
        <v>0</v>
      </c>
      <c r="W161" s="517" t="e">
        <f t="shared" ca="1" si="22"/>
        <v>#N/A</v>
      </c>
    </row>
    <row r="162" spans="6:23">
      <c r="F162" s="86">
        <v>161</v>
      </c>
      <c r="G162" s="85">
        <f t="shared" si="18"/>
        <v>3719533.5524185281</v>
      </c>
      <c r="H162" s="85">
        <f t="shared" si="16"/>
        <v>21236.394865569677</v>
      </c>
      <c r="I162" s="85">
        <f t="shared" si="17"/>
        <v>17047.862115251588</v>
      </c>
      <c r="J162" s="85">
        <f t="shared" si="19"/>
        <v>4188.5327503180888</v>
      </c>
      <c r="K162" s="153">
        <f>IF('Monthly Cash Flow'!$C$88="Lender Draw",HLOOKUP(F162,'Monthly Cash Flow'!$D$79:$CP$88,10),0)</f>
        <v>0</v>
      </c>
      <c r="L162" s="83">
        <f t="shared" si="20"/>
        <v>3715345.0196682098</v>
      </c>
      <c r="R162" s="86">
        <v>161</v>
      </c>
      <c r="S162" s="517" t="e">
        <f t="shared" ca="1" si="23"/>
        <v>#N/A</v>
      </c>
      <c r="T162" s="517" t="e">
        <f t="shared" ca="1" si="21"/>
        <v>#N/A</v>
      </c>
      <c r="U162" s="517" t="e">
        <f ca="1">-IF(AND($P$5="No",HLOOKUP('Loan Summary'!$R162,'Monthly Cash Flow'!$D$6:$CP$76,63,FALSE)&gt;T162),T162,(HLOOKUP('Loan Summary'!$R162,'Monthly Cash Flow'!$D$6:$CP$76,63,FALSE)))</f>
        <v>#N/A</v>
      </c>
      <c r="V162" s="517">
        <f>IF('Loan Summary'!R162=Assumptions!$AD$3,Assumptions!$AD$25,0)</f>
        <v>0</v>
      </c>
      <c r="W162" s="517" t="e">
        <f t="shared" ca="1" si="22"/>
        <v>#N/A</v>
      </c>
    </row>
    <row r="163" spans="6:23">
      <c r="F163" s="86">
        <v>162</v>
      </c>
      <c r="G163" s="85">
        <f t="shared" si="18"/>
        <v>3715345.0196682098</v>
      </c>
      <c r="H163" s="85">
        <f t="shared" si="16"/>
        <v>21236.394865569677</v>
      </c>
      <c r="I163" s="85">
        <f t="shared" si="17"/>
        <v>17028.664673479296</v>
      </c>
      <c r="J163" s="85">
        <f t="shared" si="19"/>
        <v>4207.730192090381</v>
      </c>
      <c r="K163" s="153">
        <f>IF('Monthly Cash Flow'!$C$88="Lender Draw",HLOOKUP(F163,'Monthly Cash Flow'!$D$79:$CP$88,10),0)</f>
        <v>0</v>
      </c>
      <c r="L163" s="83">
        <f t="shared" si="20"/>
        <v>3711137.2894761194</v>
      </c>
      <c r="R163" s="86">
        <v>162</v>
      </c>
      <c r="S163" s="517" t="e">
        <f t="shared" ca="1" si="23"/>
        <v>#N/A</v>
      </c>
      <c r="T163" s="517" t="e">
        <f t="shared" ca="1" si="21"/>
        <v>#N/A</v>
      </c>
      <c r="U163" s="517" t="e">
        <f ca="1">-IF(AND($P$5="No",HLOOKUP('Loan Summary'!$R163,'Monthly Cash Flow'!$D$6:$CP$76,63,FALSE)&gt;T163),T163,(HLOOKUP('Loan Summary'!$R163,'Monthly Cash Flow'!$D$6:$CP$76,63,FALSE)))</f>
        <v>#N/A</v>
      </c>
      <c r="V163" s="517">
        <f>IF('Loan Summary'!R163=Assumptions!$AD$3,Assumptions!$AD$25,0)</f>
        <v>0</v>
      </c>
      <c r="W163" s="517" t="e">
        <f t="shared" ca="1" si="22"/>
        <v>#N/A</v>
      </c>
    </row>
    <row r="164" spans="6:23">
      <c r="F164" s="86">
        <v>163</v>
      </c>
      <c r="G164" s="85">
        <f t="shared" si="18"/>
        <v>3711137.2894761194</v>
      </c>
      <c r="H164" s="85">
        <f t="shared" si="16"/>
        <v>21236.394865569677</v>
      </c>
      <c r="I164" s="85">
        <f t="shared" si="17"/>
        <v>17009.379243432213</v>
      </c>
      <c r="J164" s="85">
        <f t="shared" si="19"/>
        <v>4227.0156221374637</v>
      </c>
      <c r="K164" s="153">
        <f>IF('Monthly Cash Flow'!$C$88="Lender Draw",HLOOKUP(F164,'Monthly Cash Flow'!$D$79:$CP$88,10),0)</f>
        <v>0</v>
      </c>
      <c r="L164" s="83">
        <f t="shared" si="20"/>
        <v>3706910.2738539819</v>
      </c>
      <c r="R164" s="86">
        <v>163</v>
      </c>
      <c r="S164" s="517" t="e">
        <f t="shared" ca="1" si="23"/>
        <v>#N/A</v>
      </c>
      <c r="T164" s="517" t="e">
        <f t="shared" ca="1" si="21"/>
        <v>#N/A</v>
      </c>
      <c r="U164" s="517" t="e">
        <f ca="1">-IF(AND($P$5="No",HLOOKUP('Loan Summary'!$R164,'Monthly Cash Flow'!$D$6:$CP$76,63,FALSE)&gt;T164),T164,(HLOOKUP('Loan Summary'!$R164,'Monthly Cash Flow'!$D$6:$CP$76,63,FALSE)))</f>
        <v>#N/A</v>
      </c>
      <c r="V164" s="517">
        <f>IF('Loan Summary'!R164=Assumptions!$AD$3,Assumptions!$AD$25,0)</f>
        <v>0</v>
      </c>
      <c r="W164" s="517" t="e">
        <f t="shared" ca="1" si="22"/>
        <v>#N/A</v>
      </c>
    </row>
    <row r="165" spans="6:23">
      <c r="F165" s="86">
        <v>164</v>
      </c>
      <c r="G165" s="85">
        <f t="shared" si="18"/>
        <v>3706910.2738539819</v>
      </c>
      <c r="H165" s="85">
        <f t="shared" si="16"/>
        <v>21236.394865569677</v>
      </c>
      <c r="I165" s="85">
        <f t="shared" si="17"/>
        <v>16990.005421830749</v>
      </c>
      <c r="J165" s="85">
        <f t="shared" si="19"/>
        <v>4246.3894437389281</v>
      </c>
      <c r="K165" s="153">
        <f>IF('Monthly Cash Flow'!$C$88="Lender Draw",HLOOKUP(F165,'Monthly Cash Flow'!$D$79:$CP$88,10),0)</f>
        <v>0</v>
      </c>
      <c r="L165" s="83">
        <f t="shared" si="20"/>
        <v>3702663.884410243</v>
      </c>
      <c r="R165" s="86">
        <v>164</v>
      </c>
      <c r="S165" s="517" t="e">
        <f t="shared" ca="1" si="23"/>
        <v>#N/A</v>
      </c>
      <c r="T165" s="517" t="e">
        <f t="shared" ca="1" si="21"/>
        <v>#N/A</v>
      </c>
      <c r="U165" s="517" t="e">
        <f ca="1">-IF(AND($P$5="No",HLOOKUP('Loan Summary'!$R165,'Monthly Cash Flow'!$D$6:$CP$76,63,FALSE)&gt;T165),T165,(HLOOKUP('Loan Summary'!$R165,'Monthly Cash Flow'!$D$6:$CP$76,63,FALSE)))</f>
        <v>#N/A</v>
      </c>
      <c r="V165" s="517">
        <f>IF('Loan Summary'!R165=Assumptions!$AD$3,Assumptions!$AD$25,0)</f>
        <v>0</v>
      </c>
      <c r="W165" s="517" t="e">
        <f t="shared" ca="1" si="22"/>
        <v>#N/A</v>
      </c>
    </row>
    <row r="166" spans="6:23">
      <c r="F166" s="86">
        <v>165</v>
      </c>
      <c r="G166" s="85">
        <f t="shared" si="18"/>
        <v>3702663.884410243</v>
      </c>
      <c r="H166" s="85">
        <f t="shared" si="16"/>
        <v>21236.394865569677</v>
      </c>
      <c r="I166" s="85">
        <f t="shared" si="17"/>
        <v>16970.542803546949</v>
      </c>
      <c r="J166" s="85">
        <f t="shared" si="19"/>
        <v>4265.8520620227282</v>
      </c>
      <c r="K166" s="153">
        <f>IF('Monthly Cash Flow'!$C$88="Lender Draw",HLOOKUP(F166,'Monthly Cash Flow'!$D$79:$CP$88,10),0)</f>
        <v>0</v>
      </c>
      <c r="L166" s="83">
        <f t="shared" si="20"/>
        <v>3698398.0323482202</v>
      </c>
      <c r="R166" s="86">
        <v>165</v>
      </c>
      <c r="S166" s="517" t="e">
        <f t="shared" ca="1" si="23"/>
        <v>#N/A</v>
      </c>
      <c r="T166" s="517" t="e">
        <f t="shared" ca="1" si="21"/>
        <v>#N/A</v>
      </c>
      <c r="U166" s="517" t="e">
        <f ca="1">-IF(AND($P$5="No",HLOOKUP('Loan Summary'!$R166,'Monthly Cash Flow'!$D$6:$CP$76,63,FALSE)&gt;T166),T166,(HLOOKUP('Loan Summary'!$R166,'Monthly Cash Flow'!$D$6:$CP$76,63,FALSE)))</f>
        <v>#N/A</v>
      </c>
      <c r="V166" s="517">
        <f>IF('Loan Summary'!R166=Assumptions!$AD$3,Assumptions!$AD$25,0)</f>
        <v>0</v>
      </c>
      <c r="W166" s="517" t="e">
        <f t="shared" ca="1" si="22"/>
        <v>#N/A</v>
      </c>
    </row>
    <row r="167" spans="6:23">
      <c r="F167" s="86">
        <v>166</v>
      </c>
      <c r="G167" s="85">
        <f t="shared" si="18"/>
        <v>3698398.0323482202</v>
      </c>
      <c r="H167" s="85">
        <f t="shared" si="16"/>
        <v>21236.394865569677</v>
      </c>
      <c r="I167" s="85">
        <f t="shared" si="17"/>
        <v>16950.990981596009</v>
      </c>
      <c r="J167" s="85">
        <f t="shared" si="19"/>
        <v>4285.4038839736677</v>
      </c>
      <c r="K167" s="153">
        <f>IF('Monthly Cash Flow'!$C$88="Lender Draw",HLOOKUP(F167,'Monthly Cash Flow'!$D$79:$CP$88,10),0)</f>
        <v>0</v>
      </c>
      <c r="L167" s="83">
        <f t="shared" si="20"/>
        <v>3694112.6284642466</v>
      </c>
      <c r="R167" s="86">
        <v>166</v>
      </c>
      <c r="S167" s="517" t="e">
        <f t="shared" ca="1" si="23"/>
        <v>#N/A</v>
      </c>
      <c r="T167" s="517" t="e">
        <f t="shared" ca="1" si="21"/>
        <v>#N/A</v>
      </c>
      <c r="U167" s="517" t="e">
        <f ca="1">-IF(AND($P$5="No",HLOOKUP('Loan Summary'!$R167,'Monthly Cash Flow'!$D$6:$CP$76,63,FALSE)&gt;T167),T167,(HLOOKUP('Loan Summary'!$R167,'Monthly Cash Flow'!$D$6:$CP$76,63,FALSE)))</f>
        <v>#N/A</v>
      </c>
      <c r="V167" s="517">
        <f>IF('Loan Summary'!R167=Assumptions!$AD$3,Assumptions!$AD$25,0)</f>
        <v>0</v>
      </c>
      <c r="W167" s="517" t="e">
        <f t="shared" ca="1" si="22"/>
        <v>#N/A</v>
      </c>
    </row>
    <row r="168" spans="6:23">
      <c r="F168" s="86">
        <v>167</v>
      </c>
      <c r="G168" s="85">
        <f t="shared" si="18"/>
        <v>3694112.6284642466</v>
      </c>
      <c r="H168" s="85">
        <f t="shared" si="16"/>
        <v>21236.394865569677</v>
      </c>
      <c r="I168" s="85">
        <f t="shared" si="17"/>
        <v>16931.349547127797</v>
      </c>
      <c r="J168" s="85">
        <f t="shared" si="19"/>
        <v>4305.0453184418802</v>
      </c>
      <c r="K168" s="153">
        <f>IF('Monthly Cash Flow'!$C$88="Lender Draw",HLOOKUP(F168,'Monthly Cash Flow'!$D$79:$CP$88,10),0)</f>
        <v>0</v>
      </c>
      <c r="L168" s="83">
        <f t="shared" si="20"/>
        <v>3689807.5831458047</v>
      </c>
      <c r="R168" s="86">
        <v>167</v>
      </c>
      <c r="S168" s="517" t="e">
        <f t="shared" ca="1" si="23"/>
        <v>#N/A</v>
      </c>
      <c r="T168" s="517" t="e">
        <f t="shared" ca="1" si="21"/>
        <v>#N/A</v>
      </c>
      <c r="U168" s="517" t="e">
        <f ca="1">-IF(AND($P$5="No",HLOOKUP('Loan Summary'!$R168,'Monthly Cash Flow'!$D$6:$CP$76,63,FALSE)&gt;T168),T168,(HLOOKUP('Loan Summary'!$R168,'Monthly Cash Flow'!$D$6:$CP$76,63,FALSE)))</f>
        <v>#N/A</v>
      </c>
      <c r="V168" s="517">
        <f>IF('Loan Summary'!R168=Assumptions!$AD$3,Assumptions!$AD$25,0)</f>
        <v>0</v>
      </c>
      <c r="W168" s="517" t="e">
        <f t="shared" ca="1" si="22"/>
        <v>#N/A</v>
      </c>
    </row>
    <row r="169" spans="6:23">
      <c r="F169" s="86">
        <v>168</v>
      </c>
      <c r="G169" s="85">
        <f t="shared" si="18"/>
        <v>3689807.5831458047</v>
      </c>
      <c r="H169" s="85">
        <f t="shared" si="16"/>
        <v>21236.394865569677</v>
      </c>
      <c r="I169" s="85">
        <f t="shared" si="17"/>
        <v>16911.618089418273</v>
      </c>
      <c r="J169" s="85">
        <f t="shared" si="19"/>
        <v>4324.7767761514042</v>
      </c>
      <c r="K169" s="153">
        <f>IF('Monthly Cash Flow'!$C$88="Lender Draw",HLOOKUP(F169,'Monthly Cash Flow'!$D$79:$CP$88,10),0)</f>
        <v>0</v>
      </c>
      <c r="L169" s="83">
        <f t="shared" si="20"/>
        <v>3685482.8063696534</v>
      </c>
      <c r="R169" s="86">
        <v>168</v>
      </c>
      <c r="S169" s="517" t="e">
        <f t="shared" ca="1" si="23"/>
        <v>#N/A</v>
      </c>
      <c r="T169" s="517" t="e">
        <f t="shared" ca="1" si="21"/>
        <v>#N/A</v>
      </c>
      <c r="U169" s="517" t="e">
        <f ca="1">-IF(AND($P$5="No",HLOOKUP('Loan Summary'!$R169,'Monthly Cash Flow'!$D$6:$CP$76,63,FALSE)&gt;T169),T169,(HLOOKUP('Loan Summary'!$R169,'Monthly Cash Flow'!$D$6:$CP$76,63,FALSE)))</f>
        <v>#N/A</v>
      </c>
      <c r="V169" s="517">
        <f>IF('Loan Summary'!R169=Assumptions!$AD$3,Assumptions!$AD$25,0)</f>
        <v>0</v>
      </c>
      <c r="W169" s="517" t="e">
        <f t="shared" ca="1" si="22"/>
        <v>#N/A</v>
      </c>
    </row>
    <row r="170" spans="6:23">
      <c r="F170" s="86">
        <v>169</v>
      </c>
      <c r="G170" s="85">
        <f t="shared" si="18"/>
        <v>3685482.8063696534</v>
      </c>
      <c r="H170" s="85">
        <f t="shared" si="16"/>
        <v>21236.394865569677</v>
      </c>
      <c r="I170" s="85">
        <f t="shared" si="17"/>
        <v>16891.796195860912</v>
      </c>
      <c r="J170" s="85">
        <f t="shared" si="19"/>
        <v>4344.5986697087646</v>
      </c>
      <c r="K170" s="153">
        <f>IF('Monthly Cash Flow'!$C$88="Lender Draw",HLOOKUP(F170,'Monthly Cash Flow'!$D$79:$CP$88,10),0)</f>
        <v>0</v>
      </c>
      <c r="L170" s="83">
        <f t="shared" si="20"/>
        <v>3681138.2076999447</v>
      </c>
      <c r="R170" s="86">
        <v>169</v>
      </c>
      <c r="S170" s="517" t="e">
        <f t="shared" ca="1" si="23"/>
        <v>#N/A</v>
      </c>
      <c r="T170" s="517" t="e">
        <f t="shared" ca="1" si="21"/>
        <v>#N/A</v>
      </c>
      <c r="U170" s="517" t="e">
        <f ca="1">-IF(AND($P$5="No",HLOOKUP('Loan Summary'!$R170,'Monthly Cash Flow'!$D$6:$CP$76,63,FALSE)&gt;T170),T170,(HLOOKUP('Loan Summary'!$R170,'Monthly Cash Flow'!$D$6:$CP$76,63,FALSE)))</f>
        <v>#N/A</v>
      </c>
      <c r="V170" s="517">
        <f>IF('Loan Summary'!R170=Assumptions!$AD$3,Assumptions!$AD$25,0)</f>
        <v>0</v>
      </c>
      <c r="W170" s="517" t="e">
        <f t="shared" ca="1" si="22"/>
        <v>#N/A</v>
      </c>
    </row>
    <row r="171" spans="6:23">
      <c r="F171" s="86">
        <v>170</v>
      </c>
      <c r="G171" s="85">
        <f t="shared" si="18"/>
        <v>3681138.2076999447</v>
      </c>
      <c r="H171" s="85">
        <f t="shared" si="16"/>
        <v>21236.394865569677</v>
      </c>
      <c r="I171" s="85">
        <f t="shared" si="17"/>
        <v>16871.883451958081</v>
      </c>
      <c r="J171" s="85">
        <f t="shared" si="19"/>
        <v>4364.5114136115953</v>
      </c>
      <c r="K171" s="153">
        <f>IF('Monthly Cash Flow'!$C$88="Lender Draw",HLOOKUP(F171,'Monthly Cash Flow'!$D$79:$CP$88,10),0)</f>
        <v>0</v>
      </c>
      <c r="L171" s="83">
        <f t="shared" si="20"/>
        <v>3676773.6962863333</v>
      </c>
      <c r="R171" s="86">
        <v>170</v>
      </c>
      <c r="S171" s="517" t="e">
        <f t="shared" ca="1" si="23"/>
        <v>#N/A</v>
      </c>
      <c r="T171" s="517" t="e">
        <f t="shared" ca="1" si="21"/>
        <v>#N/A</v>
      </c>
      <c r="U171" s="517" t="e">
        <f ca="1">-IF(AND($P$5="No",HLOOKUP('Loan Summary'!$R171,'Monthly Cash Flow'!$D$6:$CP$76,63,FALSE)&gt;T171),T171,(HLOOKUP('Loan Summary'!$R171,'Monthly Cash Flow'!$D$6:$CP$76,63,FALSE)))</f>
        <v>#N/A</v>
      </c>
      <c r="V171" s="517">
        <f>IF('Loan Summary'!R171=Assumptions!$AD$3,Assumptions!$AD$25,0)</f>
        <v>0</v>
      </c>
      <c r="W171" s="517" t="e">
        <f t="shared" ca="1" si="22"/>
        <v>#N/A</v>
      </c>
    </row>
    <row r="172" spans="6:23">
      <c r="F172" s="86">
        <v>171</v>
      </c>
      <c r="G172" s="85">
        <f t="shared" si="18"/>
        <v>3676773.6962863333</v>
      </c>
      <c r="H172" s="85">
        <f t="shared" si="16"/>
        <v>21236.394865569677</v>
      </c>
      <c r="I172" s="85">
        <f t="shared" si="17"/>
        <v>16851.879441312361</v>
      </c>
      <c r="J172" s="85">
        <f t="shared" si="19"/>
        <v>4384.5154242573153</v>
      </c>
      <c r="K172" s="153">
        <f>IF('Monthly Cash Flow'!$C$88="Lender Draw",HLOOKUP(F172,'Monthly Cash Flow'!$D$79:$CP$88,10),0)</f>
        <v>0</v>
      </c>
      <c r="L172" s="83">
        <f t="shared" si="20"/>
        <v>3672389.1808620761</v>
      </c>
      <c r="R172" s="86">
        <v>171</v>
      </c>
      <c r="S172" s="517" t="e">
        <f t="shared" ca="1" si="23"/>
        <v>#N/A</v>
      </c>
      <c r="T172" s="517" t="e">
        <f t="shared" ca="1" si="21"/>
        <v>#N/A</v>
      </c>
      <c r="U172" s="517" t="e">
        <f ca="1">-IF(AND($P$5="No",HLOOKUP('Loan Summary'!$R172,'Monthly Cash Flow'!$D$6:$CP$76,63,FALSE)&gt;T172),T172,(HLOOKUP('Loan Summary'!$R172,'Monthly Cash Flow'!$D$6:$CP$76,63,FALSE)))</f>
        <v>#N/A</v>
      </c>
      <c r="V172" s="517">
        <f>IF('Loan Summary'!R172=Assumptions!$AD$3,Assumptions!$AD$25,0)</f>
        <v>0</v>
      </c>
      <c r="W172" s="517" t="e">
        <f t="shared" ca="1" si="22"/>
        <v>#N/A</v>
      </c>
    </row>
    <row r="173" spans="6:23">
      <c r="F173" s="86">
        <v>172</v>
      </c>
      <c r="G173" s="85">
        <f t="shared" si="18"/>
        <v>3672389.1808620761</v>
      </c>
      <c r="H173" s="85">
        <f t="shared" si="16"/>
        <v>21236.394865569677</v>
      </c>
      <c r="I173" s="85">
        <f t="shared" si="17"/>
        <v>16831.783745617849</v>
      </c>
      <c r="J173" s="85">
        <f t="shared" si="19"/>
        <v>4404.6111199518273</v>
      </c>
      <c r="K173" s="153">
        <f>IF('Monthly Cash Flow'!$C$88="Lender Draw",HLOOKUP(F173,'Monthly Cash Flow'!$D$79:$CP$88,10),0)</f>
        <v>0</v>
      </c>
      <c r="L173" s="83">
        <f t="shared" si="20"/>
        <v>3667984.5697421241</v>
      </c>
      <c r="R173" s="86">
        <v>172</v>
      </c>
      <c r="S173" s="517" t="e">
        <f t="shared" ca="1" si="23"/>
        <v>#N/A</v>
      </c>
      <c r="T173" s="517" t="e">
        <f t="shared" ca="1" si="21"/>
        <v>#N/A</v>
      </c>
      <c r="U173" s="517" t="e">
        <f ca="1">-IF(AND($P$5="No",HLOOKUP('Loan Summary'!$R173,'Monthly Cash Flow'!$D$6:$CP$76,63,FALSE)&gt;T173),T173,(HLOOKUP('Loan Summary'!$R173,'Monthly Cash Flow'!$D$6:$CP$76,63,FALSE)))</f>
        <v>#N/A</v>
      </c>
      <c r="V173" s="517">
        <f>IF('Loan Summary'!R173=Assumptions!$AD$3,Assumptions!$AD$25,0)</f>
        <v>0</v>
      </c>
      <c r="W173" s="517" t="e">
        <f t="shared" ca="1" si="22"/>
        <v>#N/A</v>
      </c>
    </row>
    <row r="174" spans="6:23">
      <c r="F174" s="86">
        <v>173</v>
      </c>
      <c r="G174" s="85">
        <f t="shared" si="18"/>
        <v>3667984.5697421241</v>
      </c>
      <c r="H174" s="85">
        <f t="shared" si="16"/>
        <v>21236.394865569677</v>
      </c>
      <c r="I174" s="85">
        <f t="shared" si="17"/>
        <v>16811.595944651403</v>
      </c>
      <c r="J174" s="85">
        <f t="shared" si="19"/>
        <v>4424.7989209182742</v>
      </c>
      <c r="K174" s="153">
        <f>IF('Monthly Cash Flow'!$C$88="Lender Draw",HLOOKUP(F174,'Monthly Cash Flow'!$D$79:$CP$88,10),0)</f>
        <v>0</v>
      </c>
      <c r="L174" s="83">
        <f t="shared" si="20"/>
        <v>3663559.7708212058</v>
      </c>
      <c r="R174" s="86">
        <v>173</v>
      </c>
      <c r="S174" s="517" t="e">
        <f t="shared" ca="1" si="23"/>
        <v>#N/A</v>
      </c>
      <c r="T174" s="517" t="e">
        <f t="shared" ca="1" si="21"/>
        <v>#N/A</v>
      </c>
      <c r="U174" s="517" t="e">
        <f ca="1">-IF(AND($P$5="No",HLOOKUP('Loan Summary'!$R174,'Monthly Cash Flow'!$D$6:$CP$76,63,FALSE)&gt;T174),T174,(HLOOKUP('Loan Summary'!$R174,'Monthly Cash Flow'!$D$6:$CP$76,63,FALSE)))</f>
        <v>#N/A</v>
      </c>
      <c r="V174" s="517">
        <f>IF('Loan Summary'!R174=Assumptions!$AD$3,Assumptions!$AD$25,0)</f>
        <v>0</v>
      </c>
      <c r="W174" s="517" t="e">
        <f t="shared" ca="1" si="22"/>
        <v>#N/A</v>
      </c>
    </row>
    <row r="175" spans="6:23">
      <c r="F175" s="86">
        <v>174</v>
      </c>
      <c r="G175" s="85">
        <f t="shared" si="18"/>
        <v>3663559.7708212058</v>
      </c>
      <c r="H175" s="85">
        <f t="shared" si="16"/>
        <v>21236.394865569677</v>
      </c>
      <c r="I175" s="85">
        <f t="shared" si="17"/>
        <v>16791.315616263859</v>
      </c>
      <c r="J175" s="85">
        <f t="shared" si="19"/>
        <v>4445.0792493058179</v>
      </c>
      <c r="K175" s="153">
        <f>IF('Monthly Cash Flow'!$C$88="Lender Draw",HLOOKUP(F175,'Monthly Cash Flow'!$D$79:$CP$88,10),0)</f>
        <v>0</v>
      </c>
      <c r="L175" s="83">
        <f t="shared" si="20"/>
        <v>3659114.6915719002</v>
      </c>
      <c r="R175" s="86">
        <v>174</v>
      </c>
      <c r="S175" s="517" t="e">
        <f t="shared" ca="1" si="23"/>
        <v>#N/A</v>
      </c>
      <c r="T175" s="517" t="e">
        <f t="shared" ca="1" si="21"/>
        <v>#N/A</v>
      </c>
      <c r="U175" s="517" t="e">
        <f ca="1">-IF(AND($P$5="No",HLOOKUP('Loan Summary'!$R175,'Monthly Cash Flow'!$D$6:$CP$76,63,FALSE)&gt;T175),T175,(HLOOKUP('Loan Summary'!$R175,'Monthly Cash Flow'!$D$6:$CP$76,63,FALSE)))</f>
        <v>#N/A</v>
      </c>
      <c r="V175" s="517">
        <f>IF('Loan Summary'!R175=Assumptions!$AD$3,Assumptions!$AD$25,0)</f>
        <v>0</v>
      </c>
      <c r="W175" s="517" t="e">
        <f t="shared" ca="1" si="22"/>
        <v>#N/A</v>
      </c>
    </row>
    <row r="176" spans="6:23">
      <c r="F176" s="86">
        <v>175</v>
      </c>
      <c r="G176" s="85">
        <f t="shared" si="18"/>
        <v>3659114.6915719002</v>
      </c>
      <c r="H176" s="85">
        <f t="shared" si="16"/>
        <v>21236.394865569677</v>
      </c>
      <c r="I176" s="85">
        <f t="shared" si="17"/>
        <v>16770.942336371209</v>
      </c>
      <c r="J176" s="85">
        <f t="shared" si="19"/>
        <v>4465.4525291984683</v>
      </c>
      <c r="K176" s="153">
        <f>IF('Monthly Cash Flow'!$C$88="Lender Draw",HLOOKUP(F176,'Monthly Cash Flow'!$D$79:$CP$88,10),0)</f>
        <v>0</v>
      </c>
      <c r="L176" s="83">
        <f t="shared" si="20"/>
        <v>3654649.2390427017</v>
      </c>
      <c r="R176" s="86">
        <v>175</v>
      </c>
      <c r="S176" s="517" t="e">
        <f t="shared" ca="1" si="23"/>
        <v>#N/A</v>
      </c>
      <c r="T176" s="517" t="e">
        <f t="shared" ca="1" si="21"/>
        <v>#N/A</v>
      </c>
      <c r="U176" s="517" t="e">
        <f ca="1">-IF(AND($P$5="No",HLOOKUP('Loan Summary'!$R176,'Monthly Cash Flow'!$D$6:$CP$76,63,FALSE)&gt;T176),T176,(HLOOKUP('Loan Summary'!$R176,'Monthly Cash Flow'!$D$6:$CP$76,63,FALSE)))</f>
        <v>#N/A</v>
      </c>
      <c r="V176" s="517">
        <f>IF('Loan Summary'!R176=Assumptions!$AD$3,Assumptions!$AD$25,0)</f>
        <v>0</v>
      </c>
      <c r="W176" s="517" t="e">
        <f t="shared" ca="1" si="22"/>
        <v>#N/A</v>
      </c>
    </row>
    <row r="177" spans="6:23">
      <c r="F177" s="86">
        <v>176</v>
      </c>
      <c r="G177" s="85">
        <f t="shared" si="18"/>
        <v>3654649.2390427017</v>
      </c>
      <c r="H177" s="85">
        <f t="shared" si="16"/>
        <v>21236.394865569677</v>
      </c>
      <c r="I177" s="85">
        <f t="shared" si="17"/>
        <v>16750.475678945717</v>
      </c>
      <c r="J177" s="85">
        <f t="shared" si="19"/>
        <v>4485.9191866239598</v>
      </c>
      <c r="K177" s="153">
        <f>IF('Monthly Cash Flow'!$C$88="Lender Draw",HLOOKUP(F177,'Monthly Cash Flow'!$D$79:$CP$88,10),0)</f>
        <v>0</v>
      </c>
      <c r="L177" s="83">
        <f t="shared" si="20"/>
        <v>3650163.3198560779</v>
      </c>
      <c r="R177" s="86">
        <v>176</v>
      </c>
      <c r="S177" s="517" t="e">
        <f t="shared" ca="1" si="23"/>
        <v>#N/A</v>
      </c>
      <c r="T177" s="517" t="e">
        <f t="shared" ca="1" si="21"/>
        <v>#N/A</v>
      </c>
      <c r="U177" s="517" t="e">
        <f ca="1">-IF(AND($P$5="No",HLOOKUP('Loan Summary'!$R177,'Monthly Cash Flow'!$D$6:$CP$76,63,FALSE)&gt;T177),T177,(HLOOKUP('Loan Summary'!$R177,'Monthly Cash Flow'!$D$6:$CP$76,63,FALSE)))</f>
        <v>#N/A</v>
      </c>
      <c r="V177" s="517">
        <f>IF('Loan Summary'!R177=Assumptions!$AD$3,Assumptions!$AD$25,0)</f>
        <v>0</v>
      </c>
      <c r="W177" s="517" t="e">
        <f t="shared" ca="1" si="22"/>
        <v>#N/A</v>
      </c>
    </row>
    <row r="178" spans="6:23">
      <c r="F178" s="86">
        <v>177</v>
      </c>
      <c r="G178" s="85">
        <f t="shared" si="18"/>
        <v>3650163.3198560779</v>
      </c>
      <c r="H178" s="85">
        <f t="shared" si="16"/>
        <v>21236.394865569677</v>
      </c>
      <c r="I178" s="85">
        <f t="shared" si="17"/>
        <v>16729.915216007023</v>
      </c>
      <c r="J178" s="85">
        <f t="shared" si="19"/>
        <v>4506.4796495626542</v>
      </c>
      <c r="K178" s="153">
        <f>IF('Monthly Cash Flow'!$C$88="Lender Draw",HLOOKUP(F178,'Monthly Cash Flow'!$D$79:$CP$88,10),0)</f>
        <v>0</v>
      </c>
      <c r="L178" s="83">
        <f t="shared" si="20"/>
        <v>3645656.840206515</v>
      </c>
      <c r="R178" s="86">
        <v>177</v>
      </c>
      <c r="S178" s="517" t="e">
        <f t="shared" ca="1" si="23"/>
        <v>#N/A</v>
      </c>
      <c r="T178" s="517" t="e">
        <f t="shared" ca="1" si="21"/>
        <v>#N/A</v>
      </c>
      <c r="U178" s="517" t="e">
        <f ca="1">-IF(AND($P$5="No",HLOOKUP('Loan Summary'!$R178,'Monthly Cash Flow'!$D$6:$CP$76,63,FALSE)&gt;T178),T178,(HLOOKUP('Loan Summary'!$R178,'Monthly Cash Flow'!$D$6:$CP$76,63,FALSE)))</f>
        <v>#N/A</v>
      </c>
      <c r="V178" s="517">
        <f>IF('Loan Summary'!R178=Assumptions!$AD$3,Assumptions!$AD$25,0)</f>
        <v>0</v>
      </c>
      <c r="W178" s="517" t="e">
        <f t="shared" ca="1" si="22"/>
        <v>#N/A</v>
      </c>
    </row>
    <row r="179" spans="6:23">
      <c r="F179" s="86">
        <v>178</v>
      </c>
      <c r="G179" s="85">
        <f t="shared" si="18"/>
        <v>3645656.840206515</v>
      </c>
      <c r="H179" s="85">
        <f t="shared" si="16"/>
        <v>21236.394865569677</v>
      </c>
      <c r="I179" s="85">
        <f t="shared" si="17"/>
        <v>16709.260517613195</v>
      </c>
      <c r="J179" s="85">
        <f t="shared" si="19"/>
        <v>4527.1343479564821</v>
      </c>
      <c r="K179" s="153">
        <f>IF('Monthly Cash Flow'!$C$88="Lender Draw",HLOOKUP(F179,'Monthly Cash Flow'!$D$79:$CP$88,10),0)</f>
        <v>0</v>
      </c>
      <c r="L179" s="83">
        <f t="shared" si="20"/>
        <v>3641129.7058585584</v>
      </c>
      <c r="R179" s="86">
        <v>178</v>
      </c>
      <c r="S179" s="517" t="e">
        <f t="shared" ca="1" si="23"/>
        <v>#N/A</v>
      </c>
      <c r="T179" s="517" t="e">
        <f t="shared" ca="1" si="21"/>
        <v>#N/A</v>
      </c>
      <c r="U179" s="517" t="e">
        <f ca="1">-IF(AND($P$5="No",HLOOKUP('Loan Summary'!$R179,'Monthly Cash Flow'!$D$6:$CP$76,63,FALSE)&gt;T179),T179,(HLOOKUP('Loan Summary'!$R179,'Monthly Cash Flow'!$D$6:$CP$76,63,FALSE)))</f>
        <v>#N/A</v>
      </c>
      <c r="V179" s="517">
        <f>IF('Loan Summary'!R179=Assumptions!$AD$3,Assumptions!$AD$25,0)</f>
        <v>0</v>
      </c>
      <c r="W179" s="517" t="e">
        <f t="shared" ca="1" si="22"/>
        <v>#N/A</v>
      </c>
    </row>
    <row r="180" spans="6:23">
      <c r="F180" s="86">
        <v>179</v>
      </c>
      <c r="G180" s="85">
        <f t="shared" si="18"/>
        <v>3641129.7058585584</v>
      </c>
      <c r="H180" s="85">
        <f t="shared" si="16"/>
        <v>21236.394865569677</v>
      </c>
      <c r="I180" s="85">
        <f t="shared" si="17"/>
        <v>16688.511151851726</v>
      </c>
      <c r="J180" s="85">
        <f t="shared" si="19"/>
        <v>4547.8837137179507</v>
      </c>
      <c r="K180" s="153">
        <f>IF('Monthly Cash Flow'!$C$88="Lender Draw",HLOOKUP(F180,'Monthly Cash Flow'!$D$79:$CP$88,10),0)</f>
        <v>0</v>
      </c>
      <c r="L180" s="83">
        <f t="shared" si="20"/>
        <v>3636581.8221448404</v>
      </c>
      <c r="R180" s="86">
        <v>179</v>
      </c>
      <c r="S180" s="517" t="e">
        <f t="shared" ca="1" si="23"/>
        <v>#N/A</v>
      </c>
      <c r="T180" s="517" t="e">
        <f t="shared" ca="1" si="21"/>
        <v>#N/A</v>
      </c>
      <c r="U180" s="517" t="e">
        <f ca="1">-IF(AND($P$5="No",HLOOKUP('Loan Summary'!$R180,'Monthly Cash Flow'!$D$6:$CP$76,63,FALSE)&gt;T180),T180,(HLOOKUP('Loan Summary'!$R180,'Monthly Cash Flow'!$D$6:$CP$76,63,FALSE)))</f>
        <v>#N/A</v>
      </c>
      <c r="V180" s="517">
        <f>IF('Loan Summary'!R180=Assumptions!$AD$3,Assumptions!$AD$25,0)</f>
        <v>0</v>
      </c>
      <c r="W180" s="517" t="e">
        <f t="shared" ca="1" si="22"/>
        <v>#N/A</v>
      </c>
    </row>
    <row r="181" spans="6:23">
      <c r="F181" s="86">
        <v>180</v>
      </c>
      <c r="G181" s="85">
        <f t="shared" si="18"/>
        <v>3636581.8221448404</v>
      </c>
      <c r="H181" s="85">
        <f t="shared" si="16"/>
        <v>21236.394865569677</v>
      </c>
      <c r="I181" s="85">
        <f t="shared" si="17"/>
        <v>16667.666684830518</v>
      </c>
      <c r="J181" s="85">
        <f t="shared" si="19"/>
        <v>4568.7281807391591</v>
      </c>
      <c r="K181" s="153">
        <f>IF('Monthly Cash Flow'!$C$88="Lender Draw",HLOOKUP(F181,'Monthly Cash Flow'!$D$79:$CP$88,10),0)</f>
        <v>0</v>
      </c>
      <c r="L181" s="83">
        <f t="shared" si="20"/>
        <v>3632013.0939641013</v>
      </c>
      <c r="R181" s="86">
        <v>180</v>
      </c>
      <c r="S181" s="517" t="e">
        <f t="shared" ca="1" si="23"/>
        <v>#N/A</v>
      </c>
      <c r="T181" s="517" t="e">
        <f t="shared" ca="1" si="21"/>
        <v>#N/A</v>
      </c>
      <c r="U181" s="517" t="e">
        <f ca="1">-IF(AND($P$5="No",HLOOKUP('Loan Summary'!$R181,'Monthly Cash Flow'!$D$6:$CP$76,63,FALSE)&gt;T181),T181,(HLOOKUP('Loan Summary'!$R181,'Monthly Cash Flow'!$D$6:$CP$76,63,FALSE)))</f>
        <v>#N/A</v>
      </c>
      <c r="V181" s="517">
        <f>IF('Loan Summary'!R181=Assumptions!$AD$3,Assumptions!$AD$25,0)</f>
        <v>0</v>
      </c>
      <c r="W181" s="517" t="e">
        <f t="shared" ca="1" si="22"/>
        <v>#N/A</v>
      </c>
    </row>
    <row r="182" spans="6:23">
      <c r="F182" s="86">
        <v>181</v>
      </c>
      <c r="G182" s="85">
        <f t="shared" si="18"/>
        <v>3632013.0939641013</v>
      </c>
      <c r="H182" s="85">
        <f t="shared" si="16"/>
        <v>21236.394865569677</v>
      </c>
      <c r="I182" s="85">
        <f t="shared" si="17"/>
        <v>16646.726680668799</v>
      </c>
      <c r="J182" s="85">
        <f t="shared" si="19"/>
        <v>4589.6681849008783</v>
      </c>
      <c r="K182" s="153">
        <f>IF('Monthly Cash Flow'!$C$88="Lender Draw",HLOOKUP(F182,'Monthly Cash Flow'!$D$79:$CP$88,10),0)</f>
        <v>0</v>
      </c>
      <c r="L182" s="83">
        <f t="shared" si="20"/>
        <v>3627423.4257792006</v>
      </c>
      <c r="R182" s="86">
        <v>181</v>
      </c>
      <c r="S182" s="517" t="e">
        <f t="shared" ca="1" si="23"/>
        <v>#N/A</v>
      </c>
      <c r="T182" s="517" t="e">
        <f t="shared" ca="1" si="21"/>
        <v>#N/A</v>
      </c>
      <c r="U182" s="517" t="e">
        <f ca="1">-IF(AND($P$5="No",HLOOKUP('Loan Summary'!$R182,'Monthly Cash Flow'!$D$6:$CP$76,63,FALSE)&gt;T182),T182,(HLOOKUP('Loan Summary'!$R182,'Monthly Cash Flow'!$D$6:$CP$76,63,FALSE)))</f>
        <v>#N/A</v>
      </c>
      <c r="V182" s="517">
        <f>IF('Loan Summary'!R182=Assumptions!$AD$3,Assumptions!$AD$25,0)</f>
        <v>0</v>
      </c>
      <c r="W182" s="517" t="e">
        <f t="shared" ca="1" si="22"/>
        <v>#N/A</v>
      </c>
    </row>
    <row r="183" spans="6:23">
      <c r="F183" s="86">
        <v>182</v>
      </c>
      <c r="G183" s="85">
        <f t="shared" si="18"/>
        <v>3627423.4257792006</v>
      </c>
      <c r="H183" s="85">
        <f t="shared" si="16"/>
        <v>21236.394865569677</v>
      </c>
      <c r="I183" s="85">
        <f t="shared" si="17"/>
        <v>16625.690701488002</v>
      </c>
      <c r="J183" s="85">
        <f t="shared" si="19"/>
        <v>4610.7041640816751</v>
      </c>
      <c r="K183" s="153">
        <f>IF('Monthly Cash Flow'!$C$88="Lender Draw",HLOOKUP(F183,'Monthly Cash Flow'!$D$79:$CP$88,10),0)</f>
        <v>0</v>
      </c>
      <c r="L183" s="83">
        <f t="shared" si="20"/>
        <v>3622812.7216151189</v>
      </c>
      <c r="R183" s="86">
        <v>182</v>
      </c>
      <c r="S183" s="517" t="e">
        <f t="shared" ca="1" si="23"/>
        <v>#N/A</v>
      </c>
      <c r="T183" s="517" t="e">
        <f t="shared" ca="1" si="21"/>
        <v>#N/A</v>
      </c>
      <c r="U183" s="517" t="e">
        <f ca="1">-IF(AND($P$5="No",HLOOKUP('Loan Summary'!$R183,'Monthly Cash Flow'!$D$6:$CP$76,63,FALSE)&gt;T183),T183,(HLOOKUP('Loan Summary'!$R183,'Monthly Cash Flow'!$D$6:$CP$76,63,FALSE)))</f>
        <v>#N/A</v>
      </c>
      <c r="V183" s="517">
        <f>IF('Loan Summary'!R183=Assumptions!$AD$3,Assumptions!$AD$25,0)</f>
        <v>0</v>
      </c>
      <c r="W183" s="517" t="e">
        <f t="shared" ca="1" si="22"/>
        <v>#N/A</v>
      </c>
    </row>
    <row r="184" spans="6:23">
      <c r="F184" s="86">
        <v>183</v>
      </c>
      <c r="G184" s="85">
        <f t="shared" si="18"/>
        <v>3622812.7216151189</v>
      </c>
      <c r="H184" s="85">
        <f t="shared" si="16"/>
        <v>21236.394865569677</v>
      </c>
      <c r="I184" s="85">
        <f t="shared" si="17"/>
        <v>16604.558307402629</v>
      </c>
      <c r="J184" s="85">
        <f t="shared" si="19"/>
        <v>4631.8365581670478</v>
      </c>
      <c r="K184" s="153">
        <f>IF('Monthly Cash Flow'!$C$88="Lender Draw",HLOOKUP(F184,'Monthly Cash Flow'!$D$79:$CP$88,10),0)</f>
        <v>0</v>
      </c>
      <c r="L184" s="83">
        <f t="shared" si="20"/>
        <v>3618180.885056952</v>
      </c>
      <c r="R184" s="86">
        <v>183</v>
      </c>
      <c r="S184" s="517" t="e">
        <f t="shared" ca="1" si="23"/>
        <v>#N/A</v>
      </c>
      <c r="T184" s="517" t="e">
        <f t="shared" ca="1" si="21"/>
        <v>#N/A</v>
      </c>
      <c r="U184" s="517" t="e">
        <f ca="1">-IF(AND($P$5="No",HLOOKUP('Loan Summary'!$R184,'Monthly Cash Flow'!$D$6:$CP$76,63,FALSE)&gt;T184),T184,(HLOOKUP('Loan Summary'!$R184,'Monthly Cash Flow'!$D$6:$CP$76,63,FALSE)))</f>
        <v>#N/A</v>
      </c>
      <c r="V184" s="517">
        <f>IF('Loan Summary'!R184=Assumptions!$AD$3,Assumptions!$AD$25,0)</f>
        <v>0</v>
      </c>
      <c r="W184" s="517" t="e">
        <f t="shared" ca="1" si="22"/>
        <v>#N/A</v>
      </c>
    </row>
    <row r="185" spans="6:23">
      <c r="F185" s="86">
        <v>184</v>
      </c>
      <c r="G185" s="85">
        <f t="shared" si="18"/>
        <v>3618180.885056952</v>
      </c>
      <c r="H185" s="85">
        <f t="shared" si="16"/>
        <v>21236.394865569677</v>
      </c>
      <c r="I185" s="85">
        <f t="shared" si="17"/>
        <v>16583.329056511029</v>
      </c>
      <c r="J185" s="85">
        <f t="shared" si="19"/>
        <v>4653.0658090586476</v>
      </c>
      <c r="K185" s="153">
        <f>IF('Monthly Cash Flow'!$C$88="Lender Draw",HLOOKUP(F185,'Monthly Cash Flow'!$D$79:$CP$88,10),0)</f>
        <v>0</v>
      </c>
      <c r="L185" s="83">
        <f t="shared" si="20"/>
        <v>3613527.8192478935</v>
      </c>
      <c r="R185" s="86">
        <v>184</v>
      </c>
      <c r="S185" s="517" t="e">
        <f t="shared" ca="1" si="23"/>
        <v>#N/A</v>
      </c>
      <c r="T185" s="517" t="e">
        <f t="shared" ca="1" si="21"/>
        <v>#N/A</v>
      </c>
      <c r="U185" s="517" t="e">
        <f ca="1">-IF(AND($P$5="No",HLOOKUP('Loan Summary'!$R185,'Monthly Cash Flow'!$D$6:$CP$76,63,FALSE)&gt;T185),T185,(HLOOKUP('Loan Summary'!$R185,'Monthly Cash Flow'!$D$6:$CP$76,63,FALSE)))</f>
        <v>#N/A</v>
      </c>
      <c r="V185" s="517">
        <f>IF('Loan Summary'!R185=Assumptions!$AD$3,Assumptions!$AD$25,0)</f>
        <v>0</v>
      </c>
      <c r="W185" s="517" t="e">
        <f t="shared" ca="1" si="22"/>
        <v>#N/A</v>
      </c>
    </row>
    <row r="186" spans="6:23">
      <c r="F186" s="86">
        <v>185</v>
      </c>
      <c r="G186" s="85">
        <f t="shared" si="18"/>
        <v>3613527.8192478935</v>
      </c>
      <c r="H186" s="85">
        <f t="shared" si="16"/>
        <v>21236.394865569677</v>
      </c>
      <c r="I186" s="85">
        <f t="shared" si="17"/>
        <v>16562.002504886179</v>
      </c>
      <c r="J186" s="85">
        <f t="shared" si="19"/>
        <v>4674.3923606834978</v>
      </c>
      <c r="K186" s="153">
        <f>IF('Monthly Cash Flow'!$C$88="Lender Draw",HLOOKUP(F186,'Monthly Cash Flow'!$D$79:$CP$88,10),0)</f>
        <v>0</v>
      </c>
      <c r="L186" s="83">
        <f t="shared" si="20"/>
        <v>3608853.42688721</v>
      </c>
      <c r="R186" s="86">
        <v>185</v>
      </c>
      <c r="S186" s="517" t="e">
        <f t="shared" ca="1" si="23"/>
        <v>#N/A</v>
      </c>
      <c r="T186" s="517" t="e">
        <f t="shared" ca="1" si="21"/>
        <v>#N/A</v>
      </c>
      <c r="U186" s="517" t="e">
        <f ca="1">-IF(AND($P$5="No",HLOOKUP('Loan Summary'!$R186,'Monthly Cash Flow'!$D$6:$CP$76,63,FALSE)&gt;T186),T186,(HLOOKUP('Loan Summary'!$R186,'Monthly Cash Flow'!$D$6:$CP$76,63,FALSE)))</f>
        <v>#N/A</v>
      </c>
      <c r="V186" s="517">
        <f>IF('Loan Summary'!R186=Assumptions!$AD$3,Assumptions!$AD$25,0)</f>
        <v>0</v>
      </c>
      <c r="W186" s="517" t="e">
        <f t="shared" ca="1" si="22"/>
        <v>#N/A</v>
      </c>
    </row>
    <row r="187" spans="6:23">
      <c r="F187" s="86">
        <v>186</v>
      </c>
      <c r="G187" s="85">
        <f t="shared" si="18"/>
        <v>3608853.42688721</v>
      </c>
      <c r="H187" s="85">
        <f t="shared" si="16"/>
        <v>21236.394865569677</v>
      </c>
      <c r="I187" s="85">
        <f t="shared" si="17"/>
        <v>16540.578206566381</v>
      </c>
      <c r="J187" s="85">
        <f t="shared" si="19"/>
        <v>4695.8166590032961</v>
      </c>
      <c r="K187" s="153">
        <f>IF('Monthly Cash Flow'!$C$88="Lender Draw",HLOOKUP(F187,'Monthly Cash Flow'!$D$79:$CP$88,10),0)</f>
        <v>0</v>
      </c>
      <c r="L187" s="83">
        <f t="shared" si="20"/>
        <v>3604157.6102282065</v>
      </c>
      <c r="R187" s="86">
        <v>186</v>
      </c>
      <c r="S187" s="517" t="e">
        <f t="shared" ca="1" si="23"/>
        <v>#N/A</v>
      </c>
      <c r="T187" s="517" t="e">
        <f t="shared" ca="1" si="21"/>
        <v>#N/A</v>
      </c>
      <c r="U187" s="517" t="e">
        <f ca="1">-IF(AND($P$5="No",HLOOKUP('Loan Summary'!$R187,'Monthly Cash Flow'!$D$6:$CP$76,63,FALSE)&gt;T187),T187,(HLOOKUP('Loan Summary'!$R187,'Monthly Cash Flow'!$D$6:$CP$76,63,FALSE)))</f>
        <v>#N/A</v>
      </c>
      <c r="V187" s="517">
        <f>IF('Loan Summary'!R187=Assumptions!$AD$3,Assumptions!$AD$25,0)</f>
        <v>0</v>
      </c>
      <c r="W187" s="517" t="e">
        <f t="shared" ca="1" si="22"/>
        <v>#N/A</v>
      </c>
    </row>
    <row r="188" spans="6:23">
      <c r="F188" s="86">
        <v>187</v>
      </c>
      <c r="G188" s="85">
        <f t="shared" si="18"/>
        <v>3604157.6102282065</v>
      </c>
      <c r="H188" s="85">
        <f t="shared" si="16"/>
        <v>21236.394865569677</v>
      </c>
      <c r="I188" s="85">
        <f t="shared" si="17"/>
        <v>16519.055713545946</v>
      </c>
      <c r="J188" s="85">
        <f t="shared" si="19"/>
        <v>4717.339152023731</v>
      </c>
      <c r="K188" s="153">
        <f>IF('Monthly Cash Flow'!$C$88="Lender Draw",HLOOKUP(F188,'Monthly Cash Flow'!$D$79:$CP$88,10),0)</f>
        <v>0</v>
      </c>
      <c r="L188" s="83">
        <f t="shared" si="20"/>
        <v>3599440.2710761828</v>
      </c>
      <c r="R188" s="86">
        <v>187</v>
      </c>
      <c r="S188" s="517" t="e">
        <f t="shared" ca="1" si="23"/>
        <v>#N/A</v>
      </c>
      <c r="T188" s="517" t="e">
        <f t="shared" ca="1" si="21"/>
        <v>#N/A</v>
      </c>
      <c r="U188" s="517" t="e">
        <f ca="1">-IF(AND($P$5="No",HLOOKUP('Loan Summary'!$R188,'Monthly Cash Flow'!$D$6:$CP$76,63,FALSE)&gt;T188),T188,(HLOOKUP('Loan Summary'!$R188,'Monthly Cash Flow'!$D$6:$CP$76,63,FALSE)))</f>
        <v>#N/A</v>
      </c>
      <c r="V188" s="517">
        <f>IF('Loan Summary'!R188=Assumptions!$AD$3,Assumptions!$AD$25,0)</f>
        <v>0</v>
      </c>
      <c r="W188" s="517" t="e">
        <f t="shared" ca="1" si="22"/>
        <v>#N/A</v>
      </c>
    </row>
    <row r="189" spans="6:23">
      <c r="F189" s="86">
        <v>188</v>
      </c>
      <c r="G189" s="85">
        <f t="shared" si="18"/>
        <v>3599440.2710761828</v>
      </c>
      <c r="H189" s="85">
        <f t="shared" si="16"/>
        <v>21236.394865569677</v>
      </c>
      <c r="I189" s="85">
        <f t="shared" si="17"/>
        <v>16497.434575765838</v>
      </c>
      <c r="J189" s="85">
        <f t="shared" si="19"/>
        <v>4738.9602898038393</v>
      </c>
      <c r="K189" s="153">
        <f>IF('Monthly Cash Flow'!$C$88="Lender Draw",HLOOKUP(F189,'Monthly Cash Flow'!$D$79:$CP$88,10),0)</f>
        <v>0</v>
      </c>
      <c r="L189" s="83">
        <f t="shared" si="20"/>
        <v>3594701.310786379</v>
      </c>
      <c r="R189" s="86">
        <v>188</v>
      </c>
      <c r="S189" s="517" t="e">
        <f t="shared" ca="1" si="23"/>
        <v>#N/A</v>
      </c>
      <c r="T189" s="517" t="e">
        <f t="shared" ca="1" si="21"/>
        <v>#N/A</v>
      </c>
      <c r="U189" s="517" t="e">
        <f ca="1">-IF(AND($P$5="No",HLOOKUP('Loan Summary'!$R189,'Monthly Cash Flow'!$D$6:$CP$76,63,FALSE)&gt;T189),T189,(HLOOKUP('Loan Summary'!$R189,'Monthly Cash Flow'!$D$6:$CP$76,63,FALSE)))</f>
        <v>#N/A</v>
      </c>
      <c r="V189" s="517">
        <f>IF('Loan Summary'!R189=Assumptions!$AD$3,Assumptions!$AD$25,0)</f>
        <v>0</v>
      </c>
      <c r="W189" s="517" t="e">
        <f t="shared" ca="1" si="22"/>
        <v>#N/A</v>
      </c>
    </row>
    <row r="190" spans="6:23">
      <c r="F190" s="86">
        <v>189</v>
      </c>
      <c r="G190" s="85">
        <f t="shared" si="18"/>
        <v>3594701.310786379</v>
      </c>
      <c r="H190" s="85">
        <f t="shared" si="16"/>
        <v>21236.394865569677</v>
      </c>
      <c r="I190" s="85">
        <f t="shared" si="17"/>
        <v>16475.714341104238</v>
      </c>
      <c r="J190" s="85">
        <f t="shared" si="19"/>
        <v>4760.6805244654388</v>
      </c>
      <c r="K190" s="153">
        <f>IF('Monthly Cash Flow'!$C$88="Lender Draw",HLOOKUP(F190,'Monthly Cash Flow'!$D$79:$CP$88,10),0)</f>
        <v>0</v>
      </c>
      <c r="L190" s="83">
        <f t="shared" si="20"/>
        <v>3589940.6302619134</v>
      </c>
      <c r="R190" s="86">
        <v>189</v>
      </c>
      <c r="S190" s="517" t="e">
        <f t="shared" ca="1" si="23"/>
        <v>#N/A</v>
      </c>
      <c r="T190" s="517" t="e">
        <f t="shared" ca="1" si="21"/>
        <v>#N/A</v>
      </c>
      <c r="U190" s="517" t="e">
        <f ca="1">-IF(AND($P$5="No",HLOOKUP('Loan Summary'!$R190,'Monthly Cash Flow'!$D$6:$CP$76,63,FALSE)&gt;T190),T190,(HLOOKUP('Loan Summary'!$R190,'Monthly Cash Flow'!$D$6:$CP$76,63,FALSE)))</f>
        <v>#N/A</v>
      </c>
      <c r="V190" s="517">
        <f>IF('Loan Summary'!R190=Assumptions!$AD$3,Assumptions!$AD$25,0)</f>
        <v>0</v>
      </c>
      <c r="W190" s="517" t="e">
        <f t="shared" ca="1" si="22"/>
        <v>#N/A</v>
      </c>
    </row>
    <row r="191" spans="6:23">
      <c r="F191" s="86">
        <v>190</v>
      </c>
      <c r="G191" s="85">
        <f t="shared" si="18"/>
        <v>3589940.6302619134</v>
      </c>
      <c r="H191" s="85">
        <f t="shared" si="16"/>
        <v>21236.394865569677</v>
      </c>
      <c r="I191" s="85">
        <f t="shared" si="17"/>
        <v>16453.894555367104</v>
      </c>
      <c r="J191" s="85">
        <f t="shared" si="19"/>
        <v>4782.500310202573</v>
      </c>
      <c r="K191" s="153">
        <f>IF('Monthly Cash Flow'!$C$88="Lender Draw",HLOOKUP(F191,'Monthly Cash Flow'!$D$79:$CP$88,10),0)</f>
        <v>0</v>
      </c>
      <c r="L191" s="83">
        <f t="shared" si="20"/>
        <v>3585158.1299517108</v>
      </c>
      <c r="R191" s="86">
        <v>190</v>
      </c>
      <c r="S191" s="517" t="e">
        <f t="shared" ca="1" si="23"/>
        <v>#N/A</v>
      </c>
      <c r="T191" s="517" t="e">
        <f t="shared" ca="1" si="21"/>
        <v>#N/A</v>
      </c>
      <c r="U191" s="517" t="e">
        <f ca="1">-IF(AND($P$5="No",HLOOKUP('Loan Summary'!$R191,'Monthly Cash Flow'!$D$6:$CP$76,63,FALSE)&gt;T191),T191,(HLOOKUP('Loan Summary'!$R191,'Monthly Cash Flow'!$D$6:$CP$76,63,FALSE)))</f>
        <v>#N/A</v>
      </c>
      <c r="V191" s="517">
        <f>IF('Loan Summary'!R191=Assumptions!$AD$3,Assumptions!$AD$25,0)</f>
        <v>0</v>
      </c>
      <c r="W191" s="517" t="e">
        <f t="shared" ca="1" si="22"/>
        <v>#N/A</v>
      </c>
    </row>
    <row r="192" spans="6:23">
      <c r="F192" s="86">
        <v>191</v>
      </c>
      <c r="G192" s="85">
        <f t="shared" si="18"/>
        <v>3585158.1299517108</v>
      </c>
      <c r="H192" s="85">
        <f t="shared" si="16"/>
        <v>21236.394865569677</v>
      </c>
      <c r="I192" s="85">
        <f t="shared" si="17"/>
        <v>16431.974762278674</v>
      </c>
      <c r="J192" s="85">
        <f t="shared" si="19"/>
        <v>4804.4201032910023</v>
      </c>
      <c r="K192" s="153">
        <f>IF('Monthly Cash Flow'!$C$88="Lender Draw",HLOOKUP(F192,'Monthly Cash Flow'!$D$79:$CP$88,10),0)</f>
        <v>0</v>
      </c>
      <c r="L192" s="83">
        <f t="shared" si="20"/>
        <v>3580353.7098484198</v>
      </c>
      <c r="R192" s="86">
        <v>191</v>
      </c>
      <c r="S192" s="517" t="e">
        <f t="shared" ca="1" si="23"/>
        <v>#N/A</v>
      </c>
      <c r="T192" s="517" t="e">
        <f t="shared" ca="1" si="21"/>
        <v>#N/A</v>
      </c>
      <c r="U192" s="517" t="e">
        <f ca="1">-IF(AND($P$5="No",HLOOKUP('Loan Summary'!$R192,'Monthly Cash Flow'!$D$6:$CP$76,63,FALSE)&gt;T192),T192,(HLOOKUP('Loan Summary'!$R192,'Monthly Cash Flow'!$D$6:$CP$76,63,FALSE)))</f>
        <v>#N/A</v>
      </c>
      <c r="V192" s="517">
        <f>IF('Loan Summary'!R192=Assumptions!$AD$3,Assumptions!$AD$25,0)</f>
        <v>0</v>
      </c>
      <c r="W192" s="517" t="e">
        <f t="shared" ca="1" si="22"/>
        <v>#N/A</v>
      </c>
    </row>
    <row r="193" spans="6:23">
      <c r="F193" s="86">
        <v>192</v>
      </c>
      <c r="G193" s="85">
        <f t="shared" si="18"/>
        <v>3580353.7098484198</v>
      </c>
      <c r="H193" s="85">
        <f t="shared" si="16"/>
        <v>21236.394865569677</v>
      </c>
      <c r="I193" s="85">
        <f t="shared" si="17"/>
        <v>16409.954503471923</v>
      </c>
      <c r="J193" s="85">
        <f t="shared" si="19"/>
        <v>4826.4403620977537</v>
      </c>
      <c r="K193" s="153">
        <f>IF('Monthly Cash Flow'!$C$88="Lender Draw",HLOOKUP(F193,'Monthly Cash Flow'!$D$79:$CP$88,10),0)</f>
        <v>0</v>
      </c>
      <c r="L193" s="83">
        <f t="shared" si="20"/>
        <v>3575527.2694863221</v>
      </c>
      <c r="R193" s="86">
        <v>192</v>
      </c>
      <c r="S193" s="517" t="e">
        <f t="shared" ca="1" si="23"/>
        <v>#N/A</v>
      </c>
      <c r="T193" s="517" t="e">
        <f t="shared" ca="1" si="21"/>
        <v>#N/A</v>
      </c>
      <c r="U193" s="517" t="e">
        <f ca="1">-IF(AND($P$5="No",HLOOKUP('Loan Summary'!$R193,'Monthly Cash Flow'!$D$6:$CP$76,63,FALSE)&gt;T193),T193,(HLOOKUP('Loan Summary'!$R193,'Monthly Cash Flow'!$D$6:$CP$76,63,FALSE)))</f>
        <v>#N/A</v>
      </c>
      <c r="V193" s="517">
        <f>IF('Loan Summary'!R193=Assumptions!$AD$3,Assumptions!$AD$25,0)</f>
        <v>0</v>
      </c>
      <c r="W193" s="517" t="e">
        <f t="shared" ca="1" si="22"/>
        <v>#N/A</v>
      </c>
    </row>
    <row r="194" spans="6:23">
      <c r="F194" s="86">
        <v>193</v>
      </c>
      <c r="G194" s="85">
        <f t="shared" si="18"/>
        <v>3575527.2694863221</v>
      </c>
      <c r="H194" s="85">
        <f t="shared" ref="H194:H257" si="24">IF(F194&lt;$C$16,IF(F194&gt;$C$6,-PMT(($C$3/12),$C$4,$C$2),I194),-PMT($C$10/12,$C$11,$C$9))</f>
        <v>21236.394865569677</v>
      </c>
      <c r="I194" s="85">
        <f t="shared" ref="I194:I257" si="25">IF(F194&lt;$C$16,G194*($C$3/12),G194*($C$10/12))</f>
        <v>16387.833318478977</v>
      </c>
      <c r="J194" s="85">
        <f t="shared" si="19"/>
        <v>4848.5615470906996</v>
      </c>
      <c r="K194" s="153">
        <f>IF('Monthly Cash Flow'!$C$88="Lender Draw",HLOOKUP(F194,'Monthly Cash Flow'!$D$79:$CP$88,10),0)</f>
        <v>0</v>
      </c>
      <c r="L194" s="83">
        <f t="shared" si="20"/>
        <v>3570678.7079392313</v>
      </c>
      <c r="R194" s="86">
        <v>193</v>
      </c>
      <c r="S194" s="517" t="e">
        <f t="shared" ca="1" si="23"/>
        <v>#N/A</v>
      </c>
      <c r="T194" s="517" t="e">
        <f t="shared" ca="1" si="21"/>
        <v>#N/A</v>
      </c>
      <c r="U194" s="517" t="e">
        <f ca="1">-IF(AND($P$5="No",HLOOKUP('Loan Summary'!$R194,'Monthly Cash Flow'!$D$6:$CP$76,63,FALSE)&gt;T194),T194,(HLOOKUP('Loan Summary'!$R194,'Monthly Cash Flow'!$D$6:$CP$76,63,FALSE)))</f>
        <v>#N/A</v>
      </c>
      <c r="V194" s="517">
        <f>IF('Loan Summary'!R194=Assumptions!$AD$3,Assumptions!$AD$25,0)</f>
        <v>0</v>
      </c>
      <c r="W194" s="517" t="e">
        <f t="shared" ca="1" si="22"/>
        <v>#N/A</v>
      </c>
    </row>
    <row r="195" spans="6:23">
      <c r="F195" s="86">
        <v>194</v>
      </c>
      <c r="G195" s="85">
        <f t="shared" ref="G195:G258" si="26">IF(F195&lt;$C$16,L194,IF(F195=$C$16,$C$9,L194))</f>
        <v>3570678.7079392313</v>
      </c>
      <c r="H195" s="85">
        <f t="shared" si="24"/>
        <v>21236.394865569677</v>
      </c>
      <c r="I195" s="85">
        <f t="shared" si="25"/>
        <v>16365.610744721476</v>
      </c>
      <c r="J195" s="85">
        <f t="shared" ref="J195:J258" si="27">IF(F195&lt;$C$16,IF(F195&lt;=$C$6,0,H195-I195),IF(F195&lt;=$C$16+$C$13,0,H195-I195))</f>
        <v>4870.7841208482005</v>
      </c>
      <c r="K195" s="153">
        <f>IF('Monthly Cash Flow'!$C$88="Lender Draw",HLOOKUP(F195,'Monthly Cash Flow'!$D$79:$CP$88,10),0)</f>
        <v>0</v>
      </c>
      <c r="L195" s="83">
        <f t="shared" ref="L195:L258" si="28">G195-J195+K195</f>
        <v>3565807.9238183829</v>
      </c>
      <c r="R195" s="86">
        <v>194</v>
      </c>
      <c r="S195" s="517" t="e">
        <f t="shared" ca="1" si="23"/>
        <v>#N/A</v>
      </c>
      <c r="T195" s="517" t="e">
        <f t="shared" ref="T195:T258" ca="1" si="29">(S195*$P$3)/12</f>
        <v>#N/A</v>
      </c>
      <c r="U195" s="517" t="e">
        <f ca="1">-IF(AND($P$5="No",HLOOKUP('Loan Summary'!$R195,'Monthly Cash Flow'!$D$6:$CP$76,63,FALSE)&gt;T195),T195,(HLOOKUP('Loan Summary'!$R195,'Monthly Cash Flow'!$D$6:$CP$76,63,FALSE)))</f>
        <v>#N/A</v>
      </c>
      <c r="V195" s="517">
        <f>IF('Loan Summary'!R195=Assumptions!$AD$3,Assumptions!$AD$25,0)</f>
        <v>0</v>
      </c>
      <c r="W195" s="517" t="e">
        <f t="shared" ref="W195:W258" ca="1" si="30">S195+T195+U195+V195</f>
        <v>#N/A</v>
      </c>
    </row>
    <row r="196" spans="6:23">
      <c r="F196" s="86">
        <v>195</v>
      </c>
      <c r="G196" s="85">
        <f t="shared" si="26"/>
        <v>3565807.9238183829</v>
      </c>
      <c r="H196" s="85">
        <f t="shared" si="24"/>
        <v>21236.394865569677</v>
      </c>
      <c r="I196" s="85">
        <f t="shared" si="25"/>
        <v>16343.286317500922</v>
      </c>
      <c r="J196" s="85">
        <f t="shared" si="27"/>
        <v>4893.1085480687543</v>
      </c>
      <c r="K196" s="153">
        <f>IF('Monthly Cash Flow'!$C$88="Lender Draw",HLOOKUP(F196,'Monthly Cash Flow'!$D$79:$CP$88,10),0)</f>
        <v>0</v>
      </c>
      <c r="L196" s="83">
        <f t="shared" si="28"/>
        <v>3560914.815270314</v>
      </c>
      <c r="R196" s="86">
        <v>195</v>
      </c>
      <c r="S196" s="517" t="e">
        <f t="shared" ref="S196:S259" ca="1" si="31">W195</f>
        <v>#N/A</v>
      </c>
      <c r="T196" s="517" t="e">
        <f t="shared" ca="1" si="29"/>
        <v>#N/A</v>
      </c>
      <c r="U196" s="517" t="e">
        <f ca="1">-IF(AND($P$5="No",HLOOKUP('Loan Summary'!$R196,'Monthly Cash Flow'!$D$6:$CP$76,63,FALSE)&gt;T196),T196,(HLOOKUP('Loan Summary'!$R196,'Monthly Cash Flow'!$D$6:$CP$76,63,FALSE)))</f>
        <v>#N/A</v>
      </c>
      <c r="V196" s="517">
        <f>IF('Loan Summary'!R196=Assumptions!$AD$3,Assumptions!$AD$25,0)</f>
        <v>0</v>
      </c>
      <c r="W196" s="517" t="e">
        <f t="shared" ca="1" si="30"/>
        <v>#N/A</v>
      </c>
    </row>
    <row r="197" spans="6:23">
      <c r="F197" s="86">
        <v>196</v>
      </c>
      <c r="G197" s="85">
        <f t="shared" si="26"/>
        <v>3560914.815270314</v>
      </c>
      <c r="H197" s="85">
        <f t="shared" si="24"/>
        <v>21236.394865569677</v>
      </c>
      <c r="I197" s="85">
        <f t="shared" si="25"/>
        <v>16320.859569988939</v>
      </c>
      <c r="J197" s="85">
        <f t="shared" si="27"/>
        <v>4915.5352955807375</v>
      </c>
      <c r="K197" s="153">
        <f>IF('Monthly Cash Flow'!$C$88="Lender Draw",HLOOKUP(F197,'Monthly Cash Flow'!$D$79:$CP$88,10),0)</f>
        <v>0</v>
      </c>
      <c r="L197" s="83">
        <f t="shared" si="28"/>
        <v>3555999.2799747335</v>
      </c>
      <c r="R197" s="86">
        <v>196</v>
      </c>
      <c r="S197" s="517" t="e">
        <f t="shared" ca="1" si="31"/>
        <v>#N/A</v>
      </c>
      <c r="T197" s="517" t="e">
        <f t="shared" ca="1" si="29"/>
        <v>#N/A</v>
      </c>
      <c r="U197" s="517" t="e">
        <f ca="1">-IF(AND($P$5="No",HLOOKUP('Loan Summary'!$R197,'Monthly Cash Flow'!$D$6:$CP$76,63,FALSE)&gt;T197),T197,(HLOOKUP('Loan Summary'!$R197,'Monthly Cash Flow'!$D$6:$CP$76,63,FALSE)))</f>
        <v>#N/A</v>
      </c>
      <c r="V197" s="517">
        <f>IF('Loan Summary'!R197=Assumptions!$AD$3,Assumptions!$AD$25,0)</f>
        <v>0</v>
      </c>
      <c r="W197" s="517" t="e">
        <f t="shared" ca="1" si="30"/>
        <v>#N/A</v>
      </c>
    </row>
    <row r="198" spans="6:23">
      <c r="F198" s="86">
        <v>197</v>
      </c>
      <c r="G198" s="85">
        <f t="shared" si="26"/>
        <v>3555999.2799747335</v>
      </c>
      <c r="H198" s="85">
        <f t="shared" si="24"/>
        <v>21236.394865569677</v>
      </c>
      <c r="I198" s="85">
        <f t="shared" si="25"/>
        <v>16298.330033217528</v>
      </c>
      <c r="J198" s="85">
        <f t="shared" si="27"/>
        <v>4938.0648323521491</v>
      </c>
      <c r="K198" s="153">
        <f>IF('Monthly Cash Flow'!$C$88="Lender Draw",HLOOKUP(F198,'Monthly Cash Flow'!$D$79:$CP$88,10),0)</f>
        <v>0</v>
      </c>
      <c r="L198" s="83">
        <f t="shared" si="28"/>
        <v>3551061.2151423814</v>
      </c>
      <c r="R198" s="86">
        <v>197</v>
      </c>
      <c r="S198" s="517" t="e">
        <f t="shared" ca="1" si="31"/>
        <v>#N/A</v>
      </c>
      <c r="T198" s="517" t="e">
        <f t="shared" ca="1" si="29"/>
        <v>#N/A</v>
      </c>
      <c r="U198" s="517" t="e">
        <f ca="1">-IF(AND($P$5="No",HLOOKUP('Loan Summary'!$R198,'Monthly Cash Flow'!$D$6:$CP$76,63,FALSE)&gt;T198),T198,(HLOOKUP('Loan Summary'!$R198,'Monthly Cash Flow'!$D$6:$CP$76,63,FALSE)))</f>
        <v>#N/A</v>
      </c>
      <c r="V198" s="517">
        <f>IF('Loan Summary'!R198=Assumptions!$AD$3,Assumptions!$AD$25,0)</f>
        <v>0</v>
      </c>
      <c r="W198" s="517" t="e">
        <f t="shared" ca="1" si="30"/>
        <v>#N/A</v>
      </c>
    </row>
    <row r="199" spans="6:23">
      <c r="F199" s="86">
        <v>198</v>
      </c>
      <c r="G199" s="85">
        <f t="shared" si="26"/>
        <v>3551061.2151423814</v>
      </c>
      <c r="H199" s="85">
        <f t="shared" si="24"/>
        <v>21236.394865569677</v>
      </c>
      <c r="I199" s="85">
        <f t="shared" si="25"/>
        <v>16275.697236069249</v>
      </c>
      <c r="J199" s="85">
        <f t="shared" si="27"/>
        <v>4960.6976295004279</v>
      </c>
      <c r="K199" s="153">
        <f>IF('Monthly Cash Flow'!$C$88="Lender Draw",HLOOKUP(F199,'Monthly Cash Flow'!$D$79:$CP$88,10),0)</f>
        <v>0</v>
      </c>
      <c r="L199" s="83">
        <f t="shared" si="28"/>
        <v>3546100.5175128807</v>
      </c>
      <c r="R199" s="86">
        <v>198</v>
      </c>
      <c r="S199" s="517" t="e">
        <f t="shared" ca="1" si="31"/>
        <v>#N/A</v>
      </c>
      <c r="T199" s="517" t="e">
        <f t="shared" ca="1" si="29"/>
        <v>#N/A</v>
      </c>
      <c r="U199" s="517" t="e">
        <f ca="1">-IF(AND($P$5="No",HLOOKUP('Loan Summary'!$R199,'Monthly Cash Flow'!$D$6:$CP$76,63,FALSE)&gt;T199),T199,(HLOOKUP('Loan Summary'!$R199,'Monthly Cash Flow'!$D$6:$CP$76,63,FALSE)))</f>
        <v>#N/A</v>
      </c>
      <c r="V199" s="517">
        <f>IF('Loan Summary'!R199=Assumptions!$AD$3,Assumptions!$AD$25,0)</f>
        <v>0</v>
      </c>
      <c r="W199" s="517" t="e">
        <f t="shared" ca="1" si="30"/>
        <v>#N/A</v>
      </c>
    </row>
    <row r="200" spans="6:23">
      <c r="F200" s="86">
        <v>199</v>
      </c>
      <c r="G200" s="85">
        <f t="shared" si="26"/>
        <v>3546100.5175128807</v>
      </c>
      <c r="H200" s="85">
        <f t="shared" si="24"/>
        <v>21236.394865569677</v>
      </c>
      <c r="I200" s="85">
        <f t="shared" si="25"/>
        <v>16252.960705267371</v>
      </c>
      <c r="J200" s="85">
        <f t="shared" si="27"/>
        <v>4983.4341603023058</v>
      </c>
      <c r="K200" s="153">
        <f>IF('Monthly Cash Flow'!$C$88="Lender Draw",HLOOKUP(F200,'Monthly Cash Flow'!$D$79:$CP$88,10),0)</f>
        <v>0</v>
      </c>
      <c r="L200" s="83">
        <f t="shared" si="28"/>
        <v>3541117.0833525783</v>
      </c>
      <c r="R200" s="86">
        <v>199</v>
      </c>
      <c r="S200" s="517" t="e">
        <f t="shared" ca="1" si="31"/>
        <v>#N/A</v>
      </c>
      <c r="T200" s="517" t="e">
        <f t="shared" ca="1" si="29"/>
        <v>#N/A</v>
      </c>
      <c r="U200" s="517" t="e">
        <f ca="1">-IF(AND($P$5="No",HLOOKUP('Loan Summary'!$R200,'Monthly Cash Flow'!$D$6:$CP$76,63,FALSE)&gt;T200),T200,(HLOOKUP('Loan Summary'!$R200,'Monthly Cash Flow'!$D$6:$CP$76,63,FALSE)))</f>
        <v>#N/A</v>
      </c>
      <c r="V200" s="517">
        <f>IF('Loan Summary'!R200=Assumptions!$AD$3,Assumptions!$AD$25,0)</f>
        <v>0</v>
      </c>
      <c r="W200" s="517" t="e">
        <f t="shared" ca="1" si="30"/>
        <v>#N/A</v>
      </c>
    </row>
    <row r="201" spans="6:23">
      <c r="F201" s="86">
        <v>200</v>
      </c>
      <c r="G201" s="85">
        <f t="shared" si="26"/>
        <v>3541117.0833525783</v>
      </c>
      <c r="H201" s="85">
        <f t="shared" si="24"/>
        <v>21236.394865569677</v>
      </c>
      <c r="I201" s="85">
        <f t="shared" si="25"/>
        <v>16230.119965365984</v>
      </c>
      <c r="J201" s="85">
        <f t="shared" si="27"/>
        <v>5006.2749002036926</v>
      </c>
      <c r="K201" s="153">
        <f>IF('Monthly Cash Flow'!$C$88="Lender Draw",HLOOKUP(F201,'Monthly Cash Flow'!$D$79:$CP$88,10),0)</f>
        <v>0</v>
      </c>
      <c r="L201" s="83">
        <f t="shared" si="28"/>
        <v>3536110.8084523748</v>
      </c>
      <c r="R201" s="86">
        <v>200</v>
      </c>
      <c r="S201" s="517" t="e">
        <f t="shared" ca="1" si="31"/>
        <v>#N/A</v>
      </c>
      <c r="T201" s="517" t="e">
        <f t="shared" ca="1" si="29"/>
        <v>#N/A</v>
      </c>
      <c r="U201" s="517" t="e">
        <f ca="1">-IF(AND($P$5="No",HLOOKUP('Loan Summary'!$R201,'Monthly Cash Flow'!$D$6:$CP$76,63,FALSE)&gt;T201),T201,(HLOOKUP('Loan Summary'!$R201,'Monthly Cash Flow'!$D$6:$CP$76,63,FALSE)))</f>
        <v>#N/A</v>
      </c>
      <c r="V201" s="517">
        <f>IF('Loan Summary'!R201=Assumptions!$AD$3,Assumptions!$AD$25,0)</f>
        <v>0</v>
      </c>
      <c r="W201" s="517" t="e">
        <f t="shared" ca="1" si="30"/>
        <v>#N/A</v>
      </c>
    </row>
    <row r="202" spans="6:23">
      <c r="F202" s="86">
        <v>201</v>
      </c>
      <c r="G202" s="85">
        <f t="shared" si="26"/>
        <v>3536110.8084523748</v>
      </c>
      <c r="H202" s="85">
        <f t="shared" si="24"/>
        <v>21236.394865569677</v>
      </c>
      <c r="I202" s="85">
        <f t="shared" si="25"/>
        <v>16207.174538740052</v>
      </c>
      <c r="J202" s="85">
        <f t="shared" si="27"/>
        <v>5029.2203268296253</v>
      </c>
      <c r="K202" s="153">
        <f>IF('Monthly Cash Flow'!$C$88="Lender Draw",HLOOKUP(F202,'Monthly Cash Flow'!$D$79:$CP$88,10),0)</f>
        <v>0</v>
      </c>
      <c r="L202" s="83">
        <f t="shared" si="28"/>
        <v>3531081.5881255451</v>
      </c>
      <c r="R202" s="86">
        <v>201</v>
      </c>
      <c r="S202" s="517" t="e">
        <f t="shared" ca="1" si="31"/>
        <v>#N/A</v>
      </c>
      <c r="T202" s="517" t="e">
        <f t="shared" ca="1" si="29"/>
        <v>#N/A</v>
      </c>
      <c r="U202" s="517" t="e">
        <f ca="1">-IF(AND($P$5="No",HLOOKUP('Loan Summary'!$R202,'Monthly Cash Flow'!$D$6:$CP$76,63,FALSE)&gt;T202),T202,(HLOOKUP('Loan Summary'!$R202,'Monthly Cash Flow'!$D$6:$CP$76,63,FALSE)))</f>
        <v>#N/A</v>
      </c>
      <c r="V202" s="517">
        <f>IF('Loan Summary'!R202=Assumptions!$AD$3,Assumptions!$AD$25,0)</f>
        <v>0</v>
      </c>
      <c r="W202" s="517" t="e">
        <f t="shared" ca="1" si="30"/>
        <v>#N/A</v>
      </c>
    </row>
    <row r="203" spans="6:23">
      <c r="F203" s="86">
        <v>202</v>
      </c>
      <c r="G203" s="85">
        <f t="shared" si="26"/>
        <v>3531081.5881255451</v>
      </c>
      <c r="H203" s="85">
        <f t="shared" si="24"/>
        <v>21236.394865569677</v>
      </c>
      <c r="I203" s="85">
        <f t="shared" si="25"/>
        <v>16184.123945575415</v>
      </c>
      <c r="J203" s="85">
        <f t="shared" si="27"/>
        <v>5052.2709199942619</v>
      </c>
      <c r="K203" s="153">
        <f>IF('Monthly Cash Flow'!$C$88="Lender Draw",HLOOKUP(F203,'Monthly Cash Flow'!$D$79:$CP$88,10),0)</f>
        <v>0</v>
      </c>
      <c r="L203" s="83">
        <f t="shared" si="28"/>
        <v>3526029.3172055506</v>
      </c>
      <c r="R203" s="86">
        <v>202</v>
      </c>
      <c r="S203" s="517" t="e">
        <f t="shared" ca="1" si="31"/>
        <v>#N/A</v>
      </c>
      <c r="T203" s="517" t="e">
        <f t="shared" ca="1" si="29"/>
        <v>#N/A</v>
      </c>
      <c r="U203" s="517" t="e">
        <f ca="1">-IF(AND($P$5="No",HLOOKUP('Loan Summary'!$R203,'Monthly Cash Flow'!$D$6:$CP$76,63,FALSE)&gt;T203),T203,(HLOOKUP('Loan Summary'!$R203,'Monthly Cash Flow'!$D$6:$CP$76,63,FALSE)))</f>
        <v>#N/A</v>
      </c>
      <c r="V203" s="517">
        <f>IF('Loan Summary'!R203=Assumptions!$AD$3,Assumptions!$AD$25,0)</f>
        <v>0</v>
      </c>
      <c r="W203" s="517" t="e">
        <f t="shared" ca="1" si="30"/>
        <v>#N/A</v>
      </c>
    </row>
    <row r="204" spans="6:23">
      <c r="F204" s="86">
        <v>203</v>
      </c>
      <c r="G204" s="85">
        <f t="shared" si="26"/>
        <v>3526029.3172055506</v>
      </c>
      <c r="H204" s="85">
        <f t="shared" si="24"/>
        <v>21236.394865569677</v>
      </c>
      <c r="I204" s="85">
        <f t="shared" si="25"/>
        <v>16160.967703858774</v>
      </c>
      <c r="J204" s="85">
        <f t="shared" si="27"/>
        <v>5075.4271617109025</v>
      </c>
      <c r="K204" s="153">
        <f>IF('Monthly Cash Flow'!$C$88="Lender Draw",HLOOKUP(F204,'Monthly Cash Flow'!$D$79:$CP$88,10),0)</f>
        <v>0</v>
      </c>
      <c r="L204" s="83">
        <f t="shared" si="28"/>
        <v>3520953.8900438398</v>
      </c>
      <c r="R204" s="86">
        <v>203</v>
      </c>
      <c r="S204" s="517" t="e">
        <f t="shared" ca="1" si="31"/>
        <v>#N/A</v>
      </c>
      <c r="T204" s="517" t="e">
        <f t="shared" ca="1" si="29"/>
        <v>#N/A</v>
      </c>
      <c r="U204" s="517" t="e">
        <f ca="1">-IF(AND($P$5="No",HLOOKUP('Loan Summary'!$R204,'Monthly Cash Flow'!$D$6:$CP$76,63,FALSE)&gt;T204),T204,(HLOOKUP('Loan Summary'!$R204,'Monthly Cash Flow'!$D$6:$CP$76,63,FALSE)))</f>
        <v>#N/A</v>
      </c>
      <c r="V204" s="517">
        <f>IF('Loan Summary'!R204=Assumptions!$AD$3,Assumptions!$AD$25,0)</f>
        <v>0</v>
      </c>
      <c r="W204" s="517" t="e">
        <f t="shared" ca="1" si="30"/>
        <v>#N/A</v>
      </c>
    </row>
    <row r="205" spans="6:23">
      <c r="F205" s="86">
        <v>204</v>
      </c>
      <c r="G205" s="85">
        <f t="shared" si="26"/>
        <v>3520953.8900438398</v>
      </c>
      <c r="H205" s="85">
        <f t="shared" si="24"/>
        <v>21236.394865569677</v>
      </c>
      <c r="I205" s="85">
        <f t="shared" si="25"/>
        <v>16137.7053293676</v>
      </c>
      <c r="J205" s="85">
        <f t="shared" si="27"/>
        <v>5098.6895362020769</v>
      </c>
      <c r="K205" s="153">
        <f>IF('Monthly Cash Flow'!$C$88="Lender Draw",HLOOKUP(F205,'Monthly Cash Flow'!$D$79:$CP$88,10),0)</f>
        <v>0</v>
      </c>
      <c r="L205" s="83">
        <f t="shared" si="28"/>
        <v>3515855.2005076376</v>
      </c>
      <c r="R205" s="86">
        <v>204</v>
      </c>
      <c r="S205" s="517" t="e">
        <f t="shared" ca="1" si="31"/>
        <v>#N/A</v>
      </c>
      <c r="T205" s="517" t="e">
        <f t="shared" ca="1" si="29"/>
        <v>#N/A</v>
      </c>
      <c r="U205" s="517" t="e">
        <f ca="1">-IF(AND($P$5="No",HLOOKUP('Loan Summary'!$R205,'Monthly Cash Flow'!$D$6:$CP$76,63,FALSE)&gt;T205),T205,(HLOOKUP('Loan Summary'!$R205,'Monthly Cash Flow'!$D$6:$CP$76,63,FALSE)))</f>
        <v>#N/A</v>
      </c>
      <c r="V205" s="517">
        <f>IF('Loan Summary'!R205=Assumptions!$AD$3,Assumptions!$AD$25,0)</f>
        <v>0</v>
      </c>
      <c r="W205" s="517" t="e">
        <f t="shared" ca="1" si="30"/>
        <v>#N/A</v>
      </c>
    </row>
    <row r="206" spans="6:23">
      <c r="F206" s="86">
        <v>205</v>
      </c>
      <c r="G206" s="85">
        <f t="shared" si="26"/>
        <v>3515855.2005076376</v>
      </c>
      <c r="H206" s="85">
        <f t="shared" si="24"/>
        <v>21236.394865569677</v>
      </c>
      <c r="I206" s="85">
        <f t="shared" si="25"/>
        <v>16114.336335660006</v>
      </c>
      <c r="J206" s="85">
        <f t="shared" si="27"/>
        <v>5122.0585299096711</v>
      </c>
      <c r="K206" s="153">
        <f>IF('Monthly Cash Flow'!$C$88="Lender Draw",HLOOKUP(F206,'Monthly Cash Flow'!$D$79:$CP$88,10),0)</f>
        <v>0</v>
      </c>
      <c r="L206" s="83">
        <f t="shared" si="28"/>
        <v>3510733.1419777279</v>
      </c>
      <c r="R206" s="86">
        <v>205</v>
      </c>
      <c r="S206" s="517" t="e">
        <f t="shared" ca="1" si="31"/>
        <v>#N/A</v>
      </c>
      <c r="T206" s="517" t="e">
        <f t="shared" ca="1" si="29"/>
        <v>#N/A</v>
      </c>
      <c r="U206" s="517" t="e">
        <f ca="1">-IF(AND($P$5="No",HLOOKUP('Loan Summary'!$R206,'Monthly Cash Flow'!$D$6:$CP$76,63,FALSE)&gt;T206),T206,(HLOOKUP('Loan Summary'!$R206,'Monthly Cash Flow'!$D$6:$CP$76,63,FALSE)))</f>
        <v>#N/A</v>
      </c>
      <c r="V206" s="517">
        <f>IF('Loan Summary'!R206=Assumptions!$AD$3,Assumptions!$AD$25,0)</f>
        <v>0</v>
      </c>
      <c r="W206" s="517" t="e">
        <f t="shared" ca="1" si="30"/>
        <v>#N/A</v>
      </c>
    </row>
    <row r="207" spans="6:23">
      <c r="F207" s="86">
        <v>206</v>
      </c>
      <c r="G207" s="85">
        <f t="shared" si="26"/>
        <v>3510733.1419777279</v>
      </c>
      <c r="H207" s="85">
        <f t="shared" si="24"/>
        <v>21236.394865569677</v>
      </c>
      <c r="I207" s="85">
        <f t="shared" si="25"/>
        <v>16090.860234064587</v>
      </c>
      <c r="J207" s="85">
        <f t="shared" si="27"/>
        <v>5145.5346315050901</v>
      </c>
      <c r="K207" s="153">
        <f>IF('Monthly Cash Flow'!$C$88="Lender Draw",HLOOKUP(F207,'Monthly Cash Flow'!$D$79:$CP$88,10),0)</f>
        <v>0</v>
      </c>
      <c r="L207" s="83">
        <f t="shared" si="28"/>
        <v>3505587.6073462227</v>
      </c>
      <c r="R207" s="86">
        <v>206</v>
      </c>
      <c r="S207" s="517" t="e">
        <f t="shared" ca="1" si="31"/>
        <v>#N/A</v>
      </c>
      <c r="T207" s="517" t="e">
        <f t="shared" ca="1" si="29"/>
        <v>#N/A</v>
      </c>
      <c r="U207" s="517" t="e">
        <f ca="1">-IF(AND($P$5="No",HLOOKUP('Loan Summary'!$R207,'Monthly Cash Flow'!$D$6:$CP$76,63,FALSE)&gt;T207),T207,(HLOOKUP('Loan Summary'!$R207,'Monthly Cash Flow'!$D$6:$CP$76,63,FALSE)))</f>
        <v>#N/A</v>
      </c>
      <c r="V207" s="517">
        <f>IF('Loan Summary'!R207=Assumptions!$AD$3,Assumptions!$AD$25,0)</f>
        <v>0</v>
      </c>
      <c r="W207" s="517" t="e">
        <f t="shared" ca="1" si="30"/>
        <v>#N/A</v>
      </c>
    </row>
    <row r="208" spans="6:23">
      <c r="F208" s="86">
        <v>207</v>
      </c>
      <c r="G208" s="85">
        <f t="shared" si="26"/>
        <v>3505587.6073462227</v>
      </c>
      <c r="H208" s="85">
        <f t="shared" si="24"/>
        <v>21236.394865569677</v>
      </c>
      <c r="I208" s="85">
        <f t="shared" si="25"/>
        <v>16067.276533670187</v>
      </c>
      <c r="J208" s="85">
        <f t="shared" si="27"/>
        <v>5169.1183318994899</v>
      </c>
      <c r="K208" s="153">
        <f>IF('Monthly Cash Flow'!$C$88="Lender Draw",HLOOKUP(F208,'Monthly Cash Flow'!$D$79:$CP$88,10),0)</f>
        <v>0</v>
      </c>
      <c r="L208" s="83">
        <f t="shared" si="28"/>
        <v>3500418.4890143233</v>
      </c>
      <c r="R208" s="86">
        <v>207</v>
      </c>
      <c r="S208" s="517" t="e">
        <f t="shared" ca="1" si="31"/>
        <v>#N/A</v>
      </c>
      <c r="T208" s="517" t="e">
        <f t="shared" ca="1" si="29"/>
        <v>#N/A</v>
      </c>
      <c r="U208" s="517" t="e">
        <f ca="1">-IF(AND($P$5="No",HLOOKUP('Loan Summary'!$R208,'Monthly Cash Flow'!$D$6:$CP$76,63,FALSE)&gt;T208),T208,(HLOOKUP('Loan Summary'!$R208,'Monthly Cash Flow'!$D$6:$CP$76,63,FALSE)))</f>
        <v>#N/A</v>
      </c>
      <c r="V208" s="517">
        <f>IF('Loan Summary'!R208=Assumptions!$AD$3,Assumptions!$AD$25,0)</f>
        <v>0</v>
      </c>
      <c r="W208" s="517" t="e">
        <f t="shared" ca="1" si="30"/>
        <v>#N/A</v>
      </c>
    </row>
    <row r="209" spans="6:23">
      <c r="F209" s="86">
        <v>208</v>
      </c>
      <c r="G209" s="85">
        <f t="shared" si="26"/>
        <v>3500418.4890143233</v>
      </c>
      <c r="H209" s="85">
        <f t="shared" si="24"/>
        <v>21236.394865569677</v>
      </c>
      <c r="I209" s="85">
        <f t="shared" si="25"/>
        <v>16043.584741315648</v>
      </c>
      <c r="J209" s="85">
        <f t="shared" si="27"/>
        <v>5192.8101242540288</v>
      </c>
      <c r="K209" s="153">
        <f>IF('Monthly Cash Flow'!$C$88="Lender Draw",HLOOKUP(F209,'Monthly Cash Flow'!$D$79:$CP$88,10),0)</f>
        <v>0</v>
      </c>
      <c r="L209" s="83">
        <f t="shared" si="28"/>
        <v>3495225.6788900695</v>
      </c>
      <c r="R209" s="86">
        <v>208</v>
      </c>
      <c r="S209" s="517" t="e">
        <f t="shared" ca="1" si="31"/>
        <v>#N/A</v>
      </c>
      <c r="T209" s="517" t="e">
        <f t="shared" ca="1" si="29"/>
        <v>#N/A</v>
      </c>
      <c r="U209" s="517" t="e">
        <f ca="1">-IF(AND($P$5="No",HLOOKUP('Loan Summary'!$R209,'Monthly Cash Flow'!$D$6:$CP$76,63,FALSE)&gt;T209),T209,(HLOOKUP('Loan Summary'!$R209,'Monthly Cash Flow'!$D$6:$CP$76,63,FALSE)))</f>
        <v>#N/A</v>
      </c>
      <c r="V209" s="517">
        <f>IF('Loan Summary'!R209=Assumptions!$AD$3,Assumptions!$AD$25,0)</f>
        <v>0</v>
      </c>
      <c r="W209" s="517" t="e">
        <f t="shared" ca="1" si="30"/>
        <v>#N/A</v>
      </c>
    </row>
    <row r="210" spans="6:23">
      <c r="F210" s="86">
        <v>209</v>
      </c>
      <c r="G210" s="85">
        <f t="shared" si="26"/>
        <v>3495225.6788900695</v>
      </c>
      <c r="H210" s="85">
        <f t="shared" si="24"/>
        <v>21236.394865569677</v>
      </c>
      <c r="I210" s="85">
        <f t="shared" si="25"/>
        <v>16019.784361579485</v>
      </c>
      <c r="J210" s="85">
        <f t="shared" si="27"/>
        <v>5216.6105039901922</v>
      </c>
      <c r="K210" s="153">
        <f>IF('Monthly Cash Flow'!$C$88="Lender Draw",HLOOKUP(F210,'Monthly Cash Flow'!$D$79:$CP$88,10),0)</f>
        <v>0</v>
      </c>
      <c r="L210" s="83">
        <f t="shared" si="28"/>
        <v>3490009.0683860793</v>
      </c>
      <c r="R210" s="86">
        <v>209</v>
      </c>
      <c r="S210" s="517" t="e">
        <f t="shared" ca="1" si="31"/>
        <v>#N/A</v>
      </c>
      <c r="T210" s="517" t="e">
        <f t="shared" ca="1" si="29"/>
        <v>#N/A</v>
      </c>
      <c r="U210" s="517" t="e">
        <f ca="1">-IF(AND($P$5="No",HLOOKUP('Loan Summary'!$R210,'Monthly Cash Flow'!$D$6:$CP$76,63,FALSE)&gt;T210),T210,(HLOOKUP('Loan Summary'!$R210,'Monthly Cash Flow'!$D$6:$CP$76,63,FALSE)))</f>
        <v>#N/A</v>
      </c>
      <c r="V210" s="517">
        <f>IF('Loan Summary'!R210=Assumptions!$AD$3,Assumptions!$AD$25,0)</f>
        <v>0</v>
      </c>
      <c r="W210" s="517" t="e">
        <f t="shared" ca="1" si="30"/>
        <v>#N/A</v>
      </c>
    </row>
    <row r="211" spans="6:23">
      <c r="F211" s="86">
        <v>210</v>
      </c>
      <c r="G211" s="85">
        <f t="shared" si="26"/>
        <v>3490009.0683860793</v>
      </c>
      <c r="H211" s="85">
        <f t="shared" si="24"/>
        <v>21236.394865569677</v>
      </c>
      <c r="I211" s="85">
        <f t="shared" si="25"/>
        <v>15995.87489676953</v>
      </c>
      <c r="J211" s="85">
        <f t="shared" si="27"/>
        <v>5240.5199688001467</v>
      </c>
      <c r="K211" s="153">
        <f>IF('Monthly Cash Flow'!$C$88="Lender Draw",HLOOKUP(F211,'Monthly Cash Flow'!$D$79:$CP$88,10),0)</f>
        <v>0</v>
      </c>
      <c r="L211" s="83">
        <f t="shared" si="28"/>
        <v>3484768.548417279</v>
      </c>
      <c r="R211" s="86">
        <v>210</v>
      </c>
      <c r="S211" s="517" t="e">
        <f t="shared" ca="1" si="31"/>
        <v>#N/A</v>
      </c>
      <c r="T211" s="517" t="e">
        <f t="shared" ca="1" si="29"/>
        <v>#N/A</v>
      </c>
      <c r="U211" s="517" t="e">
        <f ca="1">-IF(AND($P$5="No",HLOOKUP('Loan Summary'!$R211,'Monthly Cash Flow'!$D$6:$CP$76,63,FALSE)&gt;T211),T211,(HLOOKUP('Loan Summary'!$R211,'Monthly Cash Flow'!$D$6:$CP$76,63,FALSE)))</f>
        <v>#N/A</v>
      </c>
      <c r="V211" s="517">
        <f>IF('Loan Summary'!R211=Assumptions!$AD$3,Assumptions!$AD$25,0)</f>
        <v>0</v>
      </c>
      <c r="W211" s="517" t="e">
        <f t="shared" ca="1" si="30"/>
        <v>#N/A</v>
      </c>
    </row>
    <row r="212" spans="6:23">
      <c r="F212" s="86">
        <v>211</v>
      </c>
      <c r="G212" s="85">
        <f t="shared" si="26"/>
        <v>3484768.548417279</v>
      </c>
      <c r="H212" s="85">
        <f t="shared" si="24"/>
        <v>21236.394865569677</v>
      </c>
      <c r="I212" s="85">
        <f t="shared" si="25"/>
        <v>15971.855846912529</v>
      </c>
      <c r="J212" s="85">
        <f t="shared" si="27"/>
        <v>5264.5390186571476</v>
      </c>
      <c r="K212" s="153">
        <f>IF('Monthly Cash Flow'!$C$88="Lender Draw",HLOOKUP(F212,'Monthly Cash Flow'!$D$79:$CP$88,10),0)</f>
        <v>0</v>
      </c>
      <c r="L212" s="83">
        <f t="shared" si="28"/>
        <v>3479504.009398622</v>
      </c>
      <c r="R212" s="86">
        <v>211</v>
      </c>
      <c r="S212" s="517" t="e">
        <f t="shared" ca="1" si="31"/>
        <v>#N/A</v>
      </c>
      <c r="T212" s="517" t="e">
        <f t="shared" ca="1" si="29"/>
        <v>#N/A</v>
      </c>
      <c r="U212" s="517" t="e">
        <f ca="1">-IF(AND($P$5="No",HLOOKUP('Loan Summary'!$R212,'Monthly Cash Flow'!$D$6:$CP$76,63,FALSE)&gt;T212),T212,(HLOOKUP('Loan Summary'!$R212,'Monthly Cash Flow'!$D$6:$CP$76,63,FALSE)))</f>
        <v>#N/A</v>
      </c>
      <c r="V212" s="517">
        <f>IF('Loan Summary'!R212=Assumptions!$AD$3,Assumptions!$AD$25,0)</f>
        <v>0</v>
      </c>
      <c r="W212" s="517" t="e">
        <f t="shared" ca="1" si="30"/>
        <v>#N/A</v>
      </c>
    </row>
    <row r="213" spans="6:23">
      <c r="F213" s="86">
        <v>212</v>
      </c>
      <c r="G213" s="85">
        <f t="shared" si="26"/>
        <v>3479504.009398622</v>
      </c>
      <c r="H213" s="85">
        <f t="shared" si="24"/>
        <v>21236.394865569677</v>
      </c>
      <c r="I213" s="85">
        <f t="shared" si="25"/>
        <v>15947.726709743683</v>
      </c>
      <c r="J213" s="85">
        <f t="shared" si="27"/>
        <v>5288.6681558259934</v>
      </c>
      <c r="K213" s="153">
        <f>IF('Monthly Cash Flow'!$C$88="Lender Draw",HLOOKUP(F213,'Monthly Cash Flow'!$D$79:$CP$88,10),0)</f>
        <v>0</v>
      </c>
      <c r="L213" s="83">
        <f t="shared" si="28"/>
        <v>3474215.3412427958</v>
      </c>
      <c r="R213" s="86">
        <v>212</v>
      </c>
      <c r="S213" s="517" t="e">
        <f t="shared" ca="1" si="31"/>
        <v>#N/A</v>
      </c>
      <c r="T213" s="517" t="e">
        <f t="shared" ca="1" si="29"/>
        <v>#N/A</v>
      </c>
      <c r="U213" s="517" t="e">
        <f ca="1">-IF(AND($P$5="No",HLOOKUP('Loan Summary'!$R213,'Monthly Cash Flow'!$D$6:$CP$76,63,FALSE)&gt;T213),T213,(HLOOKUP('Loan Summary'!$R213,'Monthly Cash Flow'!$D$6:$CP$76,63,FALSE)))</f>
        <v>#N/A</v>
      </c>
      <c r="V213" s="517">
        <f>IF('Loan Summary'!R213=Assumptions!$AD$3,Assumptions!$AD$25,0)</f>
        <v>0</v>
      </c>
      <c r="W213" s="517" t="e">
        <f t="shared" ca="1" si="30"/>
        <v>#N/A</v>
      </c>
    </row>
    <row r="214" spans="6:23">
      <c r="F214" s="86">
        <v>213</v>
      </c>
      <c r="G214" s="85">
        <f t="shared" si="26"/>
        <v>3474215.3412427958</v>
      </c>
      <c r="H214" s="85">
        <f t="shared" si="24"/>
        <v>21236.394865569677</v>
      </c>
      <c r="I214" s="85">
        <f t="shared" si="25"/>
        <v>15923.486980696147</v>
      </c>
      <c r="J214" s="85">
        <f t="shared" si="27"/>
        <v>5312.9078848735298</v>
      </c>
      <c r="K214" s="153">
        <f>IF('Monthly Cash Flow'!$C$88="Lender Draw",HLOOKUP(F214,'Monthly Cash Flow'!$D$79:$CP$88,10),0)</f>
        <v>0</v>
      </c>
      <c r="L214" s="83">
        <f t="shared" si="28"/>
        <v>3468902.4333579224</v>
      </c>
      <c r="R214" s="86">
        <v>213</v>
      </c>
      <c r="S214" s="517" t="e">
        <f t="shared" ca="1" si="31"/>
        <v>#N/A</v>
      </c>
      <c r="T214" s="517" t="e">
        <f t="shared" ca="1" si="29"/>
        <v>#N/A</v>
      </c>
      <c r="U214" s="517" t="e">
        <f ca="1">-IF(AND($P$5="No",HLOOKUP('Loan Summary'!$R214,'Monthly Cash Flow'!$D$6:$CP$76,63,FALSE)&gt;T214),T214,(HLOOKUP('Loan Summary'!$R214,'Monthly Cash Flow'!$D$6:$CP$76,63,FALSE)))</f>
        <v>#N/A</v>
      </c>
      <c r="V214" s="517">
        <f>IF('Loan Summary'!R214=Assumptions!$AD$3,Assumptions!$AD$25,0)</f>
        <v>0</v>
      </c>
      <c r="W214" s="517" t="e">
        <f t="shared" ca="1" si="30"/>
        <v>#N/A</v>
      </c>
    </row>
    <row r="215" spans="6:23">
      <c r="F215" s="86">
        <v>214</v>
      </c>
      <c r="G215" s="85">
        <f t="shared" si="26"/>
        <v>3468902.4333579224</v>
      </c>
      <c r="H215" s="85">
        <f t="shared" si="24"/>
        <v>21236.394865569677</v>
      </c>
      <c r="I215" s="85">
        <f t="shared" si="25"/>
        <v>15899.136152890478</v>
      </c>
      <c r="J215" s="85">
        <f t="shared" si="27"/>
        <v>5337.2587126791987</v>
      </c>
      <c r="K215" s="153">
        <f>IF('Monthly Cash Flow'!$C$88="Lender Draw",HLOOKUP(F215,'Monthly Cash Flow'!$D$79:$CP$88,10),0)</f>
        <v>0</v>
      </c>
      <c r="L215" s="83">
        <f t="shared" si="28"/>
        <v>3463565.1746452432</v>
      </c>
      <c r="R215" s="86">
        <v>214</v>
      </c>
      <c r="S215" s="517" t="e">
        <f t="shared" ca="1" si="31"/>
        <v>#N/A</v>
      </c>
      <c r="T215" s="517" t="e">
        <f t="shared" ca="1" si="29"/>
        <v>#N/A</v>
      </c>
      <c r="U215" s="517" t="e">
        <f ca="1">-IF(AND($P$5="No",HLOOKUP('Loan Summary'!$R215,'Monthly Cash Flow'!$D$6:$CP$76,63,FALSE)&gt;T215),T215,(HLOOKUP('Loan Summary'!$R215,'Monthly Cash Flow'!$D$6:$CP$76,63,FALSE)))</f>
        <v>#N/A</v>
      </c>
      <c r="V215" s="517">
        <f>IF('Loan Summary'!R215=Assumptions!$AD$3,Assumptions!$AD$25,0)</f>
        <v>0</v>
      </c>
      <c r="W215" s="517" t="e">
        <f t="shared" ca="1" si="30"/>
        <v>#N/A</v>
      </c>
    </row>
    <row r="216" spans="6:23">
      <c r="F216" s="86">
        <v>215</v>
      </c>
      <c r="G216" s="85">
        <f t="shared" si="26"/>
        <v>3463565.1746452432</v>
      </c>
      <c r="H216" s="85">
        <f t="shared" si="24"/>
        <v>21236.394865569677</v>
      </c>
      <c r="I216" s="85">
        <f t="shared" si="25"/>
        <v>15874.673717124031</v>
      </c>
      <c r="J216" s="85">
        <f t="shared" si="27"/>
        <v>5361.7211484456457</v>
      </c>
      <c r="K216" s="153">
        <f>IF('Monthly Cash Flow'!$C$88="Lender Draw",HLOOKUP(F216,'Monthly Cash Flow'!$D$79:$CP$88,10),0)</f>
        <v>0</v>
      </c>
      <c r="L216" s="83">
        <f t="shared" si="28"/>
        <v>3458203.4534967975</v>
      </c>
      <c r="R216" s="86">
        <v>215</v>
      </c>
      <c r="S216" s="517" t="e">
        <f t="shared" ca="1" si="31"/>
        <v>#N/A</v>
      </c>
      <c r="T216" s="517" t="e">
        <f t="shared" ca="1" si="29"/>
        <v>#N/A</v>
      </c>
      <c r="U216" s="517" t="e">
        <f ca="1">-IF(AND($P$5="No",HLOOKUP('Loan Summary'!$R216,'Monthly Cash Flow'!$D$6:$CP$76,63,FALSE)&gt;T216),T216,(HLOOKUP('Loan Summary'!$R216,'Monthly Cash Flow'!$D$6:$CP$76,63,FALSE)))</f>
        <v>#N/A</v>
      </c>
      <c r="V216" s="517">
        <f>IF('Loan Summary'!R216=Assumptions!$AD$3,Assumptions!$AD$25,0)</f>
        <v>0</v>
      </c>
      <c r="W216" s="517" t="e">
        <f t="shared" ca="1" si="30"/>
        <v>#N/A</v>
      </c>
    </row>
    <row r="217" spans="6:23">
      <c r="F217" s="86">
        <v>216</v>
      </c>
      <c r="G217" s="85">
        <f t="shared" si="26"/>
        <v>3458203.4534967975</v>
      </c>
      <c r="H217" s="85">
        <f t="shared" si="24"/>
        <v>21236.394865569677</v>
      </c>
      <c r="I217" s="85">
        <f t="shared" si="25"/>
        <v>15850.099161860322</v>
      </c>
      <c r="J217" s="85">
        <f t="shared" si="27"/>
        <v>5386.2957037093547</v>
      </c>
      <c r="K217" s="153">
        <f>IF('Monthly Cash Flow'!$C$88="Lender Draw",HLOOKUP(F217,'Monthly Cash Flow'!$D$79:$CP$88,10),0)</f>
        <v>0</v>
      </c>
      <c r="L217" s="83">
        <f t="shared" si="28"/>
        <v>3452817.1577930884</v>
      </c>
      <c r="R217" s="86">
        <v>216</v>
      </c>
      <c r="S217" s="517" t="e">
        <f t="shared" ca="1" si="31"/>
        <v>#N/A</v>
      </c>
      <c r="T217" s="517" t="e">
        <f t="shared" ca="1" si="29"/>
        <v>#N/A</v>
      </c>
      <c r="U217" s="517" t="e">
        <f ca="1">-IF(AND($P$5="No",HLOOKUP('Loan Summary'!$R217,'Monthly Cash Flow'!$D$6:$CP$76,63,FALSE)&gt;T217),T217,(HLOOKUP('Loan Summary'!$R217,'Monthly Cash Flow'!$D$6:$CP$76,63,FALSE)))</f>
        <v>#N/A</v>
      </c>
      <c r="V217" s="517">
        <f>IF('Loan Summary'!R217=Assumptions!$AD$3,Assumptions!$AD$25,0)</f>
        <v>0</v>
      </c>
      <c r="W217" s="517" t="e">
        <f t="shared" ca="1" si="30"/>
        <v>#N/A</v>
      </c>
    </row>
    <row r="218" spans="6:23">
      <c r="F218" s="86">
        <v>217</v>
      </c>
      <c r="G218" s="85">
        <f t="shared" si="26"/>
        <v>3452817.1577930884</v>
      </c>
      <c r="H218" s="85">
        <f t="shared" si="24"/>
        <v>21236.394865569677</v>
      </c>
      <c r="I218" s="85">
        <f t="shared" si="25"/>
        <v>15825.411973218321</v>
      </c>
      <c r="J218" s="85">
        <f t="shared" si="27"/>
        <v>5410.982892351356</v>
      </c>
      <c r="K218" s="153">
        <f>IF('Monthly Cash Flow'!$C$88="Lender Draw",HLOOKUP(F218,'Monthly Cash Flow'!$D$79:$CP$88,10),0)</f>
        <v>0</v>
      </c>
      <c r="L218" s="83">
        <f t="shared" si="28"/>
        <v>3447406.1749007371</v>
      </c>
      <c r="R218" s="86">
        <v>217</v>
      </c>
      <c r="S218" s="517" t="e">
        <f t="shared" ca="1" si="31"/>
        <v>#N/A</v>
      </c>
      <c r="T218" s="517" t="e">
        <f t="shared" ca="1" si="29"/>
        <v>#N/A</v>
      </c>
      <c r="U218" s="517" t="e">
        <f ca="1">-IF(AND($P$5="No",HLOOKUP('Loan Summary'!$R218,'Monthly Cash Flow'!$D$6:$CP$76,63,FALSE)&gt;T218),T218,(HLOOKUP('Loan Summary'!$R218,'Monthly Cash Flow'!$D$6:$CP$76,63,FALSE)))</f>
        <v>#N/A</v>
      </c>
      <c r="V218" s="517">
        <f>IF('Loan Summary'!R218=Assumptions!$AD$3,Assumptions!$AD$25,0)</f>
        <v>0</v>
      </c>
      <c r="W218" s="517" t="e">
        <f t="shared" ca="1" si="30"/>
        <v>#N/A</v>
      </c>
    </row>
    <row r="219" spans="6:23">
      <c r="F219" s="86">
        <v>218</v>
      </c>
      <c r="G219" s="85">
        <f t="shared" si="26"/>
        <v>3447406.1749007371</v>
      </c>
      <c r="H219" s="85">
        <f t="shared" si="24"/>
        <v>21236.394865569677</v>
      </c>
      <c r="I219" s="85">
        <f t="shared" si="25"/>
        <v>15800.611634961711</v>
      </c>
      <c r="J219" s="85">
        <f t="shared" si="27"/>
        <v>5435.7832306079654</v>
      </c>
      <c r="K219" s="153">
        <f>IF('Monthly Cash Flow'!$C$88="Lender Draw",HLOOKUP(F219,'Monthly Cash Flow'!$D$79:$CP$88,10),0)</f>
        <v>0</v>
      </c>
      <c r="L219" s="83">
        <f t="shared" si="28"/>
        <v>3441970.3916701293</v>
      </c>
      <c r="R219" s="86">
        <v>218</v>
      </c>
      <c r="S219" s="517" t="e">
        <f t="shared" ca="1" si="31"/>
        <v>#N/A</v>
      </c>
      <c r="T219" s="517" t="e">
        <f t="shared" ca="1" si="29"/>
        <v>#N/A</v>
      </c>
      <c r="U219" s="517" t="e">
        <f ca="1">-IF(AND($P$5="No",HLOOKUP('Loan Summary'!$R219,'Monthly Cash Flow'!$D$6:$CP$76,63,FALSE)&gt;T219),T219,(HLOOKUP('Loan Summary'!$R219,'Monthly Cash Flow'!$D$6:$CP$76,63,FALSE)))</f>
        <v>#N/A</v>
      </c>
      <c r="V219" s="517">
        <f>IF('Loan Summary'!R219=Assumptions!$AD$3,Assumptions!$AD$25,0)</f>
        <v>0</v>
      </c>
      <c r="W219" s="517" t="e">
        <f t="shared" ca="1" si="30"/>
        <v>#N/A</v>
      </c>
    </row>
    <row r="220" spans="6:23">
      <c r="F220" s="86">
        <v>219</v>
      </c>
      <c r="G220" s="85">
        <f t="shared" si="26"/>
        <v>3441970.3916701293</v>
      </c>
      <c r="H220" s="85">
        <f t="shared" si="24"/>
        <v>21236.394865569677</v>
      </c>
      <c r="I220" s="85">
        <f t="shared" si="25"/>
        <v>15775.697628488093</v>
      </c>
      <c r="J220" s="85">
        <f t="shared" si="27"/>
        <v>5460.6972370815838</v>
      </c>
      <c r="K220" s="153">
        <f>IF('Monthly Cash Flow'!$C$88="Lender Draw",HLOOKUP(F220,'Monthly Cash Flow'!$D$79:$CP$88,10),0)</f>
        <v>0</v>
      </c>
      <c r="L220" s="83">
        <f t="shared" si="28"/>
        <v>3436509.6944330479</v>
      </c>
      <c r="R220" s="86">
        <v>219</v>
      </c>
      <c r="S220" s="517" t="e">
        <f t="shared" ca="1" si="31"/>
        <v>#N/A</v>
      </c>
      <c r="T220" s="517" t="e">
        <f t="shared" ca="1" si="29"/>
        <v>#N/A</v>
      </c>
      <c r="U220" s="517" t="e">
        <f ca="1">-IF(AND($P$5="No",HLOOKUP('Loan Summary'!$R220,'Monthly Cash Flow'!$D$6:$CP$76,63,FALSE)&gt;T220),T220,(HLOOKUP('Loan Summary'!$R220,'Monthly Cash Flow'!$D$6:$CP$76,63,FALSE)))</f>
        <v>#N/A</v>
      </c>
      <c r="V220" s="517">
        <f>IF('Loan Summary'!R220=Assumptions!$AD$3,Assumptions!$AD$25,0)</f>
        <v>0</v>
      </c>
      <c r="W220" s="517" t="e">
        <f t="shared" ca="1" si="30"/>
        <v>#N/A</v>
      </c>
    </row>
    <row r="221" spans="6:23">
      <c r="F221" s="86">
        <v>220</v>
      </c>
      <c r="G221" s="85">
        <f t="shared" si="26"/>
        <v>3436509.6944330479</v>
      </c>
      <c r="H221" s="85">
        <f t="shared" si="24"/>
        <v>21236.394865569677</v>
      </c>
      <c r="I221" s="85">
        <f t="shared" si="25"/>
        <v>15750.669432818137</v>
      </c>
      <c r="J221" s="85">
        <f t="shared" si="27"/>
        <v>5485.7254327515402</v>
      </c>
      <c r="K221" s="153">
        <f>IF('Monthly Cash Flow'!$C$88="Lender Draw",HLOOKUP(F221,'Monthly Cash Flow'!$D$79:$CP$88,10),0)</f>
        <v>0</v>
      </c>
      <c r="L221" s="83">
        <f t="shared" si="28"/>
        <v>3431023.9690002962</v>
      </c>
      <c r="R221" s="86">
        <v>220</v>
      </c>
      <c r="S221" s="517" t="e">
        <f t="shared" ca="1" si="31"/>
        <v>#N/A</v>
      </c>
      <c r="T221" s="517" t="e">
        <f t="shared" ca="1" si="29"/>
        <v>#N/A</v>
      </c>
      <c r="U221" s="517" t="e">
        <f ca="1">-IF(AND($P$5="No",HLOOKUP('Loan Summary'!$R221,'Monthly Cash Flow'!$D$6:$CP$76,63,FALSE)&gt;T221),T221,(HLOOKUP('Loan Summary'!$R221,'Monthly Cash Flow'!$D$6:$CP$76,63,FALSE)))</f>
        <v>#N/A</v>
      </c>
      <c r="V221" s="517">
        <f>IF('Loan Summary'!R221=Assumptions!$AD$3,Assumptions!$AD$25,0)</f>
        <v>0</v>
      </c>
      <c r="W221" s="517" t="e">
        <f t="shared" ca="1" si="30"/>
        <v>#N/A</v>
      </c>
    </row>
    <row r="222" spans="6:23">
      <c r="F222" s="86">
        <v>221</v>
      </c>
      <c r="G222" s="85">
        <f t="shared" si="26"/>
        <v>3431023.9690002962</v>
      </c>
      <c r="H222" s="85">
        <f t="shared" si="24"/>
        <v>21236.394865569677</v>
      </c>
      <c r="I222" s="85">
        <f t="shared" si="25"/>
        <v>15725.526524584691</v>
      </c>
      <c r="J222" s="85">
        <f t="shared" si="27"/>
        <v>5510.8683409849855</v>
      </c>
      <c r="K222" s="153">
        <f>IF('Monthly Cash Flow'!$C$88="Lender Draw",HLOOKUP(F222,'Monthly Cash Flow'!$D$79:$CP$88,10),0)</f>
        <v>0</v>
      </c>
      <c r="L222" s="83">
        <f t="shared" si="28"/>
        <v>3425513.1006593113</v>
      </c>
      <c r="R222" s="86">
        <v>221</v>
      </c>
      <c r="S222" s="517" t="e">
        <f t="shared" ca="1" si="31"/>
        <v>#N/A</v>
      </c>
      <c r="T222" s="517" t="e">
        <f t="shared" ca="1" si="29"/>
        <v>#N/A</v>
      </c>
      <c r="U222" s="517" t="e">
        <f ca="1">-IF(AND($P$5="No",HLOOKUP('Loan Summary'!$R222,'Monthly Cash Flow'!$D$6:$CP$76,63,FALSE)&gt;T222),T222,(HLOOKUP('Loan Summary'!$R222,'Monthly Cash Flow'!$D$6:$CP$76,63,FALSE)))</f>
        <v>#N/A</v>
      </c>
      <c r="V222" s="517">
        <f>IF('Loan Summary'!R222=Assumptions!$AD$3,Assumptions!$AD$25,0)</f>
        <v>0</v>
      </c>
      <c r="W222" s="517" t="e">
        <f t="shared" ca="1" si="30"/>
        <v>#N/A</v>
      </c>
    </row>
    <row r="223" spans="6:23">
      <c r="F223" s="86">
        <v>222</v>
      </c>
      <c r="G223" s="85">
        <f t="shared" si="26"/>
        <v>3425513.1006593113</v>
      </c>
      <c r="H223" s="85">
        <f t="shared" si="24"/>
        <v>21236.394865569677</v>
      </c>
      <c r="I223" s="85">
        <f t="shared" si="25"/>
        <v>15700.268378021843</v>
      </c>
      <c r="J223" s="85">
        <f t="shared" si="27"/>
        <v>5536.1264875478337</v>
      </c>
      <c r="K223" s="153">
        <f>IF('Monthly Cash Flow'!$C$88="Lender Draw",HLOOKUP(F223,'Monthly Cash Flow'!$D$79:$CP$88,10),0)</f>
        <v>0</v>
      </c>
      <c r="L223" s="83">
        <f t="shared" si="28"/>
        <v>3419976.9741717633</v>
      </c>
      <c r="R223" s="86">
        <v>222</v>
      </c>
      <c r="S223" s="517" t="e">
        <f t="shared" ca="1" si="31"/>
        <v>#N/A</v>
      </c>
      <c r="T223" s="517" t="e">
        <f t="shared" ca="1" si="29"/>
        <v>#N/A</v>
      </c>
      <c r="U223" s="517" t="e">
        <f ca="1">-IF(AND($P$5="No",HLOOKUP('Loan Summary'!$R223,'Monthly Cash Flow'!$D$6:$CP$76,63,FALSE)&gt;T223),T223,(HLOOKUP('Loan Summary'!$R223,'Monthly Cash Flow'!$D$6:$CP$76,63,FALSE)))</f>
        <v>#N/A</v>
      </c>
      <c r="V223" s="517">
        <f>IF('Loan Summary'!R223=Assumptions!$AD$3,Assumptions!$AD$25,0)</f>
        <v>0</v>
      </c>
      <c r="W223" s="517" t="e">
        <f t="shared" ca="1" si="30"/>
        <v>#N/A</v>
      </c>
    </row>
    <row r="224" spans="6:23">
      <c r="F224" s="86">
        <v>223</v>
      </c>
      <c r="G224" s="85">
        <f t="shared" si="26"/>
        <v>3419976.9741717633</v>
      </c>
      <c r="H224" s="85">
        <f t="shared" si="24"/>
        <v>21236.394865569677</v>
      </c>
      <c r="I224" s="85">
        <f t="shared" si="25"/>
        <v>15674.894464953915</v>
      </c>
      <c r="J224" s="85">
        <f t="shared" si="27"/>
        <v>5561.5004006157615</v>
      </c>
      <c r="K224" s="153">
        <f>IF('Monthly Cash Flow'!$C$88="Lender Draw",HLOOKUP(F224,'Monthly Cash Flow'!$D$79:$CP$88,10),0)</f>
        <v>0</v>
      </c>
      <c r="L224" s="83">
        <f t="shared" si="28"/>
        <v>3414415.4737711474</v>
      </c>
      <c r="R224" s="86">
        <v>223</v>
      </c>
      <c r="S224" s="517" t="e">
        <f t="shared" ca="1" si="31"/>
        <v>#N/A</v>
      </c>
      <c r="T224" s="517" t="e">
        <f t="shared" ca="1" si="29"/>
        <v>#N/A</v>
      </c>
      <c r="U224" s="517" t="e">
        <f ca="1">-IF(AND($P$5="No",HLOOKUP('Loan Summary'!$R224,'Monthly Cash Flow'!$D$6:$CP$76,63,FALSE)&gt;T224),T224,(HLOOKUP('Loan Summary'!$R224,'Monthly Cash Flow'!$D$6:$CP$76,63,FALSE)))</f>
        <v>#N/A</v>
      </c>
      <c r="V224" s="517">
        <f>IF('Loan Summary'!R224=Assumptions!$AD$3,Assumptions!$AD$25,0)</f>
        <v>0</v>
      </c>
      <c r="W224" s="517" t="e">
        <f t="shared" ca="1" si="30"/>
        <v>#N/A</v>
      </c>
    </row>
    <row r="225" spans="6:23">
      <c r="F225" s="86">
        <v>224</v>
      </c>
      <c r="G225" s="85">
        <f t="shared" si="26"/>
        <v>3414415.4737711474</v>
      </c>
      <c r="H225" s="85">
        <f t="shared" si="24"/>
        <v>21236.394865569677</v>
      </c>
      <c r="I225" s="85">
        <f t="shared" si="25"/>
        <v>15649.404254784426</v>
      </c>
      <c r="J225" s="85">
        <f t="shared" si="27"/>
        <v>5586.9906107852512</v>
      </c>
      <c r="K225" s="153">
        <f>IF('Monthly Cash Flow'!$C$88="Lender Draw",HLOOKUP(F225,'Monthly Cash Flow'!$D$79:$CP$88,10),0)</f>
        <v>0</v>
      </c>
      <c r="L225" s="83">
        <f t="shared" si="28"/>
        <v>3408828.4831603621</v>
      </c>
      <c r="R225" s="86">
        <v>224</v>
      </c>
      <c r="S225" s="517" t="e">
        <f t="shared" ca="1" si="31"/>
        <v>#N/A</v>
      </c>
      <c r="T225" s="517" t="e">
        <f t="shared" ca="1" si="29"/>
        <v>#N/A</v>
      </c>
      <c r="U225" s="517" t="e">
        <f ca="1">-IF(AND($P$5="No",HLOOKUP('Loan Summary'!$R225,'Monthly Cash Flow'!$D$6:$CP$76,63,FALSE)&gt;T225),T225,(HLOOKUP('Loan Summary'!$R225,'Monthly Cash Flow'!$D$6:$CP$76,63,FALSE)))</f>
        <v>#N/A</v>
      </c>
      <c r="V225" s="517">
        <f>IF('Loan Summary'!R225=Assumptions!$AD$3,Assumptions!$AD$25,0)</f>
        <v>0</v>
      </c>
      <c r="W225" s="517" t="e">
        <f t="shared" ca="1" si="30"/>
        <v>#N/A</v>
      </c>
    </row>
    <row r="226" spans="6:23">
      <c r="F226" s="86">
        <v>225</v>
      </c>
      <c r="G226" s="85">
        <f t="shared" si="26"/>
        <v>3408828.4831603621</v>
      </c>
      <c r="H226" s="85">
        <f t="shared" si="24"/>
        <v>21236.394865569677</v>
      </c>
      <c r="I226" s="85">
        <f t="shared" si="25"/>
        <v>15623.797214484994</v>
      </c>
      <c r="J226" s="85">
        <f t="shared" si="27"/>
        <v>5612.5976510846831</v>
      </c>
      <c r="K226" s="153">
        <f>IF('Monthly Cash Flow'!$C$88="Lender Draw",HLOOKUP(F226,'Monthly Cash Flow'!$D$79:$CP$88,10),0)</f>
        <v>0</v>
      </c>
      <c r="L226" s="83">
        <f t="shared" si="28"/>
        <v>3403215.8855092772</v>
      </c>
      <c r="R226" s="86">
        <v>225</v>
      </c>
      <c r="S226" s="517" t="e">
        <f t="shared" ca="1" si="31"/>
        <v>#N/A</v>
      </c>
      <c r="T226" s="517" t="e">
        <f t="shared" ca="1" si="29"/>
        <v>#N/A</v>
      </c>
      <c r="U226" s="517" t="e">
        <f ca="1">-IF(AND($P$5="No",HLOOKUP('Loan Summary'!$R226,'Monthly Cash Flow'!$D$6:$CP$76,63,FALSE)&gt;T226),T226,(HLOOKUP('Loan Summary'!$R226,'Monthly Cash Flow'!$D$6:$CP$76,63,FALSE)))</f>
        <v>#N/A</v>
      </c>
      <c r="V226" s="517">
        <f>IF('Loan Summary'!R226=Assumptions!$AD$3,Assumptions!$AD$25,0)</f>
        <v>0</v>
      </c>
      <c r="W226" s="517" t="e">
        <f t="shared" ca="1" si="30"/>
        <v>#N/A</v>
      </c>
    </row>
    <row r="227" spans="6:23">
      <c r="F227" s="86">
        <v>226</v>
      </c>
      <c r="G227" s="85">
        <f t="shared" si="26"/>
        <v>3403215.8855092772</v>
      </c>
      <c r="H227" s="85">
        <f t="shared" si="24"/>
        <v>21236.394865569677</v>
      </c>
      <c r="I227" s="85">
        <f t="shared" si="25"/>
        <v>15598.072808584187</v>
      </c>
      <c r="J227" s="85">
        <f t="shared" si="27"/>
        <v>5638.3220569854893</v>
      </c>
      <c r="K227" s="153">
        <f>IF('Monthly Cash Flow'!$C$88="Lender Draw",HLOOKUP(F227,'Monthly Cash Flow'!$D$79:$CP$88,10),0)</f>
        <v>0</v>
      </c>
      <c r="L227" s="83">
        <f t="shared" si="28"/>
        <v>3397577.5634522918</v>
      </c>
      <c r="R227" s="86">
        <v>226</v>
      </c>
      <c r="S227" s="517" t="e">
        <f t="shared" ca="1" si="31"/>
        <v>#N/A</v>
      </c>
      <c r="T227" s="517" t="e">
        <f t="shared" ca="1" si="29"/>
        <v>#N/A</v>
      </c>
      <c r="U227" s="517" t="e">
        <f ca="1">-IF(AND($P$5="No",HLOOKUP('Loan Summary'!$R227,'Monthly Cash Flow'!$D$6:$CP$76,63,FALSE)&gt;T227),T227,(HLOOKUP('Loan Summary'!$R227,'Monthly Cash Flow'!$D$6:$CP$76,63,FALSE)))</f>
        <v>#N/A</v>
      </c>
      <c r="V227" s="517">
        <f>IF('Loan Summary'!R227=Assumptions!$AD$3,Assumptions!$AD$25,0)</f>
        <v>0</v>
      </c>
      <c r="W227" s="517" t="e">
        <f t="shared" ca="1" si="30"/>
        <v>#N/A</v>
      </c>
    </row>
    <row r="228" spans="6:23">
      <c r="F228" s="86">
        <v>227</v>
      </c>
      <c r="G228" s="85">
        <f t="shared" si="26"/>
        <v>3397577.5634522918</v>
      </c>
      <c r="H228" s="85">
        <f t="shared" si="24"/>
        <v>21236.394865569677</v>
      </c>
      <c r="I228" s="85">
        <f t="shared" si="25"/>
        <v>15572.230499156338</v>
      </c>
      <c r="J228" s="85">
        <f t="shared" si="27"/>
        <v>5664.1643664133389</v>
      </c>
      <c r="K228" s="153">
        <f>IF('Monthly Cash Flow'!$C$88="Lender Draw",HLOOKUP(F228,'Monthly Cash Flow'!$D$79:$CP$88,10),0)</f>
        <v>0</v>
      </c>
      <c r="L228" s="83">
        <f t="shared" si="28"/>
        <v>3391913.3990858784</v>
      </c>
      <c r="R228" s="86">
        <v>227</v>
      </c>
      <c r="S228" s="517" t="e">
        <f t="shared" ca="1" si="31"/>
        <v>#N/A</v>
      </c>
      <c r="T228" s="517" t="e">
        <f t="shared" ca="1" si="29"/>
        <v>#N/A</v>
      </c>
      <c r="U228" s="517" t="e">
        <f ca="1">-IF(AND($P$5="No",HLOOKUP('Loan Summary'!$R228,'Monthly Cash Flow'!$D$6:$CP$76,63,FALSE)&gt;T228),T228,(HLOOKUP('Loan Summary'!$R228,'Monthly Cash Flow'!$D$6:$CP$76,63,FALSE)))</f>
        <v>#N/A</v>
      </c>
      <c r="V228" s="517">
        <f>IF('Loan Summary'!R228=Assumptions!$AD$3,Assumptions!$AD$25,0)</f>
        <v>0</v>
      </c>
      <c r="W228" s="517" t="e">
        <f t="shared" ca="1" si="30"/>
        <v>#N/A</v>
      </c>
    </row>
    <row r="229" spans="6:23">
      <c r="F229" s="86">
        <v>228</v>
      </c>
      <c r="G229" s="85">
        <f t="shared" si="26"/>
        <v>3391913.3990858784</v>
      </c>
      <c r="H229" s="85">
        <f t="shared" si="24"/>
        <v>21236.394865569677</v>
      </c>
      <c r="I229" s="85">
        <f t="shared" si="25"/>
        <v>15546.269745810276</v>
      </c>
      <c r="J229" s="85">
        <f t="shared" si="27"/>
        <v>5690.1251197594011</v>
      </c>
      <c r="K229" s="153">
        <f>IF('Monthly Cash Flow'!$C$88="Lender Draw",HLOOKUP(F229,'Monthly Cash Flow'!$D$79:$CP$88,10),0)</f>
        <v>0</v>
      </c>
      <c r="L229" s="83">
        <f t="shared" si="28"/>
        <v>3386223.2739661192</v>
      </c>
      <c r="R229" s="86">
        <v>228</v>
      </c>
      <c r="S229" s="517" t="e">
        <f t="shared" ca="1" si="31"/>
        <v>#N/A</v>
      </c>
      <c r="T229" s="517" t="e">
        <f t="shared" ca="1" si="29"/>
        <v>#N/A</v>
      </c>
      <c r="U229" s="517" t="e">
        <f ca="1">-IF(AND($P$5="No",HLOOKUP('Loan Summary'!$R229,'Monthly Cash Flow'!$D$6:$CP$76,63,FALSE)&gt;T229),T229,(HLOOKUP('Loan Summary'!$R229,'Monthly Cash Flow'!$D$6:$CP$76,63,FALSE)))</f>
        <v>#N/A</v>
      </c>
      <c r="V229" s="517">
        <f>IF('Loan Summary'!R229=Assumptions!$AD$3,Assumptions!$AD$25,0)</f>
        <v>0</v>
      </c>
      <c r="W229" s="517" t="e">
        <f t="shared" ca="1" si="30"/>
        <v>#N/A</v>
      </c>
    </row>
    <row r="230" spans="6:23">
      <c r="F230" s="86">
        <v>229</v>
      </c>
      <c r="G230" s="85">
        <f t="shared" si="26"/>
        <v>3386223.2739661192</v>
      </c>
      <c r="H230" s="85">
        <f t="shared" si="24"/>
        <v>21236.394865569677</v>
      </c>
      <c r="I230" s="85">
        <f t="shared" si="25"/>
        <v>15520.190005678047</v>
      </c>
      <c r="J230" s="85">
        <f t="shared" si="27"/>
        <v>5716.2048598916299</v>
      </c>
      <c r="K230" s="153">
        <f>IF('Monthly Cash Flow'!$C$88="Lender Draw",HLOOKUP(F230,'Monthly Cash Flow'!$D$79:$CP$88,10),0)</f>
        <v>0</v>
      </c>
      <c r="L230" s="83">
        <f t="shared" si="28"/>
        <v>3380507.0691062277</v>
      </c>
      <c r="R230" s="86">
        <v>229</v>
      </c>
      <c r="S230" s="517" t="e">
        <f t="shared" ca="1" si="31"/>
        <v>#N/A</v>
      </c>
      <c r="T230" s="517" t="e">
        <f t="shared" ca="1" si="29"/>
        <v>#N/A</v>
      </c>
      <c r="U230" s="517" t="e">
        <f ca="1">-IF(AND($P$5="No",HLOOKUP('Loan Summary'!$R230,'Monthly Cash Flow'!$D$6:$CP$76,63,FALSE)&gt;T230),T230,(HLOOKUP('Loan Summary'!$R230,'Monthly Cash Flow'!$D$6:$CP$76,63,FALSE)))</f>
        <v>#N/A</v>
      </c>
      <c r="V230" s="517">
        <f>IF('Loan Summary'!R230=Assumptions!$AD$3,Assumptions!$AD$25,0)</f>
        <v>0</v>
      </c>
      <c r="W230" s="517" t="e">
        <f t="shared" ca="1" si="30"/>
        <v>#N/A</v>
      </c>
    </row>
    <row r="231" spans="6:23">
      <c r="F231" s="86">
        <v>230</v>
      </c>
      <c r="G231" s="85">
        <f t="shared" si="26"/>
        <v>3380507.0691062277</v>
      </c>
      <c r="H231" s="85">
        <f t="shared" si="24"/>
        <v>21236.394865569677</v>
      </c>
      <c r="I231" s="85">
        <f t="shared" si="25"/>
        <v>15493.990733403543</v>
      </c>
      <c r="J231" s="85">
        <f t="shared" si="27"/>
        <v>5742.4041321661334</v>
      </c>
      <c r="K231" s="153">
        <f>IF('Monthly Cash Flow'!$C$88="Lender Draw",HLOOKUP(F231,'Monthly Cash Flow'!$D$79:$CP$88,10),0)</f>
        <v>0</v>
      </c>
      <c r="L231" s="83">
        <f t="shared" si="28"/>
        <v>3374764.6649740618</v>
      </c>
      <c r="R231" s="86">
        <v>230</v>
      </c>
      <c r="S231" s="517" t="e">
        <f t="shared" ca="1" si="31"/>
        <v>#N/A</v>
      </c>
      <c r="T231" s="517" t="e">
        <f t="shared" ca="1" si="29"/>
        <v>#N/A</v>
      </c>
      <c r="U231" s="517" t="e">
        <f ca="1">-IF(AND($P$5="No",HLOOKUP('Loan Summary'!$R231,'Monthly Cash Flow'!$D$6:$CP$76,63,FALSE)&gt;T231),T231,(HLOOKUP('Loan Summary'!$R231,'Monthly Cash Flow'!$D$6:$CP$76,63,FALSE)))</f>
        <v>#N/A</v>
      </c>
      <c r="V231" s="517">
        <f>IF('Loan Summary'!R231=Assumptions!$AD$3,Assumptions!$AD$25,0)</f>
        <v>0</v>
      </c>
      <c r="W231" s="517" t="e">
        <f t="shared" ca="1" si="30"/>
        <v>#N/A</v>
      </c>
    </row>
    <row r="232" spans="6:23">
      <c r="F232" s="86">
        <v>231</v>
      </c>
      <c r="G232" s="85">
        <f t="shared" si="26"/>
        <v>3374764.6649740618</v>
      </c>
      <c r="H232" s="85">
        <f t="shared" si="24"/>
        <v>21236.394865569677</v>
      </c>
      <c r="I232" s="85">
        <f t="shared" si="25"/>
        <v>15467.671381131117</v>
      </c>
      <c r="J232" s="85">
        <f t="shared" si="27"/>
        <v>5768.7234844385603</v>
      </c>
      <c r="K232" s="153">
        <f>IF('Monthly Cash Flow'!$C$88="Lender Draw",HLOOKUP(F232,'Monthly Cash Flow'!$D$79:$CP$88,10),0)</f>
        <v>0</v>
      </c>
      <c r="L232" s="83">
        <f t="shared" si="28"/>
        <v>3368995.9414896234</v>
      </c>
      <c r="R232" s="86">
        <v>231</v>
      </c>
      <c r="S232" s="517" t="e">
        <f t="shared" ca="1" si="31"/>
        <v>#N/A</v>
      </c>
      <c r="T232" s="517" t="e">
        <f t="shared" ca="1" si="29"/>
        <v>#N/A</v>
      </c>
      <c r="U232" s="517" t="e">
        <f ca="1">-IF(AND($P$5="No",HLOOKUP('Loan Summary'!$R232,'Monthly Cash Flow'!$D$6:$CP$76,63,FALSE)&gt;T232),T232,(HLOOKUP('Loan Summary'!$R232,'Monthly Cash Flow'!$D$6:$CP$76,63,FALSE)))</f>
        <v>#N/A</v>
      </c>
      <c r="V232" s="517">
        <f>IF('Loan Summary'!R232=Assumptions!$AD$3,Assumptions!$AD$25,0)</f>
        <v>0</v>
      </c>
      <c r="W232" s="517" t="e">
        <f t="shared" ca="1" si="30"/>
        <v>#N/A</v>
      </c>
    </row>
    <row r="233" spans="6:23">
      <c r="F233" s="86">
        <v>232</v>
      </c>
      <c r="G233" s="85">
        <f t="shared" si="26"/>
        <v>3368995.9414896234</v>
      </c>
      <c r="H233" s="85">
        <f t="shared" si="24"/>
        <v>21236.394865569677</v>
      </c>
      <c r="I233" s="85">
        <f t="shared" si="25"/>
        <v>15441.231398494107</v>
      </c>
      <c r="J233" s="85">
        <f t="shared" si="27"/>
        <v>5795.1634670755702</v>
      </c>
      <c r="K233" s="153">
        <f>IF('Monthly Cash Flow'!$C$88="Lender Draw",HLOOKUP(F233,'Monthly Cash Flow'!$D$79:$CP$88,10),0)</f>
        <v>0</v>
      </c>
      <c r="L233" s="83">
        <f t="shared" si="28"/>
        <v>3363200.7780225477</v>
      </c>
      <c r="R233" s="86">
        <v>232</v>
      </c>
      <c r="S233" s="517" t="e">
        <f t="shared" ca="1" si="31"/>
        <v>#N/A</v>
      </c>
      <c r="T233" s="517" t="e">
        <f t="shared" ca="1" si="29"/>
        <v>#N/A</v>
      </c>
      <c r="U233" s="517" t="e">
        <f ca="1">-IF(AND($P$5="No",HLOOKUP('Loan Summary'!$R233,'Monthly Cash Flow'!$D$6:$CP$76,63,FALSE)&gt;T233),T233,(HLOOKUP('Loan Summary'!$R233,'Monthly Cash Flow'!$D$6:$CP$76,63,FALSE)))</f>
        <v>#N/A</v>
      </c>
      <c r="V233" s="517">
        <f>IF('Loan Summary'!R233=Assumptions!$AD$3,Assumptions!$AD$25,0)</f>
        <v>0</v>
      </c>
      <c r="W233" s="517" t="e">
        <f t="shared" ca="1" si="30"/>
        <v>#N/A</v>
      </c>
    </row>
    <row r="234" spans="6:23">
      <c r="F234" s="86">
        <v>233</v>
      </c>
      <c r="G234" s="85">
        <f t="shared" si="26"/>
        <v>3363200.7780225477</v>
      </c>
      <c r="H234" s="85">
        <f t="shared" si="24"/>
        <v>21236.394865569677</v>
      </c>
      <c r="I234" s="85">
        <f t="shared" si="25"/>
        <v>15414.670232603345</v>
      </c>
      <c r="J234" s="85">
        <f t="shared" si="27"/>
        <v>5821.7246329663321</v>
      </c>
      <c r="K234" s="153">
        <f>IF('Monthly Cash Flow'!$C$88="Lender Draw",HLOOKUP(F234,'Monthly Cash Flow'!$D$79:$CP$88,10),0)</f>
        <v>0</v>
      </c>
      <c r="L234" s="83">
        <f t="shared" si="28"/>
        <v>3357379.0533895814</v>
      </c>
      <c r="R234" s="86">
        <v>233</v>
      </c>
      <c r="S234" s="517" t="e">
        <f t="shared" ca="1" si="31"/>
        <v>#N/A</v>
      </c>
      <c r="T234" s="517" t="e">
        <f t="shared" ca="1" si="29"/>
        <v>#N/A</v>
      </c>
      <c r="U234" s="517" t="e">
        <f ca="1">-IF(AND($P$5="No",HLOOKUP('Loan Summary'!$R234,'Monthly Cash Flow'!$D$6:$CP$76,63,FALSE)&gt;T234),T234,(HLOOKUP('Loan Summary'!$R234,'Monthly Cash Flow'!$D$6:$CP$76,63,FALSE)))</f>
        <v>#N/A</v>
      </c>
      <c r="V234" s="517">
        <f>IF('Loan Summary'!R234=Assumptions!$AD$3,Assumptions!$AD$25,0)</f>
        <v>0</v>
      </c>
      <c r="W234" s="517" t="e">
        <f t="shared" ca="1" si="30"/>
        <v>#N/A</v>
      </c>
    </row>
    <row r="235" spans="6:23">
      <c r="F235" s="86">
        <v>234</v>
      </c>
      <c r="G235" s="85">
        <f t="shared" si="26"/>
        <v>3357379.0533895814</v>
      </c>
      <c r="H235" s="85">
        <f t="shared" si="24"/>
        <v>21236.394865569677</v>
      </c>
      <c r="I235" s="85">
        <f t="shared" si="25"/>
        <v>15387.987328035582</v>
      </c>
      <c r="J235" s="85">
        <f t="shared" si="27"/>
        <v>5848.4075375340944</v>
      </c>
      <c r="K235" s="153">
        <f>IF('Monthly Cash Flow'!$C$88="Lender Draw",HLOOKUP(F235,'Monthly Cash Flow'!$D$79:$CP$88,10),0)</f>
        <v>0</v>
      </c>
      <c r="L235" s="83">
        <f t="shared" si="28"/>
        <v>3351530.6458520475</v>
      </c>
      <c r="R235" s="86">
        <v>234</v>
      </c>
      <c r="S235" s="517" t="e">
        <f t="shared" ca="1" si="31"/>
        <v>#N/A</v>
      </c>
      <c r="T235" s="517" t="e">
        <f t="shared" ca="1" si="29"/>
        <v>#N/A</v>
      </c>
      <c r="U235" s="517" t="e">
        <f ca="1">-IF(AND($P$5="No",HLOOKUP('Loan Summary'!$R235,'Monthly Cash Flow'!$D$6:$CP$76,63,FALSE)&gt;T235),T235,(HLOOKUP('Loan Summary'!$R235,'Monthly Cash Flow'!$D$6:$CP$76,63,FALSE)))</f>
        <v>#N/A</v>
      </c>
      <c r="V235" s="517">
        <f>IF('Loan Summary'!R235=Assumptions!$AD$3,Assumptions!$AD$25,0)</f>
        <v>0</v>
      </c>
      <c r="W235" s="517" t="e">
        <f t="shared" ca="1" si="30"/>
        <v>#N/A</v>
      </c>
    </row>
    <row r="236" spans="6:23">
      <c r="F236" s="86">
        <v>235</v>
      </c>
      <c r="G236" s="85">
        <f t="shared" si="26"/>
        <v>3351530.6458520475</v>
      </c>
      <c r="H236" s="85">
        <f t="shared" si="24"/>
        <v>21236.394865569677</v>
      </c>
      <c r="I236" s="85">
        <f t="shared" si="25"/>
        <v>15361.182126821885</v>
      </c>
      <c r="J236" s="85">
        <f t="shared" si="27"/>
        <v>5875.2127387477922</v>
      </c>
      <c r="K236" s="153">
        <f>IF('Monthly Cash Flow'!$C$88="Lender Draw",HLOOKUP(F236,'Monthly Cash Flow'!$D$79:$CP$88,10),0)</f>
        <v>0</v>
      </c>
      <c r="L236" s="83">
        <f t="shared" si="28"/>
        <v>3345655.4331132998</v>
      </c>
      <c r="R236" s="86">
        <v>235</v>
      </c>
      <c r="S236" s="517" t="e">
        <f t="shared" ca="1" si="31"/>
        <v>#N/A</v>
      </c>
      <c r="T236" s="517" t="e">
        <f t="shared" ca="1" si="29"/>
        <v>#N/A</v>
      </c>
      <c r="U236" s="517" t="e">
        <f ca="1">-IF(AND($P$5="No",HLOOKUP('Loan Summary'!$R236,'Monthly Cash Flow'!$D$6:$CP$76,63,FALSE)&gt;T236),T236,(HLOOKUP('Loan Summary'!$R236,'Monthly Cash Flow'!$D$6:$CP$76,63,FALSE)))</f>
        <v>#N/A</v>
      </c>
      <c r="V236" s="517">
        <f>IF('Loan Summary'!R236=Assumptions!$AD$3,Assumptions!$AD$25,0)</f>
        <v>0</v>
      </c>
      <c r="W236" s="517" t="e">
        <f t="shared" ca="1" si="30"/>
        <v>#N/A</v>
      </c>
    </row>
    <row r="237" spans="6:23">
      <c r="F237" s="86">
        <v>236</v>
      </c>
      <c r="G237" s="85">
        <f t="shared" si="26"/>
        <v>3345655.4331132998</v>
      </c>
      <c r="H237" s="85">
        <f t="shared" si="24"/>
        <v>21236.394865569677</v>
      </c>
      <c r="I237" s="85">
        <f t="shared" si="25"/>
        <v>15334.254068435957</v>
      </c>
      <c r="J237" s="85">
        <f t="shared" si="27"/>
        <v>5902.1407971337194</v>
      </c>
      <c r="K237" s="153">
        <f>IF('Monthly Cash Flow'!$C$88="Lender Draw",HLOOKUP(F237,'Monthly Cash Flow'!$D$79:$CP$88,10),0)</f>
        <v>0</v>
      </c>
      <c r="L237" s="83">
        <f t="shared" si="28"/>
        <v>3339753.2923161662</v>
      </c>
      <c r="R237" s="86">
        <v>236</v>
      </c>
      <c r="S237" s="517" t="e">
        <f t="shared" ca="1" si="31"/>
        <v>#N/A</v>
      </c>
      <c r="T237" s="517" t="e">
        <f t="shared" ca="1" si="29"/>
        <v>#N/A</v>
      </c>
      <c r="U237" s="517" t="e">
        <f ca="1">-IF(AND($P$5="No",HLOOKUP('Loan Summary'!$R237,'Monthly Cash Flow'!$D$6:$CP$76,63,FALSE)&gt;T237),T237,(HLOOKUP('Loan Summary'!$R237,'Monthly Cash Flow'!$D$6:$CP$76,63,FALSE)))</f>
        <v>#N/A</v>
      </c>
      <c r="V237" s="517">
        <f>IF('Loan Summary'!R237=Assumptions!$AD$3,Assumptions!$AD$25,0)</f>
        <v>0</v>
      </c>
      <c r="W237" s="517" t="e">
        <f t="shared" ca="1" si="30"/>
        <v>#N/A</v>
      </c>
    </row>
    <row r="238" spans="6:23">
      <c r="F238" s="86">
        <v>237</v>
      </c>
      <c r="G238" s="85">
        <f t="shared" si="26"/>
        <v>3339753.2923161662</v>
      </c>
      <c r="H238" s="85">
        <f t="shared" si="24"/>
        <v>21236.394865569677</v>
      </c>
      <c r="I238" s="85">
        <f t="shared" si="25"/>
        <v>15307.202589782428</v>
      </c>
      <c r="J238" s="85">
        <f t="shared" si="27"/>
        <v>5929.1922757872489</v>
      </c>
      <c r="K238" s="153">
        <f>IF('Monthly Cash Flow'!$C$88="Lender Draw",HLOOKUP(F238,'Monthly Cash Flow'!$D$79:$CP$88,10),0)</f>
        <v>0</v>
      </c>
      <c r="L238" s="83">
        <f t="shared" si="28"/>
        <v>3333824.100040379</v>
      </c>
      <c r="R238" s="86">
        <v>237</v>
      </c>
      <c r="S238" s="517" t="e">
        <f t="shared" ca="1" si="31"/>
        <v>#N/A</v>
      </c>
      <c r="T238" s="517" t="e">
        <f t="shared" ca="1" si="29"/>
        <v>#N/A</v>
      </c>
      <c r="U238" s="517" t="e">
        <f ca="1">-IF(AND($P$5="No",HLOOKUP('Loan Summary'!$R238,'Monthly Cash Flow'!$D$6:$CP$76,63,FALSE)&gt;T238),T238,(HLOOKUP('Loan Summary'!$R238,'Monthly Cash Flow'!$D$6:$CP$76,63,FALSE)))</f>
        <v>#N/A</v>
      </c>
      <c r="V238" s="517">
        <f>IF('Loan Summary'!R238=Assumptions!$AD$3,Assumptions!$AD$25,0)</f>
        <v>0</v>
      </c>
      <c r="W238" s="517" t="e">
        <f t="shared" ca="1" si="30"/>
        <v>#N/A</v>
      </c>
    </row>
    <row r="239" spans="6:23">
      <c r="F239" s="86">
        <v>238</v>
      </c>
      <c r="G239" s="85">
        <f t="shared" si="26"/>
        <v>3333824.100040379</v>
      </c>
      <c r="H239" s="85">
        <f t="shared" si="24"/>
        <v>21236.394865569677</v>
      </c>
      <c r="I239" s="85">
        <f t="shared" si="25"/>
        <v>15280.02712518507</v>
      </c>
      <c r="J239" s="85">
        <f t="shared" si="27"/>
        <v>5956.3677403846068</v>
      </c>
      <c r="K239" s="153">
        <f>IF('Monthly Cash Flow'!$C$88="Lender Draw",HLOOKUP(F239,'Monthly Cash Flow'!$D$79:$CP$88,10),0)</f>
        <v>0</v>
      </c>
      <c r="L239" s="83">
        <f t="shared" si="28"/>
        <v>3327867.7322999942</v>
      </c>
      <c r="R239" s="86">
        <v>238</v>
      </c>
      <c r="S239" s="517" t="e">
        <f t="shared" ca="1" si="31"/>
        <v>#N/A</v>
      </c>
      <c r="T239" s="517" t="e">
        <f t="shared" ca="1" si="29"/>
        <v>#N/A</v>
      </c>
      <c r="U239" s="517" t="e">
        <f ca="1">-IF(AND($P$5="No",HLOOKUP('Loan Summary'!$R239,'Monthly Cash Flow'!$D$6:$CP$76,63,FALSE)&gt;T239),T239,(HLOOKUP('Loan Summary'!$R239,'Monthly Cash Flow'!$D$6:$CP$76,63,FALSE)))</f>
        <v>#N/A</v>
      </c>
      <c r="V239" s="517">
        <f>IF('Loan Summary'!R239=Assumptions!$AD$3,Assumptions!$AD$25,0)</f>
        <v>0</v>
      </c>
      <c r="W239" s="517" t="e">
        <f t="shared" ca="1" si="30"/>
        <v>#N/A</v>
      </c>
    </row>
    <row r="240" spans="6:23">
      <c r="F240" s="86">
        <v>239</v>
      </c>
      <c r="G240" s="85">
        <f t="shared" si="26"/>
        <v>3327867.7322999942</v>
      </c>
      <c r="H240" s="85">
        <f t="shared" si="24"/>
        <v>21236.394865569677</v>
      </c>
      <c r="I240" s="85">
        <f t="shared" si="25"/>
        <v>15252.727106374974</v>
      </c>
      <c r="J240" s="85">
        <f t="shared" si="27"/>
        <v>5983.6677591947027</v>
      </c>
      <c r="K240" s="153">
        <f>IF('Monthly Cash Flow'!$C$88="Lender Draw",HLOOKUP(F240,'Monthly Cash Flow'!$D$79:$CP$88,10),0)</f>
        <v>0</v>
      </c>
      <c r="L240" s="83">
        <f t="shared" si="28"/>
        <v>3321884.0645407997</v>
      </c>
      <c r="R240" s="86">
        <v>239</v>
      </c>
      <c r="S240" s="517" t="e">
        <f t="shared" ca="1" si="31"/>
        <v>#N/A</v>
      </c>
      <c r="T240" s="517" t="e">
        <f t="shared" ca="1" si="29"/>
        <v>#N/A</v>
      </c>
      <c r="U240" s="517" t="e">
        <f ca="1">-IF(AND($P$5="No",HLOOKUP('Loan Summary'!$R240,'Monthly Cash Flow'!$D$6:$CP$76,63,FALSE)&gt;T240),T240,(HLOOKUP('Loan Summary'!$R240,'Monthly Cash Flow'!$D$6:$CP$76,63,FALSE)))</f>
        <v>#N/A</v>
      </c>
      <c r="V240" s="517">
        <f>IF('Loan Summary'!R240=Assumptions!$AD$3,Assumptions!$AD$25,0)</f>
        <v>0</v>
      </c>
      <c r="W240" s="517" t="e">
        <f t="shared" ca="1" si="30"/>
        <v>#N/A</v>
      </c>
    </row>
    <row r="241" spans="6:23">
      <c r="F241" s="86">
        <v>240</v>
      </c>
      <c r="G241" s="85">
        <f t="shared" si="26"/>
        <v>3321884.0645407997</v>
      </c>
      <c r="H241" s="85">
        <f t="shared" si="24"/>
        <v>21236.394865569677</v>
      </c>
      <c r="I241" s="85">
        <f t="shared" si="25"/>
        <v>15225.301962478665</v>
      </c>
      <c r="J241" s="85">
        <f t="shared" si="27"/>
        <v>6011.092903091012</v>
      </c>
      <c r="K241" s="153">
        <f>IF('Monthly Cash Flow'!$C$88="Lender Draw",HLOOKUP(F241,'Monthly Cash Flow'!$D$79:$CP$88,10),0)</f>
        <v>0</v>
      </c>
      <c r="L241" s="83">
        <f t="shared" si="28"/>
        <v>3315872.9716377086</v>
      </c>
      <c r="R241" s="86">
        <v>240</v>
      </c>
      <c r="S241" s="517" t="e">
        <f t="shared" ca="1" si="31"/>
        <v>#N/A</v>
      </c>
      <c r="T241" s="517" t="e">
        <f t="shared" ca="1" si="29"/>
        <v>#N/A</v>
      </c>
      <c r="U241" s="517" t="e">
        <f ca="1">-IF(AND($P$5="No",HLOOKUP('Loan Summary'!$R241,'Monthly Cash Flow'!$D$6:$CP$76,63,FALSE)&gt;T241),T241,(HLOOKUP('Loan Summary'!$R241,'Monthly Cash Flow'!$D$6:$CP$76,63,FALSE)))</f>
        <v>#N/A</v>
      </c>
      <c r="V241" s="517">
        <f>IF('Loan Summary'!R241=Assumptions!$AD$3,Assumptions!$AD$25,0)</f>
        <v>0</v>
      </c>
      <c r="W241" s="517" t="e">
        <f t="shared" ca="1" si="30"/>
        <v>#N/A</v>
      </c>
    </row>
    <row r="242" spans="6:23">
      <c r="F242" s="86">
        <v>241</v>
      </c>
      <c r="G242" s="85">
        <f t="shared" si="26"/>
        <v>3315872.9716377086</v>
      </c>
      <c r="H242" s="85">
        <f t="shared" si="24"/>
        <v>21236.394865569677</v>
      </c>
      <c r="I242" s="85">
        <f t="shared" si="25"/>
        <v>15197.751120006165</v>
      </c>
      <c r="J242" s="85">
        <f t="shared" si="27"/>
        <v>6038.6437455635114</v>
      </c>
      <c r="K242" s="153">
        <f>IF('Monthly Cash Flow'!$C$88="Lender Draw",HLOOKUP(F242,'Monthly Cash Flow'!$D$79:$CP$88,10),0)</f>
        <v>0</v>
      </c>
      <c r="L242" s="83">
        <f t="shared" si="28"/>
        <v>3309834.3278921451</v>
      </c>
      <c r="R242" s="86">
        <v>241</v>
      </c>
      <c r="S242" s="517" t="e">
        <f t="shared" ca="1" si="31"/>
        <v>#N/A</v>
      </c>
      <c r="T242" s="517" t="e">
        <f t="shared" ca="1" si="29"/>
        <v>#N/A</v>
      </c>
      <c r="U242" s="517" t="e">
        <f ca="1">-IF(AND($P$5="No",HLOOKUP('Loan Summary'!$R242,'Monthly Cash Flow'!$D$6:$CP$76,63,FALSE)&gt;T242),T242,(HLOOKUP('Loan Summary'!$R242,'Monthly Cash Flow'!$D$6:$CP$76,63,FALSE)))</f>
        <v>#N/A</v>
      </c>
      <c r="V242" s="517">
        <f>IF('Loan Summary'!R242=Assumptions!$AD$3,Assumptions!$AD$25,0)</f>
        <v>0</v>
      </c>
      <c r="W242" s="517" t="e">
        <f t="shared" ca="1" si="30"/>
        <v>#N/A</v>
      </c>
    </row>
    <row r="243" spans="6:23">
      <c r="F243" s="86">
        <v>242</v>
      </c>
      <c r="G243" s="85">
        <f t="shared" si="26"/>
        <v>3309834.3278921451</v>
      </c>
      <c r="H243" s="85">
        <f t="shared" si="24"/>
        <v>21236.394865569677</v>
      </c>
      <c r="I243" s="85">
        <f t="shared" si="25"/>
        <v>15170.074002838999</v>
      </c>
      <c r="J243" s="85">
        <f t="shared" si="27"/>
        <v>6066.3208627306776</v>
      </c>
      <c r="K243" s="153">
        <f>IF('Monthly Cash Flow'!$C$88="Lender Draw",HLOOKUP(F243,'Monthly Cash Flow'!$D$79:$CP$88,10),0)</f>
        <v>0</v>
      </c>
      <c r="L243" s="83">
        <f t="shared" si="28"/>
        <v>3303768.0070294146</v>
      </c>
      <c r="R243" s="86">
        <v>242</v>
      </c>
      <c r="S243" s="517" t="e">
        <f t="shared" ca="1" si="31"/>
        <v>#N/A</v>
      </c>
      <c r="T243" s="517" t="e">
        <f t="shared" ca="1" si="29"/>
        <v>#N/A</v>
      </c>
      <c r="U243" s="517" t="e">
        <f ca="1">-IF(AND($P$5="No",HLOOKUP('Loan Summary'!$R243,'Monthly Cash Flow'!$D$6:$CP$76,63,FALSE)&gt;T243),T243,(HLOOKUP('Loan Summary'!$R243,'Monthly Cash Flow'!$D$6:$CP$76,63,FALSE)))</f>
        <v>#N/A</v>
      </c>
      <c r="V243" s="517">
        <f>IF('Loan Summary'!R243=Assumptions!$AD$3,Assumptions!$AD$25,0)</f>
        <v>0</v>
      </c>
      <c r="W243" s="517" t="e">
        <f t="shared" ca="1" si="30"/>
        <v>#N/A</v>
      </c>
    </row>
    <row r="244" spans="6:23">
      <c r="F244" s="86">
        <v>243</v>
      </c>
      <c r="G244" s="85">
        <f t="shared" si="26"/>
        <v>3303768.0070294146</v>
      </c>
      <c r="H244" s="85">
        <f t="shared" si="24"/>
        <v>21236.394865569677</v>
      </c>
      <c r="I244" s="85">
        <f t="shared" si="25"/>
        <v>15142.27003221815</v>
      </c>
      <c r="J244" s="85">
        <f t="shared" si="27"/>
        <v>6094.1248333515268</v>
      </c>
      <c r="K244" s="153">
        <f>IF('Monthly Cash Flow'!$C$88="Lender Draw",HLOOKUP(F244,'Monthly Cash Flow'!$D$79:$CP$88,10),0)</f>
        <v>0</v>
      </c>
      <c r="L244" s="83">
        <f t="shared" si="28"/>
        <v>3297673.8821960632</v>
      </c>
      <c r="R244" s="86">
        <v>243</v>
      </c>
      <c r="S244" s="517" t="e">
        <f t="shared" ca="1" si="31"/>
        <v>#N/A</v>
      </c>
      <c r="T244" s="517" t="e">
        <f t="shared" ca="1" si="29"/>
        <v>#N/A</v>
      </c>
      <c r="U244" s="517" t="e">
        <f ca="1">-IF(AND($P$5="No",HLOOKUP('Loan Summary'!$R244,'Monthly Cash Flow'!$D$6:$CP$76,63,FALSE)&gt;T244),T244,(HLOOKUP('Loan Summary'!$R244,'Monthly Cash Flow'!$D$6:$CP$76,63,FALSE)))</f>
        <v>#N/A</v>
      </c>
      <c r="V244" s="517">
        <f>IF('Loan Summary'!R244=Assumptions!$AD$3,Assumptions!$AD$25,0)</f>
        <v>0</v>
      </c>
      <c r="W244" s="517" t="e">
        <f t="shared" ca="1" si="30"/>
        <v>#N/A</v>
      </c>
    </row>
    <row r="245" spans="6:23">
      <c r="F245" s="86">
        <v>244</v>
      </c>
      <c r="G245" s="85">
        <f t="shared" si="26"/>
        <v>3297673.8821960632</v>
      </c>
      <c r="H245" s="85">
        <f t="shared" si="24"/>
        <v>21236.394865569677</v>
      </c>
      <c r="I245" s="85">
        <f t="shared" si="25"/>
        <v>15114.338626731957</v>
      </c>
      <c r="J245" s="85">
        <f t="shared" si="27"/>
        <v>6122.0562388377202</v>
      </c>
      <c r="K245" s="153">
        <f>IF('Monthly Cash Flow'!$C$88="Lender Draw",HLOOKUP(F245,'Monthly Cash Flow'!$D$79:$CP$88,10),0)</f>
        <v>0</v>
      </c>
      <c r="L245" s="83">
        <f t="shared" si="28"/>
        <v>3291551.8259572256</v>
      </c>
      <c r="R245" s="86">
        <v>244</v>
      </c>
      <c r="S245" s="517" t="e">
        <f t="shared" ca="1" si="31"/>
        <v>#N/A</v>
      </c>
      <c r="T245" s="517" t="e">
        <f t="shared" ca="1" si="29"/>
        <v>#N/A</v>
      </c>
      <c r="U245" s="517" t="e">
        <f ca="1">-IF(AND($P$5="No",HLOOKUP('Loan Summary'!$R245,'Monthly Cash Flow'!$D$6:$CP$76,63,FALSE)&gt;T245),T245,(HLOOKUP('Loan Summary'!$R245,'Monthly Cash Flow'!$D$6:$CP$76,63,FALSE)))</f>
        <v>#N/A</v>
      </c>
      <c r="V245" s="517">
        <f>IF('Loan Summary'!R245=Assumptions!$AD$3,Assumptions!$AD$25,0)</f>
        <v>0</v>
      </c>
      <c r="W245" s="517" t="e">
        <f t="shared" ca="1" si="30"/>
        <v>#N/A</v>
      </c>
    </row>
    <row r="246" spans="6:23">
      <c r="F246" s="86">
        <v>245</v>
      </c>
      <c r="G246" s="85">
        <f t="shared" si="26"/>
        <v>3291551.8259572256</v>
      </c>
      <c r="H246" s="85">
        <f t="shared" si="24"/>
        <v>21236.394865569677</v>
      </c>
      <c r="I246" s="85">
        <f t="shared" si="25"/>
        <v>15086.279202303951</v>
      </c>
      <c r="J246" s="85">
        <f t="shared" si="27"/>
        <v>6150.1156632657257</v>
      </c>
      <c r="K246" s="153">
        <f>IF('Monthly Cash Flow'!$C$88="Lender Draw",HLOOKUP(F246,'Monthly Cash Flow'!$D$79:$CP$88,10),0)</f>
        <v>0</v>
      </c>
      <c r="L246" s="83">
        <f t="shared" si="28"/>
        <v>3285401.7102939598</v>
      </c>
      <c r="R246" s="86">
        <v>245</v>
      </c>
      <c r="S246" s="517" t="e">
        <f t="shared" ca="1" si="31"/>
        <v>#N/A</v>
      </c>
      <c r="T246" s="517" t="e">
        <f t="shared" ca="1" si="29"/>
        <v>#N/A</v>
      </c>
      <c r="U246" s="517" t="e">
        <f ca="1">-IF(AND($P$5="No",HLOOKUP('Loan Summary'!$R246,'Monthly Cash Flow'!$D$6:$CP$76,63,FALSE)&gt;T246),T246,(HLOOKUP('Loan Summary'!$R246,'Monthly Cash Flow'!$D$6:$CP$76,63,FALSE)))</f>
        <v>#N/A</v>
      </c>
      <c r="V246" s="517">
        <f>IF('Loan Summary'!R246=Assumptions!$AD$3,Assumptions!$AD$25,0)</f>
        <v>0</v>
      </c>
      <c r="W246" s="517" t="e">
        <f t="shared" ca="1" si="30"/>
        <v>#N/A</v>
      </c>
    </row>
    <row r="247" spans="6:23">
      <c r="F247" s="86">
        <v>246</v>
      </c>
      <c r="G247" s="85">
        <f t="shared" si="26"/>
        <v>3285401.7102939598</v>
      </c>
      <c r="H247" s="85">
        <f t="shared" si="24"/>
        <v>21236.394865569677</v>
      </c>
      <c r="I247" s="85">
        <f t="shared" si="25"/>
        <v>15058.09117218065</v>
      </c>
      <c r="J247" s="85">
        <f t="shared" si="27"/>
        <v>6178.3036933890271</v>
      </c>
      <c r="K247" s="153">
        <f>IF('Monthly Cash Flow'!$C$88="Lender Draw",HLOOKUP(F247,'Monthly Cash Flow'!$D$79:$CP$88,10),0)</f>
        <v>0</v>
      </c>
      <c r="L247" s="83">
        <f t="shared" si="28"/>
        <v>3279223.4066005708</v>
      </c>
      <c r="R247" s="86">
        <v>246</v>
      </c>
      <c r="S247" s="517" t="e">
        <f t="shared" ca="1" si="31"/>
        <v>#N/A</v>
      </c>
      <c r="T247" s="517" t="e">
        <f t="shared" ca="1" si="29"/>
        <v>#N/A</v>
      </c>
      <c r="U247" s="517" t="e">
        <f ca="1">-IF(AND($P$5="No",HLOOKUP('Loan Summary'!$R247,'Monthly Cash Flow'!$D$6:$CP$76,63,FALSE)&gt;T247),T247,(HLOOKUP('Loan Summary'!$R247,'Monthly Cash Flow'!$D$6:$CP$76,63,FALSE)))</f>
        <v>#N/A</v>
      </c>
      <c r="V247" s="517">
        <f>IF('Loan Summary'!R247=Assumptions!$AD$3,Assumptions!$AD$25,0)</f>
        <v>0</v>
      </c>
      <c r="W247" s="517" t="e">
        <f t="shared" ca="1" si="30"/>
        <v>#N/A</v>
      </c>
    </row>
    <row r="248" spans="6:23">
      <c r="F248" s="86">
        <v>247</v>
      </c>
      <c r="G248" s="85">
        <f t="shared" si="26"/>
        <v>3279223.4066005708</v>
      </c>
      <c r="H248" s="85">
        <f t="shared" si="24"/>
        <v>21236.394865569677</v>
      </c>
      <c r="I248" s="85">
        <f t="shared" si="25"/>
        <v>15029.773946919282</v>
      </c>
      <c r="J248" s="85">
        <f t="shared" si="27"/>
        <v>6206.6209186503947</v>
      </c>
      <c r="K248" s="153">
        <f>IF('Monthly Cash Flow'!$C$88="Lender Draw",HLOOKUP(F248,'Monthly Cash Flow'!$D$79:$CP$88,10),0)</f>
        <v>0</v>
      </c>
      <c r="L248" s="83">
        <f t="shared" si="28"/>
        <v>3273016.7856819206</v>
      </c>
      <c r="R248" s="86">
        <v>247</v>
      </c>
      <c r="S248" s="517" t="e">
        <f t="shared" ca="1" si="31"/>
        <v>#N/A</v>
      </c>
      <c r="T248" s="517" t="e">
        <f t="shared" ca="1" si="29"/>
        <v>#N/A</v>
      </c>
      <c r="U248" s="517" t="e">
        <f ca="1">-IF(AND($P$5="No",HLOOKUP('Loan Summary'!$R248,'Monthly Cash Flow'!$D$6:$CP$76,63,FALSE)&gt;T248),T248,(HLOOKUP('Loan Summary'!$R248,'Monthly Cash Flow'!$D$6:$CP$76,63,FALSE)))</f>
        <v>#N/A</v>
      </c>
      <c r="V248" s="517">
        <f>IF('Loan Summary'!R248=Assumptions!$AD$3,Assumptions!$AD$25,0)</f>
        <v>0</v>
      </c>
      <c r="W248" s="517" t="e">
        <f t="shared" ca="1" si="30"/>
        <v>#N/A</v>
      </c>
    </row>
    <row r="249" spans="6:23">
      <c r="F249" s="86">
        <v>248</v>
      </c>
      <c r="G249" s="85">
        <f t="shared" si="26"/>
        <v>3273016.7856819206</v>
      </c>
      <c r="H249" s="85">
        <f t="shared" si="24"/>
        <v>21236.394865569677</v>
      </c>
      <c r="I249" s="85">
        <f t="shared" si="25"/>
        <v>15001.326934375469</v>
      </c>
      <c r="J249" s="85">
        <f t="shared" si="27"/>
        <v>6235.0679311942076</v>
      </c>
      <c r="K249" s="153">
        <f>IF('Monthly Cash Flow'!$C$88="Lender Draw",HLOOKUP(F249,'Monthly Cash Flow'!$D$79:$CP$88,10),0)</f>
        <v>0</v>
      </c>
      <c r="L249" s="83">
        <f t="shared" si="28"/>
        <v>3266781.7177507263</v>
      </c>
      <c r="R249" s="86">
        <v>248</v>
      </c>
      <c r="S249" s="517" t="e">
        <f t="shared" ca="1" si="31"/>
        <v>#N/A</v>
      </c>
      <c r="T249" s="517" t="e">
        <f t="shared" ca="1" si="29"/>
        <v>#N/A</v>
      </c>
      <c r="U249" s="517" t="e">
        <f ca="1">-IF(AND($P$5="No",HLOOKUP('Loan Summary'!$R249,'Monthly Cash Flow'!$D$6:$CP$76,63,FALSE)&gt;T249),T249,(HLOOKUP('Loan Summary'!$R249,'Monthly Cash Flow'!$D$6:$CP$76,63,FALSE)))</f>
        <v>#N/A</v>
      </c>
      <c r="V249" s="517">
        <f>IF('Loan Summary'!R249=Assumptions!$AD$3,Assumptions!$AD$25,0)</f>
        <v>0</v>
      </c>
      <c r="W249" s="517" t="e">
        <f t="shared" ca="1" si="30"/>
        <v>#N/A</v>
      </c>
    </row>
    <row r="250" spans="6:23">
      <c r="F250" s="86">
        <v>249</v>
      </c>
      <c r="G250" s="85">
        <f t="shared" si="26"/>
        <v>3266781.7177507263</v>
      </c>
      <c r="H250" s="85">
        <f t="shared" si="24"/>
        <v>21236.394865569677</v>
      </c>
      <c r="I250" s="85">
        <f t="shared" si="25"/>
        <v>14972.749539690829</v>
      </c>
      <c r="J250" s="85">
        <f t="shared" si="27"/>
        <v>6263.6453258788479</v>
      </c>
      <c r="K250" s="153">
        <f>IF('Monthly Cash Flow'!$C$88="Lender Draw",HLOOKUP(F250,'Monthly Cash Flow'!$D$79:$CP$88,10),0)</f>
        <v>0</v>
      </c>
      <c r="L250" s="83">
        <f t="shared" si="28"/>
        <v>3260518.0724248476</v>
      </c>
      <c r="R250" s="86">
        <v>249</v>
      </c>
      <c r="S250" s="517" t="e">
        <f t="shared" ca="1" si="31"/>
        <v>#N/A</v>
      </c>
      <c r="T250" s="517" t="e">
        <f t="shared" ca="1" si="29"/>
        <v>#N/A</v>
      </c>
      <c r="U250" s="517" t="e">
        <f ca="1">-IF(AND($P$5="No",HLOOKUP('Loan Summary'!$R250,'Monthly Cash Flow'!$D$6:$CP$76,63,FALSE)&gt;T250),T250,(HLOOKUP('Loan Summary'!$R250,'Monthly Cash Flow'!$D$6:$CP$76,63,FALSE)))</f>
        <v>#N/A</v>
      </c>
      <c r="V250" s="517">
        <f>IF('Loan Summary'!R250=Assumptions!$AD$3,Assumptions!$AD$25,0)</f>
        <v>0</v>
      </c>
      <c r="W250" s="517" t="e">
        <f t="shared" ca="1" si="30"/>
        <v>#N/A</v>
      </c>
    </row>
    <row r="251" spans="6:23">
      <c r="F251" s="86">
        <v>250</v>
      </c>
      <c r="G251" s="85">
        <f t="shared" si="26"/>
        <v>3260518.0724248476</v>
      </c>
      <c r="H251" s="85">
        <f t="shared" si="24"/>
        <v>21236.394865569677</v>
      </c>
      <c r="I251" s="85">
        <f t="shared" si="25"/>
        <v>14944.041165280552</v>
      </c>
      <c r="J251" s="85">
        <f t="shared" si="27"/>
        <v>6292.3537002891244</v>
      </c>
      <c r="K251" s="153">
        <f>IF('Monthly Cash Flow'!$C$88="Lender Draw",HLOOKUP(F251,'Monthly Cash Flow'!$D$79:$CP$88,10),0)</f>
        <v>0</v>
      </c>
      <c r="L251" s="83">
        <f t="shared" si="28"/>
        <v>3254225.7187245586</v>
      </c>
      <c r="R251" s="86">
        <v>250</v>
      </c>
      <c r="S251" s="517" t="e">
        <f t="shared" ca="1" si="31"/>
        <v>#N/A</v>
      </c>
      <c r="T251" s="517" t="e">
        <f t="shared" ca="1" si="29"/>
        <v>#N/A</v>
      </c>
      <c r="U251" s="517" t="e">
        <f ca="1">-IF(AND($P$5="No",HLOOKUP('Loan Summary'!$R251,'Monthly Cash Flow'!$D$6:$CP$76,63,FALSE)&gt;T251),T251,(HLOOKUP('Loan Summary'!$R251,'Monthly Cash Flow'!$D$6:$CP$76,63,FALSE)))</f>
        <v>#N/A</v>
      </c>
      <c r="V251" s="517">
        <f>IF('Loan Summary'!R251=Assumptions!$AD$3,Assumptions!$AD$25,0)</f>
        <v>0</v>
      </c>
      <c r="W251" s="517" t="e">
        <f t="shared" ca="1" si="30"/>
        <v>#N/A</v>
      </c>
    </row>
    <row r="252" spans="6:23">
      <c r="F252" s="86">
        <v>251</v>
      </c>
      <c r="G252" s="85">
        <f t="shared" si="26"/>
        <v>3254225.7187245586</v>
      </c>
      <c r="H252" s="85">
        <f t="shared" si="24"/>
        <v>21236.394865569677</v>
      </c>
      <c r="I252" s="85">
        <f t="shared" si="25"/>
        <v>14915.201210820893</v>
      </c>
      <c r="J252" s="85">
        <f t="shared" si="27"/>
        <v>6321.193654748784</v>
      </c>
      <c r="K252" s="153">
        <f>IF('Monthly Cash Flow'!$C$88="Lender Draw",HLOOKUP(F252,'Monthly Cash Flow'!$D$79:$CP$88,10),0)</f>
        <v>0</v>
      </c>
      <c r="L252" s="83">
        <f t="shared" si="28"/>
        <v>3247904.52506981</v>
      </c>
      <c r="R252" s="86">
        <v>251</v>
      </c>
      <c r="S252" s="517" t="e">
        <f t="shared" ca="1" si="31"/>
        <v>#N/A</v>
      </c>
      <c r="T252" s="517" t="e">
        <f t="shared" ca="1" si="29"/>
        <v>#N/A</v>
      </c>
      <c r="U252" s="517" t="e">
        <f ca="1">-IF(AND($P$5="No",HLOOKUP('Loan Summary'!$R252,'Monthly Cash Flow'!$D$6:$CP$76,63,FALSE)&gt;T252),T252,(HLOOKUP('Loan Summary'!$R252,'Monthly Cash Flow'!$D$6:$CP$76,63,FALSE)))</f>
        <v>#N/A</v>
      </c>
      <c r="V252" s="517">
        <f>IF('Loan Summary'!R252=Assumptions!$AD$3,Assumptions!$AD$25,0)</f>
        <v>0</v>
      </c>
      <c r="W252" s="517" t="e">
        <f t="shared" ca="1" si="30"/>
        <v>#N/A</v>
      </c>
    </row>
    <row r="253" spans="6:23">
      <c r="F253" s="86">
        <v>252</v>
      </c>
      <c r="G253" s="85">
        <f t="shared" si="26"/>
        <v>3247904.52506981</v>
      </c>
      <c r="H253" s="85">
        <f t="shared" si="24"/>
        <v>21236.394865569677</v>
      </c>
      <c r="I253" s="85">
        <f t="shared" si="25"/>
        <v>14886.229073236629</v>
      </c>
      <c r="J253" s="85">
        <f t="shared" si="27"/>
        <v>6350.1657923330476</v>
      </c>
      <c r="K253" s="153">
        <f>IF('Monthly Cash Flow'!$C$88="Lender Draw",HLOOKUP(F253,'Monthly Cash Flow'!$D$79:$CP$88,10),0)</f>
        <v>0</v>
      </c>
      <c r="L253" s="83">
        <f t="shared" si="28"/>
        <v>3241554.359277477</v>
      </c>
      <c r="R253" s="86">
        <v>252</v>
      </c>
      <c r="S253" s="517" t="e">
        <f t="shared" ca="1" si="31"/>
        <v>#N/A</v>
      </c>
      <c r="T253" s="517" t="e">
        <f t="shared" ca="1" si="29"/>
        <v>#N/A</v>
      </c>
      <c r="U253" s="517" t="e">
        <f ca="1">-IF(AND($P$5="No",HLOOKUP('Loan Summary'!$R253,'Monthly Cash Flow'!$D$6:$CP$76,63,FALSE)&gt;T253),T253,(HLOOKUP('Loan Summary'!$R253,'Monthly Cash Flow'!$D$6:$CP$76,63,FALSE)))</f>
        <v>#N/A</v>
      </c>
      <c r="V253" s="517">
        <f>IF('Loan Summary'!R253=Assumptions!$AD$3,Assumptions!$AD$25,0)</f>
        <v>0</v>
      </c>
      <c r="W253" s="517" t="e">
        <f t="shared" ca="1" si="30"/>
        <v>#N/A</v>
      </c>
    </row>
    <row r="254" spans="6:23">
      <c r="F254" s="86">
        <v>253</v>
      </c>
      <c r="G254" s="85">
        <f t="shared" si="26"/>
        <v>3241554.359277477</v>
      </c>
      <c r="H254" s="85">
        <f t="shared" si="24"/>
        <v>21236.394865569677</v>
      </c>
      <c r="I254" s="85">
        <f t="shared" si="25"/>
        <v>14857.124146688437</v>
      </c>
      <c r="J254" s="85">
        <f t="shared" si="27"/>
        <v>6379.2707188812401</v>
      </c>
      <c r="K254" s="153">
        <f>IF('Monthly Cash Flow'!$C$88="Lender Draw",HLOOKUP(F254,'Monthly Cash Flow'!$D$79:$CP$88,10),0)</f>
        <v>0</v>
      </c>
      <c r="L254" s="83">
        <f t="shared" si="28"/>
        <v>3235175.0885585956</v>
      </c>
      <c r="R254" s="86">
        <v>253</v>
      </c>
      <c r="S254" s="517" t="e">
        <f t="shared" ca="1" si="31"/>
        <v>#N/A</v>
      </c>
      <c r="T254" s="517" t="e">
        <f t="shared" ca="1" si="29"/>
        <v>#N/A</v>
      </c>
      <c r="U254" s="517" t="e">
        <f ca="1">-IF(AND($P$5="No",HLOOKUP('Loan Summary'!$R254,'Monthly Cash Flow'!$D$6:$CP$76,63,FALSE)&gt;T254),T254,(HLOOKUP('Loan Summary'!$R254,'Monthly Cash Flow'!$D$6:$CP$76,63,FALSE)))</f>
        <v>#N/A</v>
      </c>
      <c r="V254" s="517">
        <f>IF('Loan Summary'!R254=Assumptions!$AD$3,Assumptions!$AD$25,0)</f>
        <v>0</v>
      </c>
      <c r="W254" s="517" t="e">
        <f t="shared" ca="1" si="30"/>
        <v>#N/A</v>
      </c>
    </row>
    <row r="255" spans="6:23">
      <c r="F255" s="86">
        <v>254</v>
      </c>
      <c r="G255" s="85">
        <f t="shared" si="26"/>
        <v>3235175.0885585956</v>
      </c>
      <c r="H255" s="85">
        <f t="shared" si="24"/>
        <v>21236.394865569677</v>
      </c>
      <c r="I255" s="85">
        <f t="shared" si="25"/>
        <v>14827.885822560231</v>
      </c>
      <c r="J255" s="85">
        <f t="shared" si="27"/>
        <v>6408.509043009446</v>
      </c>
      <c r="K255" s="153">
        <f>IF('Monthly Cash Flow'!$C$88="Lender Draw",HLOOKUP(F255,'Monthly Cash Flow'!$D$79:$CP$88,10),0)</f>
        <v>0</v>
      </c>
      <c r="L255" s="83">
        <f t="shared" si="28"/>
        <v>3228766.5795155861</v>
      </c>
      <c r="R255" s="86">
        <v>254</v>
      </c>
      <c r="S255" s="517" t="e">
        <f t="shared" ca="1" si="31"/>
        <v>#N/A</v>
      </c>
      <c r="T255" s="517" t="e">
        <f t="shared" ca="1" si="29"/>
        <v>#N/A</v>
      </c>
      <c r="U255" s="517" t="e">
        <f ca="1">-IF(AND($P$5="No",HLOOKUP('Loan Summary'!$R255,'Monthly Cash Flow'!$D$6:$CP$76,63,FALSE)&gt;T255),T255,(HLOOKUP('Loan Summary'!$R255,'Monthly Cash Flow'!$D$6:$CP$76,63,FALSE)))</f>
        <v>#N/A</v>
      </c>
      <c r="V255" s="517">
        <f>IF('Loan Summary'!R255=Assumptions!$AD$3,Assumptions!$AD$25,0)</f>
        <v>0</v>
      </c>
      <c r="W255" s="517" t="e">
        <f t="shared" ca="1" si="30"/>
        <v>#N/A</v>
      </c>
    </row>
    <row r="256" spans="6:23">
      <c r="F256" s="86">
        <v>255</v>
      </c>
      <c r="G256" s="85">
        <f t="shared" si="26"/>
        <v>3228766.5795155861</v>
      </c>
      <c r="H256" s="85">
        <f t="shared" si="24"/>
        <v>21236.394865569677</v>
      </c>
      <c r="I256" s="85">
        <f t="shared" si="25"/>
        <v>14798.513489446437</v>
      </c>
      <c r="J256" s="85">
        <f t="shared" si="27"/>
        <v>6437.8813761232395</v>
      </c>
      <c r="K256" s="153">
        <f>IF('Monthly Cash Flow'!$C$88="Lender Draw",HLOOKUP(F256,'Monthly Cash Flow'!$D$79:$CP$88,10),0)</f>
        <v>0</v>
      </c>
      <c r="L256" s="83">
        <f t="shared" si="28"/>
        <v>3222328.6981394631</v>
      </c>
      <c r="R256" s="86">
        <v>255</v>
      </c>
      <c r="S256" s="517" t="e">
        <f t="shared" ca="1" si="31"/>
        <v>#N/A</v>
      </c>
      <c r="T256" s="517" t="e">
        <f t="shared" ca="1" si="29"/>
        <v>#N/A</v>
      </c>
      <c r="U256" s="517" t="e">
        <f ca="1">-IF(AND($P$5="No",HLOOKUP('Loan Summary'!$R256,'Monthly Cash Flow'!$D$6:$CP$76,63,FALSE)&gt;T256),T256,(HLOOKUP('Loan Summary'!$R256,'Monthly Cash Flow'!$D$6:$CP$76,63,FALSE)))</f>
        <v>#N/A</v>
      </c>
      <c r="V256" s="517">
        <f>IF('Loan Summary'!R256=Assumptions!$AD$3,Assumptions!$AD$25,0)</f>
        <v>0</v>
      </c>
      <c r="W256" s="517" t="e">
        <f t="shared" ca="1" si="30"/>
        <v>#N/A</v>
      </c>
    </row>
    <row r="257" spans="6:23">
      <c r="F257" s="86">
        <v>256</v>
      </c>
      <c r="G257" s="85">
        <f t="shared" si="26"/>
        <v>3222328.6981394631</v>
      </c>
      <c r="H257" s="85">
        <f t="shared" si="24"/>
        <v>21236.394865569677</v>
      </c>
      <c r="I257" s="85">
        <f t="shared" si="25"/>
        <v>14769.006533139205</v>
      </c>
      <c r="J257" s="85">
        <f t="shared" si="27"/>
        <v>6467.3883324304716</v>
      </c>
      <c r="K257" s="153">
        <f>IF('Monthly Cash Flow'!$C$88="Lender Draw",HLOOKUP(F257,'Monthly Cash Flow'!$D$79:$CP$88,10),0)</f>
        <v>0</v>
      </c>
      <c r="L257" s="83">
        <f t="shared" si="28"/>
        <v>3215861.3098070328</v>
      </c>
      <c r="R257" s="86">
        <v>256</v>
      </c>
      <c r="S257" s="517" t="e">
        <f t="shared" ca="1" si="31"/>
        <v>#N/A</v>
      </c>
      <c r="T257" s="517" t="e">
        <f t="shared" ca="1" si="29"/>
        <v>#N/A</v>
      </c>
      <c r="U257" s="517" t="e">
        <f ca="1">-IF(AND($P$5="No",HLOOKUP('Loan Summary'!$R257,'Monthly Cash Flow'!$D$6:$CP$76,63,FALSE)&gt;T257),T257,(HLOOKUP('Loan Summary'!$R257,'Monthly Cash Flow'!$D$6:$CP$76,63,FALSE)))</f>
        <v>#N/A</v>
      </c>
      <c r="V257" s="517">
        <f>IF('Loan Summary'!R257=Assumptions!$AD$3,Assumptions!$AD$25,0)</f>
        <v>0</v>
      </c>
      <c r="W257" s="517" t="e">
        <f t="shared" ca="1" si="30"/>
        <v>#N/A</v>
      </c>
    </row>
    <row r="258" spans="6:23">
      <c r="F258" s="86">
        <v>257</v>
      </c>
      <c r="G258" s="85">
        <f t="shared" si="26"/>
        <v>3215861.3098070328</v>
      </c>
      <c r="H258" s="85">
        <f t="shared" ref="H258:H321" si="32">IF(F258&lt;$C$16,IF(F258&gt;$C$6,-PMT(($C$3/12),$C$4,$C$2),I258),-PMT($C$10/12,$C$11,$C$9))</f>
        <v>21236.394865569677</v>
      </c>
      <c r="I258" s="85">
        <f t="shared" ref="I258:I321" si="33">IF(F258&lt;$C$16,G258*($C$3/12),G258*($C$10/12))</f>
        <v>14739.364336615567</v>
      </c>
      <c r="J258" s="85">
        <f t="shared" si="27"/>
        <v>6497.0305289541102</v>
      </c>
      <c r="K258" s="153">
        <f>IF('Monthly Cash Flow'!$C$88="Lender Draw",HLOOKUP(F258,'Monthly Cash Flow'!$D$79:$CP$88,10),0)</f>
        <v>0</v>
      </c>
      <c r="L258" s="83">
        <f t="shared" si="28"/>
        <v>3209364.2792780786</v>
      </c>
      <c r="R258" s="86">
        <v>257</v>
      </c>
      <c r="S258" s="517" t="e">
        <f t="shared" ca="1" si="31"/>
        <v>#N/A</v>
      </c>
      <c r="T258" s="517" t="e">
        <f t="shared" ca="1" si="29"/>
        <v>#N/A</v>
      </c>
      <c r="U258" s="517" t="e">
        <f ca="1">-IF(AND($P$5="No",HLOOKUP('Loan Summary'!$R258,'Monthly Cash Flow'!$D$6:$CP$76,63,FALSE)&gt;T258),T258,(HLOOKUP('Loan Summary'!$R258,'Monthly Cash Flow'!$D$6:$CP$76,63,FALSE)))</f>
        <v>#N/A</v>
      </c>
      <c r="V258" s="517">
        <f>IF('Loan Summary'!R258=Assumptions!$AD$3,Assumptions!$AD$25,0)</f>
        <v>0</v>
      </c>
      <c r="W258" s="517" t="e">
        <f t="shared" ca="1" si="30"/>
        <v>#N/A</v>
      </c>
    </row>
    <row r="259" spans="6:23">
      <c r="F259" s="86">
        <v>258</v>
      </c>
      <c r="G259" s="85">
        <f t="shared" ref="G259:G322" si="34">IF(F259&lt;$C$16,L258,IF(F259=$C$16,$C$9,L258))</f>
        <v>3209364.2792780786</v>
      </c>
      <c r="H259" s="85">
        <f t="shared" si="32"/>
        <v>21236.394865569677</v>
      </c>
      <c r="I259" s="85">
        <f t="shared" si="33"/>
        <v>14709.586280024527</v>
      </c>
      <c r="J259" s="85">
        <f t="shared" ref="J259:J322" si="35">IF(F259&lt;$C$16,IF(F259&lt;=$C$6,0,H259-I259),IF(F259&lt;=$C$16+$C$13,0,H259-I259))</f>
        <v>6526.80858554515</v>
      </c>
      <c r="K259" s="153">
        <f>IF('Monthly Cash Flow'!$C$88="Lender Draw",HLOOKUP(F259,'Monthly Cash Flow'!$D$79:$CP$88,10),0)</f>
        <v>0</v>
      </c>
      <c r="L259" s="83">
        <f t="shared" ref="L259:L322" si="36">G259-J259+K259</f>
        <v>3202837.4706925335</v>
      </c>
      <c r="R259" s="86">
        <v>258</v>
      </c>
      <c r="S259" s="517" t="e">
        <f t="shared" ca="1" si="31"/>
        <v>#N/A</v>
      </c>
      <c r="T259" s="517" t="e">
        <f t="shared" ref="T259:T322" ca="1" si="37">(S259*$P$3)/12</f>
        <v>#N/A</v>
      </c>
      <c r="U259" s="517" t="e">
        <f ca="1">-IF(AND($P$5="No",HLOOKUP('Loan Summary'!$R259,'Monthly Cash Flow'!$D$6:$CP$76,63,FALSE)&gt;T259),T259,(HLOOKUP('Loan Summary'!$R259,'Monthly Cash Flow'!$D$6:$CP$76,63,FALSE)))</f>
        <v>#N/A</v>
      </c>
      <c r="V259" s="517">
        <f>IF('Loan Summary'!R259=Assumptions!$AD$3,Assumptions!$AD$25,0)</f>
        <v>0</v>
      </c>
      <c r="W259" s="517" t="e">
        <f t="shared" ref="W259:W322" ca="1" si="38">S259+T259+U259+V259</f>
        <v>#N/A</v>
      </c>
    </row>
    <row r="260" spans="6:23">
      <c r="F260" s="86">
        <v>259</v>
      </c>
      <c r="G260" s="85">
        <f t="shared" si="34"/>
        <v>3202837.4706925335</v>
      </c>
      <c r="H260" s="85">
        <f t="shared" si="32"/>
        <v>21236.394865569677</v>
      </c>
      <c r="I260" s="85">
        <f t="shared" si="33"/>
        <v>14679.671740674112</v>
      </c>
      <c r="J260" s="85">
        <f t="shared" si="35"/>
        <v>6556.723124895565</v>
      </c>
      <c r="K260" s="153">
        <f>IF('Monthly Cash Flow'!$C$88="Lender Draw",HLOOKUP(F260,'Monthly Cash Flow'!$D$79:$CP$88,10),0)</f>
        <v>0</v>
      </c>
      <c r="L260" s="83">
        <f t="shared" si="36"/>
        <v>3196280.7475676378</v>
      </c>
      <c r="R260" s="86">
        <v>259</v>
      </c>
      <c r="S260" s="517" t="e">
        <f t="shared" ref="S260:S323" ca="1" si="39">W259</f>
        <v>#N/A</v>
      </c>
      <c r="T260" s="517" t="e">
        <f t="shared" ca="1" si="37"/>
        <v>#N/A</v>
      </c>
      <c r="U260" s="517" t="e">
        <f ca="1">-IF(AND($P$5="No",HLOOKUP('Loan Summary'!$R260,'Monthly Cash Flow'!$D$6:$CP$76,63,FALSE)&gt;T260),T260,(HLOOKUP('Loan Summary'!$R260,'Monthly Cash Flow'!$D$6:$CP$76,63,FALSE)))</f>
        <v>#N/A</v>
      </c>
      <c r="V260" s="517">
        <f>IF('Loan Summary'!R260=Assumptions!$AD$3,Assumptions!$AD$25,0)</f>
        <v>0</v>
      </c>
      <c r="W260" s="517" t="e">
        <f t="shared" ca="1" si="38"/>
        <v>#N/A</v>
      </c>
    </row>
    <row r="261" spans="6:23">
      <c r="F261" s="86">
        <v>260</v>
      </c>
      <c r="G261" s="85">
        <f t="shared" si="34"/>
        <v>3196280.7475676378</v>
      </c>
      <c r="H261" s="85">
        <f t="shared" si="32"/>
        <v>21236.394865569677</v>
      </c>
      <c r="I261" s="85">
        <f t="shared" si="33"/>
        <v>14649.62009301834</v>
      </c>
      <c r="J261" s="85">
        <f t="shared" si="35"/>
        <v>6586.7747725513364</v>
      </c>
      <c r="K261" s="153">
        <f>IF('Monthly Cash Flow'!$C$88="Lender Draw",HLOOKUP(F261,'Monthly Cash Flow'!$D$79:$CP$88,10),0)</f>
        <v>0</v>
      </c>
      <c r="L261" s="83">
        <f t="shared" si="36"/>
        <v>3189693.9727950864</v>
      </c>
      <c r="R261" s="86">
        <v>260</v>
      </c>
      <c r="S261" s="517" t="e">
        <f t="shared" ca="1" si="39"/>
        <v>#N/A</v>
      </c>
      <c r="T261" s="517" t="e">
        <f t="shared" ca="1" si="37"/>
        <v>#N/A</v>
      </c>
      <c r="U261" s="517" t="e">
        <f ca="1">-IF(AND($P$5="No",HLOOKUP('Loan Summary'!$R261,'Monthly Cash Flow'!$D$6:$CP$76,63,FALSE)&gt;T261),T261,(HLOOKUP('Loan Summary'!$R261,'Monthly Cash Flow'!$D$6:$CP$76,63,FALSE)))</f>
        <v>#N/A</v>
      </c>
      <c r="V261" s="517">
        <f>IF('Loan Summary'!R261=Assumptions!$AD$3,Assumptions!$AD$25,0)</f>
        <v>0</v>
      </c>
      <c r="W261" s="517" t="e">
        <f t="shared" ca="1" si="38"/>
        <v>#N/A</v>
      </c>
    </row>
    <row r="262" spans="6:23">
      <c r="F262" s="86">
        <v>261</v>
      </c>
      <c r="G262" s="85">
        <f t="shared" si="34"/>
        <v>3189693.9727950864</v>
      </c>
      <c r="H262" s="85">
        <f t="shared" si="32"/>
        <v>21236.394865569677</v>
      </c>
      <c r="I262" s="85">
        <f t="shared" si="33"/>
        <v>14619.430708644146</v>
      </c>
      <c r="J262" s="85">
        <f t="shared" si="35"/>
        <v>6616.9641569255309</v>
      </c>
      <c r="K262" s="153">
        <f>IF('Monthly Cash Flow'!$C$88="Lender Draw",HLOOKUP(F262,'Monthly Cash Flow'!$D$79:$CP$88,10),0)</f>
        <v>0</v>
      </c>
      <c r="L262" s="83">
        <f t="shared" si="36"/>
        <v>3183077.0086381608</v>
      </c>
      <c r="R262" s="86">
        <v>261</v>
      </c>
      <c r="S262" s="517" t="e">
        <f t="shared" ca="1" si="39"/>
        <v>#N/A</v>
      </c>
      <c r="T262" s="517" t="e">
        <f t="shared" ca="1" si="37"/>
        <v>#N/A</v>
      </c>
      <c r="U262" s="517" t="e">
        <f ca="1">-IF(AND($P$5="No",HLOOKUP('Loan Summary'!$R262,'Monthly Cash Flow'!$D$6:$CP$76,63,FALSE)&gt;T262),T262,(HLOOKUP('Loan Summary'!$R262,'Monthly Cash Flow'!$D$6:$CP$76,63,FALSE)))</f>
        <v>#N/A</v>
      </c>
      <c r="V262" s="517">
        <f>IF('Loan Summary'!R262=Assumptions!$AD$3,Assumptions!$AD$25,0)</f>
        <v>0</v>
      </c>
      <c r="W262" s="517" t="e">
        <f t="shared" ca="1" si="38"/>
        <v>#N/A</v>
      </c>
    </row>
    <row r="263" spans="6:23">
      <c r="F263" s="86">
        <v>262</v>
      </c>
      <c r="G263" s="85">
        <f t="shared" si="34"/>
        <v>3183077.0086381608</v>
      </c>
      <c r="H263" s="85">
        <f t="shared" si="32"/>
        <v>21236.394865569677</v>
      </c>
      <c r="I263" s="85">
        <f t="shared" si="33"/>
        <v>14589.102956258237</v>
      </c>
      <c r="J263" s="85">
        <f t="shared" si="35"/>
        <v>6647.2919093114397</v>
      </c>
      <c r="K263" s="153">
        <f>IF('Monthly Cash Flow'!$C$88="Lender Draw",HLOOKUP(F263,'Monthly Cash Flow'!$D$79:$CP$88,10),0)</f>
        <v>0</v>
      </c>
      <c r="L263" s="83">
        <f t="shared" si="36"/>
        <v>3176429.7167288493</v>
      </c>
      <c r="R263" s="86">
        <v>262</v>
      </c>
      <c r="S263" s="517" t="e">
        <f t="shared" ca="1" si="39"/>
        <v>#N/A</v>
      </c>
      <c r="T263" s="517" t="e">
        <f t="shared" ca="1" si="37"/>
        <v>#N/A</v>
      </c>
      <c r="U263" s="517" t="e">
        <f ca="1">-IF(AND($P$5="No",HLOOKUP('Loan Summary'!$R263,'Monthly Cash Flow'!$D$6:$CP$76,63,FALSE)&gt;T263),T263,(HLOOKUP('Loan Summary'!$R263,'Monthly Cash Flow'!$D$6:$CP$76,63,FALSE)))</f>
        <v>#N/A</v>
      </c>
      <c r="V263" s="517">
        <f>IF('Loan Summary'!R263=Assumptions!$AD$3,Assumptions!$AD$25,0)</f>
        <v>0</v>
      </c>
      <c r="W263" s="517" t="e">
        <f t="shared" ca="1" si="38"/>
        <v>#N/A</v>
      </c>
    </row>
    <row r="264" spans="6:23">
      <c r="F264" s="86">
        <v>263</v>
      </c>
      <c r="G264" s="85">
        <f t="shared" si="34"/>
        <v>3176429.7167288493</v>
      </c>
      <c r="H264" s="85">
        <f t="shared" si="32"/>
        <v>21236.394865569677</v>
      </c>
      <c r="I264" s="85">
        <f t="shared" si="33"/>
        <v>14558.636201673893</v>
      </c>
      <c r="J264" s="85">
        <f t="shared" si="35"/>
        <v>6677.7586638957837</v>
      </c>
      <c r="K264" s="153">
        <f>IF('Monthly Cash Flow'!$C$88="Lender Draw",HLOOKUP(F264,'Monthly Cash Flow'!$D$79:$CP$88,10),0)</f>
        <v>0</v>
      </c>
      <c r="L264" s="83">
        <f t="shared" si="36"/>
        <v>3169751.9580649533</v>
      </c>
      <c r="R264" s="86">
        <v>263</v>
      </c>
      <c r="S264" s="517" t="e">
        <f t="shared" ca="1" si="39"/>
        <v>#N/A</v>
      </c>
      <c r="T264" s="517" t="e">
        <f t="shared" ca="1" si="37"/>
        <v>#N/A</v>
      </c>
      <c r="U264" s="517" t="e">
        <f ca="1">-IF(AND($P$5="No",HLOOKUP('Loan Summary'!$R264,'Monthly Cash Flow'!$D$6:$CP$76,63,FALSE)&gt;T264),T264,(HLOOKUP('Loan Summary'!$R264,'Monthly Cash Flow'!$D$6:$CP$76,63,FALSE)))</f>
        <v>#N/A</v>
      </c>
      <c r="V264" s="517">
        <f>IF('Loan Summary'!R264=Assumptions!$AD$3,Assumptions!$AD$25,0)</f>
        <v>0</v>
      </c>
      <c r="W264" s="517" t="e">
        <f t="shared" ca="1" si="38"/>
        <v>#N/A</v>
      </c>
    </row>
    <row r="265" spans="6:23">
      <c r="F265" s="86">
        <v>264</v>
      </c>
      <c r="G265" s="85">
        <f t="shared" si="34"/>
        <v>3169751.9580649533</v>
      </c>
      <c r="H265" s="85">
        <f t="shared" si="32"/>
        <v>21236.394865569677</v>
      </c>
      <c r="I265" s="85">
        <f t="shared" si="33"/>
        <v>14528.029807797702</v>
      </c>
      <c r="J265" s="85">
        <f t="shared" si="35"/>
        <v>6708.3650577719745</v>
      </c>
      <c r="K265" s="153">
        <f>IF('Monthly Cash Flow'!$C$88="Lender Draw",HLOOKUP(F265,'Monthly Cash Flow'!$D$79:$CP$88,10),0)</f>
        <v>0</v>
      </c>
      <c r="L265" s="83">
        <f t="shared" si="36"/>
        <v>3163043.5930071813</v>
      </c>
      <c r="R265" s="86">
        <v>264</v>
      </c>
      <c r="S265" s="517" t="e">
        <f t="shared" ca="1" si="39"/>
        <v>#N/A</v>
      </c>
      <c r="T265" s="517" t="e">
        <f t="shared" ca="1" si="37"/>
        <v>#N/A</v>
      </c>
      <c r="U265" s="517" t="e">
        <f ca="1">-IF(AND($P$5="No",HLOOKUP('Loan Summary'!$R265,'Monthly Cash Flow'!$D$6:$CP$76,63,FALSE)&gt;T265),T265,(HLOOKUP('Loan Summary'!$R265,'Monthly Cash Flow'!$D$6:$CP$76,63,FALSE)))</f>
        <v>#N/A</v>
      </c>
      <c r="V265" s="517">
        <f>IF('Loan Summary'!R265=Assumptions!$AD$3,Assumptions!$AD$25,0)</f>
        <v>0</v>
      </c>
      <c r="W265" s="517" t="e">
        <f t="shared" ca="1" si="38"/>
        <v>#N/A</v>
      </c>
    </row>
    <row r="266" spans="6:23">
      <c r="F266" s="86">
        <v>265</v>
      </c>
      <c r="G266" s="85">
        <f t="shared" si="34"/>
        <v>3163043.5930071813</v>
      </c>
      <c r="H266" s="85">
        <f t="shared" si="32"/>
        <v>21236.394865569677</v>
      </c>
      <c r="I266" s="85">
        <f t="shared" si="33"/>
        <v>14497.283134616247</v>
      </c>
      <c r="J266" s="85">
        <f t="shared" si="35"/>
        <v>6739.1117309534293</v>
      </c>
      <c r="K266" s="153">
        <f>IF('Monthly Cash Flow'!$C$88="Lender Draw",HLOOKUP(F266,'Monthly Cash Flow'!$D$79:$CP$88,10),0)</f>
        <v>0</v>
      </c>
      <c r="L266" s="83">
        <f t="shared" si="36"/>
        <v>3156304.4812762281</v>
      </c>
      <c r="R266" s="86">
        <v>265</v>
      </c>
      <c r="S266" s="517" t="e">
        <f t="shared" ca="1" si="39"/>
        <v>#N/A</v>
      </c>
      <c r="T266" s="517" t="e">
        <f t="shared" ca="1" si="37"/>
        <v>#N/A</v>
      </c>
      <c r="U266" s="517" t="e">
        <f ca="1">-IF(AND($P$5="No",HLOOKUP('Loan Summary'!$R266,'Monthly Cash Flow'!$D$6:$CP$76,63,FALSE)&gt;T266),T266,(HLOOKUP('Loan Summary'!$R266,'Monthly Cash Flow'!$D$6:$CP$76,63,FALSE)))</f>
        <v>#N/A</v>
      </c>
      <c r="V266" s="517">
        <f>IF('Loan Summary'!R266=Assumptions!$AD$3,Assumptions!$AD$25,0)</f>
        <v>0</v>
      </c>
      <c r="W266" s="517" t="e">
        <f t="shared" ca="1" si="38"/>
        <v>#N/A</v>
      </c>
    </row>
    <row r="267" spans="6:23">
      <c r="F267" s="86">
        <v>266</v>
      </c>
      <c r="G267" s="85">
        <f t="shared" si="34"/>
        <v>3156304.4812762281</v>
      </c>
      <c r="H267" s="85">
        <f t="shared" si="32"/>
        <v>21236.394865569677</v>
      </c>
      <c r="I267" s="85">
        <f t="shared" si="33"/>
        <v>14466.395539182713</v>
      </c>
      <c r="J267" s="85">
        <f t="shared" si="35"/>
        <v>6769.9993263869637</v>
      </c>
      <c r="K267" s="153">
        <f>IF('Monthly Cash Flow'!$C$88="Lender Draw",HLOOKUP(F267,'Monthly Cash Flow'!$D$79:$CP$88,10),0)</f>
        <v>0</v>
      </c>
      <c r="L267" s="83">
        <f t="shared" si="36"/>
        <v>3149534.4819498411</v>
      </c>
      <c r="R267" s="86">
        <v>266</v>
      </c>
      <c r="S267" s="517" t="e">
        <f t="shared" ca="1" si="39"/>
        <v>#N/A</v>
      </c>
      <c r="T267" s="517" t="e">
        <f t="shared" ca="1" si="37"/>
        <v>#N/A</v>
      </c>
      <c r="U267" s="517" t="e">
        <f ca="1">-IF(AND($P$5="No",HLOOKUP('Loan Summary'!$R267,'Monthly Cash Flow'!$D$6:$CP$76,63,FALSE)&gt;T267),T267,(HLOOKUP('Loan Summary'!$R267,'Monthly Cash Flow'!$D$6:$CP$76,63,FALSE)))</f>
        <v>#N/A</v>
      </c>
      <c r="V267" s="517">
        <f>IF('Loan Summary'!R267=Assumptions!$AD$3,Assumptions!$AD$25,0)</f>
        <v>0</v>
      </c>
      <c r="W267" s="517" t="e">
        <f t="shared" ca="1" si="38"/>
        <v>#N/A</v>
      </c>
    </row>
    <row r="268" spans="6:23">
      <c r="F268" s="86">
        <v>267</v>
      </c>
      <c r="G268" s="85">
        <f t="shared" si="34"/>
        <v>3149534.4819498411</v>
      </c>
      <c r="H268" s="85">
        <f t="shared" si="32"/>
        <v>21236.394865569677</v>
      </c>
      <c r="I268" s="85">
        <f t="shared" si="33"/>
        <v>14435.366375603438</v>
      </c>
      <c r="J268" s="85">
        <f t="shared" si="35"/>
        <v>6801.0284899662383</v>
      </c>
      <c r="K268" s="153">
        <f>IF('Monthly Cash Flow'!$C$88="Lender Draw",HLOOKUP(F268,'Monthly Cash Flow'!$D$79:$CP$88,10),0)</f>
        <v>0</v>
      </c>
      <c r="L268" s="83">
        <f t="shared" si="36"/>
        <v>3142733.4534598747</v>
      </c>
      <c r="R268" s="86">
        <v>267</v>
      </c>
      <c r="S268" s="517" t="e">
        <f t="shared" ca="1" si="39"/>
        <v>#N/A</v>
      </c>
      <c r="T268" s="517" t="e">
        <f t="shared" ca="1" si="37"/>
        <v>#N/A</v>
      </c>
      <c r="U268" s="517" t="e">
        <f ca="1">-IF(AND($P$5="No",HLOOKUP('Loan Summary'!$R268,'Monthly Cash Flow'!$D$6:$CP$76,63,FALSE)&gt;T268),T268,(HLOOKUP('Loan Summary'!$R268,'Monthly Cash Flow'!$D$6:$CP$76,63,FALSE)))</f>
        <v>#N/A</v>
      </c>
      <c r="V268" s="517">
        <f>IF('Loan Summary'!R268=Assumptions!$AD$3,Assumptions!$AD$25,0)</f>
        <v>0</v>
      </c>
      <c r="W268" s="517" t="e">
        <f t="shared" ca="1" si="38"/>
        <v>#N/A</v>
      </c>
    </row>
    <row r="269" spans="6:23">
      <c r="F269" s="86">
        <v>268</v>
      </c>
      <c r="G269" s="85">
        <f t="shared" si="34"/>
        <v>3142733.4534598747</v>
      </c>
      <c r="H269" s="85">
        <f t="shared" si="32"/>
        <v>21236.394865569677</v>
      </c>
      <c r="I269" s="85">
        <f t="shared" si="33"/>
        <v>14404.194995024425</v>
      </c>
      <c r="J269" s="85">
        <f t="shared" si="35"/>
        <v>6832.1998705452515</v>
      </c>
      <c r="K269" s="153">
        <f>IF('Monthly Cash Flow'!$C$88="Lender Draw",HLOOKUP(F269,'Monthly Cash Flow'!$D$79:$CP$88,10),0)</f>
        <v>0</v>
      </c>
      <c r="L269" s="83">
        <f t="shared" si="36"/>
        <v>3135901.2535893293</v>
      </c>
      <c r="R269" s="86">
        <v>268</v>
      </c>
      <c r="S269" s="517" t="e">
        <f t="shared" ca="1" si="39"/>
        <v>#N/A</v>
      </c>
      <c r="T269" s="517" t="e">
        <f t="shared" ca="1" si="37"/>
        <v>#N/A</v>
      </c>
      <c r="U269" s="517" t="e">
        <f ca="1">-IF(AND($P$5="No",HLOOKUP('Loan Summary'!$R269,'Monthly Cash Flow'!$D$6:$CP$76,63,FALSE)&gt;T269),T269,(HLOOKUP('Loan Summary'!$R269,'Monthly Cash Flow'!$D$6:$CP$76,63,FALSE)))</f>
        <v>#N/A</v>
      </c>
      <c r="V269" s="517">
        <f>IF('Loan Summary'!R269=Assumptions!$AD$3,Assumptions!$AD$25,0)</f>
        <v>0</v>
      </c>
      <c r="W269" s="517" t="e">
        <f t="shared" ca="1" si="38"/>
        <v>#N/A</v>
      </c>
    </row>
    <row r="270" spans="6:23">
      <c r="F270" s="86">
        <v>269</v>
      </c>
      <c r="G270" s="85">
        <f t="shared" si="34"/>
        <v>3135901.2535893293</v>
      </c>
      <c r="H270" s="85">
        <f t="shared" si="32"/>
        <v>21236.394865569677</v>
      </c>
      <c r="I270" s="85">
        <f t="shared" si="33"/>
        <v>14372.88074561776</v>
      </c>
      <c r="J270" s="85">
        <f t="shared" si="35"/>
        <v>6863.5141199519167</v>
      </c>
      <c r="K270" s="153">
        <f>IF('Monthly Cash Flow'!$C$88="Lender Draw",HLOOKUP(F270,'Monthly Cash Flow'!$D$79:$CP$88,10),0)</f>
        <v>0</v>
      </c>
      <c r="L270" s="83">
        <f t="shared" si="36"/>
        <v>3129037.7394693773</v>
      </c>
      <c r="R270" s="86">
        <v>269</v>
      </c>
      <c r="S270" s="517" t="e">
        <f t="shared" ca="1" si="39"/>
        <v>#N/A</v>
      </c>
      <c r="T270" s="517" t="e">
        <f t="shared" ca="1" si="37"/>
        <v>#N/A</v>
      </c>
      <c r="U270" s="517" t="e">
        <f ca="1">-IF(AND($P$5="No",HLOOKUP('Loan Summary'!$R270,'Monthly Cash Flow'!$D$6:$CP$76,63,FALSE)&gt;T270),T270,(HLOOKUP('Loan Summary'!$R270,'Monthly Cash Flow'!$D$6:$CP$76,63,FALSE)))</f>
        <v>#N/A</v>
      </c>
      <c r="V270" s="517">
        <f>IF('Loan Summary'!R270=Assumptions!$AD$3,Assumptions!$AD$25,0)</f>
        <v>0</v>
      </c>
      <c r="W270" s="517" t="e">
        <f t="shared" ca="1" si="38"/>
        <v>#N/A</v>
      </c>
    </row>
    <row r="271" spans="6:23">
      <c r="F271" s="86">
        <v>270</v>
      </c>
      <c r="G271" s="85">
        <f t="shared" si="34"/>
        <v>3129037.7394693773</v>
      </c>
      <c r="H271" s="85">
        <f t="shared" si="32"/>
        <v>21236.394865569677</v>
      </c>
      <c r="I271" s="85">
        <f t="shared" si="33"/>
        <v>14341.42297256798</v>
      </c>
      <c r="J271" s="85">
        <f t="shared" si="35"/>
        <v>6894.971893001697</v>
      </c>
      <c r="K271" s="153">
        <f>IF('Monthly Cash Flow'!$C$88="Lender Draw",HLOOKUP(F271,'Monthly Cash Flow'!$D$79:$CP$88,10),0)</f>
        <v>0</v>
      </c>
      <c r="L271" s="83">
        <f t="shared" si="36"/>
        <v>3122142.7675763755</v>
      </c>
      <c r="R271" s="86">
        <v>270</v>
      </c>
      <c r="S271" s="517" t="e">
        <f t="shared" ca="1" si="39"/>
        <v>#N/A</v>
      </c>
      <c r="T271" s="517" t="e">
        <f t="shared" ca="1" si="37"/>
        <v>#N/A</v>
      </c>
      <c r="U271" s="517" t="e">
        <f ca="1">-IF(AND($P$5="No",HLOOKUP('Loan Summary'!$R271,'Monthly Cash Flow'!$D$6:$CP$76,63,FALSE)&gt;T271),T271,(HLOOKUP('Loan Summary'!$R271,'Monthly Cash Flow'!$D$6:$CP$76,63,FALSE)))</f>
        <v>#N/A</v>
      </c>
      <c r="V271" s="517">
        <f>IF('Loan Summary'!R271=Assumptions!$AD$3,Assumptions!$AD$25,0)</f>
        <v>0</v>
      </c>
      <c r="W271" s="517" t="e">
        <f t="shared" ca="1" si="38"/>
        <v>#N/A</v>
      </c>
    </row>
    <row r="272" spans="6:23">
      <c r="F272" s="86">
        <v>271</v>
      </c>
      <c r="G272" s="85">
        <f t="shared" si="34"/>
        <v>3122142.7675763755</v>
      </c>
      <c r="H272" s="85">
        <f t="shared" si="32"/>
        <v>21236.394865569677</v>
      </c>
      <c r="I272" s="85">
        <f t="shared" si="33"/>
        <v>14309.821018058388</v>
      </c>
      <c r="J272" s="85">
        <f t="shared" si="35"/>
        <v>6926.5738475112885</v>
      </c>
      <c r="K272" s="153">
        <f>IF('Monthly Cash Flow'!$C$88="Lender Draw",HLOOKUP(F272,'Monthly Cash Flow'!$D$79:$CP$88,10),0)</f>
        <v>0</v>
      </c>
      <c r="L272" s="83">
        <f t="shared" si="36"/>
        <v>3115216.1937288642</v>
      </c>
      <c r="R272" s="86">
        <v>271</v>
      </c>
      <c r="S272" s="517" t="e">
        <f t="shared" ca="1" si="39"/>
        <v>#N/A</v>
      </c>
      <c r="T272" s="517" t="e">
        <f t="shared" ca="1" si="37"/>
        <v>#N/A</v>
      </c>
      <c r="U272" s="517" t="e">
        <f ca="1">-IF(AND($P$5="No",HLOOKUP('Loan Summary'!$R272,'Monthly Cash Flow'!$D$6:$CP$76,63,FALSE)&gt;T272),T272,(HLOOKUP('Loan Summary'!$R272,'Monthly Cash Flow'!$D$6:$CP$76,63,FALSE)))</f>
        <v>#N/A</v>
      </c>
      <c r="V272" s="517">
        <f>IF('Loan Summary'!R272=Assumptions!$AD$3,Assumptions!$AD$25,0)</f>
        <v>0</v>
      </c>
      <c r="W272" s="517" t="e">
        <f t="shared" ca="1" si="38"/>
        <v>#N/A</v>
      </c>
    </row>
    <row r="273" spans="6:23">
      <c r="F273" s="86">
        <v>272</v>
      </c>
      <c r="G273" s="85">
        <f t="shared" si="34"/>
        <v>3115216.1937288642</v>
      </c>
      <c r="H273" s="85">
        <f t="shared" si="32"/>
        <v>21236.394865569677</v>
      </c>
      <c r="I273" s="85">
        <f t="shared" si="33"/>
        <v>14278.074221257295</v>
      </c>
      <c r="J273" s="85">
        <f t="shared" si="35"/>
        <v>6958.3206443123818</v>
      </c>
      <c r="K273" s="153">
        <f>IF('Monthly Cash Flow'!$C$88="Lender Draw",HLOOKUP(F273,'Monthly Cash Flow'!$D$79:$CP$88,10),0)</f>
        <v>0</v>
      </c>
      <c r="L273" s="83">
        <f t="shared" si="36"/>
        <v>3108257.8730845517</v>
      </c>
      <c r="R273" s="86">
        <v>272</v>
      </c>
      <c r="S273" s="517" t="e">
        <f t="shared" ca="1" si="39"/>
        <v>#N/A</v>
      </c>
      <c r="T273" s="517" t="e">
        <f t="shared" ca="1" si="37"/>
        <v>#N/A</v>
      </c>
      <c r="U273" s="517" t="e">
        <f ca="1">-IF(AND($P$5="No",HLOOKUP('Loan Summary'!$R273,'Monthly Cash Flow'!$D$6:$CP$76,63,FALSE)&gt;T273),T273,(HLOOKUP('Loan Summary'!$R273,'Monthly Cash Flow'!$D$6:$CP$76,63,FALSE)))</f>
        <v>#N/A</v>
      </c>
      <c r="V273" s="517">
        <f>IF('Loan Summary'!R273=Assumptions!$AD$3,Assumptions!$AD$25,0)</f>
        <v>0</v>
      </c>
      <c r="W273" s="517" t="e">
        <f t="shared" ca="1" si="38"/>
        <v>#N/A</v>
      </c>
    </row>
    <row r="274" spans="6:23">
      <c r="F274" s="86">
        <v>273</v>
      </c>
      <c r="G274" s="85">
        <f t="shared" si="34"/>
        <v>3108257.8730845517</v>
      </c>
      <c r="H274" s="85">
        <f t="shared" si="32"/>
        <v>21236.394865569677</v>
      </c>
      <c r="I274" s="85">
        <f t="shared" si="33"/>
        <v>14246.181918304195</v>
      </c>
      <c r="J274" s="85">
        <f t="shared" si="35"/>
        <v>6990.2129472654815</v>
      </c>
      <c r="K274" s="153">
        <f>IF('Monthly Cash Flow'!$C$88="Lender Draw",HLOOKUP(F274,'Monthly Cash Flow'!$D$79:$CP$88,10),0)</f>
        <v>0</v>
      </c>
      <c r="L274" s="83">
        <f t="shared" si="36"/>
        <v>3101267.6601372859</v>
      </c>
      <c r="R274" s="86">
        <v>273</v>
      </c>
      <c r="S274" s="517" t="e">
        <f t="shared" ca="1" si="39"/>
        <v>#N/A</v>
      </c>
      <c r="T274" s="517" t="e">
        <f t="shared" ca="1" si="37"/>
        <v>#N/A</v>
      </c>
      <c r="U274" s="517" t="e">
        <f ca="1">-IF(AND($P$5="No",HLOOKUP('Loan Summary'!$R274,'Monthly Cash Flow'!$D$6:$CP$76,63,FALSE)&gt;T274),T274,(HLOOKUP('Loan Summary'!$R274,'Monthly Cash Flow'!$D$6:$CP$76,63,FALSE)))</f>
        <v>#N/A</v>
      </c>
      <c r="V274" s="517">
        <f>IF('Loan Summary'!R274=Assumptions!$AD$3,Assumptions!$AD$25,0)</f>
        <v>0</v>
      </c>
      <c r="W274" s="517" t="e">
        <f t="shared" ca="1" si="38"/>
        <v>#N/A</v>
      </c>
    </row>
    <row r="275" spans="6:23">
      <c r="F275" s="86">
        <v>274</v>
      </c>
      <c r="G275" s="85">
        <f t="shared" si="34"/>
        <v>3101267.6601372859</v>
      </c>
      <c r="H275" s="85">
        <f t="shared" si="32"/>
        <v>21236.394865569677</v>
      </c>
      <c r="I275" s="85">
        <f t="shared" si="33"/>
        <v>14214.143442295894</v>
      </c>
      <c r="J275" s="85">
        <f t="shared" si="35"/>
        <v>7022.2514232737831</v>
      </c>
      <c r="K275" s="153">
        <f>IF('Monthly Cash Flow'!$C$88="Lender Draw",HLOOKUP(F275,'Monthly Cash Flow'!$D$79:$CP$88,10),0)</f>
        <v>0</v>
      </c>
      <c r="L275" s="83">
        <f t="shared" si="36"/>
        <v>3094245.4087140122</v>
      </c>
      <c r="R275" s="86">
        <v>274</v>
      </c>
      <c r="S275" s="517" t="e">
        <f t="shared" ca="1" si="39"/>
        <v>#N/A</v>
      </c>
      <c r="T275" s="517" t="e">
        <f t="shared" ca="1" si="37"/>
        <v>#N/A</v>
      </c>
      <c r="U275" s="517" t="e">
        <f ca="1">-IF(AND($P$5="No",HLOOKUP('Loan Summary'!$R275,'Monthly Cash Flow'!$D$6:$CP$76,63,FALSE)&gt;T275),T275,(HLOOKUP('Loan Summary'!$R275,'Monthly Cash Flow'!$D$6:$CP$76,63,FALSE)))</f>
        <v>#N/A</v>
      </c>
      <c r="V275" s="517">
        <f>IF('Loan Summary'!R275=Assumptions!$AD$3,Assumptions!$AD$25,0)</f>
        <v>0</v>
      </c>
      <c r="W275" s="517" t="e">
        <f t="shared" ca="1" si="38"/>
        <v>#N/A</v>
      </c>
    </row>
    <row r="276" spans="6:23">
      <c r="F276" s="86">
        <v>275</v>
      </c>
      <c r="G276" s="85">
        <f t="shared" si="34"/>
        <v>3094245.4087140122</v>
      </c>
      <c r="H276" s="85">
        <f t="shared" si="32"/>
        <v>21236.394865569677</v>
      </c>
      <c r="I276" s="85">
        <f t="shared" si="33"/>
        <v>14181.958123272556</v>
      </c>
      <c r="J276" s="85">
        <f t="shared" si="35"/>
        <v>7054.4367422971209</v>
      </c>
      <c r="K276" s="153">
        <f>IF('Monthly Cash Flow'!$C$88="Lender Draw",HLOOKUP(F276,'Monthly Cash Flow'!$D$79:$CP$88,10),0)</f>
        <v>0</v>
      </c>
      <c r="L276" s="83">
        <f t="shared" si="36"/>
        <v>3087190.9719717153</v>
      </c>
      <c r="R276" s="86">
        <v>275</v>
      </c>
      <c r="S276" s="517" t="e">
        <f t="shared" ca="1" si="39"/>
        <v>#N/A</v>
      </c>
      <c r="T276" s="517" t="e">
        <f t="shared" ca="1" si="37"/>
        <v>#N/A</v>
      </c>
      <c r="U276" s="517" t="e">
        <f ca="1">-IF(AND($P$5="No",HLOOKUP('Loan Summary'!$R276,'Monthly Cash Flow'!$D$6:$CP$76,63,FALSE)&gt;T276),T276,(HLOOKUP('Loan Summary'!$R276,'Monthly Cash Flow'!$D$6:$CP$76,63,FALSE)))</f>
        <v>#N/A</v>
      </c>
      <c r="V276" s="517">
        <f>IF('Loan Summary'!R276=Assumptions!$AD$3,Assumptions!$AD$25,0)</f>
        <v>0</v>
      </c>
      <c r="W276" s="517" t="e">
        <f t="shared" ca="1" si="38"/>
        <v>#N/A</v>
      </c>
    </row>
    <row r="277" spans="6:23">
      <c r="F277" s="86">
        <v>276</v>
      </c>
      <c r="G277" s="85">
        <f t="shared" si="34"/>
        <v>3087190.9719717153</v>
      </c>
      <c r="H277" s="85">
        <f t="shared" si="32"/>
        <v>21236.394865569677</v>
      </c>
      <c r="I277" s="85">
        <f t="shared" si="33"/>
        <v>14149.625288203695</v>
      </c>
      <c r="J277" s="85">
        <f t="shared" si="35"/>
        <v>7086.7695773659816</v>
      </c>
      <c r="K277" s="153">
        <f>IF('Monthly Cash Flow'!$C$88="Lender Draw",HLOOKUP(F277,'Monthly Cash Flow'!$D$79:$CP$88,10),0)</f>
        <v>0</v>
      </c>
      <c r="L277" s="83">
        <f t="shared" si="36"/>
        <v>3080104.2023943495</v>
      </c>
      <c r="R277" s="86">
        <v>276</v>
      </c>
      <c r="S277" s="517" t="e">
        <f t="shared" ca="1" si="39"/>
        <v>#N/A</v>
      </c>
      <c r="T277" s="517" t="e">
        <f t="shared" ca="1" si="37"/>
        <v>#N/A</v>
      </c>
      <c r="U277" s="517" t="e">
        <f ca="1">-IF(AND($P$5="No",HLOOKUP('Loan Summary'!$R277,'Monthly Cash Flow'!$D$6:$CP$76,63,FALSE)&gt;T277),T277,(HLOOKUP('Loan Summary'!$R277,'Monthly Cash Flow'!$D$6:$CP$76,63,FALSE)))</f>
        <v>#N/A</v>
      </c>
      <c r="V277" s="517">
        <f>IF('Loan Summary'!R277=Assumptions!$AD$3,Assumptions!$AD$25,0)</f>
        <v>0</v>
      </c>
      <c r="W277" s="517" t="e">
        <f t="shared" ca="1" si="38"/>
        <v>#N/A</v>
      </c>
    </row>
    <row r="278" spans="6:23">
      <c r="F278" s="86">
        <v>277</v>
      </c>
      <c r="G278" s="85">
        <f t="shared" si="34"/>
        <v>3080104.2023943495</v>
      </c>
      <c r="H278" s="85">
        <f t="shared" si="32"/>
        <v>21236.394865569677</v>
      </c>
      <c r="I278" s="85">
        <f t="shared" si="33"/>
        <v>14117.144260974103</v>
      </c>
      <c r="J278" s="85">
        <f t="shared" si="35"/>
        <v>7119.2506045955743</v>
      </c>
      <c r="K278" s="153">
        <f>IF('Monthly Cash Flow'!$C$88="Lender Draw",HLOOKUP(F278,'Monthly Cash Flow'!$D$79:$CP$88,10),0)</f>
        <v>0</v>
      </c>
      <c r="L278" s="83">
        <f t="shared" si="36"/>
        <v>3072984.951789754</v>
      </c>
      <c r="R278" s="86">
        <v>277</v>
      </c>
      <c r="S278" s="517" t="e">
        <f t="shared" ca="1" si="39"/>
        <v>#N/A</v>
      </c>
      <c r="T278" s="517" t="e">
        <f t="shared" ca="1" si="37"/>
        <v>#N/A</v>
      </c>
      <c r="U278" s="517" t="e">
        <f ca="1">-IF(AND($P$5="No",HLOOKUP('Loan Summary'!$R278,'Monthly Cash Flow'!$D$6:$CP$76,63,FALSE)&gt;T278),T278,(HLOOKUP('Loan Summary'!$R278,'Monthly Cash Flow'!$D$6:$CP$76,63,FALSE)))</f>
        <v>#N/A</v>
      </c>
      <c r="V278" s="517">
        <f>IF('Loan Summary'!R278=Assumptions!$AD$3,Assumptions!$AD$25,0)</f>
        <v>0</v>
      </c>
      <c r="W278" s="517" t="e">
        <f t="shared" ca="1" si="38"/>
        <v>#N/A</v>
      </c>
    </row>
    <row r="279" spans="6:23">
      <c r="F279" s="86">
        <v>278</v>
      </c>
      <c r="G279" s="85">
        <f t="shared" si="34"/>
        <v>3072984.951789754</v>
      </c>
      <c r="H279" s="85">
        <f t="shared" si="32"/>
        <v>21236.394865569677</v>
      </c>
      <c r="I279" s="85">
        <f t="shared" si="33"/>
        <v>14084.514362369706</v>
      </c>
      <c r="J279" s="85">
        <f t="shared" si="35"/>
        <v>7151.8805031999709</v>
      </c>
      <c r="K279" s="153">
        <f>IF('Monthly Cash Flow'!$C$88="Lender Draw",HLOOKUP(F279,'Monthly Cash Flow'!$D$79:$CP$88,10),0)</f>
        <v>0</v>
      </c>
      <c r="L279" s="83">
        <f t="shared" si="36"/>
        <v>3065833.071286554</v>
      </c>
      <c r="R279" s="86">
        <v>278</v>
      </c>
      <c r="S279" s="517" t="e">
        <f t="shared" ca="1" si="39"/>
        <v>#N/A</v>
      </c>
      <c r="T279" s="517" t="e">
        <f t="shared" ca="1" si="37"/>
        <v>#N/A</v>
      </c>
      <c r="U279" s="517" t="e">
        <f ca="1">-IF(AND($P$5="No",HLOOKUP('Loan Summary'!$R279,'Monthly Cash Flow'!$D$6:$CP$76,63,FALSE)&gt;T279),T279,(HLOOKUP('Loan Summary'!$R279,'Monthly Cash Flow'!$D$6:$CP$76,63,FALSE)))</f>
        <v>#N/A</v>
      </c>
      <c r="V279" s="517">
        <f>IF('Loan Summary'!R279=Assumptions!$AD$3,Assumptions!$AD$25,0)</f>
        <v>0</v>
      </c>
      <c r="W279" s="517" t="e">
        <f t="shared" ca="1" si="38"/>
        <v>#N/A</v>
      </c>
    </row>
    <row r="280" spans="6:23">
      <c r="F280" s="86">
        <v>279</v>
      </c>
      <c r="G280" s="85">
        <f t="shared" si="34"/>
        <v>3065833.071286554</v>
      </c>
      <c r="H280" s="85">
        <f t="shared" si="32"/>
        <v>21236.394865569677</v>
      </c>
      <c r="I280" s="85">
        <f t="shared" si="33"/>
        <v>14051.734910063373</v>
      </c>
      <c r="J280" s="85">
        <f t="shared" si="35"/>
        <v>7184.659955506304</v>
      </c>
      <c r="K280" s="153">
        <f>IF('Monthly Cash Flow'!$C$88="Lender Draw",HLOOKUP(F280,'Monthly Cash Flow'!$D$79:$CP$88,10),0)</f>
        <v>0</v>
      </c>
      <c r="L280" s="83">
        <f t="shared" si="36"/>
        <v>3058648.4113310478</v>
      </c>
      <c r="R280" s="86">
        <v>279</v>
      </c>
      <c r="S280" s="517" t="e">
        <f t="shared" ca="1" si="39"/>
        <v>#N/A</v>
      </c>
      <c r="T280" s="517" t="e">
        <f t="shared" ca="1" si="37"/>
        <v>#N/A</v>
      </c>
      <c r="U280" s="517" t="e">
        <f ca="1">-IF(AND($P$5="No",HLOOKUP('Loan Summary'!$R280,'Monthly Cash Flow'!$D$6:$CP$76,63,FALSE)&gt;T280),T280,(HLOOKUP('Loan Summary'!$R280,'Monthly Cash Flow'!$D$6:$CP$76,63,FALSE)))</f>
        <v>#N/A</v>
      </c>
      <c r="V280" s="517">
        <f>IF('Loan Summary'!R280=Assumptions!$AD$3,Assumptions!$AD$25,0)</f>
        <v>0</v>
      </c>
      <c r="W280" s="517" t="e">
        <f t="shared" ca="1" si="38"/>
        <v>#N/A</v>
      </c>
    </row>
    <row r="281" spans="6:23">
      <c r="F281" s="86">
        <v>280</v>
      </c>
      <c r="G281" s="85">
        <f t="shared" si="34"/>
        <v>3058648.4113310478</v>
      </c>
      <c r="H281" s="85">
        <f t="shared" si="32"/>
        <v>21236.394865569677</v>
      </c>
      <c r="I281" s="85">
        <f t="shared" si="33"/>
        <v>14018.805218600635</v>
      </c>
      <c r="J281" s="85">
        <f t="shared" si="35"/>
        <v>7217.5896469690415</v>
      </c>
      <c r="K281" s="153">
        <f>IF('Monthly Cash Flow'!$C$88="Lender Draw",HLOOKUP(F281,'Monthly Cash Flow'!$D$79:$CP$88,10),0)</f>
        <v>0</v>
      </c>
      <c r="L281" s="83">
        <f t="shared" si="36"/>
        <v>3051430.8216840788</v>
      </c>
      <c r="R281" s="86">
        <v>280</v>
      </c>
      <c r="S281" s="517" t="e">
        <f t="shared" ca="1" si="39"/>
        <v>#N/A</v>
      </c>
      <c r="T281" s="517" t="e">
        <f t="shared" ca="1" si="37"/>
        <v>#N/A</v>
      </c>
      <c r="U281" s="517" t="e">
        <f ca="1">-IF(AND($P$5="No",HLOOKUP('Loan Summary'!$R281,'Monthly Cash Flow'!$D$6:$CP$76,63,FALSE)&gt;T281),T281,(HLOOKUP('Loan Summary'!$R281,'Monthly Cash Flow'!$D$6:$CP$76,63,FALSE)))</f>
        <v>#N/A</v>
      </c>
      <c r="V281" s="517">
        <f>IF('Loan Summary'!R281=Assumptions!$AD$3,Assumptions!$AD$25,0)</f>
        <v>0</v>
      </c>
      <c r="W281" s="517" t="e">
        <f t="shared" ca="1" si="38"/>
        <v>#N/A</v>
      </c>
    </row>
    <row r="282" spans="6:23">
      <c r="F282" s="86">
        <v>281</v>
      </c>
      <c r="G282" s="85">
        <f t="shared" si="34"/>
        <v>3051430.8216840788</v>
      </c>
      <c r="H282" s="85">
        <f t="shared" si="32"/>
        <v>21236.394865569677</v>
      </c>
      <c r="I282" s="85">
        <f t="shared" si="33"/>
        <v>13985.724599385361</v>
      </c>
      <c r="J282" s="85">
        <f t="shared" si="35"/>
        <v>7250.6702661843156</v>
      </c>
      <c r="K282" s="153">
        <f>IF('Monthly Cash Flow'!$C$88="Lender Draw",HLOOKUP(F282,'Monthly Cash Flow'!$D$79:$CP$88,10),0)</f>
        <v>0</v>
      </c>
      <c r="L282" s="83">
        <f t="shared" si="36"/>
        <v>3044180.1514178943</v>
      </c>
      <c r="R282" s="86">
        <v>281</v>
      </c>
      <c r="S282" s="517" t="e">
        <f t="shared" ca="1" si="39"/>
        <v>#N/A</v>
      </c>
      <c r="T282" s="517" t="e">
        <f t="shared" ca="1" si="37"/>
        <v>#N/A</v>
      </c>
      <c r="U282" s="517" t="e">
        <f ca="1">-IF(AND($P$5="No",HLOOKUP('Loan Summary'!$R282,'Monthly Cash Flow'!$D$6:$CP$76,63,FALSE)&gt;T282),T282,(HLOOKUP('Loan Summary'!$R282,'Monthly Cash Flow'!$D$6:$CP$76,63,FALSE)))</f>
        <v>#N/A</v>
      </c>
      <c r="V282" s="517">
        <f>IF('Loan Summary'!R282=Assumptions!$AD$3,Assumptions!$AD$25,0)</f>
        <v>0</v>
      </c>
      <c r="W282" s="517" t="e">
        <f t="shared" ca="1" si="38"/>
        <v>#N/A</v>
      </c>
    </row>
    <row r="283" spans="6:23">
      <c r="F283" s="86">
        <v>282</v>
      </c>
      <c r="G283" s="85">
        <f t="shared" si="34"/>
        <v>3044180.1514178943</v>
      </c>
      <c r="H283" s="85">
        <f t="shared" si="32"/>
        <v>21236.394865569677</v>
      </c>
      <c r="I283" s="85">
        <f t="shared" si="33"/>
        <v>13952.492360665348</v>
      </c>
      <c r="J283" s="85">
        <f t="shared" si="35"/>
        <v>7283.9025049043285</v>
      </c>
      <c r="K283" s="153">
        <f>IF('Monthly Cash Flow'!$C$88="Lender Draw",HLOOKUP(F283,'Monthly Cash Flow'!$D$79:$CP$88,10),0)</f>
        <v>0</v>
      </c>
      <c r="L283" s="83">
        <f t="shared" si="36"/>
        <v>3036896.2489129901</v>
      </c>
      <c r="R283" s="86">
        <v>282</v>
      </c>
      <c r="S283" s="517" t="e">
        <f t="shared" ca="1" si="39"/>
        <v>#N/A</v>
      </c>
      <c r="T283" s="517" t="e">
        <f t="shared" ca="1" si="37"/>
        <v>#N/A</v>
      </c>
      <c r="U283" s="517" t="e">
        <f ca="1">-IF(AND($P$5="No",HLOOKUP('Loan Summary'!$R283,'Monthly Cash Flow'!$D$6:$CP$76,63,FALSE)&gt;T283),T283,(HLOOKUP('Loan Summary'!$R283,'Monthly Cash Flow'!$D$6:$CP$76,63,FALSE)))</f>
        <v>#N/A</v>
      </c>
      <c r="V283" s="517">
        <f>IF('Loan Summary'!R283=Assumptions!$AD$3,Assumptions!$AD$25,0)</f>
        <v>0</v>
      </c>
      <c r="W283" s="517" t="e">
        <f t="shared" ca="1" si="38"/>
        <v>#N/A</v>
      </c>
    </row>
    <row r="284" spans="6:23">
      <c r="F284" s="86">
        <v>283</v>
      </c>
      <c r="G284" s="85">
        <f t="shared" si="34"/>
        <v>3036896.2489129901</v>
      </c>
      <c r="H284" s="85">
        <f t="shared" si="32"/>
        <v>21236.394865569677</v>
      </c>
      <c r="I284" s="85">
        <f t="shared" si="33"/>
        <v>13919.107807517872</v>
      </c>
      <c r="J284" s="85">
        <f t="shared" si="35"/>
        <v>7317.2870580518047</v>
      </c>
      <c r="K284" s="153">
        <f>IF('Monthly Cash Flow'!$C$88="Lender Draw",HLOOKUP(F284,'Monthly Cash Flow'!$D$79:$CP$88,10),0)</f>
        <v>0</v>
      </c>
      <c r="L284" s="83">
        <f t="shared" si="36"/>
        <v>3029578.9618549384</v>
      </c>
      <c r="R284" s="86">
        <v>283</v>
      </c>
      <c r="S284" s="517" t="e">
        <f t="shared" ca="1" si="39"/>
        <v>#N/A</v>
      </c>
      <c r="T284" s="517" t="e">
        <f t="shared" ca="1" si="37"/>
        <v>#N/A</v>
      </c>
      <c r="U284" s="517" t="e">
        <f ca="1">-IF(AND($P$5="No",HLOOKUP('Loan Summary'!$R284,'Monthly Cash Flow'!$D$6:$CP$76,63,FALSE)&gt;T284),T284,(HLOOKUP('Loan Summary'!$R284,'Monthly Cash Flow'!$D$6:$CP$76,63,FALSE)))</f>
        <v>#N/A</v>
      </c>
      <c r="V284" s="517">
        <f>IF('Loan Summary'!R284=Assumptions!$AD$3,Assumptions!$AD$25,0)</f>
        <v>0</v>
      </c>
      <c r="W284" s="517" t="e">
        <f t="shared" ca="1" si="38"/>
        <v>#N/A</v>
      </c>
    </row>
    <row r="285" spans="6:23">
      <c r="F285" s="86">
        <v>284</v>
      </c>
      <c r="G285" s="85">
        <f t="shared" si="34"/>
        <v>3029578.9618549384</v>
      </c>
      <c r="H285" s="85">
        <f t="shared" si="32"/>
        <v>21236.394865569677</v>
      </c>
      <c r="I285" s="85">
        <f t="shared" si="33"/>
        <v>13885.570241835134</v>
      </c>
      <c r="J285" s="85">
        <f t="shared" si="35"/>
        <v>7350.8246237345429</v>
      </c>
      <c r="K285" s="153">
        <f>IF('Monthly Cash Flow'!$C$88="Lender Draw",HLOOKUP(F285,'Monthly Cash Flow'!$D$79:$CP$88,10),0)</f>
        <v>0</v>
      </c>
      <c r="L285" s="83">
        <f t="shared" si="36"/>
        <v>3022228.1372312037</v>
      </c>
      <c r="R285" s="86">
        <v>284</v>
      </c>
      <c r="S285" s="517" t="e">
        <f t="shared" ca="1" si="39"/>
        <v>#N/A</v>
      </c>
      <c r="T285" s="517" t="e">
        <f t="shared" ca="1" si="37"/>
        <v>#N/A</v>
      </c>
      <c r="U285" s="517" t="e">
        <f ca="1">-IF(AND($P$5="No",HLOOKUP('Loan Summary'!$R285,'Monthly Cash Flow'!$D$6:$CP$76,63,FALSE)&gt;T285),T285,(HLOOKUP('Loan Summary'!$R285,'Monthly Cash Flow'!$D$6:$CP$76,63,FALSE)))</f>
        <v>#N/A</v>
      </c>
      <c r="V285" s="517">
        <f>IF('Loan Summary'!R285=Assumptions!$AD$3,Assumptions!$AD$25,0)</f>
        <v>0</v>
      </c>
      <c r="W285" s="517" t="e">
        <f t="shared" ca="1" si="38"/>
        <v>#N/A</v>
      </c>
    </row>
    <row r="286" spans="6:23">
      <c r="F286" s="86">
        <v>285</v>
      </c>
      <c r="G286" s="85">
        <f t="shared" si="34"/>
        <v>3022228.1372312037</v>
      </c>
      <c r="H286" s="85">
        <f t="shared" si="32"/>
        <v>21236.394865569677</v>
      </c>
      <c r="I286" s="85">
        <f t="shared" si="33"/>
        <v>13851.878962309684</v>
      </c>
      <c r="J286" s="85">
        <f t="shared" si="35"/>
        <v>7384.5159032599931</v>
      </c>
      <c r="K286" s="153">
        <f>IF('Monthly Cash Flow'!$C$88="Lender Draw",HLOOKUP(F286,'Monthly Cash Flow'!$D$79:$CP$88,10),0)</f>
        <v>0</v>
      </c>
      <c r="L286" s="83">
        <f t="shared" si="36"/>
        <v>3014843.6213279436</v>
      </c>
      <c r="R286" s="86">
        <v>285</v>
      </c>
      <c r="S286" s="517" t="e">
        <f t="shared" ca="1" si="39"/>
        <v>#N/A</v>
      </c>
      <c r="T286" s="517" t="e">
        <f t="shared" ca="1" si="37"/>
        <v>#N/A</v>
      </c>
      <c r="U286" s="517" t="e">
        <f ca="1">-IF(AND($P$5="No",HLOOKUP('Loan Summary'!$R286,'Monthly Cash Flow'!$D$6:$CP$76,63,FALSE)&gt;T286),T286,(HLOOKUP('Loan Summary'!$R286,'Monthly Cash Flow'!$D$6:$CP$76,63,FALSE)))</f>
        <v>#N/A</v>
      </c>
      <c r="V286" s="517">
        <f>IF('Loan Summary'!R286=Assumptions!$AD$3,Assumptions!$AD$25,0)</f>
        <v>0</v>
      </c>
      <c r="W286" s="517" t="e">
        <f t="shared" ca="1" si="38"/>
        <v>#N/A</v>
      </c>
    </row>
    <row r="287" spans="6:23">
      <c r="F287" s="86">
        <v>286</v>
      </c>
      <c r="G287" s="85">
        <f t="shared" si="34"/>
        <v>3014843.6213279436</v>
      </c>
      <c r="H287" s="85">
        <f t="shared" si="32"/>
        <v>21236.394865569677</v>
      </c>
      <c r="I287" s="85">
        <f t="shared" si="33"/>
        <v>13818.033264419742</v>
      </c>
      <c r="J287" s="85">
        <f t="shared" si="35"/>
        <v>7418.3616011499344</v>
      </c>
      <c r="K287" s="153">
        <f>IF('Monthly Cash Flow'!$C$88="Lender Draw",HLOOKUP(F287,'Monthly Cash Flow'!$D$79:$CP$88,10),0)</f>
        <v>0</v>
      </c>
      <c r="L287" s="83">
        <f t="shared" si="36"/>
        <v>3007425.2597267935</v>
      </c>
      <c r="R287" s="86">
        <v>286</v>
      </c>
      <c r="S287" s="517" t="e">
        <f t="shared" ca="1" si="39"/>
        <v>#N/A</v>
      </c>
      <c r="T287" s="517" t="e">
        <f t="shared" ca="1" si="37"/>
        <v>#N/A</v>
      </c>
      <c r="U287" s="517" t="e">
        <f ca="1">-IF(AND($P$5="No",HLOOKUP('Loan Summary'!$R287,'Monthly Cash Flow'!$D$6:$CP$76,63,FALSE)&gt;T287),T287,(HLOOKUP('Loan Summary'!$R287,'Monthly Cash Flow'!$D$6:$CP$76,63,FALSE)))</f>
        <v>#N/A</v>
      </c>
      <c r="V287" s="517">
        <f>IF('Loan Summary'!R287=Assumptions!$AD$3,Assumptions!$AD$25,0)</f>
        <v>0</v>
      </c>
      <c r="W287" s="517" t="e">
        <f t="shared" ca="1" si="38"/>
        <v>#N/A</v>
      </c>
    </row>
    <row r="288" spans="6:23">
      <c r="F288" s="86">
        <v>287</v>
      </c>
      <c r="G288" s="85">
        <f t="shared" si="34"/>
        <v>3007425.2597267935</v>
      </c>
      <c r="H288" s="85">
        <f t="shared" si="32"/>
        <v>21236.394865569677</v>
      </c>
      <c r="I288" s="85">
        <f t="shared" si="33"/>
        <v>13784.03244041447</v>
      </c>
      <c r="J288" s="85">
        <f t="shared" si="35"/>
        <v>7452.3624251552064</v>
      </c>
      <c r="K288" s="153">
        <f>IF('Monthly Cash Flow'!$C$88="Lender Draw",HLOOKUP(F288,'Monthly Cash Flow'!$D$79:$CP$88,10),0)</f>
        <v>0</v>
      </c>
      <c r="L288" s="83">
        <f t="shared" si="36"/>
        <v>2999972.8973016385</v>
      </c>
      <c r="R288" s="86">
        <v>287</v>
      </c>
      <c r="S288" s="517" t="e">
        <f t="shared" ca="1" si="39"/>
        <v>#N/A</v>
      </c>
      <c r="T288" s="517" t="e">
        <f t="shared" ca="1" si="37"/>
        <v>#N/A</v>
      </c>
      <c r="U288" s="517" t="e">
        <f ca="1">-IF(AND($P$5="No",HLOOKUP('Loan Summary'!$R288,'Monthly Cash Flow'!$D$6:$CP$76,63,FALSE)&gt;T288),T288,(HLOOKUP('Loan Summary'!$R288,'Monthly Cash Flow'!$D$6:$CP$76,63,FALSE)))</f>
        <v>#N/A</v>
      </c>
      <c r="V288" s="517">
        <f>IF('Loan Summary'!R288=Assumptions!$AD$3,Assumptions!$AD$25,0)</f>
        <v>0</v>
      </c>
      <c r="W288" s="517" t="e">
        <f t="shared" ca="1" si="38"/>
        <v>#N/A</v>
      </c>
    </row>
    <row r="289" spans="6:23">
      <c r="F289" s="86">
        <v>288</v>
      </c>
      <c r="G289" s="85">
        <f t="shared" si="34"/>
        <v>2999972.8973016385</v>
      </c>
      <c r="H289" s="85">
        <f t="shared" si="32"/>
        <v>21236.394865569677</v>
      </c>
      <c r="I289" s="85">
        <f t="shared" si="33"/>
        <v>13749.875779299176</v>
      </c>
      <c r="J289" s="85">
        <f t="shared" si="35"/>
        <v>7486.5190862705003</v>
      </c>
      <c r="K289" s="153">
        <f>IF('Monthly Cash Flow'!$C$88="Lender Draw",HLOOKUP(F289,'Monthly Cash Flow'!$D$79:$CP$88,10),0)</f>
        <v>0</v>
      </c>
      <c r="L289" s="83">
        <f t="shared" si="36"/>
        <v>2992486.3782153679</v>
      </c>
      <c r="R289" s="86">
        <v>288</v>
      </c>
      <c r="S289" s="517" t="e">
        <f t="shared" ca="1" si="39"/>
        <v>#N/A</v>
      </c>
      <c r="T289" s="517" t="e">
        <f t="shared" ca="1" si="37"/>
        <v>#N/A</v>
      </c>
      <c r="U289" s="517" t="e">
        <f ca="1">-IF(AND($P$5="No",HLOOKUP('Loan Summary'!$R289,'Monthly Cash Flow'!$D$6:$CP$76,63,FALSE)&gt;T289),T289,(HLOOKUP('Loan Summary'!$R289,'Monthly Cash Flow'!$D$6:$CP$76,63,FALSE)))</f>
        <v>#N/A</v>
      </c>
      <c r="V289" s="517">
        <f>IF('Loan Summary'!R289=Assumptions!$AD$3,Assumptions!$AD$25,0)</f>
        <v>0</v>
      </c>
      <c r="W289" s="517" t="e">
        <f t="shared" ca="1" si="38"/>
        <v>#N/A</v>
      </c>
    </row>
    <row r="290" spans="6:23">
      <c r="F290" s="86">
        <v>289</v>
      </c>
      <c r="G290" s="85">
        <f t="shared" si="34"/>
        <v>2992486.3782153679</v>
      </c>
      <c r="H290" s="85">
        <f t="shared" si="32"/>
        <v>21236.394865569677</v>
      </c>
      <c r="I290" s="85">
        <f t="shared" si="33"/>
        <v>13715.562566820436</v>
      </c>
      <c r="J290" s="85">
        <f t="shared" si="35"/>
        <v>7520.8322987492411</v>
      </c>
      <c r="K290" s="153">
        <f>IF('Monthly Cash Flow'!$C$88="Lender Draw",HLOOKUP(F290,'Monthly Cash Flow'!$D$79:$CP$88,10),0)</f>
        <v>0</v>
      </c>
      <c r="L290" s="83">
        <f t="shared" si="36"/>
        <v>2984965.5459166188</v>
      </c>
      <c r="R290" s="86">
        <v>289</v>
      </c>
      <c r="S290" s="517" t="e">
        <f t="shared" ca="1" si="39"/>
        <v>#N/A</v>
      </c>
      <c r="T290" s="517" t="e">
        <f t="shared" ca="1" si="37"/>
        <v>#N/A</v>
      </c>
      <c r="U290" s="517" t="e">
        <f ca="1">-IF(AND($P$5="No",HLOOKUP('Loan Summary'!$R290,'Monthly Cash Flow'!$D$6:$CP$76,63,FALSE)&gt;T290),T290,(HLOOKUP('Loan Summary'!$R290,'Monthly Cash Flow'!$D$6:$CP$76,63,FALSE)))</f>
        <v>#N/A</v>
      </c>
      <c r="V290" s="517">
        <f>IF('Loan Summary'!R290=Assumptions!$AD$3,Assumptions!$AD$25,0)</f>
        <v>0</v>
      </c>
      <c r="W290" s="517" t="e">
        <f t="shared" ca="1" si="38"/>
        <v>#N/A</v>
      </c>
    </row>
    <row r="291" spans="6:23">
      <c r="F291" s="86">
        <v>290</v>
      </c>
      <c r="G291" s="85">
        <f t="shared" si="34"/>
        <v>2984965.5459166188</v>
      </c>
      <c r="H291" s="85">
        <f t="shared" si="32"/>
        <v>21236.394865569677</v>
      </c>
      <c r="I291" s="85">
        <f t="shared" si="33"/>
        <v>13681.09208545117</v>
      </c>
      <c r="J291" s="85">
        <f t="shared" si="35"/>
        <v>7555.3027801185071</v>
      </c>
      <c r="K291" s="153">
        <f>IF('Monthly Cash Flow'!$C$88="Lender Draw",HLOOKUP(F291,'Monthly Cash Flow'!$D$79:$CP$88,10),0)</f>
        <v>0</v>
      </c>
      <c r="L291" s="83">
        <f t="shared" si="36"/>
        <v>2977410.2431365005</v>
      </c>
      <c r="R291" s="86">
        <v>290</v>
      </c>
      <c r="S291" s="517" t="e">
        <f t="shared" ca="1" si="39"/>
        <v>#N/A</v>
      </c>
      <c r="T291" s="517" t="e">
        <f t="shared" ca="1" si="37"/>
        <v>#N/A</v>
      </c>
      <c r="U291" s="517" t="e">
        <f ca="1">-IF(AND($P$5="No",HLOOKUP('Loan Summary'!$R291,'Monthly Cash Flow'!$D$6:$CP$76,63,FALSE)&gt;T291),T291,(HLOOKUP('Loan Summary'!$R291,'Monthly Cash Flow'!$D$6:$CP$76,63,FALSE)))</f>
        <v>#N/A</v>
      </c>
      <c r="V291" s="517">
        <f>IF('Loan Summary'!R291=Assumptions!$AD$3,Assumptions!$AD$25,0)</f>
        <v>0</v>
      </c>
      <c r="W291" s="517" t="e">
        <f t="shared" ca="1" si="38"/>
        <v>#N/A</v>
      </c>
    </row>
    <row r="292" spans="6:23">
      <c r="F292" s="86">
        <v>291</v>
      </c>
      <c r="G292" s="85">
        <f t="shared" si="34"/>
        <v>2977410.2431365005</v>
      </c>
      <c r="H292" s="85">
        <f t="shared" si="32"/>
        <v>21236.394865569677</v>
      </c>
      <c r="I292" s="85">
        <f t="shared" si="33"/>
        <v>13646.463614375627</v>
      </c>
      <c r="J292" s="85">
        <f t="shared" si="35"/>
        <v>7589.9312511940498</v>
      </c>
      <c r="K292" s="153">
        <f>IF('Monthly Cash Flow'!$C$88="Lender Draw",HLOOKUP(F292,'Monthly Cash Flow'!$D$79:$CP$88,10),0)</f>
        <v>0</v>
      </c>
      <c r="L292" s="83">
        <f t="shared" si="36"/>
        <v>2969820.3118853066</v>
      </c>
      <c r="R292" s="86">
        <v>291</v>
      </c>
      <c r="S292" s="517" t="e">
        <f t="shared" ca="1" si="39"/>
        <v>#N/A</v>
      </c>
      <c r="T292" s="517" t="e">
        <f t="shared" ca="1" si="37"/>
        <v>#N/A</v>
      </c>
      <c r="U292" s="517" t="e">
        <f ca="1">-IF(AND($P$5="No",HLOOKUP('Loan Summary'!$R292,'Monthly Cash Flow'!$D$6:$CP$76,63,FALSE)&gt;T292),T292,(HLOOKUP('Loan Summary'!$R292,'Monthly Cash Flow'!$D$6:$CP$76,63,FALSE)))</f>
        <v>#N/A</v>
      </c>
      <c r="V292" s="517">
        <f>IF('Loan Summary'!R292=Assumptions!$AD$3,Assumptions!$AD$25,0)</f>
        <v>0</v>
      </c>
      <c r="W292" s="517" t="e">
        <f t="shared" ca="1" si="38"/>
        <v>#N/A</v>
      </c>
    </row>
    <row r="293" spans="6:23">
      <c r="F293" s="86">
        <v>292</v>
      </c>
      <c r="G293" s="85">
        <f t="shared" si="34"/>
        <v>2969820.3118853066</v>
      </c>
      <c r="H293" s="85">
        <f t="shared" si="32"/>
        <v>21236.394865569677</v>
      </c>
      <c r="I293" s="85">
        <f t="shared" si="33"/>
        <v>13611.676429474323</v>
      </c>
      <c r="J293" s="85">
        <f t="shared" si="35"/>
        <v>7624.7184360953543</v>
      </c>
      <c r="K293" s="153">
        <f>IF('Monthly Cash Flow'!$C$88="Lender Draw",HLOOKUP(F293,'Monthly Cash Flow'!$D$79:$CP$88,10),0)</f>
        <v>0</v>
      </c>
      <c r="L293" s="83">
        <f t="shared" si="36"/>
        <v>2962195.5934492112</v>
      </c>
      <c r="R293" s="86">
        <v>292</v>
      </c>
      <c r="S293" s="517" t="e">
        <f t="shared" ca="1" si="39"/>
        <v>#N/A</v>
      </c>
      <c r="T293" s="517" t="e">
        <f t="shared" ca="1" si="37"/>
        <v>#N/A</v>
      </c>
      <c r="U293" s="517" t="e">
        <f ca="1">-IF(AND($P$5="No",HLOOKUP('Loan Summary'!$R293,'Monthly Cash Flow'!$D$6:$CP$76,63,FALSE)&gt;T293),T293,(HLOOKUP('Loan Summary'!$R293,'Monthly Cash Flow'!$D$6:$CP$76,63,FALSE)))</f>
        <v>#N/A</v>
      </c>
      <c r="V293" s="517">
        <f>IF('Loan Summary'!R293=Assumptions!$AD$3,Assumptions!$AD$25,0)</f>
        <v>0</v>
      </c>
      <c r="W293" s="517" t="e">
        <f t="shared" ca="1" si="38"/>
        <v>#N/A</v>
      </c>
    </row>
    <row r="294" spans="6:23">
      <c r="F294" s="86">
        <v>293</v>
      </c>
      <c r="G294" s="85">
        <f t="shared" si="34"/>
        <v>2962195.5934492112</v>
      </c>
      <c r="H294" s="85">
        <f t="shared" si="32"/>
        <v>21236.394865569677</v>
      </c>
      <c r="I294" s="85">
        <f t="shared" si="33"/>
        <v>13576.729803308885</v>
      </c>
      <c r="J294" s="85">
        <f t="shared" si="35"/>
        <v>7659.6650622607922</v>
      </c>
      <c r="K294" s="153">
        <f>IF('Monthly Cash Flow'!$C$88="Lender Draw",HLOOKUP(F294,'Monthly Cash Flow'!$D$79:$CP$88,10),0)</f>
        <v>0</v>
      </c>
      <c r="L294" s="83">
        <f t="shared" si="36"/>
        <v>2954535.9283869504</v>
      </c>
      <c r="R294" s="86">
        <v>293</v>
      </c>
      <c r="S294" s="517" t="e">
        <f t="shared" ca="1" si="39"/>
        <v>#N/A</v>
      </c>
      <c r="T294" s="517" t="e">
        <f t="shared" ca="1" si="37"/>
        <v>#N/A</v>
      </c>
      <c r="U294" s="517" t="e">
        <f ca="1">-IF(AND($P$5="No",HLOOKUP('Loan Summary'!$R294,'Monthly Cash Flow'!$D$6:$CP$76,63,FALSE)&gt;T294),T294,(HLOOKUP('Loan Summary'!$R294,'Monthly Cash Flow'!$D$6:$CP$76,63,FALSE)))</f>
        <v>#N/A</v>
      </c>
      <c r="V294" s="517">
        <f>IF('Loan Summary'!R294=Assumptions!$AD$3,Assumptions!$AD$25,0)</f>
        <v>0</v>
      </c>
      <c r="W294" s="517" t="e">
        <f t="shared" ca="1" si="38"/>
        <v>#N/A</v>
      </c>
    </row>
    <row r="295" spans="6:23">
      <c r="F295" s="86">
        <v>294</v>
      </c>
      <c r="G295" s="85">
        <f t="shared" si="34"/>
        <v>2954535.9283869504</v>
      </c>
      <c r="H295" s="85">
        <f t="shared" si="32"/>
        <v>21236.394865569677</v>
      </c>
      <c r="I295" s="85">
        <f t="shared" si="33"/>
        <v>13541.623005106856</v>
      </c>
      <c r="J295" s="85">
        <f t="shared" si="35"/>
        <v>7694.7718604628208</v>
      </c>
      <c r="K295" s="153">
        <f>IF('Monthly Cash Flow'!$C$88="Lender Draw",HLOOKUP(F295,'Monthly Cash Flow'!$D$79:$CP$88,10),0)</f>
        <v>0</v>
      </c>
      <c r="L295" s="83">
        <f t="shared" si="36"/>
        <v>2946841.1565264878</v>
      </c>
      <c r="R295" s="86">
        <v>294</v>
      </c>
      <c r="S295" s="517" t="e">
        <f t="shared" ca="1" si="39"/>
        <v>#N/A</v>
      </c>
      <c r="T295" s="517" t="e">
        <f t="shared" ca="1" si="37"/>
        <v>#N/A</v>
      </c>
      <c r="U295" s="517" t="e">
        <f ca="1">-IF(AND($P$5="No",HLOOKUP('Loan Summary'!$R295,'Monthly Cash Flow'!$D$6:$CP$76,63,FALSE)&gt;T295),T295,(HLOOKUP('Loan Summary'!$R295,'Monthly Cash Flow'!$D$6:$CP$76,63,FALSE)))</f>
        <v>#N/A</v>
      </c>
      <c r="V295" s="517">
        <f>IF('Loan Summary'!R295=Assumptions!$AD$3,Assumptions!$AD$25,0)</f>
        <v>0</v>
      </c>
      <c r="W295" s="517" t="e">
        <f t="shared" ca="1" si="38"/>
        <v>#N/A</v>
      </c>
    </row>
    <row r="296" spans="6:23">
      <c r="F296" s="86">
        <v>295</v>
      </c>
      <c r="G296" s="85">
        <f t="shared" si="34"/>
        <v>2946841.1565264878</v>
      </c>
      <c r="H296" s="85">
        <f t="shared" si="32"/>
        <v>21236.394865569677</v>
      </c>
      <c r="I296" s="85">
        <f t="shared" si="33"/>
        <v>13506.355300746402</v>
      </c>
      <c r="J296" s="85">
        <f t="shared" si="35"/>
        <v>7730.0395648232752</v>
      </c>
      <c r="K296" s="153">
        <f>IF('Monthly Cash Flow'!$C$88="Lender Draw",HLOOKUP(F296,'Monthly Cash Flow'!$D$79:$CP$88,10),0)</f>
        <v>0</v>
      </c>
      <c r="L296" s="83">
        <f t="shared" si="36"/>
        <v>2939111.1169616645</v>
      </c>
      <c r="R296" s="86">
        <v>295</v>
      </c>
      <c r="S296" s="517" t="e">
        <f t="shared" ca="1" si="39"/>
        <v>#N/A</v>
      </c>
      <c r="T296" s="517" t="e">
        <f t="shared" ca="1" si="37"/>
        <v>#N/A</v>
      </c>
      <c r="U296" s="517" t="e">
        <f ca="1">-IF(AND($P$5="No",HLOOKUP('Loan Summary'!$R296,'Monthly Cash Flow'!$D$6:$CP$76,63,FALSE)&gt;T296),T296,(HLOOKUP('Loan Summary'!$R296,'Monthly Cash Flow'!$D$6:$CP$76,63,FALSE)))</f>
        <v>#N/A</v>
      </c>
      <c r="V296" s="517">
        <f>IF('Loan Summary'!R296=Assumptions!$AD$3,Assumptions!$AD$25,0)</f>
        <v>0</v>
      </c>
      <c r="W296" s="517" t="e">
        <f t="shared" ca="1" si="38"/>
        <v>#N/A</v>
      </c>
    </row>
    <row r="297" spans="6:23">
      <c r="F297" s="86">
        <v>296</v>
      </c>
      <c r="G297" s="85">
        <f t="shared" si="34"/>
        <v>2939111.1169616645</v>
      </c>
      <c r="H297" s="85">
        <f t="shared" si="32"/>
        <v>21236.394865569677</v>
      </c>
      <c r="I297" s="85">
        <f t="shared" si="33"/>
        <v>13470.925952740963</v>
      </c>
      <c r="J297" s="85">
        <f t="shared" si="35"/>
        <v>7765.4689128287137</v>
      </c>
      <c r="K297" s="153">
        <f>IF('Monthly Cash Flow'!$C$88="Lender Draw",HLOOKUP(F297,'Monthly Cash Flow'!$D$79:$CP$88,10),0)</f>
        <v>0</v>
      </c>
      <c r="L297" s="83">
        <f t="shared" si="36"/>
        <v>2931345.6480488358</v>
      </c>
      <c r="R297" s="86">
        <v>296</v>
      </c>
      <c r="S297" s="517" t="e">
        <f t="shared" ca="1" si="39"/>
        <v>#N/A</v>
      </c>
      <c r="T297" s="517" t="e">
        <f t="shared" ca="1" si="37"/>
        <v>#N/A</v>
      </c>
      <c r="U297" s="517" t="e">
        <f ca="1">-IF(AND($P$5="No",HLOOKUP('Loan Summary'!$R297,'Monthly Cash Flow'!$D$6:$CP$76,63,FALSE)&gt;T297),T297,(HLOOKUP('Loan Summary'!$R297,'Monthly Cash Flow'!$D$6:$CP$76,63,FALSE)))</f>
        <v>#N/A</v>
      </c>
      <c r="V297" s="517">
        <f>IF('Loan Summary'!R297=Assumptions!$AD$3,Assumptions!$AD$25,0)</f>
        <v>0</v>
      </c>
      <c r="W297" s="517" t="e">
        <f t="shared" ca="1" si="38"/>
        <v>#N/A</v>
      </c>
    </row>
    <row r="298" spans="6:23">
      <c r="F298" s="86">
        <v>297</v>
      </c>
      <c r="G298" s="85">
        <f t="shared" si="34"/>
        <v>2931345.6480488358</v>
      </c>
      <c r="H298" s="85">
        <f t="shared" si="32"/>
        <v>21236.394865569677</v>
      </c>
      <c r="I298" s="85">
        <f t="shared" si="33"/>
        <v>13435.334220223831</v>
      </c>
      <c r="J298" s="85">
        <f t="shared" si="35"/>
        <v>7801.0606453458458</v>
      </c>
      <c r="K298" s="153">
        <f>IF('Monthly Cash Flow'!$C$88="Lender Draw",HLOOKUP(F298,'Monthly Cash Flow'!$D$79:$CP$88,10),0)</f>
        <v>0</v>
      </c>
      <c r="L298" s="83">
        <f t="shared" si="36"/>
        <v>2923544.5874034897</v>
      </c>
      <c r="R298" s="86">
        <v>297</v>
      </c>
      <c r="S298" s="517" t="e">
        <f t="shared" ca="1" si="39"/>
        <v>#N/A</v>
      </c>
      <c r="T298" s="517" t="e">
        <f t="shared" ca="1" si="37"/>
        <v>#N/A</v>
      </c>
      <c r="U298" s="517" t="e">
        <f ca="1">-IF(AND($P$5="No",HLOOKUP('Loan Summary'!$R298,'Monthly Cash Flow'!$D$6:$CP$76,63,FALSE)&gt;T298),T298,(HLOOKUP('Loan Summary'!$R298,'Monthly Cash Flow'!$D$6:$CP$76,63,FALSE)))</f>
        <v>#N/A</v>
      </c>
      <c r="V298" s="517">
        <f>IF('Loan Summary'!R298=Assumptions!$AD$3,Assumptions!$AD$25,0)</f>
        <v>0</v>
      </c>
      <c r="W298" s="517" t="e">
        <f t="shared" ca="1" si="38"/>
        <v>#N/A</v>
      </c>
    </row>
    <row r="299" spans="6:23">
      <c r="F299" s="86">
        <v>298</v>
      </c>
      <c r="G299" s="85">
        <f t="shared" si="34"/>
        <v>2923544.5874034897</v>
      </c>
      <c r="H299" s="85">
        <f t="shared" si="32"/>
        <v>21236.394865569677</v>
      </c>
      <c r="I299" s="85">
        <f t="shared" si="33"/>
        <v>13399.579358932662</v>
      </c>
      <c r="J299" s="85">
        <f t="shared" si="35"/>
        <v>7836.8155066370146</v>
      </c>
      <c r="K299" s="153">
        <f>IF('Monthly Cash Flow'!$C$88="Lender Draw",HLOOKUP(F299,'Monthly Cash Flow'!$D$79:$CP$88,10),0)</f>
        <v>0</v>
      </c>
      <c r="L299" s="83">
        <f t="shared" si="36"/>
        <v>2915707.7718968526</v>
      </c>
      <c r="R299" s="86">
        <v>298</v>
      </c>
      <c r="S299" s="517" t="e">
        <f t="shared" ca="1" si="39"/>
        <v>#N/A</v>
      </c>
      <c r="T299" s="517" t="e">
        <f t="shared" ca="1" si="37"/>
        <v>#N/A</v>
      </c>
      <c r="U299" s="517" t="e">
        <f ca="1">-IF(AND($P$5="No",HLOOKUP('Loan Summary'!$R299,'Monthly Cash Flow'!$D$6:$CP$76,63,FALSE)&gt;T299),T299,(HLOOKUP('Loan Summary'!$R299,'Monthly Cash Flow'!$D$6:$CP$76,63,FALSE)))</f>
        <v>#N/A</v>
      </c>
      <c r="V299" s="517">
        <f>IF('Loan Summary'!R299=Assumptions!$AD$3,Assumptions!$AD$25,0)</f>
        <v>0</v>
      </c>
      <c r="W299" s="517" t="e">
        <f t="shared" ca="1" si="38"/>
        <v>#N/A</v>
      </c>
    </row>
    <row r="300" spans="6:23">
      <c r="F300" s="86">
        <v>299</v>
      </c>
      <c r="G300" s="85">
        <f t="shared" si="34"/>
        <v>2915707.7718968526</v>
      </c>
      <c r="H300" s="85">
        <f t="shared" si="32"/>
        <v>21236.394865569677</v>
      </c>
      <c r="I300" s="85">
        <f t="shared" si="33"/>
        <v>13363.660621193909</v>
      </c>
      <c r="J300" s="85">
        <f t="shared" si="35"/>
        <v>7872.734244375768</v>
      </c>
      <c r="K300" s="153">
        <f>IF('Monthly Cash Flow'!$C$88="Lender Draw",HLOOKUP(F300,'Monthly Cash Flow'!$D$79:$CP$88,10),0)</f>
        <v>0</v>
      </c>
      <c r="L300" s="83">
        <f t="shared" si="36"/>
        <v>2907835.0376524767</v>
      </c>
      <c r="R300" s="86">
        <v>299</v>
      </c>
      <c r="S300" s="517" t="e">
        <f t="shared" ca="1" si="39"/>
        <v>#N/A</v>
      </c>
      <c r="T300" s="517" t="e">
        <f t="shared" ca="1" si="37"/>
        <v>#N/A</v>
      </c>
      <c r="U300" s="517" t="e">
        <f ca="1">-IF(AND($P$5="No",HLOOKUP('Loan Summary'!$R300,'Monthly Cash Flow'!$D$6:$CP$76,63,FALSE)&gt;T300),T300,(HLOOKUP('Loan Summary'!$R300,'Monthly Cash Flow'!$D$6:$CP$76,63,FALSE)))</f>
        <v>#N/A</v>
      </c>
      <c r="V300" s="517">
        <f>IF('Loan Summary'!R300=Assumptions!$AD$3,Assumptions!$AD$25,0)</f>
        <v>0</v>
      </c>
      <c r="W300" s="517" t="e">
        <f t="shared" ca="1" si="38"/>
        <v>#N/A</v>
      </c>
    </row>
    <row r="301" spans="6:23">
      <c r="F301" s="86">
        <v>300</v>
      </c>
      <c r="G301" s="85">
        <f t="shared" si="34"/>
        <v>2907835.0376524767</v>
      </c>
      <c r="H301" s="85">
        <f t="shared" si="32"/>
        <v>21236.394865569677</v>
      </c>
      <c r="I301" s="85">
        <f t="shared" si="33"/>
        <v>13327.577255907185</v>
      </c>
      <c r="J301" s="85">
        <f t="shared" si="35"/>
        <v>7908.817609662492</v>
      </c>
      <c r="K301" s="153">
        <f>IF('Monthly Cash Flow'!$C$88="Lender Draw",HLOOKUP(F301,'Monthly Cash Flow'!$D$79:$CP$88,10),0)</f>
        <v>0</v>
      </c>
      <c r="L301" s="83">
        <f t="shared" si="36"/>
        <v>2899926.220042814</v>
      </c>
      <c r="R301" s="86">
        <v>300</v>
      </c>
      <c r="S301" s="517" t="e">
        <f t="shared" ca="1" si="39"/>
        <v>#N/A</v>
      </c>
      <c r="T301" s="517" t="e">
        <f t="shared" ca="1" si="37"/>
        <v>#N/A</v>
      </c>
      <c r="U301" s="517" t="e">
        <f ca="1">-IF(AND($P$5="No",HLOOKUP('Loan Summary'!$R301,'Monthly Cash Flow'!$D$6:$CP$76,63,FALSE)&gt;T301),T301,(HLOOKUP('Loan Summary'!$R301,'Monthly Cash Flow'!$D$6:$CP$76,63,FALSE)))</f>
        <v>#N/A</v>
      </c>
      <c r="V301" s="517">
        <f>IF('Loan Summary'!R301=Assumptions!$AD$3,Assumptions!$AD$25,0)</f>
        <v>0</v>
      </c>
      <c r="W301" s="517" t="e">
        <f t="shared" ca="1" si="38"/>
        <v>#N/A</v>
      </c>
    </row>
    <row r="302" spans="6:23">
      <c r="F302" s="86">
        <v>301</v>
      </c>
      <c r="G302" s="85">
        <f t="shared" si="34"/>
        <v>2899926.220042814</v>
      </c>
      <c r="H302" s="85">
        <f t="shared" si="32"/>
        <v>21236.394865569677</v>
      </c>
      <c r="I302" s="85">
        <f t="shared" si="33"/>
        <v>13291.328508529565</v>
      </c>
      <c r="J302" s="85">
        <f t="shared" si="35"/>
        <v>7945.0663570401121</v>
      </c>
      <c r="K302" s="153">
        <f>IF('Monthly Cash Flow'!$C$88="Lender Draw",HLOOKUP(F302,'Monthly Cash Flow'!$D$79:$CP$88,10),0)</f>
        <v>0</v>
      </c>
      <c r="L302" s="83">
        <f t="shared" si="36"/>
        <v>2891981.1536857737</v>
      </c>
      <c r="R302" s="86">
        <v>301</v>
      </c>
      <c r="S302" s="517" t="e">
        <f t="shared" ca="1" si="39"/>
        <v>#N/A</v>
      </c>
      <c r="T302" s="517" t="e">
        <f t="shared" ca="1" si="37"/>
        <v>#N/A</v>
      </c>
      <c r="U302" s="517" t="e">
        <f ca="1">-IF(AND($P$5="No",HLOOKUP('Loan Summary'!$R302,'Monthly Cash Flow'!$D$6:$CP$76,63,FALSE)&gt;T302),T302,(HLOOKUP('Loan Summary'!$R302,'Monthly Cash Flow'!$D$6:$CP$76,63,FALSE)))</f>
        <v>#N/A</v>
      </c>
      <c r="V302" s="517">
        <f>IF('Loan Summary'!R302=Assumptions!$AD$3,Assumptions!$AD$25,0)</f>
        <v>0</v>
      </c>
      <c r="W302" s="517" t="e">
        <f t="shared" ca="1" si="38"/>
        <v>#N/A</v>
      </c>
    </row>
    <row r="303" spans="6:23">
      <c r="F303" s="86">
        <v>302</v>
      </c>
      <c r="G303" s="85">
        <f t="shared" si="34"/>
        <v>2891981.1536857737</v>
      </c>
      <c r="H303" s="85">
        <f t="shared" si="32"/>
        <v>21236.394865569677</v>
      </c>
      <c r="I303" s="85">
        <f t="shared" si="33"/>
        <v>13254.913621059797</v>
      </c>
      <c r="J303" s="85">
        <f t="shared" si="35"/>
        <v>7981.4812445098796</v>
      </c>
      <c r="K303" s="153">
        <f>IF('Monthly Cash Flow'!$C$88="Lender Draw",HLOOKUP(F303,'Monthly Cash Flow'!$D$79:$CP$88,10),0)</f>
        <v>0</v>
      </c>
      <c r="L303" s="83">
        <f t="shared" si="36"/>
        <v>2883999.6724412637</v>
      </c>
      <c r="R303" s="86">
        <v>302</v>
      </c>
      <c r="S303" s="517" t="e">
        <f t="shared" ca="1" si="39"/>
        <v>#N/A</v>
      </c>
      <c r="T303" s="517" t="e">
        <f t="shared" ca="1" si="37"/>
        <v>#N/A</v>
      </c>
      <c r="U303" s="517" t="e">
        <f ca="1">-IF(AND($P$5="No",HLOOKUP('Loan Summary'!$R303,'Monthly Cash Flow'!$D$6:$CP$76,63,FALSE)&gt;T303),T303,(HLOOKUP('Loan Summary'!$R303,'Monthly Cash Flow'!$D$6:$CP$76,63,FALSE)))</f>
        <v>#N/A</v>
      </c>
      <c r="V303" s="517">
        <f>IF('Loan Summary'!R303=Assumptions!$AD$3,Assumptions!$AD$25,0)</f>
        <v>0</v>
      </c>
      <c r="W303" s="517" t="e">
        <f t="shared" ca="1" si="38"/>
        <v>#N/A</v>
      </c>
    </row>
    <row r="304" spans="6:23">
      <c r="F304" s="86">
        <v>303</v>
      </c>
      <c r="G304" s="85">
        <f t="shared" si="34"/>
        <v>2883999.6724412637</v>
      </c>
      <c r="H304" s="85">
        <f t="shared" si="32"/>
        <v>21236.394865569677</v>
      </c>
      <c r="I304" s="85">
        <f t="shared" si="33"/>
        <v>13218.331832022459</v>
      </c>
      <c r="J304" s="85">
        <f t="shared" si="35"/>
        <v>8018.0630335472179</v>
      </c>
      <c r="K304" s="153">
        <f>IF('Monthly Cash Flow'!$C$88="Lender Draw",HLOOKUP(F304,'Monthly Cash Flow'!$D$79:$CP$88,10),0)</f>
        <v>0</v>
      </c>
      <c r="L304" s="83">
        <f t="shared" si="36"/>
        <v>2875981.6094077164</v>
      </c>
      <c r="R304" s="86">
        <v>303</v>
      </c>
      <c r="S304" s="517" t="e">
        <f t="shared" ca="1" si="39"/>
        <v>#N/A</v>
      </c>
      <c r="T304" s="517" t="e">
        <f t="shared" ca="1" si="37"/>
        <v>#N/A</v>
      </c>
      <c r="U304" s="517" t="e">
        <f ca="1">-IF(AND($P$5="No",HLOOKUP('Loan Summary'!$R304,'Monthly Cash Flow'!$D$6:$CP$76,63,FALSE)&gt;T304),T304,(HLOOKUP('Loan Summary'!$R304,'Monthly Cash Flow'!$D$6:$CP$76,63,FALSE)))</f>
        <v>#N/A</v>
      </c>
      <c r="V304" s="517">
        <f>IF('Loan Summary'!R304=Assumptions!$AD$3,Assumptions!$AD$25,0)</f>
        <v>0</v>
      </c>
      <c r="W304" s="517" t="e">
        <f t="shared" ca="1" si="38"/>
        <v>#N/A</v>
      </c>
    </row>
    <row r="305" spans="6:23">
      <c r="F305" s="86">
        <v>304</v>
      </c>
      <c r="G305" s="85">
        <f t="shared" si="34"/>
        <v>2875981.6094077164</v>
      </c>
      <c r="H305" s="85">
        <f t="shared" si="32"/>
        <v>21236.394865569677</v>
      </c>
      <c r="I305" s="85">
        <f t="shared" si="33"/>
        <v>13181.582376452034</v>
      </c>
      <c r="J305" s="85">
        <f t="shared" si="35"/>
        <v>8054.8124891176431</v>
      </c>
      <c r="K305" s="153">
        <f>IF('Monthly Cash Flow'!$C$88="Lender Draw",HLOOKUP(F305,'Monthly Cash Flow'!$D$79:$CP$88,10),0)</f>
        <v>0</v>
      </c>
      <c r="L305" s="83">
        <f t="shared" si="36"/>
        <v>2867926.7969185989</v>
      </c>
      <c r="R305" s="86">
        <v>304</v>
      </c>
      <c r="S305" s="517" t="e">
        <f t="shared" ca="1" si="39"/>
        <v>#N/A</v>
      </c>
      <c r="T305" s="517" t="e">
        <f t="shared" ca="1" si="37"/>
        <v>#N/A</v>
      </c>
      <c r="U305" s="517" t="e">
        <f ca="1">-IF(AND($P$5="No",HLOOKUP('Loan Summary'!$R305,'Monthly Cash Flow'!$D$6:$CP$76,63,FALSE)&gt;T305),T305,(HLOOKUP('Loan Summary'!$R305,'Monthly Cash Flow'!$D$6:$CP$76,63,FALSE)))</f>
        <v>#N/A</v>
      </c>
      <c r="V305" s="517">
        <f>IF('Loan Summary'!R305=Assumptions!$AD$3,Assumptions!$AD$25,0)</f>
        <v>0</v>
      </c>
      <c r="W305" s="517" t="e">
        <f t="shared" ca="1" si="38"/>
        <v>#N/A</v>
      </c>
    </row>
    <row r="306" spans="6:23">
      <c r="F306" s="86">
        <v>305</v>
      </c>
      <c r="G306" s="85">
        <f t="shared" si="34"/>
        <v>2867926.7969185989</v>
      </c>
      <c r="H306" s="85">
        <f t="shared" si="32"/>
        <v>21236.394865569677</v>
      </c>
      <c r="I306" s="85">
        <f t="shared" si="33"/>
        <v>13144.664485876912</v>
      </c>
      <c r="J306" s="85">
        <f t="shared" si="35"/>
        <v>8091.7303796927645</v>
      </c>
      <c r="K306" s="153">
        <f>IF('Monthly Cash Flow'!$C$88="Lender Draw",HLOOKUP(F306,'Monthly Cash Flow'!$D$79:$CP$88,10),0)</f>
        <v>0</v>
      </c>
      <c r="L306" s="83">
        <f t="shared" si="36"/>
        <v>2859835.0665389062</v>
      </c>
      <c r="R306" s="86">
        <v>305</v>
      </c>
      <c r="S306" s="517" t="e">
        <f t="shared" ca="1" si="39"/>
        <v>#N/A</v>
      </c>
      <c r="T306" s="517" t="e">
        <f t="shared" ca="1" si="37"/>
        <v>#N/A</v>
      </c>
      <c r="U306" s="517" t="e">
        <f ca="1">-IF(AND($P$5="No",HLOOKUP('Loan Summary'!$R306,'Monthly Cash Flow'!$D$6:$CP$76,63,FALSE)&gt;T306),T306,(HLOOKUP('Loan Summary'!$R306,'Monthly Cash Flow'!$D$6:$CP$76,63,FALSE)))</f>
        <v>#N/A</v>
      </c>
      <c r="V306" s="517">
        <f>IF('Loan Summary'!R306=Assumptions!$AD$3,Assumptions!$AD$25,0)</f>
        <v>0</v>
      </c>
      <c r="W306" s="517" t="e">
        <f t="shared" ca="1" si="38"/>
        <v>#N/A</v>
      </c>
    </row>
    <row r="307" spans="6:23">
      <c r="F307" s="86">
        <v>306</v>
      </c>
      <c r="G307" s="85">
        <f t="shared" si="34"/>
        <v>2859835.0665389062</v>
      </c>
      <c r="H307" s="85">
        <f t="shared" si="32"/>
        <v>21236.394865569677</v>
      </c>
      <c r="I307" s="85">
        <f t="shared" si="33"/>
        <v>13107.57738830332</v>
      </c>
      <c r="J307" s="85">
        <f t="shared" si="35"/>
        <v>8128.8174772663569</v>
      </c>
      <c r="K307" s="153">
        <f>IF('Monthly Cash Flow'!$C$88="Lender Draw",HLOOKUP(F307,'Monthly Cash Flow'!$D$79:$CP$88,10),0)</f>
        <v>0</v>
      </c>
      <c r="L307" s="83">
        <f t="shared" si="36"/>
        <v>2851706.2490616399</v>
      </c>
      <c r="R307" s="86">
        <v>306</v>
      </c>
      <c r="S307" s="517" t="e">
        <f t="shared" ca="1" si="39"/>
        <v>#N/A</v>
      </c>
      <c r="T307" s="517" t="e">
        <f t="shared" ca="1" si="37"/>
        <v>#N/A</v>
      </c>
      <c r="U307" s="517" t="e">
        <f ca="1">-IF(AND($P$5="No",HLOOKUP('Loan Summary'!$R307,'Monthly Cash Flow'!$D$6:$CP$76,63,FALSE)&gt;T307),T307,(HLOOKUP('Loan Summary'!$R307,'Monthly Cash Flow'!$D$6:$CP$76,63,FALSE)))</f>
        <v>#N/A</v>
      </c>
      <c r="V307" s="517">
        <f>IF('Loan Summary'!R307=Assumptions!$AD$3,Assumptions!$AD$25,0)</f>
        <v>0</v>
      </c>
      <c r="W307" s="517" t="e">
        <f t="shared" ca="1" si="38"/>
        <v>#N/A</v>
      </c>
    </row>
    <row r="308" spans="6:23">
      <c r="F308" s="86">
        <v>307</v>
      </c>
      <c r="G308" s="85">
        <f t="shared" si="34"/>
        <v>2851706.2490616399</v>
      </c>
      <c r="H308" s="85">
        <f t="shared" si="32"/>
        <v>21236.394865569677</v>
      </c>
      <c r="I308" s="85">
        <f t="shared" si="33"/>
        <v>13070.320308199183</v>
      </c>
      <c r="J308" s="85">
        <f t="shared" si="35"/>
        <v>8166.0745573704935</v>
      </c>
      <c r="K308" s="153">
        <f>IF('Monthly Cash Flow'!$C$88="Lender Draw",HLOOKUP(F308,'Monthly Cash Flow'!$D$79:$CP$88,10),0)</f>
        <v>0</v>
      </c>
      <c r="L308" s="83">
        <f t="shared" si="36"/>
        <v>2843540.1745042694</v>
      </c>
      <c r="R308" s="86">
        <v>307</v>
      </c>
      <c r="S308" s="517" t="e">
        <f t="shared" ca="1" si="39"/>
        <v>#N/A</v>
      </c>
      <c r="T308" s="517" t="e">
        <f t="shared" ca="1" si="37"/>
        <v>#N/A</v>
      </c>
      <c r="U308" s="517" t="e">
        <f ca="1">-IF(AND($P$5="No",HLOOKUP('Loan Summary'!$R308,'Monthly Cash Flow'!$D$6:$CP$76,63,FALSE)&gt;T308),T308,(HLOOKUP('Loan Summary'!$R308,'Monthly Cash Flow'!$D$6:$CP$76,63,FALSE)))</f>
        <v>#N/A</v>
      </c>
      <c r="V308" s="517">
        <f>IF('Loan Summary'!R308=Assumptions!$AD$3,Assumptions!$AD$25,0)</f>
        <v>0</v>
      </c>
      <c r="W308" s="517" t="e">
        <f t="shared" ca="1" si="38"/>
        <v>#N/A</v>
      </c>
    </row>
    <row r="309" spans="6:23">
      <c r="F309" s="86">
        <v>308</v>
      </c>
      <c r="G309" s="85">
        <f t="shared" si="34"/>
        <v>2843540.1745042694</v>
      </c>
      <c r="H309" s="85">
        <f t="shared" si="32"/>
        <v>21236.394865569677</v>
      </c>
      <c r="I309" s="85">
        <f t="shared" si="33"/>
        <v>13032.892466477901</v>
      </c>
      <c r="J309" s="85">
        <f t="shared" si="35"/>
        <v>8203.5023990917762</v>
      </c>
      <c r="K309" s="153">
        <f>IF('Monthly Cash Flow'!$C$88="Lender Draw",HLOOKUP(F309,'Monthly Cash Flow'!$D$79:$CP$88,10),0)</f>
        <v>0</v>
      </c>
      <c r="L309" s="83">
        <f t="shared" si="36"/>
        <v>2835336.6721051778</v>
      </c>
      <c r="R309" s="86">
        <v>308</v>
      </c>
      <c r="S309" s="517" t="e">
        <f t="shared" ca="1" si="39"/>
        <v>#N/A</v>
      </c>
      <c r="T309" s="517" t="e">
        <f t="shared" ca="1" si="37"/>
        <v>#N/A</v>
      </c>
      <c r="U309" s="517" t="e">
        <f ca="1">-IF(AND($P$5="No",HLOOKUP('Loan Summary'!$R309,'Monthly Cash Flow'!$D$6:$CP$76,63,FALSE)&gt;T309),T309,(HLOOKUP('Loan Summary'!$R309,'Monthly Cash Flow'!$D$6:$CP$76,63,FALSE)))</f>
        <v>#N/A</v>
      </c>
      <c r="V309" s="517">
        <f>IF('Loan Summary'!R309=Assumptions!$AD$3,Assumptions!$AD$25,0)</f>
        <v>0</v>
      </c>
      <c r="W309" s="517" t="e">
        <f t="shared" ca="1" si="38"/>
        <v>#N/A</v>
      </c>
    </row>
    <row r="310" spans="6:23">
      <c r="F310" s="86">
        <v>309</v>
      </c>
      <c r="G310" s="85">
        <f t="shared" si="34"/>
        <v>2835336.6721051778</v>
      </c>
      <c r="H310" s="85">
        <f t="shared" si="32"/>
        <v>21236.394865569677</v>
      </c>
      <c r="I310" s="85">
        <f t="shared" si="33"/>
        <v>12995.293080482064</v>
      </c>
      <c r="J310" s="85">
        <f t="shared" si="35"/>
        <v>8241.1017850876124</v>
      </c>
      <c r="K310" s="153">
        <f>IF('Monthly Cash Flow'!$C$88="Lender Draw",HLOOKUP(F310,'Monthly Cash Flow'!$D$79:$CP$88,10),0)</f>
        <v>0</v>
      </c>
      <c r="L310" s="83">
        <f t="shared" si="36"/>
        <v>2827095.5703200903</v>
      </c>
      <c r="R310" s="86">
        <v>309</v>
      </c>
      <c r="S310" s="517" t="e">
        <f t="shared" ca="1" si="39"/>
        <v>#N/A</v>
      </c>
      <c r="T310" s="517" t="e">
        <f t="shared" ca="1" si="37"/>
        <v>#N/A</v>
      </c>
      <c r="U310" s="517" t="e">
        <f ca="1">-IF(AND($P$5="No",HLOOKUP('Loan Summary'!$R310,'Monthly Cash Flow'!$D$6:$CP$76,63,FALSE)&gt;T310),T310,(HLOOKUP('Loan Summary'!$R310,'Monthly Cash Flow'!$D$6:$CP$76,63,FALSE)))</f>
        <v>#N/A</v>
      </c>
      <c r="V310" s="517">
        <f>IF('Loan Summary'!R310=Assumptions!$AD$3,Assumptions!$AD$25,0)</f>
        <v>0</v>
      </c>
      <c r="W310" s="517" t="e">
        <f t="shared" ca="1" si="38"/>
        <v>#N/A</v>
      </c>
    </row>
    <row r="311" spans="6:23">
      <c r="F311" s="86">
        <v>310</v>
      </c>
      <c r="G311" s="85">
        <f t="shared" si="34"/>
        <v>2827095.5703200903</v>
      </c>
      <c r="H311" s="85">
        <f t="shared" si="32"/>
        <v>21236.394865569677</v>
      </c>
      <c r="I311" s="85">
        <f t="shared" si="33"/>
        <v>12957.52136396708</v>
      </c>
      <c r="J311" s="85">
        <f t="shared" si="35"/>
        <v>8278.8735016025967</v>
      </c>
      <c r="K311" s="153">
        <f>IF('Monthly Cash Flow'!$C$88="Lender Draw",HLOOKUP(F311,'Monthly Cash Flow'!$D$79:$CP$88,10),0)</f>
        <v>0</v>
      </c>
      <c r="L311" s="83">
        <f t="shared" si="36"/>
        <v>2818816.6968184877</v>
      </c>
      <c r="R311" s="86">
        <v>310</v>
      </c>
      <c r="S311" s="517" t="e">
        <f t="shared" ca="1" si="39"/>
        <v>#N/A</v>
      </c>
      <c r="T311" s="517" t="e">
        <f t="shared" ca="1" si="37"/>
        <v>#N/A</v>
      </c>
      <c r="U311" s="517" t="e">
        <f ca="1">-IF(AND($P$5="No",HLOOKUP('Loan Summary'!$R311,'Monthly Cash Flow'!$D$6:$CP$76,63,FALSE)&gt;T311),T311,(HLOOKUP('Loan Summary'!$R311,'Monthly Cash Flow'!$D$6:$CP$76,63,FALSE)))</f>
        <v>#N/A</v>
      </c>
      <c r="V311" s="517">
        <f>IF('Loan Summary'!R311=Assumptions!$AD$3,Assumptions!$AD$25,0)</f>
        <v>0</v>
      </c>
      <c r="W311" s="517" t="e">
        <f t="shared" ca="1" si="38"/>
        <v>#N/A</v>
      </c>
    </row>
    <row r="312" spans="6:23">
      <c r="F312" s="86">
        <v>311</v>
      </c>
      <c r="G312" s="85">
        <f t="shared" si="34"/>
        <v>2818816.6968184877</v>
      </c>
      <c r="H312" s="85">
        <f t="shared" si="32"/>
        <v>21236.394865569677</v>
      </c>
      <c r="I312" s="85">
        <f t="shared" si="33"/>
        <v>12919.576527084735</v>
      </c>
      <c r="J312" s="85">
        <f t="shared" si="35"/>
        <v>8316.8183384849417</v>
      </c>
      <c r="K312" s="153">
        <f>IF('Monthly Cash Flow'!$C$88="Lender Draw",HLOOKUP(F312,'Monthly Cash Flow'!$D$79:$CP$88,10),0)</f>
        <v>0</v>
      </c>
      <c r="L312" s="83">
        <f t="shared" si="36"/>
        <v>2810499.8784800027</v>
      </c>
      <c r="R312" s="86">
        <v>311</v>
      </c>
      <c r="S312" s="517" t="e">
        <f t="shared" ca="1" si="39"/>
        <v>#N/A</v>
      </c>
      <c r="T312" s="517" t="e">
        <f t="shared" ca="1" si="37"/>
        <v>#N/A</v>
      </c>
      <c r="U312" s="517" t="e">
        <f ca="1">-IF(AND($P$5="No",HLOOKUP('Loan Summary'!$R312,'Monthly Cash Flow'!$D$6:$CP$76,63,FALSE)&gt;T312),T312,(HLOOKUP('Loan Summary'!$R312,'Monthly Cash Flow'!$D$6:$CP$76,63,FALSE)))</f>
        <v>#N/A</v>
      </c>
      <c r="V312" s="517">
        <f>IF('Loan Summary'!R312=Assumptions!$AD$3,Assumptions!$AD$25,0)</f>
        <v>0</v>
      </c>
      <c r="W312" s="517" t="e">
        <f t="shared" ca="1" si="38"/>
        <v>#N/A</v>
      </c>
    </row>
    <row r="313" spans="6:23">
      <c r="F313" s="86">
        <v>312</v>
      </c>
      <c r="G313" s="85">
        <f t="shared" si="34"/>
        <v>2810499.8784800027</v>
      </c>
      <c r="H313" s="85">
        <f t="shared" si="32"/>
        <v>21236.394865569677</v>
      </c>
      <c r="I313" s="85">
        <f t="shared" si="33"/>
        <v>12881.457776366678</v>
      </c>
      <c r="J313" s="85">
        <f t="shared" si="35"/>
        <v>8354.9370892029983</v>
      </c>
      <c r="K313" s="153">
        <f>IF('Monthly Cash Flow'!$C$88="Lender Draw",HLOOKUP(F313,'Monthly Cash Flow'!$D$79:$CP$88,10),0)</f>
        <v>0</v>
      </c>
      <c r="L313" s="83">
        <f t="shared" si="36"/>
        <v>2802144.9413907998</v>
      </c>
      <c r="R313" s="86">
        <v>312</v>
      </c>
      <c r="S313" s="517" t="e">
        <f t="shared" ca="1" si="39"/>
        <v>#N/A</v>
      </c>
      <c r="T313" s="517" t="e">
        <f t="shared" ca="1" si="37"/>
        <v>#N/A</v>
      </c>
      <c r="U313" s="517" t="e">
        <f ca="1">-IF(AND($P$5="No",HLOOKUP('Loan Summary'!$R313,'Monthly Cash Flow'!$D$6:$CP$76,63,FALSE)&gt;T313),T313,(HLOOKUP('Loan Summary'!$R313,'Monthly Cash Flow'!$D$6:$CP$76,63,FALSE)))</f>
        <v>#N/A</v>
      </c>
      <c r="V313" s="517">
        <f>IF('Loan Summary'!R313=Assumptions!$AD$3,Assumptions!$AD$25,0)</f>
        <v>0</v>
      </c>
      <c r="W313" s="517" t="e">
        <f t="shared" ca="1" si="38"/>
        <v>#N/A</v>
      </c>
    </row>
    <row r="314" spans="6:23">
      <c r="F314" s="86">
        <v>313</v>
      </c>
      <c r="G314" s="85">
        <f t="shared" si="34"/>
        <v>2802144.9413907998</v>
      </c>
      <c r="H314" s="85">
        <f t="shared" si="32"/>
        <v>21236.394865569677</v>
      </c>
      <c r="I314" s="85">
        <f t="shared" si="33"/>
        <v>12843.164314707832</v>
      </c>
      <c r="J314" s="85">
        <f t="shared" si="35"/>
        <v>8393.2305508618447</v>
      </c>
      <c r="K314" s="153">
        <f>IF('Monthly Cash Flow'!$C$88="Lender Draw",HLOOKUP(F314,'Monthly Cash Flow'!$D$79:$CP$88,10),0)</f>
        <v>0</v>
      </c>
      <c r="L314" s="83">
        <f t="shared" si="36"/>
        <v>2793751.7108399379</v>
      </c>
      <c r="R314" s="86">
        <v>313</v>
      </c>
      <c r="S314" s="517" t="e">
        <f t="shared" ca="1" si="39"/>
        <v>#N/A</v>
      </c>
      <c r="T314" s="517" t="e">
        <f t="shared" ca="1" si="37"/>
        <v>#N/A</v>
      </c>
      <c r="U314" s="517" t="e">
        <f ca="1">-IF(AND($P$5="No",HLOOKUP('Loan Summary'!$R314,'Monthly Cash Flow'!$D$6:$CP$76,63,FALSE)&gt;T314),T314,(HLOOKUP('Loan Summary'!$R314,'Monthly Cash Flow'!$D$6:$CP$76,63,FALSE)))</f>
        <v>#N/A</v>
      </c>
      <c r="V314" s="517">
        <f>IF('Loan Summary'!R314=Assumptions!$AD$3,Assumptions!$AD$25,0)</f>
        <v>0</v>
      </c>
      <c r="W314" s="517" t="e">
        <f t="shared" ca="1" si="38"/>
        <v>#N/A</v>
      </c>
    </row>
    <row r="315" spans="6:23">
      <c r="F315" s="86">
        <v>314</v>
      </c>
      <c r="G315" s="85">
        <f t="shared" si="34"/>
        <v>2793751.7108399379</v>
      </c>
      <c r="H315" s="85">
        <f t="shared" si="32"/>
        <v>21236.394865569677</v>
      </c>
      <c r="I315" s="85">
        <f t="shared" si="33"/>
        <v>12804.695341349716</v>
      </c>
      <c r="J315" s="85">
        <f t="shared" si="35"/>
        <v>8431.6995242199609</v>
      </c>
      <c r="K315" s="153">
        <f>IF('Monthly Cash Flow'!$C$88="Lender Draw",HLOOKUP(F315,'Monthly Cash Flow'!$D$79:$CP$88,10),0)</f>
        <v>0</v>
      </c>
      <c r="L315" s="83">
        <f t="shared" si="36"/>
        <v>2785320.0113157178</v>
      </c>
      <c r="R315" s="86">
        <v>314</v>
      </c>
      <c r="S315" s="517" t="e">
        <f t="shared" ca="1" si="39"/>
        <v>#N/A</v>
      </c>
      <c r="T315" s="517" t="e">
        <f t="shared" ca="1" si="37"/>
        <v>#N/A</v>
      </c>
      <c r="U315" s="517" t="e">
        <f ca="1">-IF(AND($P$5="No",HLOOKUP('Loan Summary'!$R315,'Monthly Cash Flow'!$D$6:$CP$76,63,FALSE)&gt;T315),T315,(HLOOKUP('Loan Summary'!$R315,'Monthly Cash Flow'!$D$6:$CP$76,63,FALSE)))</f>
        <v>#N/A</v>
      </c>
      <c r="V315" s="517">
        <f>IF('Loan Summary'!R315=Assumptions!$AD$3,Assumptions!$AD$25,0)</f>
        <v>0</v>
      </c>
      <c r="W315" s="517" t="e">
        <f t="shared" ca="1" si="38"/>
        <v>#N/A</v>
      </c>
    </row>
    <row r="316" spans="6:23">
      <c r="F316" s="86">
        <v>315</v>
      </c>
      <c r="G316" s="85">
        <f t="shared" si="34"/>
        <v>2785320.0113157178</v>
      </c>
      <c r="H316" s="85">
        <f t="shared" si="32"/>
        <v>21236.394865569677</v>
      </c>
      <c r="I316" s="85">
        <f t="shared" si="33"/>
        <v>12766.050051863707</v>
      </c>
      <c r="J316" s="85">
        <f t="shared" si="35"/>
        <v>8470.3448137059695</v>
      </c>
      <c r="K316" s="153">
        <f>IF('Monthly Cash Flow'!$C$88="Lender Draw",HLOOKUP(F316,'Monthly Cash Flow'!$D$79:$CP$88,10),0)</f>
        <v>0</v>
      </c>
      <c r="L316" s="83">
        <f t="shared" si="36"/>
        <v>2776849.6665020119</v>
      </c>
      <c r="R316" s="86">
        <v>315</v>
      </c>
      <c r="S316" s="517" t="e">
        <f t="shared" ca="1" si="39"/>
        <v>#N/A</v>
      </c>
      <c r="T316" s="517" t="e">
        <f t="shared" ca="1" si="37"/>
        <v>#N/A</v>
      </c>
      <c r="U316" s="517" t="e">
        <f ca="1">-IF(AND($P$5="No",HLOOKUP('Loan Summary'!$R316,'Monthly Cash Flow'!$D$6:$CP$76,63,FALSE)&gt;T316),T316,(HLOOKUP('Loan Summary'!$R316,'Monthly Cash Flow'!$D$6:$CP$76,63,FALSE)))</f>
        <v>#N/A</v>
      </c>
      <c r="V316" s="517">
        <f>IF('Loan Summary'!R316=Assumptions!$AD$3,Assumptions!$AD$25,0)</f>
        <v>0</v>
      </c>
      <c r="W316" s="517" t="e">
        <f t="shared" ca="1" si="38"/>
        <v>#N/A</v>
      </c>
    </row>
    <row r="317" spans="6:23">
      <c r="F317" s="86">
        <v>316</v>
      </c>
      <c r="G317" s="85">
        <f t="shared" si="34"/>
        <v>2776849.6665020119</v>
      </c>
      <c r="H317" s="85">
        <f t="shared" si="32"/>
        <v>21236.394865569677</v>
      </c>
      <c r="I317" s="85">
        <f t="shared" si="33"/>
        <v>12727.227638134222</v>
      </c>
      <c r="J317" s="85">
        <f t="shared" si="35"/>
        <v>8509.1672274354551</v>
      </c>
      <c r="K317" s="153">
        <f>IF('Monthly Cash Flow'!$C$88="Lender Draw",HLOOKUP(F317,'Monthly Cash Flow'!$D$79:$CP$88,10),0)</f>
        <v>0</v>
      </c>
      <c r="L317" s="83">
        <f t="shared" si="36"/>
        <v>2768340.4992745765</v>
      </c>
      <c r="R317" s="86">
        <v>316</v>
      </c>
      <c r="S317" s="517" t="e">
        <f t="shared" ca="1" si="39"/>
        <v>#N/A</v>
      </c>
      <c r="T317" s="517" t="e">
        <f t="shared" ca="1" si="37"/>
        <v>#N/A</v>
      </c>
      <c r="U317" s="517" t="e">
        <f ca="1">-IF(AND($P$5="No",HLOOKUP('Loan Summary'!$R317,'Monthly Cash Flow'!$D$6:$CP$76,63,FALSE)&gt;T317),T317,(HLOOKUP('Loan Summary'!$R317,'Monthly Cash Flow'!$D$6:$CP$76,63,FALSE)))</f>
        <v>#N/A</v>
      </c>
      <c r="V317" s="517">
        <f>IF('Loan Summary'!R317=Assumptions!$AD$3,Assumptions!$AD$25,0)</f>
        <v>0</v>
      </c>
      <c r="W317" s="517" t="e">
        <f t="shared" ca="1" si="38"/>
        <v>#N/A</v>
      </c>
    </row>
    <row r="318" spans="6:23">
      <c r="F318" s="86">
        <v>317</v>
      </c>
      <c r="G318" s="85">
        <f t="shared" si="34"/>
        <v>2768340.4992745765</v>
      </c>
      <c r="H318" s="85">
        <f t="shared" si="32"/>
        <v>21236.394865569677</v>
      </c>
      <c r="I318" s="85">
        <f t="shared" si="33"/>
        <v>12688.22728834181</v>
      </c>
      <c r="J318" s="85">
        <f t="shared" si="35"/>
        <v>8548.1675772278668</v>
      </c>
      <c r="K318" s="153">
        <f>IF('Monthly Cash Flow'!$C$88="Lender Draw",HLOOKUP(F318,'Monthly Cash Flow'!$D$79:$CP$88,10),0)</f>
        <v>0</v>
      </c>
      <c r="L318" s="83">
        <f t="shared" si="36"/>
        <v>2759792.3316973485</v>
      </c>
      <c r="R318" s="86">
        <v>317</v>
      </c>
      <c r="S318" s="517" t="e">
        <f t="shared" ca="1" si="39"/>
        <v>#N/A</v>
      </c>
      <c r="T318" s="517" t="e">
        <f t="shared" ca="1" si="37"/>
        <v>#N/A</v>
      </c>
      <c r="U318" s="517" t="e">
        <f ca="1">-IF(AND($P$5="No",HLOOKUP('Loan Summary'!$R318,'Monthly Cash Flow'!$D$6:$CP$76,63,FALSE)&gt;T318),T318,(HLOOKUP('Loan Summary'!$R318,'Monthly Cash Flow'!$D$6:$CP$76,63,FALSE)))</f>
        <v>#N/A</v>
      </c>
      <c r="V318" s="517">
        <f>IF('Loan Summary'!R318=Assumptions!$AD$3,Assumptions!$AD$25,0)</f>
        <v>0</v>
      </c>
      <c r="W318" s="517" t="e">
        <f t="shared" ca="1" si="38"/>
        <v>#N/A</v>
      </c>
    </row>
    <row r="319" spans="6:23">
      <c r="F319" s="86">
        <v>318</v>
      </c>
      <c r="G319" s="85">
        <f t="shared" si="34"/>
        <v>2759792.3316973485</v>
      </c>
      <c r="H319" s="85">
        <f t="shared" si="32"/>
        <v>21236.394865569677</v>
      </c>
      <c r="I319" s="85">
        <f t="shared" si="33"/>
        <v>12649.04818694618</v>
      </c>
      <c r="J319" s="85">
        <f t="shared" si="35"/>
        <v>8587.3466786234967</v>
      </c>
      <c r="K319" s="153">
        <f>IF('Monthly Cash Flow'!$C$88="Lender Draw",HLOOKUP(F319,'Monthly Cash Flow'!$D$79:$CP$88,10),0)</f>
        <v>0</v>
      </c>
      <c r="L319" s="83">
        <f t="shared" si="36"/>
        <v>2751204.985018725</v>
      </c>
      <c r="R319" s="86">
        <v>318</v>
      </c>
      <c r="S319" s="517" t="e">
        <f t="shared" ca="1" si="39"/>
        <v>#N/A</v>
      </c>
      <c r="T319" s="517" t="e">
        <f t="shared" ca="1" si="37"/>
        <v>#N/A</v>
      </c>
      <c r="U319" s="517" t="e">
        <f ca="1">-IF(AND($P$5="No",HLOOKUP('Loan Summary'!$R319,'Monthly Cash Flow'!$D$6:$CP$76,63,FALSE)&gt;T319),T319,(HLOOKUP('Loan Summary'!$R319,'Monthly Cash Flow'!$D$6:$CP$76,63,FALSE)))</f>
        <v>#N/A</v>
      </c>
      <c r="V319" s="517">
        <f>IF('Loan Summary'!R319=Assumptions!$AD$3,Assumptions!$AD$25,0)</f>
        <v>0</v>
      </c>
      <c r="W319" s="517" t="e">
        <f t="shared" ca="1" si="38"/>
        <v>#N/A</v>
      </c>
    </row>
    <row r="320" spans="6:23">
      <c r="F320" s="86">
        <v>319</v>
      </c>
      <c r="G320" s="85">
        <f t="shared" si="34"/>
        <v>2751204.985018725</v>
      </c>
      <c r="H320" s="85">
        <f t="shared" si="32"/>
        <v>21236.394865569677</v>
      </c>
      <c r="I320" s="85">
        <f t="shared" si="33"/>
        <v>12609.689514669157</v>
      </c>
      <c r="J320" s="85">
        <f t="shared" si="35"/>
        <v>8626.70535090052</v>
      </c>
      <c r="K320" s="153">
        <f>IF('Monthly Cash Flow'!$C$88="Lender Draw",HLOOKUP(F320,'Monthly Cash Flow'!$D$79:$CP$88,10),0)</f>
        <v>0</v>
      </c>
      <c r="L320" s="83">
        <f t="shared" si="36"/>
        <v>2742578.2796678245</v>
      </c>
      <c r="R320" s="86">
        <v>319</v>
      </c>
      <c r="S320" s="517" t="e">
        <f t="shared" ca="1" si="39"/>
        <v>#N/A</v>
      </c>
      <c r="T320" s="517" t="e">
        <f t="shared" ca="1" si="37"/>
        <v>#N/A</v>
      </c>
      <c r="U320" s="517" t="e">
        <f ca="1">-IF(AND($P$5="No",HLOOKUP('Loan Summary'!$R320,'Monthly Cash Flow'!$D$6:$CP$76,63,FALSE)&gt;T320),T320,(HLOOKUP('Loan Summary'!$R320,'Monthly Cash Flow'!$D$6:$CP$76,63,FALSE)))</f>
        <v>#N/A</v>
      </c>
      <c r="V320" s="517">
        <f>IF('Loan Summary'!R320=Assumptions!$AD$3,Assumptions!$AD$25,0)</f>
        <v>0</v>
      </c>
      <c r="W320" s="517" t="e">
        <f t="shared" ca="1" si="38"/>
        <v>#N/A</v>
      </c>
    </row>
    <row r="321" spans="6:23">
      <c r="F321" s="86">
        <v>320</v>
      </c>
      <c r="G321" s="85">
        <f t="shared" si="34"/>
        <v>2742578.2796678245</v>
      </c>
      <c r="H321" s="85">
        <f t="shared" si="32"/>
        <v>21236.394865569677</v>
      </c>
      <c r="I321" s="85">
        <f t="shared" si="33"/>
        <v>12570.150448477529</v>
      </c>
      <c r="J321" s="85">
        <f t="shared" si="35"/>
        <v>8666.2444170921481</v>
      </c>
      <c r="K321" s="153">
        <f>IF('Monthly Cash Flow'!$C$88="Lender Draw",HLOOKUP(F321,'Monthly Cash Flow'!$D$79:$CP$88,10),0)</f>
        <v>0</v>
      </c>
      <c r="L321" s="83">
        <f t="shared" si="36"/>
        <v>2733912.0352507322</v>
      </c>
      <c r="R321" s="86">
        <v>320</v>
      </c>
      <c r="S321" s="517" t="e">
        <f t="shared" ca="1" si="39"/>
        <v>#N/A</v>
      </c>
      <c r="T321" s="517" t="e">
        <f t="shared" ca="1" si="37"/>
        <v>#N/A</v>
      </c>
      <c r="U321" s="517" t="e">
        <f ca="1">-IF(AND($P$5="No",HLOOKUP('Loan Summary'!$R321,'Monthly Cash Flow'!$D$6:$CP$76,63,FALSE)&gt;T321),T321,(HLOOKUP('Loan Summary'!$R321,'Monthly Cash Flow'!$D$6:$CP$76,63,FALSE)))</f>
        <v>#N/A</v>
      </c>
      <c r="V321" s="517">
        <f>IF('Loan Summary'!R321=Assumptions!$AD$3,Assumptions!$AD$25,0)</f>
        <v>0</v>
      </c>
      <c r="W321" s="517" t="e">
        <f t="shared" ca="1" si="38"/>
        <v>#N/A</v>
      </c>
    </row>
    <row r="322" spans="6:23">
      <c r="F322" s="86">
        <v>321</v>
      </c>
      <c r="G322" s="85">
        <f t="shared" si="34"/>
        <v>2733912.0352507322</v>
      </c>
      <c r="H322" s="85">
        <f t="shared" ref="H322:H361" si="40">IF(F322&lt;$C$16,IF(F322&gt;$C$6,-PMT(($C$3/12),$C$4,$C$2),I322),-PMT($C$10/12,$C$11,$C$9))</f>
        <v>21236.394865569677</v>
      </c>
      <c r="I322" s="85">
        <f t="shared" ref="I322:I361" si="41">IF(F322&lt;$C$16,G322*($C$3/12),G322*($C$10/12))</f>
        <v>12530.430161565857</v>
      </c>
      <c r="J322" s="85">
        <f t="shared" si="35"/>
        <v>8705.9647040038199</v>
      </c>
      <c r="K322" s="153">
        <f>IF('Monthly Cash Flow'!$C$88="Lender Draw",HLOOKUP(F322,'Monthly Cash Flow'!$D$79:$CP$88,10),0)</f>
        <v>0</v>
      </c>
      <c r="L322" s="83">
        <f t="shared" si="36"/>
        <v>2725206.0705467286</v>
      </c>
      <c r="R322" s="86">
        <v>321</v>
      </c>
      <c r="S322" s="517" t="e">
        <f t="shared" ca="1" si="39"/>
        <v>#N/A</v>
      </c>
      <c r="T322" s="517" t="e">
        <f t="shared" ca="1" si="37"/>
        <v>#N/A</v>
      </c>
      <c r="U322" s="517" t="e">
        <f ca="1">-IF(AND($P$5="No",HLOOKUP('Loan Summary'!$R322,'Monthly Cash Flow'!$D$6:$CP$76,63,FALSE)&gt;T322),T322,(HLOOKUP('Loan Summary'!$R322,'Monthly Cash Flow'!$D$6:$CP$76,63,FALSE)))</f>
        <v>#N/A</v>
      </c>
      <c r="V322" s="517">
        <f>IF('Loan Summary'!R322=Assumptions!$AD$3,Assumptions!$AD$25,0)</f>
        <v>0</v>
      </c>
      <c r="W322" s="517" t="e">
        <f t="shared" ca="1" si="38"/>
        <v>#N/A</v>
      </c>
    </row>
    <row r="323" spans="6:23">
      <c r="F323" s="86">
        <v>322</v>
      </c>
      <c r="G323" s="85">
        <f t="shared" ref="G323:G361" si="42">IF(F323&lt;$C$16,L322,IF(F323=$C$16,$C$9,L322))</f>
        <v>2725206.0705467286</v>
      </c>
      <c r="H323" s="85">
        <f t="shared" si="40"/>
        <v>21236.394865569677</v>
      </c>
      <c r="I323" s="85">
        <f t="shared" si="41"/>
        <v>12490.527823339173</v>
      </c>
      <c r="J323" s="85">
        <f t="shared" ref="J323:J361" si="43">IF(F323&lt;$C$16,IF(F323&lt;=$C$6,0,H323-I323),IF(F323&lt;=$C$16+$C$13,0,H323-I323))</f>
        <v>8745.867042230504</v>
      </c>
      <c r="K323" s="153">
        <f>IF('Monthly Cash Flow'!$C$88="Lender Draw",HLOOKUP(F323,'Monthly Cash Flow'!$D$79:$CP$88,10),0)</f>
        <v>0</v>
      </c>
      <c r="L323" s="83">
        <f t="shared" ref="L323:L361" si="44">G323-J323+K323</f>
        <v>2716460.2035044981</v>
      </c>
      <c r="R323" s="86">
        <v>322</v>
      </c>
      <c r="S323" s="517" t="e">
        <f t="shared" ca="1" si="39"/>
        <v>#N/A</v>
      </c>
      <c r="T323" s="517" t="e">
        <f t="shared" ref="T323:T361" ca="1" si="45">(S323*$P$3)/12</f>
        <v>#N/A</v>
      </c>
      <c r="U323" s="517" t="e">
        <f ca="1">-IF(AND($P$5="No",HLOOKUP('Loan Summary'!$R323,'Monthly Cash Flow'!$D$6:$CP$76,63,FALSE)&gt;T323),T323,(HLOOKUP('Loan Summary'!$R323,'Monthly Cash Flow'!$D$6:$CP$76,63,FALSE)))</f>
        <v>#N/A</v>
      </c>
      <c r="V323" s="517">
        <f>IF('Loan Summary'!R323=Assumptions!$AD$3,Assumptions!$AD$25,0)</f>
        <v>0</v>
      </c>
      <c r="W323" s="517" t="e">
        <f t="shared" ref="W323:W361" ca="1" si="46">S323+T323+U323+V323</f>
        <v>#N/A</v>
      </c>
    </row>
    <row r="324" spans="6:23">
      <c r="F324" s="86">
        <v>323</v>
      </c>
      <c r="G324" s="85">
        <f t="shared" si="42"/>
        <v>2716460.2035044981</v>
      </c>
      <c r="H324" s="85">
        <f t="shared" si="40"/>
        <v>21236.394865569677</v>
      </c>
      <c r="I324" s="85">
        <f t="shared" si="41"/>
        <v>12450.442599395616</v>
      </c>
      <c r="J324" s="85">
        <f t="shared" si="43"/>
        <v>8785.9522661740612</v>
      </c>
      <c r="K324" s="153">
        <f>IF('Monthly Cash Flow'!$C$88="Lender Draw",HLOOKUP(F324,'Monthly Cash Flow'!$D$79:$CP$88,10),0)</f>
        <v>0</v>
      </c>
      <c r="L324" s="83">
        <f t="shared" si="44"/>
        <v>2707674.2512383242</v>
      </c>
      <c r="R324" s="86">
        <v>323</v>
      </c>
      <c r="S324" s="517" t="e">
        <f t="shared" ref="S324:S361" ca="1" si="47">W323</f>
        <v>#N/A</v>
      </c>
      <c r="T324" s="517" t="e">
        <f t="shared" ca="1" si="45"/>
        <v>#N/A</v>
      </c>
      <c r="U324" s="517" t="e">
        <f ca="1">-IF(AND($P$5="No",HLOOKUP('Loan Summary'!$R324,'Monthly Cash Flow'!$D$6:$CP$76,63,FALSE)&gt;T324),T324,(HLOOKUP('Loan Summary'!$R324,'Monthly Cash Flow'!$D$6:$CP$76,63,FALSE)))</f>
        <v>#N/A</v>
      </c>
      <c r="V324" s="517">
        <f>IF('Loan Summary'!R324=Assumptions!$AD$3,Assumptions!$AD$25,0)</f>
        <v>0</v>
      </c>
      <c r="W324" s="517" t="e">
        <f t="shared" ca="1" si="46"/>
        <v>#N/A</v>
      </c>
    </row>
    <row r="325" spans="6:23">
      <c r="F325" s="86">
        <v>324</v>
      </c>
      <c r="G325" s="85">
        <f t="shared" si="42"/>
        <v>2707674.2512383242</v>
      </c>
      <c r="H325" s="85">
        <f t="shared" si="40"/>
        <v>21236.394865569677</v>
      </c>
      <c r="I325" s="85">
        <f t="shared" si="41"/>
        <v>12410.173651508987</v>
      </c>
      <c r="J325" s="85">
        <f t="shared" si="43"/>
        <v>8826.2212140606898</v>
      </c>
      <c r="K325" s="153">
        <f>IF('Monthly Cash Flow'!$C$88="Lender Draw",HLOOKUP(F325,'Monthly Cash Flow'!$D$79:$CP$88,10),0)</f>
        <v>0</v>
      </c>
      <c r="L325" s="83">
        <f t="shared" si="44"/>
        <v>2698848.0300242635</v>
      </c>
      <c r="R325" s="86">
        <v>324</v>
      </c>
      <c r="S325" s="517" t="e">
        <f t="shared" ca="1" si="47"/>
        <v>#N/A</v>
      </c>
      <c r="T325" s="517" t="e">
        <f t="shared" ca="1" si="45"/>
        <v>#N/A</v>
      </c>
      <c r="U325" s="517" t="e">
        <f ca="1">-IF(AND($P$5="No",HLOOKUP('Loan Summary'!$R325,'Monthly Cash Flow'!$D$6:$CP$76,63,FALSE)&gt;T325),T325,(HLOOKUP('Loan Summary'!$R325,'Monthly Cash Flow'!$D$6:$CP$76,63,FALSE)))</f>
        <v>#N/A</v>
      </c>
      <c r="V325" s="517">
        <f>IF('Loan Summary'!R325=Assumptions!$AD$3,Assumptions!$AD$25,0)</f>
        <v>0</v>
      </c>
      <c r="W325" s="517" t="e">
        <f t="shared" ca="1" si="46"/>
        <v>#N/A</v>
      </c>
    </row>
    <row r="326" spans="6:23">
      <c r="F326" s="86">
        <v>325</v>
      </c>
      <c r="G326" s="85">
        <f t="shared" si="42"/>
        <v>2698848.0300242635</v>
      </c>
      <c r="H326" s="85">
        <f t="shared" si="40"/>
        <v>21236.394865569677</v>
      </c>
      <c r="I326" s="85">
        <f t="shared" si="41"/>
        <v>12369.720137611208</v>
      </c>
      <c r="J326" s="85">
        <f t="shared" si="43"/>
        <v>8866.6747279584688</v>
      </c>
      <c r="K326" s="153">
        <f>IF('Monthly Cash Flow'!$C$88="Lender Draw",HLOOKUP(F326,'Monthly Cash Flow'!$D$79:$CP$88,10),0)</f>
        <v>0</v>
      </c>
      <c r="L326" s="83">
        <f t="shared" si="44"/>
        <v>2689981.3552963049</v>
      </c>
      <c r="R326" s="86">
        <v>325</v>
      </c>
      <c r="S326" s="517" t="e">
        <f t="shared" ca="1" si="47"/>
        <v>#N/A</v>
      </c>
      <c r="T326" s="517" t="e">
        <f t="shared" ca="1" si="45"/>
        <v>#N/A</v>
      </c>
      <c r="U326" s="517" t="e">
        <f ca="1">-IF(AND($P$5="No",HLOOKUP('Loan Summary'!$R326,'Monthly Cash Flow'!$D$6:$CP$76,63,FALSE)&gt;T326),T326,(HLOOKUP('Loan Summary'!$R326,'Monthly Cash Flow'!$D$6:$CP$76,63,FALSE)))</f>
        <v>#N/A</v>
      </c>
      <c r="V326" s="517">
        <f>IF('Loan Summary'!R326=Assumptions!$AD$3,Assumptions!$AD$25,0)</f>
        <v>0</v>
      </c>
      <c r="W326" s="517" t="e">
        <f t="shared" ca="1" si="46"/>
        <v>#N/A</v>
      </c>
    </row>
    <row r="327" spans="6:23">
      <c r="F327" s="86">
        <v>326</v>
      </c>
      <c r="G327" s="85">
        <f t="shared" si="42"/>
        <v>2689981.3552963049</v>
      </c>
      <c r="H327" s="85">
        <f t="shared" si="40"/>
        <v>21236.394865569677</v>
      </c>
      <c r="I327" s="85">
        <f t="shared" si="41"/>
        <v>12329.08121177473</v>
      </c>
      <c r="J327" s="85">
        <f t="shared" si="43"/>
        <v>8907.3136537949467</v>
      </c>
      <c r="K327" s="153">
        <f>IF('Monthly Cash Flow'!$C$88="Lender Draw",HLOOKUP(F327,'Monthly Cash Flow'!$D$79:$CP$88,10),0)</f>
        <v>0</v>
      </c>
      <c r="L327" s="83">
        <f t="shared" si="44"/>
        <v>2681074.0416425099</v>
      </c>
      <c r="R327" s="86">
        <v>326</v>
      </c>
      <c r="S327" s="517" t="e">
        <f t="shared" ca="1" si="47"/>
        <v>#N/A</v>
      </c>
      <c r="T327" s="517" t="e">
        <f t="shared" ca="1" si="45"/>
        <v>#N/A</v>
      </c>
      <c r="U327" s="517" t="e">
        <f ca="1">-IF(AND($P$5="No",HLOOKUP('Loan Summary'!$R327,'Monthly Cash Flow'!$D$6:$CP$76,63,FALSE)&gt;T327),T327,(HLOOKUP('Loan Summary'!$R327,'Monthly Cash Flow'!$D$6:$CP$76,63,FALSE)))</f>
        <v>#N/A</v>
      </c>
      <c r="V327" s="517">
        <f>IF('Loan Summary'!R327=Assumptions!$AD$3,Assumptions!$AD$25,0)</f>
        <v>0</v>
      </c>
      <c r="W327" s="517" t="e">
        <f t="shared" ca="1" si="46"/>
        <v>#N/A</v>
      </c>
    </row>
    <row r="328" spans="6:23">
      <c r="F328" s="86">
        <v>327</v>
      </c>
      <c r="G328" s="85">
        <f t="shared" si="42"/>
        <v>2681074.0416425099</v>
      </c>
      <c r="H328" s="85">
        <f t="shared" si="40"/>
        <v>21236.394865569677</v>
      </c>
      <c r="I328" s="85">
        <f t="shared" si="41"/>
        <v>12288.256024194838</v>
      </c>
      <c r="J328" s="85">
        <f t="shared" si="43"/>
        <v>8948.1388413748391</v>
      </c>
      <c r="K328" s="153">
        <f>IF('Monthly Cash Flow'!$C$88="Lender Draw",HLOOKUP(F328,'Monthly Cash Flow'!$D$79:$CP$88,10),0)</f>
        <v>0</v>
      </c>
      <c r="L328" s="83">
        <f t="shared" si="44"/>
        <v>2672125.9028011351</v>
      </c>
      <c r="R328" s="86">
        <v>327</v>
      </c>
      <c r="S328" s="517" t="e">
        <f t="shared" ca="1" si="47"/>
        <v>#N/A</v>
      </c>
      <c r="T328" s="517" t="e">
        <f t="shared" ca="1" si="45"/>
        <v>#N/A</v>
      </c>
      <c r="U328" s="517" t="e">
        <f ca="1">-IF(AND($P$5="No",HLOOKUP('Loan Summary'!$R328,'Monthly Cash Flow'!$D$6:$CP$76,63,FALSE)&gt;T328),T328,(HLOOKUP('Loan Summary'!$R328,'Monthly Cash Flow'!$D$6:$CP$76,63,FALSE)))</f>
        <v>#N/A</v>
      </c>
      <c r="V328" s="517">
        <f>IF('Loan Summary'!R328=Assumptions!$AD$3,Assumptions!$AD$25,0)</f>
        <v>0</v>
      </c>
      <c r="W328" s="517" t="e">
        <f t="shared" ca="1" si="46"/>
        <v>#N/A</v>
      </c>
    </row>
    <row r="329" spans="6:23">
      <c r="F329" s="86">
        <v>328</v>
      </c>
      <c r="G329" s="85">
        <f t="shared" si="42"/>
        <v>2672125.9028011351</v>
      </c>
      <c r="H329" s="85">
        <f t="shared" si="40"/>
        <v>21236.394865569677</v>
      </c>
      <c r="I329" s="85">
        <f t="shared" si="41"/>
        <v>12247.24372117187</v>
      </c>
      <c r="J329" s="85">
        <f t="shared" si="43"/>
        <v>8989.151144397807</v>
      </c>
      <c r="K329" s="153">
        <f>IF('Monthly Cash Flow'!$C$88="Lender Draw",HLOOKUP(F329,'Monthly Cash Flow'!$D$79:$CP$88,10),0)</f>
        <v>0</v>
      </c>
      <c r="L329" s="83">
        <f t="shared" si="44"/>
        <v>2663136.7516567372</v>
      </c>
      <c r="R329" s="86">
        <v>328</v>
      </c>
      <c r="S329" s="517" t="e">
        <f t="shared" ca="1" si="47"/>
        <v>#N/A</v>
      </c>
      <c r="T329" s="517" t="e">
        <f t="shared" ca="1" si="45"/>
        <v>#N/A</v>
      </c>
      <c r="U329" s="517" t="e">
        <f ca="1">-IF(AND($P$5="No",HLOOKUP('Loan Summary'!$R329,'Monthly Cash Flow'!$D$6:$CP$76,63,FALSE)&gt;T329),T329,(HLOOKUP('Loan Summary'!$R329,'Monthly Cash Flow'!$D$6:$CP$76,63,FALSE)))</f>
        <v>#N/A</v>
      </c>
      <c r="V329" s="517">
        <f>IF('Loan Summary'!R329=Assumptions!$AD$3,Assumptions!$AD$25,0)</f>
        <v>0</v>
      </c>
      <c r="W329" s="517" t="e">
        <f t="shared" ca="1" si="46"/>
        <v>#N/A</v>
      </c>
    </row>
    <row r="330" spans="6:23">
      <c r="F330" s="86">
        <v>329</v>
      </c>
      <c r="G330" s="85">
        <f t="shared" si="42"/>
        <v>2663136.7516567372</v>
      </c>
      <c r="H330" s="85">
        <f t="shared" si="40"/>
        <v>21236.394865569677</v>
      </c>
      <c r="I330" s="85">
        <f t="shared" si="41"/>
        <v>12206.043445093379</v>
      </c>
      <c r="J330" s="85">
        <f t="shared" si="43"/>
        <v>9030.3514204762978</v>
      </c>
      <c r="K330" s="153">
        <f>IF('Monthly Cash Flow'!$C$88="Lender Draw",HLOOKUP(F330,'Monthly Cash Flow'!$D$79:$CP$88,10),0)</f>
        <v>0</v>
      </c>
      <c r="L330" s="83">
        <f t="shared" si="44"/>
        <v>2654106.4002362611</v>
      </c>
      <c r="R330" s="86">
        <v>329</v>
      </c>
      <c r="S330" s="517" t="e">
        <f t="shared" ca="1" si="47"/>
        <v>#N/A</v>
      </c>
      <c r="T330" s="517" t="e">
        <f t="shared" ca="1" si="45"/>
        <v>#N/A</v>
      </c>
      <c r="U330" s="517" t="e">
        <f ca="1">-IF(AND($P$5="No",HLOOKUP('Loan Summary'!$R330,'Monthly Cash Flow'!$D$6:$CP$76,63,FALSE)&gt;T330),T330,(HLOOKUP('Loan Summary'!$R330,'Monthly Cash Flow'!$D$6:$CP$76,63,FALSE)))</f>
        <v>#N/A</v>
      </c>
      <c r="V330" s="517">
        <f>IF('Loan Summary'!R330=Assumptions!$AD$3,Assumptions!$AD$25,0)</f>
        <v>0</v>
      </c>
      <c r="W330" s="517" t="e">
        <f t="shared" ca="1" si="46"/>
        <v>#N/A</v>
      </c>
    </row>
    <row r="331" spans="6:23">
      <c r="F331" s="86">
        <v>330</v>
      </c>
      <c r="G331" s="85">
        <f t="shared" si="42"/>
        <v>2654106.4002362611</v>
      </c>
      <c r="H331" s="85">
        <f t="shared" si="40"/>
        <v>21236.394865569677</v>
      </c>
      <c r="I331" s="85">
        <f t="shared" si="41"/>
        <v>12164.654334416196</v>
      </c>
      <c r="J331" s="85">
        <f t="shared" si="43"/>
        <v>9071.7405311534803</v>
      </c>
      <c r="K331" s="153">
        <f>IF('Monthly Cash Flow'!$C$88="Lender Draw",HLOOKUP(F331,'Monthly Cash Flow'!$D$79:$CP$88,10),0)</f>
        <v>0</v>
      </c>
      <c r="L331" s="83">
        <f t="shared" si="44"/>
        <v>2645034.6597051076</v>
      </c>
      <c r="R331" s="86">
        <v>330</v>
      </c>
      <c r="S331" s="517" t="e">
        <f t="shared" ca="1" si="47"/>
        <v>#N/A</v>
      </c>
      <c r="T331" s="517" t="e">
        <f t="shared" ca="1" si="45"/>
        <v>#N/A</v>
      </c>
      <c r="U331" s="517" t="e">
        <f ca="1">-IF(AND($P$5="No",HLOOKUP('Loan Summary'!$R331,'Monthly Cash Flow'!$D$6:$CP$76,63,FALSE)&gt;T331),T331,(HLOOKUP('Loan Summary'!$R331,'Monthly Cash Flow'!$D$6:$CP$76,63,FALSE)))</f>
        <v>#N/A</v>
      </c>
      <c r="V331" s="517">
        <f>IF('Loan Summary'!R331=Assumptions!$AD$3,Assumptions!$AD$25,0)</f>
        <v>0</v>
      </c>
      <c r="W331" s="517" t="e">
        <f t="shared" ca="1" si="46"/>
        <v>#N/A</v>
      </c>
    </row>
    <row r="332" spans="6:23">
      <c r="F332" s="86">
        <v>331</v>
      </c>
      <c r="G332" s="85">
        <f t="shared" si="42"/>
        <v>2645034.6597051076</v>
      </c>
      <c r="H332" s="85">
        <f t="shared" si="40"/>
        <v>21236.394865569677</v>
      </c>
      <c r="I332" s="85">
        <f t="shared" si="41"/>
        <v>12123.075523648409</v>
      </c>
      <c r="J332" s="85">
        <f t="shared" si="43"/>
        <v>9113.3193419212676</v>
      </c>
      <c r="K332" s="153">
        <f>IF('Monthly Cash Flow'!$C$88="Lender Draw",HLOOKUP(F332,'Monthly Cash Flow'!$D$79:$CP$88,10),0)</f>
        <v>0</v>
      </c>
      <c r="L332" s="83">
        <f t="shared" si="44"/>
        <v>2635921.3403631863</v>
      </c>
      <c r="R332" s="86">
        <v>331</v>
      </c>
      <c r="S332" s="517" t="e">
        <f t="shared" ca="1" si="47"/>
        <v>#N/A</v>
      </c>
      <c r="T332" s="517" t="e">
        <f t="shared" ca="1" si="45"/>
        <v>#N/A</v>
      </c>
      <c r="U332" s="517" t="e">
        <f ca="1">-IF(AND($P$5="No",HLOOKUP('Loan Summary'!$R332,'Monthly Cash Flow'!$D$6:$CP$76,63,FALSE)&gt;T332),T332,(HLOOKUP('Loan Summary'!$R332,'Monthly Cash Flow'!$D$6:$CP$76,63,FALSE)))</f>
        <v>#N/A</v>
      </c>
      <c r="V332" s="517">
        <f>IF('Loan Summary'!R332=Assumptions!$AD$3,Assumptions!$AD$25,0)</f>
        <v>0</v>
      </c>
      <c r="W332" s="517" t="e">
        <f t="shared" ca="1" si="46"/>
        <v>#N/A</v>
      </c>
    </row>
    <row r="333" spans="6:23">
      <c r="F333" s="86">
        <v>332</v>
      </c>
      <c r="G333" s="85">
        <f t="shared" si="42"/>
        <v>2635921.3403631863</v>
      </c>
      <c r="H333" s="85">
        <f t="shared" si="40"/>
        <v>21236.394865569677</v>
      </c>
      <c r="I333" s="85">
        <f t="shared" si="41"/>
        <v>12081.306143331271</v>
      </c>
      <c r="J333" s="85">
        <f t="shared" si="43"/>
        <v>9155.0887222384063</v>
      </c>
      <c r="K333" s="153">
        <f>IF('Monthly Cash Flow'!$C$88="Lender Draw",HLOOKUP(F333,'Monthly Cash Flow'!$D$79:$CP$88,10),0)</f>
        <v>0</v>
      </c>
      <c r="L333" s="83">
        <f t="shared" si="44"/>
        <v>2626766.251640948</v>
      </c>
      <c r="R333" s="86">
        <v>332</v>
      </c>
      <c r="S333" s="517" t="e">
        <f t="shared" ca="1" si="47"/>
        <v>#N/A</v>
      </c>
      <c r="T333" s="517" t="e">
        <f t="shared" ca="1" si="45"/>
        <v>#N/A</v>
      </c>
      <c r="U333" s="517" t="e">
        <f ca="1">-IF(AND($P$5="No",HLOOKUP('Loan Summary'!$R333,'Monthly Cash Flow'!$D$6:$CP$76,63,FALSE)&gt;T333),T333,(HLOOKUP('Loan Summary'!$R333,'Monthly Cash Flow'!$D$6:$CP$76,63,FALSE)))</f>
        <v>#N/A</v>
      </c>
      <c r="V333" s="517">
        <f>IF('Loan Summary'!R333=Assumptions!$AD$3,Assumptions!$AD$25,0)</f>
        <v>0</v>
      </c>
      <c r="W333" s="517" t="e">
        <f t="shared" ca="1" si="46"/>
        <v>#N/A</v>
      </c>
    </row>
    <row r="334" spans="6:23">
      <c r="F334" s="86">
        <v>333</v>
      </c>
      <c r="G334" s="85">
        <f t="shared" si="42"/>
        <v>2626766.251640948</v>
      </c>
      <c r="H334" s="85">
        <f t="shared" si="40"/>
        <v>21236.394865569677</v>
      </c>
      <c r="I334" s="85">
        <f t="shared" si="41"/>
        <v>12039.345320021012</v>
      </c>
      <c r="J334" s="85">
        <f t="shared" si="43"/>
        <v>9197.0495455486653</v>
      </c>
      <c r="K334" s="153">
        <f>IF('Monthly Cash Flow'!$C$88="Lender Draw",HLOOKUP(F334,'Monthly Cash Flow'!$D$79:$CP$88,10),0)</f>
        <v>0</v>
      </c>
      <c r="L334" s="83">
        <f t="shared" si="44"/>
        <v>2617569.2020953991</v>
      </c>
      <c r="R334" s="86">
        <v>333</v>
      </c>
      <c r="S334" s="517" t="e">
        <f t="shared" ca="1" si="47"/>
        <v>#N/A</v>
      </c>
      <c r="T334" s="517" t="e">
        <f t="shared" ca="1" si="45"/>
        <v>#N/A</v>
      </c>
      <c r="U334" s="517" t="e">
        <f ca="1">-IF(AND($P$5="No",HLOOKUP('Loan Summary'!$R334,'Monthly Cash Flow'!$D$6:$CP$76,63,FALSE)&gt;T334),T334,(HLOOKUP('Loan Summary'!$R334,'Monthly Cash Flow'!$D$6:$CP$76,63,FALSE)))</f>
        <v>#N/A</v>
      </c>
      <c r="V334" s="517">
        <f>IF('Loan Summary'!R334=Assumptions!$AD$3,Assumptions!$AD$25,0)</f>
        <v>0</v>
      </c>
      <c r="W334" s="517" t="e">
        <f t="shared" ca="1" si="46"/>
        <v>#N/A</v>
      </c>
    </row>
    <row r="335" spans="6:23">
      <c r="F335" s="86">
        <v>334</v>
      </c>
      <c r="G335" s="85">
        <f t="shared" si="42"/>
        <v>2617569.2020953991</v>
      </c>
      <c r="H335" s="85">
        <f t="shared" si="40"/>
        <v>21236.394865569677</v>
      </c>
      <c r="I335" s="85">
        <f t="shared" si="41"/>
        <v>11997.192176270579</v>
      </c>
      <c r="J335" s="85">
        <f t="shared" si="43"/>
        <v>9239.202689299098</v>
      </c>
      <c r="K335" s="153">
        <f>IF('Monthly Cash Flow'!$C$88="Lender Draw",HLOOKUP(F335,'Monthly Cash Flow'!$D$79:$CP$88,10),0)</f>
        <v>0</v>
      </c>
      <c r="L335" s="83">
        <f t="shared" si="44"/>
        <v>2608329.9994061003</v>
      </c>
      <c r="R335" s="86">
        <v>334</v>
      </c>
      <c r="S335" s="517" t="e">
        <f t="shared" ca="1" si="47"/>
        <v>#N/A</v>
      </c>
      <c r="T335" s="517" t="e">
        <f t="shared" ca="1" si="45"/>
        <v>#N/A</v>
      </c>
      <c r="U335" s="517" t="e">
        <f ca="1">-IF(AND($P$5="No",HLOOKUP('Loan Summary'!$R335,'Monthly Cash Flow'!$D$6:$CP$76,63,FALSE)&gt;T335),T335,(HLOOKUP('Loan Summary'!$R335,'Monthly Cash Flow'!$D$6:$CP$76,63,FALSE)))</f>
        <v>#N/A</v>
      </c>
      <c r="V335" s="517">
        <f>IF('Loan Summary'!R335=Assumptions!$AD$3,Assumptions!$AD$25,0)</f>
        <v>0</v>
      </c>
      <c r="W335" s="517" t="e">
        <f t="shared" ca="1" si="46"/>
        <v>#N/A</v>
      </c>
    </row>
    <row r="336" spans="6:23">
      <c r="F336" s="86">
        <v>335</v>
      </c>
      <c r="G336" s="85">
        <f t="shared" si="42"/>
        <v>2608329.9994061003</v>
      </c>
      <c r="H336" s="85">
        <f t="shared" si="40"/>
        <v>21236.394865569677</v>
      </c>
      <c r="I336" s="85">
        <f t="shared" si="41"/>
        <v>11954.845830611293</v>
      </c>
      <c r="J336" s="85">
        <f t="shared" si="43"/>
        <v>9281.5490349583833</v>
      </c>
      <c r="K336" s="153">
        <f>IF('Monthly Cash Flow'!$C$88="Lender Draw",HLOOKUP(F336,'Monthly Cash Flow'!$D$79:$CP$88,10),0)</f>
        <v>0</v>
      </c>
      <c r="L336" s="83">
        <f t="shared" si="44"/>
        <v>2599048.450371142</v>
      </c>
      <c r="R336" s="86">
        <v>335</v>
      </c>
      <c r="S336" s="517" t="e">
        <f t="shared" ca="1" si="47"/>
        <v>#N/A</v>
      </c>
      <c r="T336" s="517" t="e">
        <f t="shared" ca="1" si="45"/>
        <v>#N/A</v>
      </c>
      <c r="U336" s="517" t="e">
        <f ca="1">-IF(AND($P$5="No",HLOOKUP('Loan Summary'!$R336,'Monthly Cash Flow'!$D$6:$CP$76,63,FALSE)&gt;T336),T336,(HLOOKUP('Loan Summary'!$R336,'Monthly Cash Flow'!$D$6:$CP$76,63,FALSE)))</f>
        <v>#N/A</v>
      </c>
      <c r="V336" s="517">
        <f>IF('Loan Summary'!R336=Assumptions!$AD$3,Assumptions!$AD$25,0)</f>
        <v>0</v>
      </c>
      <c r="W336" s="517" t="e">
        <f t="shared" ca="1" si="46"/>
        <v>#N/A</v>
      </c>
    </row>
    <row r="337" spans="6:23">
      <c r="F337" s="86">
        <v>336</v>
      </c>
      <c r="G337" s="85">
        <f t="shared" si="42"/>
        <v>2599048.450371142</v>
      </c>
      <c r="H337" s="85">
        <f t="shared" si="40"/>
        <v>21236.394865569677</v>
      </c>
      <c r="I337" s="85">
        <f t="shared" si="41"/>
        <v>11912.305397534401</v>
      </c>
      <c r="J337" s="85">
        <f t="shared" si="43"/>
        <v>9324.0894680352758</v>
      </c>
      <c r="K337" s="153">
        <f>IF('Monthly Cash Flow'!$C$88="Lender Draw",HLOOKUP(F337,'Monthly Cash Flow'!$D$79:$CP$88,10),0)</f>
        <v>0</v>
      </c>
      <c r="L337" s="83">
        <f t="shared" si="44"/>
        <v>2589724.3609031066</v>
      </c>
      <c r="R337" s="86">
        <v>336</v>
      </c>
      <c r="S337" s="517" t="e">
        <f t="shared" ca="1" si="47"/>
        <v>#N/A</v>
      </c>
      <c r="T337" s="517" t="e">
        <f t="shared" ca="1" si="45"/>
        <v>#N/A</v>
      </c>
      <c r="U337" s="517" t="e">
        <f ca="1">-IF(AND($P$5="No",HLOOKUP('Loan Summary'!$R337,'Monthly Cash Flow'!$D$6:$CP$76,63,FALSE)&gt;T337),T337,(HLOOKUP('Loan Summary'!$R337,'Monthly Cash Flow'!$D$6:$CP$76,63,FALSE)))</f>
        <v>#N/A</v>
      </c>
      <c r="V337" s="517">
        <f>IF('Loan Summary'!R337=Assumptions!$AD$3,Assumptions!$AD$25,0)</f>
        <v>0</v>
      </c>
      <c r="W337" s="517" t="e">
        <f t="shared" ca="1" si="46"/>
        <v>#N/A</v>
      </c>
    </row>
    <row r="338" spans="6:23">
      <c r="F338" s="86">
        <v>337</v>
      </c>
      <c r="G338" s="85">
        <f t="shared" si="42"/>
        <v>2589724.3609031066</v>
      </c>
      <c r="H338" s="85">
        <f t="shared" si="40"/>
        <v>21236.394865569677</v>
      </c>
      <c r="I338" s="85">
        <f t="shared" si="41"/>
        <v>11869.569987472572</v>
      </c>
      <c r="J338" s="85">
        <f t="shared" si="43"/>
        <v>9366.8248780971044</v>
      </c>
      <c r="K338" s="153">
        <f>IF('Monthly Cash Flow'!$C$88="Lender Draw",HLOOKUP(F338,'Monthly Cash Flow'!$D$79:$CP$88,10),0)</f>
        <v>0</v>
      </c>
      <c r="L338" s="83">
        <f t="shared" si="44"/>
        <v>2580357.5360250096</v>
      </c>
      <c r="R338" s="86">
        <v>337</v>
      </c>
      <c r="S338" s="517" t="e">
        <f t="shared" ca="1" si="47"/>
        <v>#N/A</v>
      </c>
      <c r="T338" s="517" t="e">
        <f t="shared" ca="1" si="45"/>
        <v>#N/A</v>
      </c>
      <c r="U338" s="517" t="e">
        <f ca="1">-IF(AND($P$5="No",HLOOKUP('Loan Summary'!$R338,'Monthly Cash Flow'!$D$6:$CP$76,63,FALSE)&gt;T338),T338,(HLOOKUP('Loan Summary'!$R338,'Monthly Cash Flow'!$D$6:$CP$76,63,FALSE)))</f>
        <v>#N/A</v>
      </c>
      <c r="V338" s="517">
        <f>IF('Loan Summary'!R338=Assumptions!$AD$3,Assumptions!$AD$25,0)</f>
        <v>0</v>
      </c>
      <c r="W338" s="517" t="e">
        <f t="shared" ca="1" si="46"/>
        <v>#N/A</v>
      </c>
    </row>
    <row r="339" spans="6:23">
      <c r="F339" s="86">
        <v>338</v>
      </c>
      <c r="G339" s="85">
        <f t="shared" si="42"/>
        <v>2580357.5360250096</v>
      </c>
      <c r="H339" s="85">
        <f t="shared" si="40"/>
        <v>21236.394865569677</v>
      </c>
      <c r="I339" s="85">
        <f t="shared" si="41"/>
        <v>11826.638706781294</v>
      </c>
      <c r="J339" s="85">
        <f t="shared" si="43"/>
        <v>9409.7561587883829</v>
      </c>
      <c r="K339" s="153">
        <f>IF('Monthly Cash Flow'!$C$88="Lender Draw",HLOOKUP(F339,'Monthly Cash Flow'!$D$79:$CP$88,10),0)</f>
        <v>0</v>
      </c>
      <c r="L339" s="83">
        <f t="shared" si="44"/>
        <v>2570947.7798662214</v>
      </c>
      <c r="R339" s="86">
        <v>338</v>
      </c>
      <c r="S339" s="517" t="e">
        <f t="shared" ca="1" si="47"/>
        <v>#N/A</v>
      </c>
      <c r="T339" s="517" t="e">
        <f t="shared" ca="1" si="45"/>
        <v>#N/A</v>
      </c>
      <c r="U339" s="517" t="e">
        <f ca="1">-IF(AND($P$5="No",HLOOKUP('Loan Summary'!$R339,'Monthly Cash Flow'!$D$6:$CP$76,63,FALSE)&gt;T339),T339,(HLOOKUP('Loan Summary'!$R339,'Monthly Cash Flow'!$D$6:$CP$76,63,FALSE)))</f>
        <v>#N/A</v>
      </c>
      <c r="V339" s="517">
        <f>IF('Loan Summary'!R339=Assumptions!$AD$3,Assumptions!$AD$25,0)</f>
        <v>0</v>
      </c>
      <c r="W339" s="517" t="e">
        <f t="shared" ca="1" si="46"/>
        <v>#N/A</v>
      </c>
    </row>
    <row r="340" spans="6:23">
      <c r="F340" s="86">
        <v>339</v>
      </c>
      <c r="G340" s="85">
        <f t="shared" si="42"/>
        <v>2570947.7798662214</v>
      </c>
      <c r="H340" s="85">
        <f t="shared" si="40"/>
        <v>21236.394865569677</v>
      </c>
      <c r="I340" s="85">
        <f t="shared" si="41"/>
        <v>11783.51065772018</v>
      </c>
      <c r="J340" s="85">
        <f t="shared" si="43"/>
        <v>9452.8842078494963</v>
      </c>
      <c r="K340" s="153">
        <f>IF('Monthly Cash Flow'!$C$88="Lender Draw",HLOOKUP(F340,'Monthly Cash Flow'!$D$79:$CP$88,10),0)</f>
        <v>0</v>
      </c>
      <c r="L340" s="83">
        <f t="shared" si="44"/>
        <v>2561494.895658372</v>
      </c>
      <c r="R340" s="86">
        <v>339</v>
      </c>
      <c r="S340" s="517" t="e">
        <f t="shared" ca="1" si="47"/>
        <v>#N/A</v>
      </c>
      <c r="T340" s="517" t="e">
        <f t="shared" ca="1" si="45"/>
        <v>#N/A</v>
      </c>
      <c r="U340" s="517" t="e">
        <f ca="1">-IF(AND($P$5="No",HLOOKUP('Loan Summary'!$R340,'Monthly Cash Flow'!$D$6:$CP$76,63,FALSE)&gt;T340),T340,(HLOOKUP('Loan Summary'!$R340,'Monthly Cash Flow'!$D$6:$CP$76,63,FALSE)))</f>
        <v>#N/A</v>
      </c>
      <c r="V340" s="517">
        <f>IF('Loan Summary'!R340=Assumptions!$AD$3,Assumptions!$AD$25,0)</f>
        <v>0</v>
      </c>
      <c r="W340" s="517" t="e">
        <f t="shared" ca="1" si="46"/>
        <v>#N/A</v>
      </c>
    </row>
    <row r="341" spans="6:23">
      <c r="F341" s="86">
        <v>340</v>
      </c>
      <c r="G341" s="85">
        <f t="shared" si="42"/>
        <v>2561494.895658372</v>
      </c>
      <c r="H341" s="85">
        <f t="shared" si="40"/>
        <v>21236.394865569677</v>
      </c>
      <c r="I341" s="85">
        <f t="shared" si="41"/>
        <v>11740.184938434204</v>
      </c>
      <c r="J341" s="85">
        <f t="shared" si="43"/>
        <v>9496.2099271354728</v>
      </c>
      <c r="K341" s="153">
        <f>IF('Monthly Cash Flow'!$C$88="Lender Draw",HLOOKUP(F341,'Monthly Cash Flow'!$D$79:$CP$88,10),0)</f>
        <v>0</v>
      </c>
      <c r="L341" s="83">
        <f t="shared" si="44"/>
        <v>2551998.6857312364</v>
      </c>
      <c r="R341" s="86">
        <v>340</v>
      </c>
      <c r="S341" s="517" t="e">
        <f t="shared" ca="1" si="47"/>
        <v>#N/A</v>
      </c>
      <c r="T341" s="517" t="e">
        <f t="shared" ca="1" si="45"/>
        <v>#N/A</v>
      </c>
      <c r="U341" s="517" t="e">
        <f ca="1">-IF(AND($P$5="No",HLOOKUP('Loan Summary'!$R341,'Monthly Cash Flow'!$D$6:$CP$76,63,FALSE)&gt;T341),T341,(HLOOKUP('Loan Summary'!$R341,'Monthly Cash Flow'!$D$6:$CP$76,63,FALSE)))</f>
        <v>#N/A</v>
      </c>
      <c r="V341" s="517">
        <f>IF('Loan Summary'!R341=Assumptions!$AD$3,Assumptions!$AD$25,0)</f>
        <v>0</v>
      </c>
      <c r="W341" s="517" t="e">
        <f t="shared" ca="1" si="46"/>
        <v>#N/A</v>
      </c>
    </row>
    <row r="342" spans="6:23">
      <c r="F342" s="86">
        <v>341</v>
      </c>
      <c r="G342" s="85">
        <f t="shared" si="42"/>
        <v>2551998.6857312364</v>
      </c>
      <c r="H342" s="85">
        <f t="shared" si="40"/>
        <v>21236.394865569677</v>
      </c>
      <c r="I342" s="85">
        <f t="shared" si="41"/>
        <v>11696.660642934834</v>
      </c>
      <c r="J342" s="85">
        <f t="shared" si="43"/>
        <v>9539.7342226348428</v>
      </c>
      <c r="K342" s="153">
        <f>IF('Monthly Cash Flow'!$C$88="Lender Draw",HLOOKUP(F342,'Monthly Cash Flow'!$D$79:$CP$88,10),0)</f>
        <v>0</v>
      </c>
      <c r="L342" s="83">
        <f t="shared" si="44"/>
        <v>2542458.9515086017</v>
      </c>
      <c r="R342" s="86">
        <v>341</v>
      </c>
      <c r="S342" s="517" t="e">
        <f t="shared" ca="1" si="47"/>
        <v>#N/A</v>
      </c>
      <c r="T342" s="517" t="e">
        <f t="shared" ca="1" si="45"/>
        <v>#N/A</v>
      </c>
      <c r="U342" s="517" t="e">
        <f ca="1">-IF(AND($P$5="No",HLOOKUP('Loan Summary'!$R342,'Monthly Cash Flow'!$D$6:$CP$76,63,FALSE)&gt;T342),T342,(HLOOKUP('Loan Summary'!$R342,'Monthly Cash Flow'!$D$6:$CP$76,63,FALSE)))</f>
        <v>#N/A</v>
      </c>
      <c r="V342" s="517">
        <f>IF('Loan Summary'!R342=Assumptions!$AD$3,Assumptions!$AD$25,0)</f>
        <v>0</v>
      </c>
      <c r="W342" s="517" t="e">
        <f t="shared" ca="1" si="46"/>
        <v>#N/A</v>
      </c>
    </row>
    <row r="343" spans="6:23">
      <c r="F343" s="86">
        <v>342</v>
      </c>
      <c r="G343" s="85">
        <f t="shared" si="42"/>
        <v>2542458.9515086017</v>
      </c>
      <c r="H343" s="85">
        <f t="shared" si="40"/>
        <v>21236.394865569677</v>
      </c>
      <c r="I343" s="85">
        <f t="shared" si="41"/>
        <v>11652.936861081091</v>
      </c>
      <c r="J343" s="85">
        <f t="shared" si="43"/>
        <v>9583.4580044885861</v>
      </c>
      <c r="K343" s="153">
        <f>IF('Monthly Cash Flow'!$C$88="Lender Draw",HLOOKUP(F343,'Monthly Cash Flow'!$D$79:$CP$88,10),0)</f>
        <v>0</v>
      </c>
      <c r="L343" s="83">
        <f t="shared" si="44"/>
        <v>2532875.4935041131</v>
      </c>
      <c r="R343" s="86">
        <v>342</v>
      </c>
      <c r="S343" s="517" t="e">
        <f t="shared" ca="1" si="47"/>
        <v>#N/A</v>
      </c>
      <c r="T343" s="517" t="e">
        <f t="shared" ca="1" si="45"/>
        <v>#N/A</v>
      </c>
      <c r="U343" s="517" t="e">
        <f ca="1">-IF(AND($P$5="No",HLOOKUP('Loan Summary'!$R343,'Monthly Cash Flow'!$D$6:$CP$76,63,FALSE)&gt;T343),T343,(HLOOKUP('Loan Summary'!$R343,'Monthly Cash Flow'!$D$6:$CP$76,63,FALSE)))</f>
        <v>#N/A</v>
      </c>
      <c r="V343" s="517">
        <f>IF('Loan Summary'!R343=Assumptions!$AD$3,Assumptions!$AD$25,0)</f>
        <v>0</v>
      </c>
      <c r="W343" s="517" t="e">
        <f t="shared" ca="1" si="46"/>
        <v>#N/A</v>
      </c>
    </row>
    <row r="344" spans="6:23">
      <c r="F344" s="86">
        <v>343</v>
      </c>
      <c r="G344" s="85">
        <f t="shared" si="42"/>
        <v>2532875.4935041131</v>
      </c>
      <c r="H344" s="85">
        <f t="shared" si="40"/>
        <v>21236.394865569677</v>
      </c>
      <c r="I344" s="85">
        <f t="shared" si="41"/>
        <v>11609.012678560519</v>
      </c>
      <c r="J344" s="85">
        <f t="shared" si="43"/>
        <v>9627.3821870091579</v>
      </c>
      <c r="K344" s="153">
        <f>IF('Monthly Cash Flow'!$C$88="Lender Draw",HLOOKUP(F344,'Monthly Cash Flow'!$D$79:$CP$88,10),0)</f>
        <v>0</v>
      </c>
      <c r="L344" s="83">
        <f t="shared" si="44"/>
        <v>2523248.1113171037</v>
      </c>
      <c r="R344" s="86">
        <v>343</v>
      </c>
      <c r="S344" s="517" t="e">
        <f t="shared" ca="1" si="47"/>
        <v>#N/A</v>
      </c>
      <c r="T344" s="517" t="e">
        <f t="shared" ca="1" si="45"/>
        <v>#N/A</v>
      </c>
      <c r="U344" s="517" t="e">
        <f ca="1">-IF(AND($P$5="No",HLOOKUP('Loan Summary'!$R344,'Monthly Cash Flow'!$D$6:$CP$76,63,FALSE)&gt;T344),T344,(HLOOKUP('Loan Summary'!$R344,'Monthly Cash Flow'!$D$6:$CP$76,63,FALSE)))</f>
        <v>#N/A</v>
      </c>
      <c r="V344" s="517">
        <f>IF('Loan Summary'!R344=Assumptions!$AD$3,Assumptions!$AD$25,0)</f>
        <v>0</v>
      </c>
      <c r="W344" s="517" t="e">
        <f t="shared" ca="1" si="46"/>
        <v>#N/A</v>
      </c>
    </row>
    <row r="345" spans="6:23">
      <c r="F345" s="86">
        <v>344</v>
      </c>
      <c r="G345" s="85">
        <f t="shared" si="42"/>
        <v>2523248.1113171037</v>
      </c>
      <c r="H345" s="85">
        <f t="shared" si="40"/>
        <v>21236.394865569677</v>
      </c>
      <c r="I345" s="85">
        <f t="shared" si="41"/>
        <v>11564.887176870059</v>
      </c>
      <c r="J345" s="85">
        <f t="shared" si="43"/>
        <v>9671.5076886996176</v>
      </c>
      <c r="K345" s="153">
        <f>IF('Monthly Cash Flow'!$C$88="Lender Draw",HLOOKUP(F345,'Monthly Cash Flow'!$D$79:$CP$88,10),0)</f>
        <v>0</v>
      </c>
      <c r="L345" s="83">
        <f t="shared" si="44"/>
        <v>2513576.603628404</v>
      </c>
      <c r="R345" s="86">
        <v>344</v>
      </c>
      <c r="S345" s="517" t="e">
        <f t="shared" ca="1" si="47"/>
        <v>#N/A</v>
      </c>
      <c r="T345" s="517" t="e">
        <f t="shared" ca="1" si="45"/>
        <v>#N/A</v>
      </c>
      <c r="U345" s="517" t="e">
        <f ca="1">-IF(AND($P$5="No",HLOOKUP('Loan Summary'!$R345,'Monthly Cash Flow'!$D$6:$CP$76,63,FALSE)&gt;T345),T345,(HLOOKUP('Loan Summary'!$R345,'Monthly Cash Flow'!$D$6:$CP$76,63,FALSE)))</f>
        <v>#N/A</v>
      </c>
      <c r="V345" s="517">
        <f>IF('Loan Summary'!R345=Assumptions!$AD$3,Assumptions!$AD$25,0)</f>
        <v>0</v>
      </c>
      <c r="W345" s="517" t="e">
        <f t="shared" ca="1" si="46"/>
        <v>#N/A</v>
      </c>
    </row>
    <row r="346" spans="6:23">
      <c r="F346" s="86">
        <v>345</v>
      </c>
      <c r="G346" s="85">
        <f t="shared" si="42"/>
        <v>2513576.603628404</v>
      </c>
      <c r="H346" s="85">
        <f t="shared" si="40"/>
        <v>21236.394865569677</v>
      </c>
      <c r="I346" s="85">
        <f t="shared" si="41"/>
        <v>11520.559433296852</v>
      </c>
      <c r="J346" s="85">
        <f t="shared" si="43"/>
        <v>9715.8354322728246</v>
      </c>
      <c r="K346" s="153">
        <f>IF('Monthly Cash Flow'!$C$88="Lender Draw",HLOOKUP(F346,'Monthly Cash Flow'!$D$79:$CP$88,10),0)</f>
        <v>0</v>
      </c>
      <c r="L346" s="83">
        <f t="shared" si="44"/>
        <v>2503860.7681961311</v>
      </c>
      <c r="R346" s="86">
        <v>345</v>
      </c>
      <c r="S346" s="517" t="e">
        <f t="shared" ca="1" si="47"/>
        <v>#N/A</v>
      </c>
      <c r="T346" s="517" t="e">
        <f t="shared" ca="1" si="45"/>
        <v>#N/A</v>
      </c>
      <c r="U346" s="517" t="e">
        <f ca="1">-IF(AND($P$5="No",HLOOKUP('Loan Summary'!$R346,'Monthly Cash Flow'!$D$6:$CP$76,63,FALSE)&gt;T346),T346,(HLOOKUP('Loan Summary'!$R346,'Monthly Cash Flow'!$D$6:$CP$76,63,FALSE)))</f>
        <v>#N/A</v>
      </c>
      <c r="V346" s="517">
        <f>IF('Loan Summary'!R346=Assumptions!$AD$3,Assumptions!$AD$25,0)</f>
        <v>0</v>
      </c>
      <c r="W346" s="517" t="e">
        <f t="shared" ca="1" si="46"/>
        <v>#N/A</v>
      </c>
    </row>
    <row r="347" spans="6:23">
      <c r="F347" s="86">
        <v>346</v>
      </c>
      <c r="G347" s="85">
        <f t="shared" si="42"/>
        <v>2503860.7681961311</v>
      </c>
      <c r="H347" s="85">
        <f t="shared" si="40"/>
        <v>21236.394865569677</v>
      </c>
      <c r="I347" s="85">
        <f t="shared" si="41"/>
        <v>11476.028520898933</v>
      </c>
      <c r="J347" s="85">
        <f t="shared" si="43"/>
        <v>9760.3663446707433</v>
      </c>
      <c r="K347" s="153">
        <f>IF('Monthly Cash Flow'!$C$88="Lender Draw",HLOOKUP(F347,'Monthly Cash Flow'!$D$79:$CP$88,10),0)</f>
        <v>0</v>
      </c>
      <c r="L347" s="83">
        <f t="shared" si="44"/>
        <v>2494100.4018514603</v>
      </c>
      <c r="R347" s="86">
        <v>346</v>
      </c>
      <c r="S347" s="517" t="e">
        <f t="shared" ca="1" si="47"/>
        <v>#N/A</v>
      </c>
      <c r="T347" s="517" t="e">
        <f t="shared" ca="1" si="45"/>
        <v>#N/A</v>
      </c>
      <c r="U347" s="517" t="e">
        <f ca="1">-IF(AND($P$5="No",HLOOKUP('Loan Summary'!$R347,'Monthly Cash Flow'!$D$6:$CP$76,63,FALSE)&gt;T347),T347,(HLOOKUP('Loan Summary'!$R347,'Monthly Cash Flow'!$D$6:$CP$76,63,FALSE)))</f>
        <v>#N/A</v>
      </c>
      <c r="V347" s="517">
        <f>IF('Loan Summary'!R347=Assumptions!$AD$3,Assumptions!$AD$25,0)</f>
        <v>0</v>
      </c>
      <c r="W347" s="517" t="e">
        <f t="shared" ca="1" si="46"/>
        <v>#N/A</v>
      </c>
    </row>
    <row r="348" spans="6:23">
      <c r="F348" s="86">
        <v>347</v>
      </c>
      <c r="G348" s="85">
        <f t="shared" si="42"/>
        <v>2494100.4018514603</v>
      </c>
      <c r="H348" s="85">
        <f t="shared" si="40"/>
        <v>21236.394865569677</v>
      </c>
      <c r="I348" s="85">
        <f t="shared" si="41"/>
        <v>11431.29350848586</v>
      </c>
      <c r="J348" s="85">
        <f t="shared" si="43"/>
        <v>9805.1013570838168</v>
      </c>
      <c r="K348" s="153">
        <f>IF('Monthly Cash Flow'!$C$88="Lender Draw",HLOOKUP(F348,'Monthly Cash Flow'!$D$79:$CP$88,10),0)</f>
        <v>0</v>
      </c>
      <c r="L348" s="83">
        <f t="shared" si="44"/>
        <v>2484295.3004943766</v>
      </c>
      <c r="R348" s="86">
        <v>347</v>
      </c>
      <c r="S348" s="517" t="e">
        <f t="shared" ca="1" si="47"/>
        <v>#N/A</v>
      </c>
      <c r="T348" s="517" t="e">
        <f t="shared" ca="1" si="45"/>
        <v>#N/A</v>
      </c>
      <c r="U348" s="517" t="e">
        <f ca="1">-IF(AND($P$5="No",HLOOKUP('Loan Summary'!$R348,'Monthly Cash Flow'!$D$6:$CP$76,63,FALSE)&gt;T348),T348,(HLOOKUP('Loan Summary'!$R348,'Monthly Cash Flow'!$D$6:$CP$76,63,FALSE)))</f>
        <v>#N/A</v>
      </c>
      <c r="V348" s="517">
        <f>IF('Loan Summary'!R348=Assumptions!$AD$3,Assumptions!$AD$25,0)</f>
        <v>0</v>
      </c>
      <c r="W348" s="517" t="e">
        <f t="shared" ca="1" si="46"/>
        <v>#N/A</v>
      </c>
    </row>
    <row r="349" spans="6:23">
      <c r="F349" s="86">
        <v>348</v>
      </c>
      <c r="G349" s="85">
        <f t="shared" si="42"/>
        <v>2484295.3004943766</v>
      </c>
      <c r="H349" s="85">
        <f t="shared" si="40"/>
        <v>21236.394865569677</v>
      </c>
      <c r="I349" s="85">
        <f t="shared" si="41"/>
        <v>11386.353460599226</v>
      </c>
      <c r="J349" s="85">
        <f t="shared" si="43"/>
        <v>9850.0414049704505</v>
      </c>
      <c r="K349" s="153">
        <f>IF('Monthly Cash Flow'!$C$88="Lender Draw",HLOOKUP(F349,'Monthly Cash Flow'!$D$79:$CP$88,10),0)</f>
        <v>0</v>
      </c>
      <c r="L349" s="83">
        <f t="shared" si="44"/>
        <v>2474445.2590894061</v>
      </c>
      <c r="R349" s="86">
        <v>348</v>
      </c>
      <c r="S349" s="517" t="e">
        <f t="shared" ca="1" si="47"/>
        <v>#N/A</v>
      </c>
      <c r="T349" s="517" t="e">
        <f t="shared" ca="1" si="45"/>
        <v>#N/A</v>
      </c>
      <c r="U349" s="517" t="e">
        <f ca="1">-IF(AND($P$5="No",HLOOKUP('Loan Summary'!$R349,'Monthly Cash Flow'!$D$6:$CP$76,63,FALSE)&gt;T349),T349,(HLOOKUP('Loan Summary'!$R349,'Monthly Cash Flow'!$D$6:$CP$76,63,FALSE)))</f>
        <v>#N/A</v>
      </c>
      <c r="V349" s="517">
        <f>IF('Loan Summary'!R349=Assumptions!$AD$3,Assumptions!$AD$25,0)</f>
        <v>0</v>
      </c>
      <c r="W349" s="517" t="e">
        <f t="shared" ca="1" si="46"/>
        <v>#N/A</v>
      </c>
    </row>
    <row r="350" spans="6:23">
      <c r="F350" s="86">
        <v>349</v>
      </c>
      <c r="G350" s="85">
        <f t="shared" si="42"/>
        <v>2474445.2590894061</v>
      </c>
      <c r="H350" s="85">
        <f t="shared" si="40"/>
        <v>21236.394865569677</v>
      </c>
      <c r="I350" s="85">
        <f t="shared" si="41"/>
        <v>11341.207437493111</v>
      </c>
      <c r="J350" s="85">
        <f t="shared" si="43"/>
        <v>9895.187428076566</v>
      </c>
      <c r="K350" s="153">
        <f>IF('Monthly Cash Flow'!$C$88="Lender Draw",HLOOKUP(F350,'Monthly Cash Flow'!$D$79:$CP$88,10),0)</f>
        <v>0</v>
      </c>
      <c r="L350" s="83">
        <f t="shared" si="44"/>
        <v>2464550.0716613294</v>
      </c>
      <c r="R350" s="86">
        <v>349</v>
      </c>
      <c r="S350" s="517" t="e">
        <f t="shared" ca="1" si="47"/>
        <v>#N/A</v>
      </c>
      <c r="T350" s="517" t="e">
        <f t="shared" ca="1" si="45"/>
        <v>#N/A</v>
      </c>
      <c r="U350" s="517" t="e">
        <f ca="1">-IF(AND($P$5="No",HLOOKUP('Loan Summary'!$R350,'Monthly Cash Flow'!$D$6:$CP$76,63,FALSE)&gt;T350),T350,(HLOOKUP('Loan Summary'!$R350,'Monthly Cash Flow'!$D$6:$CP$76,63,FALSE)))</f>
        <v>#N/A</v>
      </c>
      <c r="V350" s="517">
        <f>IF('Loan Summary'!R350=Assumptions!$AD$3,Assumptions!$AD$25,0)</f>
        <v>0</v>
      </c>
      <c r="W350" s="517" t="e">
        <f t="shared" ca="1" si="46"/>
        <v>#N/A</v>
      </c>
    </row>
    <row r="351" spans="6:23">
      <c r="F351" s="86">
        <v>350</v>
      </c>
      <c r="G351" s="85">
        <f t="shared" si="42"/>
        <v>2464550.0716613294</v>
      </c>
      <c r="H351" s="85">
        <f t="shared" si="40"/>
        <v>21236.394865569677</v>
      </c>
      <c r="I351" s="85">
        <f t="shared" si="41"/>
        <v>11295.854495114427</v>
      </c>
      <c r="J351" s="85">
        <f t="shared" si="43"/>
        <v>9940.54037045525</v>
      </c>
      <c r="K351" s="153">
        <f>IF('Monthly Cash Flow'!$C$88="Lender Draw",HLOOKUP(F351,'Monthly Cash Flow'!$D$79:$CP$88,10),0)</f>
        <v>0</v>
      </c>
      <c r="L351" s="83">
        <f t="shared" si="44"/>
        <v>2454609.5312908739</v>
      </c>
      <c r="R351" s="86">
        <v>350</v>
      </c>
      <c r="S351" s="517" t="e">
        <f t="shared" ca="1" si="47"/>
        <v>#N/A</v>
      </c>
      <c r="T351" s="517" t="e">
        <f t="shared" ca="1" si="45"/>
        <v>#N/A</v>
      </c>
      <c r="U351" s="517" t="e">
        <f ca="1">-IF(AND($P$5="No",HLOOKUP('Loan Summary'!$R351,'Monthly Cash Flow'!$D$6:$CP$76,63,FALSE)&gt;T351),T351,(HLOOKUP('Loan Summary'!$R351,'Monthly Cash Flow'!$D$6:$CP$76,63,FALSE)))</f>
        <v>#N/A</v>
      </c>
      <c r="V351" s="517">
        <f>IF('Loan Summary'!R351=Assumptions!$AD$3,Assumptions!$AD$25,0)</f>
        <v>0</v>
      </c>
      <c r="W351" s="517" t="e">
        <f t="shared" ca="1" si="46"/>
        <v>#N/A</v>
      </c>
    </row>
    <row r="352" spans="6:23">
      <c r="F352" s="86">
        <v>351</v>
      </c>
      <c r="G352" s="85">
        <f t="shared" si="42"/>
        <v>2454609.5312908739</v>
      </c>
      <c r="H352" s="85">
        <f t="shared" si="40"/>
        <v>21236.394865569677</v>
      </c>
      <c r="I352" s="85">
        <f t="shared" si="41"/>
        <v>11250.293685083172</v>
      </c>
      <c r="J352" s="85">
        <f t="shared" si="43"/>
        <v>9986.1011804865047</v>
      </c>
      <c r="K352" s="153">
        <f>IF('Monthly Cash Flow'!$C$88="Lender Draw",HLOOKUP(F352,'Monthly Cash Flow'!$D$79:$CP$88,10),0)</f>
        <v>0</v>
      </c>
      <c r="L352" s="83">
        <f t="shared" si="44"/>
        <v>2444623.4301103875</v>
      </c>
      <c r="R352" s="86">
        <v>351</v>
      </c>
      <c r="S352" s="517" t="e">
        <f t="shared" ca="1" si="47"/>
        <v>#N/A</v>
      </c>
      <c r="T352" s="517" t="e">
        <f t="shared" ca="1" si="45"/>
        <v>#N/A</v>
      </c>
      <c r="U352" s="517" t="e">
        <f ca="1">-IF(AND($P$5="No",HLOOKUP('Loan Summary'!$R352,'Monthly Cash Flow'!$D$6:$CP$76,63,FALSE)&gt;T352),T352,(HLOOKUP('Loan Summary'!$R352,'Monthly Cash Flow'!$D$6:$CP$76,63,FALSE)))</f>
        <v>#N/A</v>
      </c>
      <c r="V352" s="517">
        <f>IF('Loan Summary'!R352=Assumptions!$AD$3,Assumptions!$AD$25,0)</f>
        <v>0</v>
      </c>
      <c r="W352" s="517" t="e">
        <f t="shared" ca="1" si="46"/>
        <v>#N/A</v>
      </c>
    </row>
    <row r="353" spans="6:23">
      <c r="F353" s="86">
        <v>352</v>
      </c>
      <c r="G353" s="85">
        <f t="shared" si="42"/>
        <v>2444623.4301103875</v>
      </c>
      <c r="H353" s="85">
        <f t="shared" si="40"/>
        <v>21236.394865569677</v>
      </c>
      <c r="I353" s="85">
        <f t="shared" si="41"/>
        <v>11204.524054672609</v>
      </c>
      <c r="J353" s="85">
        <f t="shared" si="43"/>
        <v>10031.870810897068</v>
      </c>
      <c r="K353" s="153">
        <f>IF('Monthly Cash Flow'!$C$88="Lender Draw",HLOOKUP(F353,'Monthly Cash Flow'!$D$79:$CP$88,10),0)</f>
        <v>0</v>
      </c>
      <c r="L353" s="83">
        <f t="shared" si="44"/>
        <v>2434591.5592994904</v>
      </c>
      <c r="R353" s="86">
        <v>352</v>
      </c>
      <c r="S353" s="517" t="e">
        <f t="shared" ca="1" si="47"/>
        <v>#N/A</v>
      </c>
      <c r="T353" s="517" t="e">
        <f t="shared" ca="1" si="45"/>
        <v>#N/A</v>
      </c>
      <c r="U353" s="517" t="e">
        <f ca="1">-IF(AND($P$5="No",HLOOKUP('Loan Summary'!$R353,'Monthly Cash Flow'!$D$6:$CP$76,63,FALSE)&gt;T353),T353,(HLOOKUP('Loan Summary'!$R353,'Monthly Cash Flow'!$D$6:$CP$76,63,FALSE)))</f>
        <v>#N/A</v>
      </c>
      <c r="V353" s="517">
        <f>IF('Loan Summary'!R353=Assumptions!$AD$3,Assumptions!$AD$25,0)</f>
        <v>0</v>
      </c>
      <c r="W353" s="517" t="e">
        <f t="shared" ca="1" si="46"/>
        <v>#N/A</v>
      </c>
    </row>
    <row r="354" spans="6:23">
      <c r="F354" s="86">
        <v>353</v>
      </c>
      <c r="G354" s="85">
        <f t="shared" si="42"/>
        <v>2434591.5592994904</v>
      </c>
      <c r="H354" s="85">
        <f t="shared" si="40"/>
        <v>21236.394865569677</v>
      </c>
      <c r="I354" s="85">
        <f t="shared" si="41"/>
        <v>11158.544646789331</v>
      </c>
      <c r="J354" s="85">
        <f t="shared" si="43"/>
        <v>10077.850218780346</v>
      </c>
      <c r="K354" s="153">
        <f>IF('Monthly Cash Flow'!$C$88="Lender Draw",HLOOKUP(F354,'Monthly Cash Flow'!$D$79:$CP$88,10),0)</f>
        <v>0</v>
      </c>
      <c r="L354" s="83">
        <f t="shared" si="44"/>
        <v>2424513.7090807101</v>
      </c>
      <c r="R354" s="86">
        <v>353</v>
      </c>
      <c r="S354" s="517" t="e">
        <f t="shared" ca="1" si="47"/>
        <v>#N/A</v>
      </c>
      <c r="T354" s="517" t="e">
        <f t="shared" ca="1" si="45"/>
        <v>#N/A</v>
      </c>
      <c r="U354" s="517" t="e">
        <f ca="1">-IF(AND($P$5="No",HLOOKUP('Loan Summary'!$R354,'Monthly Cash Flow'!$D$6:$CP$76,63,FALSE)&gt;T354),T354,(HLOOKUP('Loan Summary'!$R354,'Monthly Cash Flow'!$D$6:$CP$76,63,FALSE)))</f>
        <v>#N/A</v>
      </c>
      <c r="V354" s="517">
        <f>IF('Loan Summary'!R354=Assumptions!$AD$3,Assumptions!$AD$25,0)</f>
        <v>0</v>
      </c>
      <c r="W354" s="517" t="e">
        <f t="shared" ca="1" si="46"/>
        <v>#N/A</v>
      </c>
    </row>
    <row r="355" spans="6:23">
      <c r="F355" s="86">
        <v>354</v>
      </c>
      <c r="G355" s="85">
        <f t="shared" si="42"/>
        <v>2424513.7090807101</v>
      </c>
      <c r="H355" s="85">
        <f t="shared" si="40"/>
        <v>21236.394865569677</v>
      </c>
      <c r="I355" s="85">
        <f t="shared" si="41"/>
        <v>11112.354499953255</v>
      </c>
      <c r="J355" s="85">
        <f t="shared" si="43"/>
        <v>10124.040365616422</v>
      </c>
      <c r="K355" s="153">
        <f>IF('Monthly Cash Flow'!$C$88="Lender Draw",HLOOKUP(F355,'Monthly Cash Flow'!$D$79:$CP$88,10),0)</f>
        <v>0</v>
      </c>
      <c r="L355" s="83">
        <f t="shared" si="44"/>
        <v>2414389.6687150938</v>
      </c>
      <c r="R355" s="86">
        <v>354</v>
      </c>
      <c r="S355" s="517" t="e">
        <f t="shared" ca="1" si="47"/>
        <v>#N/A</v>
      </c>
      <c r="T355" s="517" t="e">
        <f t="shared" ca="1" si="45"/>
        <v>#N/A</v>
      </c>
      <c r="U355" s="517" t="e">
        <f ca="1">-IF(AND($P$5="No",HLOOKUP('Loan Summary'!$R355,'Monthly Cash Flow'!$D$6:$CP$76,63,FALSE)&gt;T355),T355,(HLOOKUP('Loan Summary'!$R355,'Monthly Cash Flow'!$D$6:$CP$76,63,FALSE)))</f>
        <v>#N/A</v>
      </c>
      <c r="V355" s="517">
        <f>IF('Loan Summary'!R355=Assumptions!$AD$3,Assumptions!$AD$25,0)</f>
        <v>0</v>
      </c>
      <c r="W355" s="517" t="e">
        <f t="shared" ca="1" si="46"/>
        <v>#N/A</v>
      </c>
    </row>
    <row r="356" spans="6:23">
      <c r="F356" s="86">
        <v>355</v>
      </c>
      <c r="G356" s="85">
        <f t="shared" si="42"/>
        <v>2414389.6687150938</v>
      </c>
      <c r="H356" s="85">
        <f t="shared" si="40"/>
        <v>21236.394865569677</v>
      </c>
      <c r="I356" s="85">
        <f t="shared" si="41"/>
        <v>11065.952648277513</v>
      </c>
      <c r="J356" s="85">
        <f t="shared" si="43"/>
        <v>10170.442217292164</v>
      </c>
      <c r="K356" s="153">
        <f>IF('Monthly Cash Flow'!$C$88="Lender Draw",HLOOKUP(F356,'Monthly Cash Flow'!$D$79:$CP$88,10),0)</f>
        <v>0</v>
      </c>
      <c r="L356" s="83">
        <f t="shared" si="44"/>
        <v>2404219.2264978015</v>
      </c>
      <c r="R356" s="86">
        <v>355</v>
      </c>
      <c r="S356" s="517" t="e">
        <f t="shared" ca="1" si="47"/>
        <v>#N/A</v>
      </c>
      <c r="T356" s="517" t="e">
        <f t="shared" ca="1" si="45"/>
        <v>#N/A</v>
      </c>
      <c r="U356" s="517" t="e">
        <f ca="1">-IF(AND($P$5="No",HLOOKUP('Loan Summary'!$R356,'Monthly Cash Flow'!$D$6:$CP$76,63,FALSE)&gt;T356),T356,(HLOOKUP('Loan Summary'!$R356,'Monthly Cash Flow'!$D$6:$CP$76,63,FALSE)))</f>
        <v>#N/A</v>
      </c>
      <c r="V356" s="517">
        <f>IF('Loan Summary'!R356=Assumptions!$AD$3,Assumptions!$AD$25,0)</f>
        <v>0</v>
      </c>
      <c r="W356" s="517" t="e">
        <f t="shared" ca="1" si="46"/>
        <v>#N/A</v>
      </c>
    </row>
    <row r="357" spans="6:23">
      <c r="F357" s="86">
        <v>356</v>
      </c>
      <c r="G357" s="85">
        <f t="shared" si="42"/>
        <v>2404219.2264978015</v>
      </c>
      <c r="H357" s="85">
        <f t="shared" si="40"/>
        <v>21236.394865569677</v>
      </c>
      <c r="I357" s="85">
        <f t="shared" si="41"/>
        <v>11019.338121448256</v>
      </c>
      <c r="J357" s="85">
        <f t="shared" si="43"/>
        <v>10217.056744121421</v>
      </c>
      <c r="K357" s="153">
        <f>IF('Monthly Cash Flow'!$C$88="Lender Draw",HLOOKUP(F357,'Monthly Cash Flow'!$D$79:$CP$88,10),0)</f>
        <v>0</v>
      </c>
      <c r="L357" s="83">
        <f t="shared" si="44"/>
        <v>2394002.16975368</v>
      </c>
      <c r="R357" s="86">
        <v>356</v>
      </c>
      <c r="S357" s="517" t="e">
        <f t="shared" ca="1" si="47"/>
        <v>#N/A</v>
      </c>
      <c r="T357" s="517" t="e">
        <f t="shared" ca="1" si="45"/>
        <v>#N/A</v>
      </c>
      <c r="U357" s="517" t="e">
        <f ca="1">-IF(AND($P$5="No",HLOOKUP('Loan Summary'!$R357,'Monthly Cash Flow'!$D$6:$CP$76,63,FALSE)&gt;T357),T357,(HLOOKUP('Loan Summary'!$R357,'Monthly Cash Flow'!$D$6:$CP$76,63,FALSE)))</f>
        <v>#N/A</v>
      </c>
      <c r="V357" s="517">
        <f>IF('Loan Summary'!R357=Assumptions!$AD$3,Assumptions!$AD$25,0)</f>
        <v>0</v>
      </c>
      <c r="W357" s="517" t="e">
        <f t="shared" ca="1" si="46"/>
        <v>#N/A</v>
      </c>
    </row>
    <row r="358" spans="6:23">
      <c r="F358" s="86">
        <v>357</v>
      </c>
      <c r="G358" s="85">
        <f t="shared" si="42"/>
        <v>2394002.16975368</v>
      </c>
      <c r="H358" s="85">
        <f t="shared" si="40"/>
        <v>21236.394865569677</v>
      </c>
      <c r="I358" s="85">
        <f t="shared" si="41"/>
        <v>10972.509944704367</v>
      </c>
      <c r="J358" s="85">
        <f t="shared" si="43"/>
        <v>10263.88492086531</v>
      </c>
      <c r="K358" s="153">
        <f>IF('Monthly Cash Flow'!$C$88="Lender Draw",HLOOKUP(F358,'Monthly Cash Flow'!$D$79:$CP$88,10),0)</f>
        <v>0</v>
      </c>
      <c r="L358" s="83">
        <f t="shared" si="44"/>
        <v>2383738.2848328147</v>
      </c>
      <c r="R358" s="86">
        <v>357</v>
      </c>
      <c r="S358" s="517" t="e">
        <f t="shared" ca="1" si="47"/>
        <v>#N/A</v>
      </c>
      <c r="T358" s="517" t="e">
        <f t="shared" ca="1" si="45"/>
        <v>#N/A</v>
      </c>
      <c r="U358" s="517" t="e">
        <f ca="1">-IF(AND($P$5="No",HLOOKUP('Loan Summary'!$R358,'Monthly Cash Flow'!$D$6:$CP$76,63,FALSE)&gt;T358),T358,(HLOOKUP('Loan Summary'!$R358,'Monthly Cash Flow'!$D$6:$CP$76,63,FALSE)))</f>
        <v>#N/A</v>
      </c>
      <c r="V358" s="517">
        <f>IF('Loan Summary'!R358=Assumptions!$AD$3,Assumptions!$AD$25,0)</f>
        <v>0</v>
      </c>
      <c r="W358" s="517" t="e">
        <f t="shared" ca="1" si="46"/>
        <v>#N/A</v>
      </c>
    </row>
    <row r="359" spans="6:23">
      <c r="F359" s="86">
        <v>358</v>
      </c>
      <c r="G359" s="85">
        <f t="shared" si="42"/>
        <v>2383738.2848328147</v>
      </c>
      <c r="H359" s="85">
        <f t="shared" si="40"/>
        <v>21236.394865569677</v>
      </c>
      <c r="I359" s="85">
        <f t="shared" si="41"/>
        <v>10925.467138817068</v>
      </c>
      <c r="J359" s="85">
        <f t="shared" si="43"/>
        <v>10310.927726752609</v>
      </c>
      <c r="K359" s="153">
        <f>IF('Monthly Cash Flow'!$C$88="Lender Draw",HLOOKUP(F359,'Monthly Cash Flow'!$D$79:$CP$88,10),0)</f>
        <v>0</v>
      </c>
      <c r="L359" s="83">
        <f t="shared" si="44"/>
        <v>2373427.3571060621</v>
      </c>
      <c r="R359" s="86">
        <v>358</v>
      </c>
      <c r="S359" s="517" t="e">
        <f t="shared" ca="1" si="47"/>
        <v>#N/A</v>
      </c>
      <c r="T359" s="517" t="e">
        <f t="shared" ca="1" si="45"/>
        <v>#N/A</v>
      </c>
      <c r="U359" s="517" t="e">
        <f ca="1">-IF(AND($P$5="No",HLOOKUP('Loan Summary'!$R359,'Monthly Cash Flow'!$D$6:$CP$76,63,FALSE)&gt;T359),T359,(HLOOKUP('Loan Summary'!$R359,'Monthly Cash Flow'!$D$6:$CP$76,63,FALSE)))</f>
        <v>#N/A</v>
      </c>
      <c r="V359" s="517">
        <f>IF('Loan Summary'!R359=Assumptions!$AD$3,Assumptions!$AD$25,0)</f>
        <v>0</v>
      </c>
      <c r="W359" s="517" t="e">
        <f t="shared" ca="1" si="46"/>
        <v>#N/A</v>
      </c>
    </row>
    <row r="360" spans="6:23">
      <c r="F360" s="86">
        <v>359</v>
      </c>
      <c r="G360" s="85">
        <f t="shared" si="42"/>
        <v>2373427.3571060621</v>
      </c>
      <c r="H360" s="85">
        <f t="shared" si="40"/>
        <v>21236.394865569677</v>
      </c>
      <c r="I360" s="85">
        <f t="shared" si="41"/>
        <v>10878.208720069451</v>
      </c>
      <c r="J360" s="85">
        <f t="shared" si="43"/>
        <v>10358.186145500225</v>
      </c>
      <c r="K360" s="153">
        <f>IF('Monthly Cash Flow'!$C$88="Lender Draw",HLOOKUP(F360,'Monthly Cash Flow'!$D$79:$CP$88,10),0)</f>
        <v>0</v>
      </c>
      <c r="L360" s="83">
        <f t="shared" si="44"/>
        <v>2363069.1709605618</v>
      </c>
      <c r="R360" s="86">
        <v>359</v>
      </c>
      <c r="S360" s="517" t="e">
        <f t="shared" ca="1" si="47"/>
        <v>#N/A</v>
      </c>
      <c r="T360" s="517" t="e">
        <f t="shared" ca="1" si="45"/>
        <v>#N/A</v>
      </c>
      <c r="U360" s="517" t="e">
        <f ca="1">-IF(AND($P$5="No",HLOOKUP('Loan Summary'!$R360,'Monthly Cash Flow'!$D$6:$CP$76,63,FALSE)&gt;T360),T360,(HLOOKUP('Loan Summary'!$R360,'Monthly Cash Flow'!$D$6:$CP$76,63,FALSE)))</f>
        <v>#N/A</v>
      </c>
      <c r="V360" s="517">
        <f>IF('Loan Summary'!R360=Assumptions!$AD$3,Assumptions!$AD$25,0)</f>
        <v>0</v>
      </c>
      <c r="W360" s="517" t="e">
        <f t="shared" ca="1" si="46"/>
        <v>#N/A</v>
      </c>
    </row>
    <row r="361" spans="6:23" ht="15" thickBot="1">
      <c r="F361" s="87">
        <v>360</v>
      </c>
      <c r="G361" s="85">
        <f t="shared" si="42"/>
        <v>2363069.1709605618</v>
      </c>
      <c r="H361" s="85">
        <f t="shared" si="40"/>
        <v>21236.394865569677</v>
      </c>
      <c r="I361" s="85">
        <f t="shared" si="41"/>
        <v>10830.733700235909</v>
      </c>
      <c r="J361" s="85">
        <f t="shared" si="43"/>
        <v>10405.661165333768</v>
      </c>
      <c r="K361" s="153">
        <f>IF('Monthly Cash Flow'!$C$88="Lender Draw",HLOOKUP(F361,'Monthly Cash Flow'!$D$79:$CP$88,10),0)</f>
        <v>0</v>
      </c>
      <c r="L361" s="83">
        <f t="shared" si="44"/>
        <v>2352663.509795228</v>
      </c>
      <c r="R361" s="87">
        <v>360</v>
      </c>
      <c r="S361" s="517" t="e">
        <f t="shared" ca="1" si="47"/>
        <v>#N/A</v>
      </c>
      <c r="T361" s="517" t="e">
        <f t="shared" ca="1" si="45"/>
        <v>#N/A</v>
      </c>
      <c r="U361" s="517" t="e">
        <f ca="1">-IF(AND($P$5="No",HLOOKUP('Loan Summary'!$R361,'Monthly Cash Flow'!$D$6:$CP$76,63,FALSE)&gt;T361),T361,(HLOOKUP('Loan Summary'!$R361,'Monthly Cash Flow'!$D$6:$CP$76,63,FALSE)))</f>
        <v>#N/A</v>
      </c>
      <c r="V361" s="517">
        <f>IF('Loan Summary'!R361=Assumptions!$AD$3,Assumptions!$AD$25,0)</f>
        <v>0</v>
      </c>
      <c r="W361" s="517" t="e">
        <f t="shared" ca="1" si="46"/>
        <v>#N/A</v>
      </c>
    </row>
  </sheetData>
  <mergeCells count="3">
    <mergeCell ref="B1:D1"/>
    <mergeCell ref="B8:D8"/>
    <mergeCell ref="O1:P1"/>
  </mergeCells>
  <conditionalFormatting sqref="C3">
    <cfRule type="expression" dxfId="35" priority="14">
      <formula>$C$3=""</formula>
    </cfRule>
  </conditionalFormatting>
  <conditionalFormatting sqref="C4:C6 C11:C13 C15">
    <cfRule type="expression" dxfId="34" priority="7">
      <formula>$C$6=""</formula>
    </cfRule>
  </conditionalFormatting>
  <conditionalFormatting sqref="C10">
    <cfRule type="expression" dxfId="33" priority="10">
      <formula>$C$3=""</formula>
    </cfRule>
  </conditionalFormatting>
  <conditionalFormatting sqref="C14">
    <cfRule type="expression" dxfId="32" priority="5">
      <formula>C14=""</formula>
    </cfRule>
  </conditionalFormatting>
  <conditionalFormatting sqref="D15">
    <cfRule type="expression" dxfId="31" priority="2">
      <formula>D15=""</formula>
    </cfRule>
  </conditionalFormatting>
  <conditionalFormatting sqref="P3:P4">
    <cfRule type="expression" dxfId="30" priority="1">
      <formula>P3=""</formula>
    </cfRule>
  </conditionalFormatting>
  <conditionalFormatting sqref="P5">
    <cfRule type="expression" dxfId="29" priority="4">
      <formula>$C$3=""</formula>
    </cfRule>
  </conditionalFormatting>
  <dataValidations count="1">
    <dataValidation type="list" allowBlank="1" showInputMessage="1" showErrorMessage="1" sqref="P5" xr:uid="{DF2C1C67-AFC8-4CB4-8D0D-D2D87E6CA779}">
      <formula1>"Yes,No"</formula1>
    </dataValidation>
  </dataValidations>
  <pageMargins left="0.7" right="0.7" top="0.75" bottom="0.75" header="0.3" footer="0.3"/>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8E965-4517-4EE8-B326-0C9F28ED8A55}">
  <sheetPr>
    <tabColor rgb="FF7030A0"/>
  </sheetPr>
  <dimension ref="B1:X23"/>
  <sheetViews>
    <sheetView showGridLines="0" zoomScale="90" zoomScaleNormal="90" workbookViewId="0">
      <selection activeCell="E35" sqref="E35"/>
    </sheetView>
  </sheetViews>
  <sheetFormatPr defaultRowHeight="14.5"/>
  <cols>
    <col min="2" max="2" width="25.81640625" customWidth="1"/>
    <col min="3" max="3" width="14.90625" customWidth="1"/>
    <col min="4" max="4" width="13.1796875" customWidth="1"/>
    <col min="5" max="5" width="13" bestFit="1" customWidth="1"/>
    <col min="6" max="7" width="13" customWidth="1"/>
    <col min="8" max="8" width="13.6328125" bestFit="1" customWidth="1"/>
    <col min="11" max="11" width="12.36328125" bestFit="1" customWidth="1"/>
    <col min="15" max="15" width="8.90625" customWidth="1"/>
    <col min="16" max="16" width="16.08984375" customWidth="1"/>
    <col min="17" max="17" width="13" customWidth="1"/>
    <col min="18" max="18" width="8.90625" customWidth="1"/>
    <col min="19" max="19" width="12.453125" customWidth="1"/>
    <col min="20" max="20" width="17.6328125" customWidth="1"/>
    <col min="21" max="21" width="10.453125" bestFit="1" customWidth="1"/>
    <col min="23" max="23" width="16.08984375" customWidth="1"/>
    <col min="24" max="24" width="13" customWidth="1"/>
  </cols>
  <sheetData>
    <row r="1" spans="2:24" ht="15" thickBot="1">
      <c r="E1" t="s">
        <v>287</v>
      </c>
      <c r="H1" t="s">
        <v>288</v>
      </c>
    </row>
    <row r="2" spans="2:24">
      <c r="B2" s="857" t="s">
        <v>253</v>
      </c>
      <c r="C2" s="858"/>
      <c r="D2" s="858"/>
      <c r="E2" s="858"/>
      <c r="F2" s="858"/>
      <c r="G2" s="858"/>
      <c r="H2" s="860"/>
      <c r="K2" s="867" t="s">
        <v>254</v>
      </c>
      <c r="L2" s="859"/>
      <c r="P2" s="918" t="s">
        <v>382</v>
      </c>
      <c r="Q2" s="919"/>
      <c r="S2" s="867" t="s">
        <v>402</v>
      </c>
      <c r="T2" s="859"/>
      <c r="W2" s="918" t="s">
        <v>401</v>
      </c>
      <c r="X2" s="919"/>
    </row>
    <row r="3" spans="2:24">
      <c r="B3" s="459" t="s">
        <v>304</v>
      </c>
      <c r="C3" s="683">
        <f>E3</f>
        <v>83</v>
      </c>
      <c r="D3" s="683">
        <f>E3</f>
        <v>83</v>
      </c>
      <c r="E3" s="424">
        <v>83</v>
      </c>
      <c r="F3" s="683">
        <f>E3</f>
        <v>83</v>
      </c>
      <c r="G3" s="683">
        <f>F3</f>
        <v>83</v>
      </c>
      <c r="H3" s="462">
        <v>84</v>
      </c>
      <c r="K3" s="455" t="s">
        <v>255</v>
      </c>
      <c r="L3" s="463">
        <v>0.02</v>
      </c>
      <c r="P3" s="798" t="s">
        <v>383</v>
      </c>
      <c r="Q3" s="799">
        <f>Assumptions!W21</f>
        <v>26</v>
      </c>
      <c r="S3" s="5" t="s">
        <v>383</v>
      </c>
      <c r="T3" s="606">
        <f>Assumptions!AD3</f>
        <v>35</v>
      </c>
      <c r="W3" s="798" t="s">
        <v>383</v>
      </c>
      <c r="X3" s="799">
        <f>Assumptions!AD3</f>
        <v>35</v>
      </c>
    </row>
    <row r="4" spans="2:24" ht="15" thickBot="1">
      <c r="B4" s="459" t="s">
        <v>256</v>
      </c>
      <c r="C4" s="684">
        <f>D4-0.25%</f>
        <v>5.2499999999999998E-2</v>
      </c>
      <c r="D4" s="684">
        <f>E4-0.25%</f>
        <v>5.5E-2</v>
      </c>
      <c r="E4" s="681">
        <v>5.7500000000000002E-2</v>
      </c>
      <c r="F4" s="684">
        <f>E4+0.25%</f>
        <v>6.0000000000000005E-2</v>
      </c>
      <c r="G4" s="684">
        <f>F4+0.25%</f>
        <v>6.25E-2</v>
      </c>
      <c r="H4" s="682">
        <v>5.5E-2</v>
      </c>
      <c r="K4" s="689" t="s">
        <v>23</v>
      </c>
      <c r="L4" s="434">
        <v>0.01</v>
      </c>
      <c r="P4" s="798" t="s">
        <v>257</v>
      </c>
      <c r="Q4" s="800">
        <f>HLOOKUP((Assumptions!$W$21-2),'Monthly Cash Flow'!$D$6:$CP$34,27)*12+-HLOOKUP((Assumptions!$W$21-2),'Monthly Cash Flow'!$D$6:$CP$34,9)*12</f>
        <v>442864.13554725592</v>
      </c>
      <c r="S4" s="5" t="s">
        <v>257</v>
      </c>
      <c r="T4" s="428">
        <f>(HLOOKUP((Assumptions!$AD$3),'Monthly Cash Flow'!$D$6:$CP$34,27)-HLOOKUP((Assumptions!$AD$3),'Monthly Cash Flow'!$D$6:$CP$34,9)-HLOOKUP((Assumptions!$AD$3),'Monthly Cash Flow'!$D$6:$CP$34,8)-(HLOOKUP((Assumptions!$AD$3),'Monthly Cash Flow'!$D$6:$CP$34,7)*5%))*12</f>
        <v>437057.21206130879</v>
      </c>
      <c r="W4" s="798" t="s">
        <v>257</v>
      </c>
      <c r="X4" s="800">
        <f>HLOOKUP((Assumptions!$AD$3-2),'Monthly Cash Flow'!$D$6:$CP$34,27)*12+-HLOOKUP((Assumptions!$W$21-2),'Monthly Cash Flow'!$D$6:$CP$34,9)*12</f>
        <v>444034.77759212925</v>
      </c>
    </row>
    <row r="5" spans="2:24">
      <c r="B5" s="5" t="s">
        <v>257</v>
      </c>
      <c r="C5" s="685">
        <f>D5</f>
        <v>464200.75156858808</v>
      </c>
      <c r="D5" s="685">
        <f>E5</f>
        <v>464200.75156858808</v>
      </c>
      <c r="E5" s="423">
        <f>HLOOKUP((E$3-2),'Monthly Cash Flow'!$D$6:$CP$34,27)*12+-HLOOKUP((E$3-2),'Monthly Cash Flow'!$D$6:$CP$34,9)*12+-HLOOKUP((E$3-2),'Monthly Cash Flow'!$D$6:$CP$34,8)*12-HLOOKUP((E$3-2),'Monthly Cash Flow'!$D$6:$CP$34,7)*12*0.05</f>
        <v>464200.75156858808</v>
      </c>
      <c r="F5" s="685">
        <f>E5</f>
        <v>464200.75156858808</v>
      </c>
      <c r="G5" s="685">
        <f>F5</f>
        <v>464200.75156858808</v>
      </c>
      <c r="H5" s="428">
        <f>HLOOKUP((H$3-2),'Monthly Cash Flow'!$D$6:$CP$34,27)*12+-HLOOKUP((H$3-2),'Monthly Cash Flow'!$D$6:$CP$34,9)*12+-HLOOKUP((H$3-2),'Monthly Cash Flow'!$D$6:$CP$34,8)*12-HLOOKUP((H$3-2),'Monthly Cash Flow'!$D$6:$CP$34,7)*12*0.05</f>
        <v>464927.10890812066</v>
      </c>
      <c r="K5" s="415"/>
      <c r="P5" s="798" t="s">
        <v>94</v>
      </c>
      <c r="Q5" s="800">
        <f>(HLOOKUP((Q$3-2),'Monthly Cash Flow'!$D$6:$CP$58,53))*12</f>
        <v>116138.52406641767</v>
      </c>
      <c r="S5" s="5" t="s">
        <v>94</v>
      </c>
      <c r="T5" s="428">
        <f>(HLOOKUP((T$3-2),'Monthly Cash Flow'!$D$6:$CP$58,53))*12</f>
        <v>118511.28907776387</v>
      </c>
      <c r="W5" s="798" t="s">
        <v>94</v>
      </c>
      <c r="X5" s="800">
        <f>(HLOOKUP((X$3-2),'Monthly Cash Flow'!$D$6:$CP$58,53))*12</f>
        <v>118511.28907776387</v>
      </c>
    </row>
    <row r="6" spans="2:24">
      <c r="B6" s="5" t="s">
        <v>94</v>
      </c>
      <c r="C6" s="685">
        <f>D6</f>
        <v>86850.572823735216</v>
      </c>
      <c r="D6" s="685">
        <f>E6</f>
        <v>86850.572823735216</v>
      </c>
      <c r="E6" s="423">
        <f>(HLOOKUP((E$3-2),'Monthly Cash Flow'!$D$6:$CP$58,53)-HLOOKUP((E$3-2),'Monthly Cash Flow'!$D$6:$CP$58,31))*12</f>
        <v>86850.572823735216</v>
      </c>
      <c r="F6" s="685">
        <f>E6</f>
        <v>86850.572823735216</v>
      </c>
      <c r="G6" s="685">
        <f>F6</f>
        <v>86850.572823735216</v>
      </c>
      <c r="H6" s="428">
        <f>(HLOOKUP((H$3-2),'Monthly Cash Flow'!$D$6:$CP$58,53)-HLOOKUP((H$3-2),'Monthly Cash Flow'!$D$6:$CP$58,31))*12</f>
        <v>86872.822295925114</v>
      </c>
      <c r="P6" s="798"/>
      <c r="Q6" s="800"/>
      <c r="S6" s="5"/>
      <c r="T6" s="428"/>
      <c r="W6" s="798"/>
      <c r="X6" s="800"/>
    </row>
    <row r="7" spans="2:24" ht="15" thickBot="1">
      <c r="B7" s="5" t="s">
        <v>394</v>
      </c>
      <c r="C7" s="685">
        <f ca="1">C11*Assumptions!$P$24</f>
        <v>71622.899999999994</v>
      </c>
      <c r="D7" s="685">
        <f ca="1">D11*Assumptions!$P$24</f>
        <v>68966.100000000006</v>
      </c>
      <c r="E7" s="423">
        <f ca="1">E11*Assumptions!$P$24</f>
        <v>66493.8</v>
      </c>
      <c r="F7" s="685">
        <f ca="1">F11*Assumptions!$P$24</f>
        <v>64193.700000000004</v>
      </c>
      <c r="G7" s="685">
        <f ca="1">G11*Assumptions!$P$24</f>
        <v>62053.5</v>
      </c>
      <c r="H7" s="428">
        <f ca="1">H11*Assumptions!$P$24</f>
        <v>69101.399999999994</v>
      </c>
      <c r="P7" s="801" t="s">
        <v>258</v>
      </c>
      <c r="Q7" s="802">
        <f>Q4-Q5</f>
        <v>326725.61148083827</v>
      </c>
      <c r="S7" s="607" t="s">
        <v>258</v>
      </c>
      <c r="T7" s="408">
        <f>T4-T5</f>
        <v>318545.92298354494</v>
      </c>
      <c r="W7" s="801" t="s">
        <v>258</v>
      </c>
      <c r="X7" s="802">
        <f>X4-X5</f>
        <v>325523.4885143654</v>
      </c>
    </row>
    <row r="8" spans="2:24">
      <c r="B8" s="456" t="s">
        <v>258</v>
      </c>
      <c r="C8" s="405">
        <f t="shared" ref="C8:D8" ca="1" si="0">C5-C6-C7</f>
        <v>305727.27874485287</v>
      </c>
      <c r="D8" s="405">
        <f t="shared" ca="1" si="0"/>
        <v>308384.07874485292</v>
      </c>
      <c r="E8" s="422">
        <f ca="1">E5-E6-E7</f>
        <v>310856.3787448529</v>
      </c>
      <c r="F8" s="405">
        <f t="shared" ref="F8:G8" ca="1" si="1">F5-F6-F7</f>
        <v>313156.47874485288</v>
      </c>
      <c r="G8" s="405">
        <f t="shared" ca="1" si="1"/>
        <v>315296.67874485289</v>
      </c>
      <c r="H8" s="406">
        <f ca="1">H5-H6-H7</f>
        <v>308952.88661219552</v>
      </c>
      <c r="P8" s="676"/>
      <c r="Q8" s="676"/>
      <c r="W8" s="676"/>
      <c r="X8" s="676"/>
    </row>
    <row r="9" spans="2:24">
      <c r="B9" s="5"/>
      <c r="C9" s="397"/>
      <c r="D9" s="397"/>
      <c r="E9" s="421"/>
      <c r="F9" s="397"/>
      <c r="G9" s="397"/>
      <c r="H9" s="398"/>
    </row>
    <row r="10" spans="2:24">
      <c r="B10" s="590" t="s">
        <v>403</v>
      </c>
      <c r="C10" s="527">
        <f ca="1">C11/Assumptions!$C$10</f>
        <v>342529.4117647059</v>
      </c>
      <c r="D10" s="527">
        <f ca="1">D11/Assumptions!$C$10</f>
        <v>329823.5294117647</v>
      </c>
      <c r="E10" s="702">
        <f ca="1">E11/Assumptions!$C$10</f>
        <v>318000</v>
      </c>
      <c r="F10" s="527">
        <f ca="1">F11/Assumptions!$C$10</f>
        <v>307000</v>
      </c>
      <c r="G10" s="527">
        <f ca="1">G11/Assumptions!$C$10</f>
        <v>296764.70588235295</v>
      </c>
      <c r="H10" s="703">
        <f ca="1">H11/Assumptions!$C$10</f>
        <v>330470.5882352941</v>
      </c>
    </row>
    <row r="11" spans="2:24">
      <c r="B11" s="5" t="s">
        <v>224</v>
      </c>
      <c r="C11" s="397">
        <f ca="1">ROUND($C$8/C4,-3)</f>
        <v>5823000</v>
      </c>
      <c r="D11" s="397">
        <f ca="1">ROUND($D$8/D4,-3)</f>
        <v>5607000</v>
      </c>
      <c r="E11" s="421">
        <f ca="1">ROUND(E8/$E$4,-3)</f>
        <v>5406000</v>
      </c>
      <c r="F11" s="397">
        <f ca="1">ROUND($F$8/F4,-3)</f>
        <v>5219000</v>
      </c>
      <c r="G11" s="397">
        <f ca="1">ROUND($G$8/G4,-3)</f>
        <v>5045000</v>
      </c>
      <c r="H11" s="398">
        <f ca="1">ROUND(H8/$H$4,-3)</f>
        <v>5617000</v>
      </c>
    </row>
    <row r="12" spans="2:24">
      <c r="B12" s="446" t="s">
        <v>282</v>
      </c>
      <c r="C12" s="397">
        <f ca="1">E12</f>
        <v>49829.38181747096</v>
      </c>
      <c r="D12" s="397">
        <f ca="1">E12</f>
        <v>49829.38181747096</v>
      </c>
      <c r="E12" s="421">
        <f ca="1">HLOOKUP(E$3,'Monthly Cash Flow'!$D$79:$CP$87,9)</f>
        <v>49829.38181747096</v>
      </c>
      <c r="F12" s="397">
        <f ca="1">E12</f>
        <v>49829.38181747096</v>
      </c>
      <c r="G12" s="397">
        <f ca="1">E12</f>
        <v>49829.38181747096</v>
      </c>
      <c r="H12" s="398">
        <f ca="1">HLOOKUP(H$3,'Monthly Cash Flow'!$D$79:$CP$87,9)</f>
        <v>49991.409859129235</v>
      </c>
    </row>
    <row r="13" spans="2:24">
      <c r="B13" s="446" t="s">
        <v>259</v>
      </c>
      <c r="C13" s="397">
        <f>E13</f>
        <v>-3740191.3061347073</v>
      </c>
      <c r="D13" s="397">
        <f>E13</f>
        <v>-3740191.3061347073</v>
      </c>
      <c r="E13" s="421">
        <f>-VLOOKUP($E$3,'Loan Summary'!$F$2:$L$361,7,FALSE)</f>
        <v>-3740191.3061347073</v>
      </c>
      <c r="F13" s="397">
        <f>E13</f>
        <v>-3740191.3061347073</v>
      </c>
      <c r="G13" s="397">
        <f>E13</f>
        <v>-3740191.3061347073</v>
      </c>
      <c r="H13" s="398">
        <f>-VLOOKUP($H$3,'Loan Summary'!$F$2:$L$361,7,FALSE)</f>
        <v>-3740191.3061347073</v>
      </c>
    </row>
    <row r="14" spans="2:24">
      <c r="B14" s="446" t="s">
        <v>260</v>
      </c>
      <c r="C14" s="397">
        <f t="shared" ref="C14:H14" ca="1" si="2">-C11*$L$3</f>
        <v>-116460</v>
      </c>
      <c r="D14" s="397">
        <f t="shared" ca="1" si="2"/>
        <v>-112140</v>
      </c>
      <c r="E14" s="421">
        <f t="shared" ca="1" si="2"/>
        <v>-108120</v>
      </c>
      <c r="F14" s="397">
        <f t="shared" ca="1" si="2"/>
        <v>-104380</v>
      </c>
      <c r="G14" s="397">
        <f t="shared" ca="1" si="2"/>
        <v>-100900</v>
      </c>
      <c r="H14" s="398">
        <f t="shared" ca="1" si="2"/>
        <v>-112340</v>
      </c>
    </row>
    <row r="15" spans="2:24">
      <c r="B15" s="446" t="s">
        <v>261</v>
      </c>
      <c r="C15" s="397">
        <f t="shared" ref="C15:H15" ca="1" si="3">-C11*$L$4</f>
        <v>-58230</v>
      </c>
      <c r="D15" s="397">
        <f t="shared" ca="1" si="3"/>
        <v>-56070</v>
      </c>
      <c r="E15" s="421">
        <f t="shared" ca="1" si="3"/>
        <v>-54060</v>
      </c>
      <c r="F15" s="397">
        <f t="shared" ca="1" si="3"/>
        <v>-52190</v>
      </c>
      <c r="G15" s="397">
        <f t="shared" ca="1" si="3"/>
        <v>-50450</v>
      </c>
      <c r="H15" s="398">
        <f t="shared" ca="1" si="3"/>
        <v>-56170</v>
      </c>
    </row>
    <row r="16" spans="2:24">
      <c r="B16" s="446" t="s">
        <v>307</v>
      </c>
      <c r="C16" s="397"/>
      <c r="D16" s="397"/>
      <c r="E16" s="421"/>
      <c r="F16" s="397"/>
      <c r="G16" s="397"/>
      <c r="H16" s="398"/>
    </row>
    <row r="17" spans="2:11" ht="3.65" customHeight="1">
      <c r="B17" s="446"/>
      <c r="C17" s="397"/>
      <c r="D17" s="397"/>
      <c r="E17" s="421"/>
      <c r="F17" s="397"/>
      <c r="G17" s="397"/>
      <c r="H17" s="398"/>
      <c r="K17" s="433"/>
    </row>
    <row r="18" spans="2:11" ht="15" thickBot="1">
      <c r="B18" s="457" t="s">
        <v>262</v>
      </c>
      <c r="C18" s="686">
        <f ca="1">SUM(C11:C17)</f>
        <v>1957948.0756827639</v>
      </c>
      <c r="D18" s="686">
        <f ca="1">SUM(D11:D17)</f>
        <v>1748428.0756827639</v>
      </c>
      <c r="E18" s="420">
        <f ca="1">SUM(E11:E17)</f>
        <v>1553458.0756827639</v>
      </c>
      <c r="F18" s="686">
        <f t="shared" ref="F18:G18" ca="1" si="4">SUM(F11:F17)</f>
        <v>1372068.0756827639</v>
      </c>
      <c r="G18" s="686">
        <f t="shared" ca="1" si="4"/>
        <v>1203288.0756827639</v>
      </c>
      <c r="H18" s="427">
        <f ca="1">SUM(H11:H15)</f>
        <v>1758290.1037244219</v>
      </c>
    </row>
    <row r="19" spans="2:11" ht="15" thickTop="1">
      <c r="B19" s="5"/>
      <c r="C19" s="397"/>
      <c r="D19" s="397"/>
      <c r="E19" s="421"/>
      <c r="F19" s="397"/>
      <c r="G19" s="397"/>
      <c r="H19" s="398"/>
    </row>
    <row r="20" spans="2:11">
      <c r="B20" s="446" t="s">
        <v>263</v>
      </c>
      <c r="C20" s="685">
        <f ca="1">Assumptions!$C$36</f>
        <v>1497641.7520517199</v>
      </c>
      <c r="D20" s="685">
        <f ca="1">Assumptions!$C$36</f>
        <v>1497641.7520517199</v>
      </c>
      <c r="E20" s="423">
        <f ca="1">Assumptions!$C$36</f>
        <v>1497641.7520517199</v>
      </c>
      <c r="F20" s="685">
        <f ca="1">Assumptions!$C$36</f>
        <v>1497641.7520517199</v>
      </c>
      <c r="G20" s="685">
        <f ca="1">Assumptions!$C$36</f>
        <v>1497641.7520517199</v>
      </c>
      <c r="H20" s="428">
        <f ca="1">Assumptions!$C$36</f>
        <v>1497641.7520517199</v>
      </c>
    </row>
    <row r="21" spans="2:11">
      <c r="B21" s="446" t="s">
        <v>284</v>
      </c>
      <c r="C21" s="685">
        <f ca="1">SUM('Cont. Dist.'!$D$61:$CI$61)-Assumptions!$C$36</f>
        <v>1871477.1276626452</v>
      </c>
      <c r="D21" s="685">
        <f ca="1">SUM('Cont. Dist.'!$D$58:$CI$58)-Assumptions!$C$36</f>
        <v>1661957.1276626452</v>
      </c>
      <c r="E21" s="423">
        <f ca="1">SUM('Cont. Dist.'!$D$15:$CI$15)-Assumptions!$C$36</f>
        <v>1466987.1276626452</v>
      </c>
      <c r="F21" s="685">
        <f ca="1">SUM('Cont. Dist.'!$D$55:$CI$55)-Assumptions!$C$36</f>
        <v>1285597.1276626452</v>
      </c>
      <c r="G21" s="685">
        <f ca="1">SUM('Cont. Dist.'!$D$52:$CI$52)-Assumptions!$C$36</f>
        <v>1116817.1276626452</v>
      </c>
      <c r="H21" s="428">
        <f ca="1">SUM('Cont. Dist.'!$D$40:$CI$40)-'Sale Analysis'!H20</f>
        <v>1679717.2982348991</v>
      </c>
    </row>
    <row r="22" spans="2:11">
      <c r="B22" s="446" t="s">
        <v>21</v>
      </c>
      <c r="C22" s="687">
        <f ca="1">SUM('Cont. Dist.'!$D$61:$CI$61)/Assumptions!$C$36</f>
        <v>2.2496160213874803</v>
      </c>
      <c r="D22" s="687">
        <f ca="1">SUM('Cont. Dist.'!$D$58:$CI$58)/Assumptions!$C$36</f>
        <v>2.1097160755473188</v>
      </c>
      <c r="E22" s="419">
        <f ca="1">SUM('Cont. Dist.'!$D$15:$CI$15)/Assumptions!$C$36</f>
        <v>1.9795314037238352</v>
      </c>
      <c r="F22" s="687">
        <f ca="1">SUM('Cont. Dist.'!$D$55:$CI$55)/Assumptions!$C$36</f>
        <v>1.8584143209825843</v>
      </c>
      <c r="G22" s="687">
        <f ca="1">SUM('Cont. Dist.'!$D$52:$CI$52)/Assumptions!$C$36</f>
        <v>1.7457171423891211</v>
      </c>
      <c r="H22" s="426">
        <f ca="1">SUM('Cont. Dist.'!$D$40:$CI$40)/H20</f>
        <v>2.1215748331894071</v>
      </c>
    </row>
    <row r="23" spans="2:11" ht="15" thickBot="1">
      <c r="B23" s="458" t="s">
        <v>20</v>
      </c>
      <c r="C23" s="688">
        <f ca="1">XIRR('Cont. Dist.'!$C$62:$CI$62,'Cont. Dist.'!$C$17:$CI$17)</f>
        <v>0.17656094431877137</v>
      </c>
      <c r="D23" s="688">
        <f ca="1">XIRR('Cont. Dist.'!$C$59:$CI$59,'Cont. Dist.'!$C$17:$CI$17)</f>
        <v>0.16449794173240664</v>
      </c>
      <c r="E23" s="418">
        <f ca="1">XIRR('Cont. Dist.'!$C$20:$CI$20,'Cont. Dist.'!$C$17:$CI$17)</f>
        <v>0.15240297913551332</v>
      </c>
      <c r="F23" s="688">
        <f ca="1">XIRR('Cont. Dist.'!$C$56:$CI$56,'Cont. Dist.'!$C$17:$CI$17)</f>
        <v>0.14025807976722718</v>
      </c>
      <c r="G23" s="688">
        <f ca="1">XIRR('Cont. Dist.'!$C$53:$CI$53,'Cont. Dist.'!$C$17:$CI$17)</f>
        <v>0.12803772091865542</v>
      </c>
      <c r="H23" s="425">
        <f ca="1">XIRR('Cont. Dist.'!$C$45:$CI$45,'Cont. Dist.'!$C$42:$CI$42)</f>
        <v>0.16811590790748593</v>
      </c>
    </row>
  </sheetData>
  <mergeCells count="5">
    <mergeCell ref="B2:H2"/>
    <mergeCell ref="K2:L2"/>
    <mergeCell ref="P2:Q2"/>
    <mergeCell ref="W2:X2"/>
    <mergeCell ref="S2:T2"/>
  </mergeCells>
  <conditionalFormatting sqref="C3:H4">
    <cfRule type="expression" dxfId="28" priority="3">
      <formula>C3=""</formula>
    </cfRule>
    <cfRule type="expression" dxfId="27" priority="4">
      <formula>#REF!&gt;#REF!</formula>
    </cfRule>
  </conditionalFormatting>
  <conditionalFormatting sqref="L3:L4">
    <cfRule type="expression" dxfId="26" priority="15">
      <formula>L3=""</formula>
    </cfRule>
  </conditionalFormatting>
  <conditionalFormatting sqref="Q3">
    <cfRule type="expression" dxfId="25" priority="11">
      <formula>Q3=""</formula>
    </cfRule>
    <cfRule type="expression" dxfId="24" priority="12">
      <formula>#REF!&gt;#REF!</formula>
    </cfRule>
  </conditionalFormatting>
  <conditionalFormatting sqref="T3">
    <cfRule type="expression" dxfId="23" priority="1">
      <formula>T3=""</formula>
    </cfRule>
    <cfRule type="expression" dxfId="22" priority="2">
      <formula>#REF!&gt;#REF!</formula>
    </cfRule>
  </conditionalFormatting>
  <conditionalFormatting sqref="X3">
    <cfRule type="expression" dxfId="21" priority="9">
      <formula>X3=""</formula>
    </cfRule>
    <cfRule type="expression" dxfId="20" priority="10">
      <formula>#REF!&gt;#REF!</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CN119"/>
  <sheetViews>
    <sheetView showGridLines="0" zoomScale="80" zoomScaleNormal="80" workbookViewId="0">
      <selection activeCell="D70" sqref="D70"/>
    </sheetView>
  </sheetViews>
  <sheetFormatPr defaultColWidth="10.453125" defaultRowHeight="14.5"/>
  <cols>
    <col min="1" max="1" width="7.6328125" style="195" customWidth="1"/>
    <col min="2" max="2" width="36.6328125" style="193" customWidth="1"/>
    <col min="3" max="3" width="15" style="193" customWidth="1"/>
    <col min="4" max="4" width="18.453125" style="193" bestFit="1" customWidth="1"/>
    <col min="5" max="5" width="19" style="193" customWidth="1"/>
    <col min="6" max="6" width="2.6328125" style="193" customWidth="1"/>
    <col min="7" max="7" width="3.6328125" style="193" customWidth="1"/>
    <col min="8" max="8" width="15.453125" style="193" customWidth="1" collapsed="1"/>
    <col min="9" max="92" width="13.6328125" style="194" customWidth="1"/>
    <col min="93" max="16384" width="10.453125" style="194"/>
  </cols>
  <sheetData>
    <row r="1" spans="1:92" ht="23">
      <c r="A1" s="191"/>
      <c r="B1" s="192"/>
    </row>
    <row r="2" spans="1:92" ht="23">
      <c r="B2" s="196" t="s">
        <v>140</v>
      </c>
      <c r="P2" s="197"/>
      <c r="Q2" s="198" t="s">
        <v>141</v>
      </c>
      <c r="R2" s="198" t="s">
        <v>142</v>
      </c>
    </row>
    <row r="3" spans="1:92" ht="18">
      <c r="B3" s="199" t="s">
        <v>143</v>
      </c>
      <c r="C3" s="200"/>
      <c r="D3" s="200"/>
      <c r="E3" s="200"/>
      <c r="F3" s="200"/>
      <c r="G3" s="200"/>
      <c r="H3" s="200"/>
      <c r="P3" s="198" t="s">
        <v>144</v>
      </c>
      <c r="Q3" s="201">
        <f>C27</f>
        <v>0.05</v>
      </c>
      <c r="R3" s="201">
        <f>C26</f>
        <v>0.95</v>
      </c>
    </row>
    <row r="4" spans="1:92" ht="18">
      <c r="B4" s="199" t="s">
        <v>145</v>
      </c>
      <c r="C4" s="200"/>
      <c r="D4" s="200"/>
      <c r="E4" s="200"/>
      <c r="F4" s="200"/>
      <c r="G4" s="200"/>
      <c r="H4" s="200"/>
      <c r="P4" s="198" t="s">
        <v>146</v>
      </c>
      <c r="Q4" s="201">
        <f>SUM(C41:C42)</f>
        <v>0.33499999999999996</v>
      </c>
      <c r="R4" s="201">
        <f>C40</f>
        <v>0.66500000000000004</v>
      </c>
    </row>
    <row r="5" spans="1:92" ht="18">
      <c r="B5" s="199" t="s">
        <v>147</v>
      </c>
      <c r="C5" s="200"/>
      <c r="D5" s="200"/>
      <c r="E5" s="200"/>
      <c r="F5" s="200"/>
      <c r="G5" s="200"/>
      <c r="H5" s="200"/>
      <c r="P5" s="198" t="s">
        <v>148</v>
      </c>
      <c r="Q5" s="201">
        <f>SUM(C48:C49)</f>
        <v>0.43000000000000005</v>
      </c>
      <c r="R5" s="201">
        <f>C47</f>
        <v>0.56999999999999995</v>
      </c>
    </row>
    <row r="6" spans="1:92" ht="18">
      <c r="B6" s="202" t="s">
        <v>149</v>
      </c>
      <c r="C6" s="200"/>
      <c r="D6" s="200"/>
      <c r="E6" s="200"/>
      <c r="F6" s="200"/>
      <c r="G6" s="200"/>
      <c r="H6" s="200"/>
    </row>
    <row r="7" spans="1:92" ht="18">
      <c r="B7" s="200"/>
      <c r="C7" s="200"/>
      <c r="D7" s="200"/>
      <c r="E7" s="200"/>
      <c r="F7" s="200"/>
      <c r="G7" s="200"/>
      <c r="H7" s="200"/>
    </row>
    <row r="8" spans="1:92" ht="18">
      <c r="B8" s="200"/>
      <c r="C8" s="200"/>
      <c r="D8" s="200"/>
      <c r="E8" s="200"/>
      <c r="F8" s="200"/>
      <c r="G8" s="200"/>
      <c r="H8" s="200"/>
    </row>
    <row r="9" spans="1:92">
      <c r="F9" s="203"/>
      <c r="G9" s="203"/>
      <c r="H9" s="203"/>
    </row>
    <row r="10" spans="1:92" ht="18">
      <c r="A10" s="204"/>
      <c r="B10" s="205"/>
      <c r="C10" s="205"/>
      <c r="D10" s="205"/>
      <c r="E10" s="205"/>
      <c r="F10" s="206"/>
      <c r="G10" s="206"/>
      <c r="H10" s="430">
        <f>'Cont. Dist.'!C17</f>
        <v>46204</v>
      </c>
      <c r="I10" s="430">
        <f>'Cont. Dist.'!D17</f>
        <v>46204</v>
      </c>
      <c r="J10" s="430">
        <f>'Cont. Dist.'!E17</f>
        <v>46235</v>
      </c>
      <c r="K10" s="430">
        <f>'Cont. Dist.'!F17</f>
        <v>46266</v>
      </c>
      <c r="L10" s="430">
        <f>'Cont. Dist.'!G17</f>
        <v>46296</v>
      </c>
      <c r="M10" s="430">
        <f>'Cont. Dist.'!H17</f>
        <v>46327</v>
      </c>
      <c r="N10" s="430">
        <f>'Cont. Dist.'!I17</f>
        <v>46357</v>
      </c>
      <c r="O10" s="430">
        <f>'Cont. Dist.'!J17</f>
        <v>46388</v>
      </c>
      <c r="P10" s="430">
        <f>'Cont. Dist.'!K17</f>
        <v>46419</v>
      </c>
      <c r="Q10" s="430">
        <f>'Cont. Dist.'!L17</f>
        <v>46447</v>
      </c>
      <c r="R10" s="430">
        <f>'Cont. Dist.'!M17</f>
        <v>46478</v>
      </c>
      <c r="S10" s="430">
        <f>'Cont. Dist.'!N17</f>
        <v>46508</v>
      </c>
      <c r="T10" s="430">
        <f>'Cont. Dist.'!O17</f>
        <v>46539</v>
      </c>
      <c r="U10" s="430">
        <f>'Cont. Dist.'!P17</f>
        <v>46569</v>
      </c>
      <c r="V10" s="430">
        <f>'Cont. Dist.'!Q17</f>
        <v>46600</v>
      </c>
      <c r="W10" s="430">
        <f>'Cont. Dist.'!R17</f>
        <v>46631</v>
      </c>
      <c r="X10" s="430">
        <f>'Cont. Dist.'!S17</f>
        <v>46661</v>
      </c>
      <c r="Y10" s="430">
        <f>'Cont. Dist.'!T17</f>
        <v>46692</v>
      </c>
      <c r="Z10" s="430">
        <f>'Cont. Dist.'!U17</f>
        <v>46722</v>
      </c>
      <c r="AA10" s="430">
        <f>'Cont. Dist.'!V17</f>
        <v>46753</v>
      </c>
      <c r="AB10" s="430">
        <f>'Cont. Dist.'!W17</f>
        <v>46784</v>
      </c>
      <c r="AC10" s="430">
        <f>'Cont. Dist.'!X17</f>
        <v>46813</v>
      </c>
      <c r="AD10" s="430">
        <f>'Cont. Dist.'!Y17</f>
        <v>46844</v>
      </c>
      <c r="AE10" s="430">
        <f>'Cont. Dist.'!Z17</f>
        <v>46874</v>
      </c>
      <c r="AF10" s="430">
        <f>'Cont. Dist.'!AA17</f>
        <v>46905</v>
      </c>
      <c r="AG10" s="430">
        <f>'Cont. Dist.'!AB17</f>
        <v>46935</v>
      </c>
      <c r="AH10" s="430">
        <f>'Cont. Dist.'!AC17</f>
        <v>46966</v>
      </c>
      <c r="AI10" s="430">
        <f>'Cont. Dist.'!AD17</f>
        <v>46997</v>
      </c>
      <c r="AJ10" s="430">
        <f>'Cont. Dist.'!AE17</f>
        <v>47027</v>
      </c>
      <c r="AK10" s="430">
        <f>'Cont. Dist.'!AF17</f>
        <v>47058</v>
      </c>
      <c r="AL10" s="430">
        <f>'Cont. Dist.'!AG17</f>
        <v>47088</v>
      </c>
      <c r="AM10" s="430">
        <f>'Cont. Dist.'!AH17</f>
        <v>47119</v>
      </c>
      <c r="AN10" s="430">
        <f>'Cont. Dist.'!AI17</f>
        <v>47150</v>
      </c>
      <c r="AO10" s="430">
        <f>'Cont. Dist.'!AJ17</f>
        <v>47178</v>
      </c>
      <c r="AP10" s="430">
        <f>'Cont. Dist.'!AK17</f>
        <v>47209</v>
      </c>
      <c r="AQ10" s="430">
        <f>'Cont. Dist.'!AL17</f>
        <v>47239</v>
      </c>
      <c r="AR10" s="430">
        <f>'Cont. Dist.'!AM17</f>
        <v>47270</v>
      </c>
      <c r="AS10" s="430">
        <f>'Cont. Dist.'!AN17</f>
        <v>47300</v>
      </c>
      <c r="AT10" s="430">
        <f>'Cont. Dist.'!AO17</f>
        <v>47331</v>
      </c>
      <c r="AU10" s="430">
        <f>'Cont. Dist.'!AP17</f>
        <v>47362</v>
      </c>
      <c r="AV10" s="430">
        <f>'Cont. Dist.'!AQ17</f>
        <v>47392</v>
      </c>
      <c r="AW10" s="430">
        <f>'Cont. Dist.'!AR17</f>
        <v>47423</v>
      </c>
      <c r="AX10" s="430">
        <f>'Cont. Dist.'!AS17</f>
        <v>47453</v>
      </c>
      <c r="AY10" s="430">
        <f>'Cont. Dist.'!AT17</f>
        <v>47484</v>
      </c>
      <c r="AZ10" s="430">
        <f>'Cont. Dist.'!AU17</f>
        <v>47515</v>
      </c>
      <c r="BA10" s="430">
        <f>'Cont. Dist.'!AV17</f>
        <v>47543</v>
      </c>
      <c r="BB10" s="430">
        <f>'Cont. Dist.'!AW17</f>
        <v>47574</v>
      </c>
      <c r="BC10" s="430">
        <f>'Cont. Dist.'!AX17</f>
        <v>47604</v>
      </c>
      <c r="BD10" s="430">
        <f>'Cont. Dist.'!AY17</f>
        <v>47635</v>
      </c>
      <c r="BE10" s="430">
        <f>'Cont. Dist.'!AZ17</f>
        <v>47665</v>
      </c>
      <c r="BF10" s="430">
        <f>'Cont. Dist.'!BA17</f>
        <v>47696</v>
      </c>
      <c r="BG10" s="430">
        <f>'Cont. Dist.'!BB17</f>
        <v>47727</v>
      </c>
      <c r="BH10" s="430">
        <f>'Cont. Dist.'!BC17</f>
        <v>47757</v>
      </c>
      <c r="BI10" s="430">
        <f>'Cont. Dist.'!BD17</f>
        <v>47788</v>
      </c>
      <c r="BJ10" s="430">
        <f>'Cont. Dist.'!BE17</f>
        <v>47818</v>
      </c>
      <c r="BK10" s="430">
        <f>'Cont. Dist.'!BF17</f>
        <v>47849</v>
      </c>
      <c r="BL10" s="430">
        <f>'Cont. Dist.'!BG17</f>
        <v>47880</v>
      </c>
      <c r="BM10" s="430">
        <f>'Cont. Dist.'!BH17</f>
        <v>47908</v>
      </c>
      <c r="BN10" s="430">
        <f>'Cont. Dist.'!BI17</f>
        <v>47939</v>
      </c>
      <c r="BO10" s="430">
        <f>'Cont. Dist.'!BJ17</f>
        <v>47969</v>
      </c>
      <c r="BP10" s="430">
        <f>'Cont. Dist.'!BK17</f>
        <v>48000</v>
      </c>
      <c r="BQ10" s="430">
        <f>'Cont. Dist.'!BL17</f>
        <v>48030</v>
      </c>
      <c r="BR10" s="430">
        <f>'Cont. Dist.'!BM17</f>
        <v>48061</v>
      </c>
      <c r="BS10" s="430">
        <f>'Cont. Dist.'!BN17</f>
        <v>48092</v>
      </c>
      <c r="BT10" s="430">
        <f>'Cont. Dist.'!BO17</f>
        <v>48122</v>
      </c>
      <c r="BU10" s="430">
        <f>'Cont. Dist.'!BP17</f>
        <v>48153</v>
      </c>
      <c r="BV10" s="430">
        <f>'Cont. Dist.'!BQ17</f>
        <v>48183</v>
      </c>
      <c r="BW10" s="430">
        <f>'Cont. Dist.'!BR17</f>
        <v>48214</v>
      </c>
      <c r="BX10" s="430">
        <f>'Cont. Dist.'!BS17</f>
        <v>48245</v>
      </c>
      <c r="BY10" s="430">
        <f>'Cont. Dist.'!BT17</f>
        <v>48274</v>
      </c>
      <c r="BZ10" s="430">
        <f>'Cont. Dist.'!BU17</f>
        <v>48305</v>
      </c>
      <c r="CA10" s="430">
        <f>'Cont. Dist.'!BV17</f>
        <v>48335</v>
      </c>
      <c r="CB10" s="430">
        <f>'Cont. Dist.'!BW17</f>
        <v>48366</v>
      </c>
      <c r="CC10" s="430">
        <f>'Cont. Dist.'!BX17</f>
        <v>48396</v>
      </c>
      <c r="CD10" s="430">
        <f>'Cont. Dist.'!BY17</f>
        <v>48427</v>
      </c>
      <c r="CE10" s="430">
        <f>'Cont. Dist.'!BZ17</f>
        <v>48458</v>
      </c>
      <c r="CF10" s="430">
        <f>'Cont. Dist.'!CA17</f>
        <v>48488</v>
      </c>
      <c r="CG10" s="430">
        <f>'Cont. Dist.'!CB17</f>
        <v>48519</v>
      </c>
      <c r="CH10" s="430">
        <f>'Cont. Dist.'!CC17</f>
        <v>48549</v>
      </c>
      <c r="CI10" s="430">
        <f>'Cont. Dist.'!CD17</f>
        <v>48580</v>
      </c>
      <c r="CJ10" s="430">
        <f>'Cont. Dist.'!CE17</f>
        <v>48611</v>
      </c>
      <c r="CK10" s="430">
        <f>'Cont. Dist.'!CF17</f>
        <v>48639</v>
      </c>
      <c r="CL10" s="430">
        <f>'Cont. Dist.'!CG17</f>
        <v>48670</v>
      </c>
      <c r="CM10" s="430">
        <f>'Cont. Dist.'!CH17</f>
        <v>48700</v>
      </c>
      <c r="CN10" s="430">
        <f>'Cont. Dist.'!CI17</f>
        <v>48731</v>
      </c>
    </row>
    <row r="11" spans="1:92" ht="18">
      <c r="A11" s="204"/>
      <c r="B11" s="205"/>
      <c r="C11" s="205"/>
      <c r="D11" s="205"/>
      <c r="E11" s="205"/>
      <c r="F11" s="206"/>
      <c r="G11" s="206"/>
      <c r="H11" s="208" t="s">
        <v>150</v>
      </c>
      <c r="I11" s="209">
        <v>1</v>
      </c>
      <c r="J11" s="209">
        <f>I11+1</f>
        <v>2</v>
      </c>
      <c r="K11" s="209">
        <f t="shared" ref="K11:BV11" si="0">J11+1</f>
        <v>3</v>
      </c>
      <c r="L11" s="209">
        <f t="shared" si="0"/>
        <v>4</v>
      </c>
      <c r="M11" s="209">
        <f t="shared" si="0"/>
        <v>5</v>
      </c>
      <c r="N11" s="209">
        <f t="shared" si="0"/>
        <v>6</v>
      </c>
      <c r="O11" s="209">
        <f t="shared" si="0"/>
        <v>7</v>
      </c>
      <c r="P11" s="209">
        <f t="shared" si="0"/>
        <v>8</v>
      </c>
      <c r="Q11" s="209">
        <f t="shared" si="0"/>
        <v>9</v>
      </c>
      <c r="R11" s="209">
        <f t="shared" si="0"/>
        <v>10</v>
      </c>
      <c r="S11" s="209">
        <f t="shared" si="0"/>
        <v>11</v>
      </c>
      <c r="T11" s="209">
        <f t="shared" si="0"/>
        <v>12</v>
      </c>
      <c r="U11" s="209">
        <f t="shared" si="0"/>
        <v>13</v>
      </c>
      <c r="V11" s="209">
        <f t="shared" si="0"/>
        <v>14</v>
      </c>
      <c r="W11" s="209">
        <f t="shared" si="0"/>
        <v>15</v>
      </c>
      <c r="X11" s="209">
        <f t="shared" si="0"/>
        <v>16</v>
      </c>
      <c r="Y11" s="209">
        <f t="shared" si="0"/>
        <v>17</v>
      </c>
      <c r="Z11" s="209">
        <f t="shared" si="0"/>
        <v>18</v>
      </c>
      <c r="AA11" s="209">
        <f t="shared" si="0"/>
        <v>19</v>
      </c>
      <c r="AB11" s="209">
        <f t="shared" si="0"/>
        <v>20</v>
      </c>
      <c r="AC11" s="209">
        <f t="shared" si="0"/>
        <v>21</v>
      </c>
      <c r="AD11" s="209">
        <f t="shared" si="0"/>
        <v>22</v>
      </c>
      <c r="AE11" s="209">
        <f t="shared" si="0"/>
        <v>23</v>
      </c>
      <c r="AF11" s="209">
        <f t="shared" si="0"/>
        <v>24</v>
      </c>
      <c r="AG11" s="209">
        <f t="shared" si="0"/>
        <v>25</v>
      </c>
      <c r="AH11" s="209">
        <f t="shared" si="0"/>
        <v>26</v>
      </c>
      <c r="AI11" s="209">
        <f t="shared" si="0"/>
        <v>27</v>
      </c>
      <c r="AJ11" s="209">
        <f t="shared" si="0"/>
        <v>28</v>
      </c>
      <c r="AK11" s="209">
        <f t="shared" si="0"/>
        <v>29</v>
      </c>
      <c r="AL11" s="209">
        <f t="shared" si="0"/>
        <v>30</v>
      </c>
      <c r="AM11" s="209">
        <f t="shared" si="0"/>
        <v>31</v>
      </c>
      <c r="AN11" s="209">
        <f t="shared" si="0"/>
        <v>32</v>
      </c>
      <c r="AO11" s="209">
        <f t="shared" si="0"/>
        <v>33</v>
      </c>
      <c r="AP11" s="209">
        <f t="shared" si="0"/>
        <v>34</v>
      </c>
      <c r="AQ11" s="209">
        <f t="shared" si="0"/>
        <v>35</v>
      </c>
      <c r="AR11" s="209">
        <f t="shared" si="0"/>
        <v>36</v>
      </c>
      <c r="AS11" s="209">
        <f t="shared" si="0"/>
        <v>37</v>
      </c>
      <c r="AT11" s="209">
        <f t="shared" si="0"/>
        <v>38</v>
      </c>
      <c r="AU11" s="209">
        <f t="shared" si="0"/>
        <v>39</v>
      </c>
      <c r="AV11" s="209">
        <f t="shared" si="0"/>
        <v>40</v>
      </c>
      <c r="AW11" s="209">
        <f t="shared" si="0"/>
        <v>41</v>
      </c>
      <c r="AX11" s="209">
        <f t="shared" si="0"/>
        <v>42</v>
      </c>
      <c r="AY11" s="209">
        <f t="shared" si="0"/>
        <v>43</v>
      </c>
      <c r="AZ11" s="209">
        <f t="shared" si="0"/>
        <v>44</v>
      </c>
      <c r="BA11" s="209">
        <f t="shared" si="0"/>
        <v>45</v>
      </c>
      <c r="BB11" s="209">
        <f t="shared" si="0"/>
        <v>46</v>
      </c>
      <c r="BC11" s="209">
        <f t="shared" si="0"/>
        <v>47</v>
      </c>
      <c r="BD11" s="209">
        <f t="shared" si="0"/>
        <v>48</v>
      </c>
      <c r="BE11" s="209">
        <f t="shared" si="0"/>
        <v>49</v>
      </c>
      <c r="BF11" s="209">
        <f t="shared" si="0"/>
        <v>50</v>
      </c>
      <c r="BG11" s="209">
        <f t="shared" si="0"/>
        <v>51</v>
      </c>
      <c r="BH11" s="209">
        <f t="shared" si="0"/>
        <v>52</v>
      </c>
      <c r="BI11" s="209">
        <f t="shared" si="0"/>
        <v>53</v>
      </c>
      <c r="BJ11" s="209">
        <f t="shared" si="0"/>
        <v>54</v>
      </c>
      <c r="BK11" s="209">
        <f t="shared" si="0"/>
        <v>55</v>
      </c>
      <c r="BL11" s="209">
        <f t="shared" si="0"/>
        <v>56</v>
      </c>
      <c r="BM11" s="209">
        <f t="shared" si="0"/>
        <v>57</v>
      </c>
      <c r="BN11" s="209">
        <f t="shared" si="0"/>
        <v>58</v>
      </c>
      <c r="BO11" s="209">
        <f t="shared" si="0"/>
        <v>59</v>
      </c>
      <c r="BP11" s="209">
        <f t="shared" si="0"/>
        <v>60</v>
      </c>
      <c r="BQ11" s="209">
        <f t="shared" si="0"/>
        <v>61</v>
      </c>
      <c r="BR11" s="209">
        <f t="shared" si="0"/>
        <v>62</v>
      </c>
      <c r="BS11" s="209">
        <f t="shared" si="0"/>
        <v>63</v>
      </c>
      <c r="BT11" s="209">
        <f t="shared" si="0"/>
        <v>64</v>
      </c>
      <c r="BU11" s="209">
        <f t="shared" si="0"/>
        <v>65</v>
      </c>
      <c r="BV11" s="209">
        <f t="shared" si="0"/>
        <v>66</v>
      </c>
      <c r="BW11" s="209">
        <f t="shared" ref="BW11:CN11" si="1">BV11+1</f>
        <v>67</v>
      </c>
      <c r="BX11" s="209">
        <f t="shared" si="1"/>
        <v>68</v>
      </c>
      <c r="BY11" s="209">
        <f t="shared" si="1"/>
        <v>69</v>
      </c>
      <c r="BZ11" s="209">
        <f t="shared" si="1"/>
        <v>70</v>
      </c>
      <c r="CA11" s="209">
        <f t="shared" si="1"/>
        <v>71</v>
      </c>
      <c r="CB11" s="209">
        <f t="shared" si="1"/>
        <v>72</v>
      </c>
      <c r="CC11" s="209">
        <f t="shared" si="1"/>
        <v>73</v>
      </c>
      <c r="CD11" s="209">
        <f t="shared" si="1"/>
        <v>74</v>
      </c>
      <c r="CE11" s="209">
        <f t="shared" si="1"/>
        <v>75</v>
      </c>
      <c r="CF11" s="209">
        <f t="shared" si="1"/>
        <v>76</v>
      </c>
      <c r="CG11" s="209">
        <f t="shared" si="1"/>
        <v>77</v>
      </c>
      <c r="CH11" s="209">
        <f t="shared" si="1"/>
        <v>78</v>
      </c>
      <c r="CI11" s="209">
        <f t="shared" si="1"/>
        <v>79</v>
      </c>
      <c r="CJ11" s="209">
        <f t="shared" si="1"/>
        <v>80</v>
      </c>
      <c r="CK11" s="209">
        <f t="shared" si="1"/>
        <v>81</v>
      </c>
      <c r="CL11" s="209">
        <f t="shared" si="1"/>
        <v>82</v>
      </c>
      <c r="CM11" s="209">
        <f t="shared" si="1"/>
        <v>83</v>
      </c>
      <c r="CN11" s="209">
        <f t="shared" si="1"/>
        <v>84</v>
      </c>
    </row>
    <row r="12" spans="1:92" ht="18">
      <c r="A12" s="204"/>
      <c r="B12" s="207"/>
      <c r="C12" s="205"/>
      <c r="D12" s="205"/>
      <c r="E12" s="210" t="s">
        <v>61</v>
      </c>
      <c r="F12" s="206"/>
      <c r="G12" s="206"/>
      <c r="H12" s="206"/>
      <c r="I12" s="207"/>
      <c r="J12" s="207"/>
      <c r="K12" s="207"/>
    </row>
    <row r="13" spans="1:92" ht="18">
      <c r="A13" s="204"/>
      <c r="B13" s="211" t="s">
        <v>151</v>
      </c>
      <c r="C13" s="205"/>
      <c r="D13" s="205"/>
      <c r="E13" s="212">
        <f ca="1">SUM(H13:BP13)</f>
        <v>-240275.71219935408</v>
      </c>
      <c r="F13" s="206"/>
      <c r="G13" s="206"/>
      <c r="H13" s="213">
        <f ca="1">'Cont. Dist.'!C20</f>
        <v>-1497641.7520517199</v>
      </c>
      <c r="I13" s="213">
        <f ca="1">'Cont. Dist.'!D20</f>
        <v>0</v>
      </c>
      <c r="J13" s="213">
        <f ca="1">'Cont. Dist.'!E20</f>
        <v>0</v>
      </c>
      <c r="K13" s="213">
        <f ca="1">'Cont. Dist.'!F20</f>
        <v>0</v>
      </c>
      <c r="L13" s="213">
        <f ca="1">'Cont. Dist.'!G20</f>
        <v>0</v>
      </c>
      <c r="M13" s="213">
        <f ca="1">'Cont. Dist.'!H20</f>
        <v>0</v>
      </c>
      <c r="N13" s="213">
        <f ca="1">'Cont. Dist.'!I20</f>
        <v>0</v>
      </c>
      <c r="O13" s="213">
        <f ca="1">'Cont. Dist.'!J20</f>
        <v>0</v>
      </c>
      <c r="P13" s="213">
        <f ca="1">'Cont. Dist.'!K20</f>
        <v>0</v>
      </c>
      <c r="Q13" s="213">
        <f ca="1">'Cont. Dist.'!L20</f>
        <v>0</v>
      </c>
      <c r="R13" s="213">
        <f ca="1">'Cont. Dist.'!M20</f>
        <v>0</v>
      </c>
      <c r="S13" s="213">
        <f ca="1">'Cont. Dist.'!N20</f>
        <v>0</v>
      </c>
      <c r="T13" s="213">
        <f ca="1">'Cont. Dist.'!O20</f>
        <v>0</v>
      </c>
      <c r="U13" s="213">
        <f ca="1">'Cont. Dist.'!P20</f>
        <v>6240.1739668821674</v>
      </c>
      <c r="V13" s="213">
        <f ca="1">'Cont. Dist.'!Q20</f>
        <v>6240.1739668821674</v>
      </c>
      <c r="W13" s="213">
        <f ca="1">'Cont. Dist.'!R20</f>
        <v>6240.1739668821674</v>
      </c>
      <c r="X13" s="213">
        <f ca="1">'Cont. Dist.'!S20</f>
        <v>6240.1739668821674</v>
      </c>
      <c r="Y13" s="213">
        <f ca="1">'Cont. Dist.'!T20</f>
        <v>6240.1739668821674</v>
      </c>
      <c r="Z13" s="213">
        <f ca="1">'Cont. Dist.'!U20</f>
        <v>6240.1739668821674</v>
      </c>
      <c r="AA13" s="213">
        <f ca="1">'Cont. Dist.'!V20</f>
        <v>6240.1739668821674</v>
      </c>
      <c r="AB13" s="213">
        <f ca="1">'Cont. Dist.'!W20</f>
        <v>6240.1739668821674</v>
      </c>
      <c r="AC13" s="213">
        <f ca="1">'Cont. Dist.'!X20</f>
        <v>6240.1739668821674</v>
      </c>
      <c r="AD13" s="213">
        <f ca="1">'Cont. Dist.'!Y20</f>
        <v>6240.1739668821674</v>
      </c>
      <c r="AE13" s="213">
        <f ca="1">'Cont. Dist.'!Z20</f>
        <v>6240.1739668821674</v>
      </c>
      <c r="AF13" s="213">
        <f ca="1">'Cont. Dist.'!AA20</f>
        <v>6240.1739668821674</v>
      </c>
      <c r="AG13" s="213">
        <f ca="1">'Cont. Dist.'!AB20</f>
        <v>9360.2609503232488</v>
      </c>
      <c r="AH13" s="213">
        <f ca="1">'Cont. Dist.'!AC20</f>
        <v>9360.2609503232488</v>
      </c>
      <c r="AI13" s="213">
        <f ca="1">'Cont. Dist.'!AD20</f>
        <v>9360.2609503232488</v>
      </c>
      <c r="AJ13" s="213">
        <f ca="1">'Cont. Dist.'!AE20</f>
        <v>9360.2609503232488</v>
      </c>
      <c r="AK13" s="213">
        <f ca="1">'Cont. Dist.'!AF20</f>
        <v>9360.2609503232488</v>
      </c>
      <c r="AL13" s="213">
        <f ca="1">'Cont. Dist.'!AG20</f>
        <v>9360.2609503232488</v>
      </c>
      <c r="AM13" s="213">
        <f ca="1">'Cont. Dist.'!AH20</f>
        <v>9360.2609503232488</v>
      </c>
      <c r="AN13" s="213">
        <f ca="1">'Cont. Dist.'!AI20</f>
        <v>9360.2609503232488</v>
      </c>
      <c r="AO13" s="213">
        <f ca="1">'Cont. Dist.'!AJ20</f>
        <v>9360.2609503232488</v>
      </c>
      <c r="AP13" s="213">
        <f ca="1">'Cont. Dist.'!AK20</f>
        <v>9360.2609503232488</v>
      </c>
      <c r="AQ13" s="213">
        <f ca="1">'Cont. Dist.'!AL20</f>
        <v>946854.42086932901</v>
      </c>
      <c r="AR13" s="213">
        <f ca="1">'Cont. Dist.'!AM20</f>
        <v>3464.071265298056</v>
      </c>
      <c r="AS13" s="213">
        <f ca="1">'Cont. Dist.'!AN20</f>
        <v>5542.5140244768891</v>
      </c>
      <c r="AT13" s="213">
        <f ca="1">'Cont. Dist.'!AO20</f>
        <v>5542.5140244768891</v>
      </c>
      <c r="AU13" s="213">
        <f ca="1">'Cont. Dist.'!AP20</f>
        <v>5542.5140244768891</v>
      </c>
      <c r="AV13" s="213">
        <f ca="1">'Cont. Dist.'!AQ20</f>
        <v>5542.5140244768891</v>
      </c>
      <c r="AW13" s="213">
        <f ca="1">'Cont. Dist.'!AR20</f>
        <v>5542.5140244768891</v>
      </c>
      <c r="AX13" s="213">
        <f ca="1">'Cont. Dist.'!AS20</f>
        <v>5542.5140244768891</v>
      </c>
      <c r="AY13" s="213">
        <f ca="1">'Cont. Dist.'!AT20</f>
        <v>5542.5140244768891</v>
      </c>
      <c r="AZ13" s="213">
        <f ca="1">'Cont. Dist.'!AU20</f>
        <v>5542.5140244768891</v>
      </c>
      <c r="BA13" s="213">
        <f ca="1">'Cont. Dist.'!AV20</f>
        <v>5542.5140244768891</v>
      </c>
      <c r="BB13" s="213">
        <f ca="1">'Cont. Dist.'!AW20</f>
        <v>5542.5140244768891</v>
      </c>
      <c r="BC13" s="213">
        <f ca="1">'Cont. Dist.'!AX20</f>
        <v>5542.5140244768891</v>
      </c>
      <c r="BD13" s="213">
        <f ca="1">'Cont. Dist.'!AY20</f>
        <v>5542.5140244768891</v>
      </c>
      <c r="BE13" s="213">
        <f ca="1">'Cont. Dist.'!AZ20</f>
        <v>6004.3901931832979</v>
      </c>
      <c r="BF13" s="213">
        <f ca="1">'Cont. Dist.'!BA20</f>
        <v>6004.3901931832979</v>
      </c>
      <c r="BG13" s="213">
        <f ca="1">'Cont. Dist.'!BB20</f>
        <v>6004.3901931832979</v>
      </c>
      <c r="BH13" s="213">
        <f ca="1">'Cont. Dist.'!BC20</f>
        <v>6004.3901931832979</v>
      </c>
      <c r="BI13" s="213">
        <f ca="1">'Cont. Dist.'!BD20</f>
        <v>6004.3901931832979</v>
      </c>
      <c r="BJ13" s="213">
        <f ca="1">'Cont. Dist.'!BE20</f>
        <v>6004.3901931832979</v>
      </c>
      <c r="BK13" s="213">
        <f ca="1">'Cont. Dist.'!BF20</f>
        <v>6004.3901931832979</v>
      </c>
      <c r="BL13" s="213">
        <f ca="1">'Cont. Dist.'!BG20</f>
        <v>6004.3901931832979</v>
      </c>
      <c r="BM13" s="213">
        <f ca="1">'Cont. Dist.'!BH20</f>
        <v>6004.3901931832979</v>
      </c>
      <c r="BN13" s="213">
        <f ca="1">'Cont. Dist.'!BI20</f>
        <v>6004.3901931832979</v>
      </c>
      <c r="BO13" s="213">
        <f ca="1">'Cont. Dist.'!BJ20</f>
        <v>6004.3901931832979</v>
      </c>
      <c r="BP13" s="213">
        <f ca="1">'Cont. Dist.'!BK20</f>
        <v>6004.3901931832979</v>
      </c>
      <c r="BQ13" s="213">
        <f ca="1">'Cont. Dist.'!BL20</f>
        <v>6466.2663618897059</v>
      </c>
      <c r="BR13" s="213">
        <f ca="1">'Cont. Dist.'!BM20</f>
        <v>6466.2663618897059</v>
      </c>
      <c r="BS13" s="213">
        <f ca="1">'Cont. Dist.'!BN20</f>
        <v>6466.2663618897059</v>
      </c>
      <c r="BT13" s="213">
        <f ca="1">'Cont. Dist.'!BO20</f>
        <v>6466.2663618897059</v>
      </c>
      <c r="BU13" s="213">
        <f ca="1">'Cont. Dist.'!BP20</f>
        <v>6466.2663618897059</v>
      </c>
      <c r="BV13" s="213">
        <f ca="1">'Cont. Dist.'!BQ20</f>
        <v>6466.2663618897059</v>
      </c>
      <c r="BW13" s="213">
        <f ca="1">'Cont. Dist.'!BR20</f>
        <v>6466.2663618897059</v>
      </c>
      <c r="BX13" s="213">
        <f ca="1">'Cont. Dist.'!BS20</f>
        <v>6466.2663618897059</v>
      </c>
      <c r="BY13" s="213">
        <f ca="1">'Cont. Dist.'!BT20</f>
        <v>6466.2663618897059</v>
      </c>
      <c r="BZ13" s="213">
        <f ca="1">'Cont. Dist.'!BU20</f>
        <v>6466.2663618897059</v>
      </c>
      <c r="CA13" s="213">
        <f ca="1">'Cont. Dist.'!BV20</f>
        <v>6466.2663618897059</v>
      </c>
      <c r="CB13" s="213">
        <f ca="1">'Cont. Dist.'!BW20</f>
        <v>6466.2663618897059</v>
      </c>
      <c r="CC13" s="213">
        <f ca="1">'Cont. Dist.'!BX20</f>
        <v>6928.142530596112</v>
      </c>
      <c r="CD13" s="213">
        <f ca="1">'Cont. Dist.'!BY20</f>
        <v>6928.142530596112</v>
      </c>
      <c r="CE13" s="213">
        <f ca="1">'Cont. Dist.'!BZ20</f>
        <v>6928.142530596112</v>
      </c>
      <c r="CF13" s="213">
        <f ca="1">'Cont. Dist.'!CA20</f>
        <v>6928.142530596112</v>
      </c>
      <c r="CG13" s="213">
        <f ca="1">'Cont. Dist.'!CB20</f>
        <v>6928.142530596112</v>
      </c>
      <c r="CH13" s="213">
        <f ca="1">'Cont. Dist.'!CC20</f>
        <v>6928.142530596112</v>
      </c>
      <c r="CI13" s="213">
        <f ca="1">'Cont. Dist.'!CD20</f>
        <v>6928.142530596112</v>
      </c>
      <c r="CJ13" s="213">
        <f ca="1">'Cont. Dist.'!CE20</f>
        <v>6928.142530596112</v>
      </c>
      <c r="CK13" s="213">
        <f ca="1">'Cont. Dist.'!CF20</f>
        <v>6928.142530596112</v>
      </c>
      <c r="CL13" s="213">
        <f ca="1">'Cont. Dist.'!CG20</f>
        <v>6928.142530596112</v>
      </c>
      <c r="CM13" s="213">
        <f ca="1">'Cont. Dist.'!CH20</f>
        <v>1560386.2182133601</v>
      </c>
      <c r="CN13" s="213">
        <f>'Cont. Dist.'!CI20</f>
        <v>0</v>
      </c>
    </row>
    <row r="14" spans="1:92" ht="18">
      <c r="A14" s="204"/>
      <c r="B14" s="205"/>
      <c r="C14" s="205"/>
      <c r="D14" s="205"/>
      <c r="E14" s="214"/>
      <c r="F14" s="206"/>
      <c r="G14" s="206"/>
      <c r="H14" s="215"/>
      <c r="I14" s="216"/>
      <c r="J14" s="216"/>
      <c r="K14" s="216"/>
    </row>
    <row r="15" spans="1:92" ht="18">
      <c r="A15" s="204"/>
      <c r="B15" s="217" t="s">
        <v>152</v>
      </c>
      <c r="C15" s="244">
        <f ca="1">Assumptions!C36</f>
        <v>1497641.7520517199</v>
      </c>
      <c r="D15" s="205"/>
      <c r="E15" s="218"/>
      <c r="F15" s="210"/>
      <c r="G15" s="210"/>
      <c r="H15" s="219"/>
      <c r="I15" s="216"/>
      <c r="J15" s="216"/>
      <c r="K15" s="216"/>
    </row>
    <row r="16" spans="1:92" ht="18">
      <c r="A16" s="204"/>
      <c r="B16" s="220" t="s">
        <v>153</v>
      </c>
      <c r="C16" s="221">
        <v>0.05</v>
      </c>
      <c r="D16" s="205"/>
      <c r="E16" s="212">
        <f ca="1">SUM(H16:BP16)</f>
        <v>-74882.087602586005</v>
      </c>
      <c r="F16" s="222"/>
      <c r="G16" s="222"/>
      <c r="H16" s="223">
        <f ca="1">IF('Cont. Dist.'!C18&gt;0,0,'Cont. Dist.'!C18*$C$16)</f>
        <v>-74882.087602586005</v>
      </c>
      <c r="I16" s="223">
        <f>IF('Cont. Dist.'!D18&gt;0,0,'Cont. Dist.'!D18*$C$16)</f>
        <v>0</v>
      </c>
      <c r="J16" s="223">
        <f>IF('Cont. Dist.'!E18&gt;0,0,'Cont. Dist.'!E18*$C$16)</f>
        <v>0</v>
      </c>
      <c r="K16" s="223">
        <f>IF('Cont. Dist.'!F18&gt;0,0,'Cont. Dist.'!F18*$C$16)</f>
        <v>0</v>
      </c>
      <c r="L16" s="223">
        <f>IF('Cont. Dist.'!G18&gt;0,0,'Cont. Dist.'!G18*$C$16)</f>
        <v>0</v>
      </c>
      <c r="M16" s="223">
        <f>IF('Cont. Dist.'!H18&gt;0,0,'Cont. Dist.'!H18*$C$16)</f>
        <v>0</v>
      </c>
      <c r="N16" s="223">
        <f>IF('Cont. Dist.'!I18&gt;0,0,'Cont. Dist.'!I18*$C$16)</f>
        <v>0</v>
      </c>
      <c r="O16" s="223">
        <f>IF('Cont. Dist.'!J18&gt;0,0,'Cont. Dist.'!J18*$C$16)</f>
        <v>0</v>
      </c>
      <c r="P16" s="223">
        <f>IF('Cont. Dist.'!K18&gt;0,0,'Cont. Dist.'!K18*$C$16)</f>
        <v>0</v>
      </c>
      <c r="Q16" s="223">
        <f>IF('Cont. Dist.'!L18&gt;0,0,'Cont. Dist.'!L18*$C$16)</f>
        <v>0</v>
      </c>
      <c r="R16" s="223">
        <f>IF('Cont. Dist.'!M18&gt;0,0,'Cont. Dist.'!M18*$C$16)</f>
        <v>0</v>
      </c>
      <c r="S16" s="223">
        <f>IF('Cont. Dist.'!N18&gt;0,0,'Cont. Dist.'!N18*$C$16)</f>
        <v>0</v>
      </c>
      <c r="T16" s="223">
        <f>IF('Cont. Dist.'!O18&gt;0,0,'Cont. Dist.'!O18*$C$16)</f>
        <v>0</v>
      </c>
      <c r="U16" s="223">
        <f>IF('Cont. Dist.'!P18&gt;0,0,'Cont. Dist.'!P18*$C$16)</f>
        <v>0</v>
      </c>
      <c r="V16" s="223">
        <f>IF('Cont. Dist.'!Q18&gt;0,0,'Cont. Dist.'!Q18*$C$16)</f>
        <v>0</v>
      </c>
      <c r="W16" s="223">
        <f>IF('Cont. Dist.'!R18&gt;0,0,'Cont. Dist.'!R18*$C$16)</f>
        <v>0</v>
      </c>
      <c r="X16" s="223">
        <f>IF('Cont. Dist.'!S18&gt;0,0,'Cont. Dist.'!S18*$C$16)</f>
        <v>0</v>
      </c>
      <c r="Y16" s="223">
        <f>IF('Cont. Dist.'!T18&gt;0,0,'Cont. Dist.'!T18*$C$16)</f>
        <v>0</v>
      </c>
      <c r="Z16" s="223">
        <f>IF('Cont. Dist.'!U18&gt;0,0,'Cont. Dist.'!U18*$C$16)</f>
        <v>0</v>
      </c>
      <c r="AA16" s="223">
        <f>IF('Cont. Dist.'!V18&gt;0,0,'Cont. Dist.'!V18*$C$16)</f>
        <v>0</v>
      </c>
      <c r="AB16" s="223">
        <f>IF('Cont. Dist.'!W18&gt;0,0,'Cont. Dist.'!W18*$C$16)</f>
        <v>0</v>
      </c>
      <c r="AC16" s="223">
        <f>IF('Cont. Dist.'!X18&gt;0,0,'Cont. Dist.'!X18*$C$16)</f>
        <v>0</v>
      </c>
      <c r="AD16" s="223">
        <f>IF('Cont. Dist.'!Y18&gt;0,0,'Cont. Dist.'!Y18*$C$16)</f>
        <v>0</v>
      </c>
      <c r="AE16" s="223">
        <f>IF('Cont. Dist.'!Z18&gt;0,0,'Cont. Dist.'!Z18*$C$16)</f>
        <v>0</v>
      </c>
      <c r="AF16" s="223">
        <f>IF('Cont. Dist.'!AA18&gt;0,0,'Cont. Dist.'!AA18*$C$16)</f>
        <v>0</v>
      </c>
      <c r="AG16" s="223">
        <f>IF('Cont. Dist.'!AB18&gt;0,0,'Cont. Dist.'!AB18*$C$16)</f>
        <v>0</v>
      </c>
      <c r="AH16" s="223">
        <f>IF('Cont. Dist.'!AC18&gt;0,0,'Cont. Dist.'!AC18*$C$16)</f>
        <v>0</v>
      </c>
      <c r="AI16" s="223">
        <f>IF('Cont. Dist.'!AD18&gt;0,0,'Cont. Dist.'!AD18*$C$16)</f>
        <v>0</v>
      </c>
      <c r="AJ16" s="223">
        <f>IF('Cont. Dist.'!AE18&gt;0,0,'Cont. Dist.'!AE18*$C$16)</f>
        <v>0</v>
      </c>
      <c r="AK16" s="223">
        <f>IF('Cont. Dist.'!AF18&gt;0,0,'Cont. Dist.'!AF18*$C$16)</f>
        <v>0</v>
      </c>
      <c r="AL16" s="223">
        <f>IF('Cont. Dist.'!AG18&gt;0,0,'Cont. Dist.'!AG18*$C$16)</f>
        <v>0</v>
      </c>
      <c r="AM16" s="223">
        <f>IF('Cont. Dist.'!AH18&gt;0,0,'Cont. Dist.'!AH18*$C$16)</f>
        <v>0</v>
      </c>
      <c r="AN16" s="223">
        <f>IF('Cont. Dist.'!AI18&gt;0,0,'Cont. Dist.'!AI18*$C$16)</f>
        <v>0</v>
      </c>
      <c r="AO16" s="223">
        <f>IF('Cont. Dist.'!AJ18&gt;0,0,'Cont. Dist.'!AJ18*$C$16)</f>
        <v>0</v>
      </c>
      <c r="AP16" s="223">
        <f>IF('Cont. Dist.'!AK18&gt;0,0,'Cont. Dist.'!AK18*$C$16)</f>
        <v>0</v>
      </c>
      <c r="AQ16" s="223">
        <f>IF('Cont. Dist.'!AL18&gt;0,0,'Cont. Dist.'!AL18*$C$16)</f>
        <v>0</v>
      </c>
      <c r="AR16" s="223">
        <f>IF('Cont. Dist.'!AM18&gt;0,0,'Cont. Dist.'!AM18*$C$16)</f>
        <v>0</v>
      </c>
      <c r="AS16" s="223">
        <f>IF('Cont. Dist.'!AN18&gt;0,0,'Cont. Dist.'!AN18*$C$16)</f>
        <v>0</v>
      </c>
      <c r="AT16" s="223">
        <f>IF('Cont. Dist.'!AO18&gt;0,0,'Cont. Dist.'!AO18*$C$16)</f>
        <v>0</v>
      </c>
      <c r="AU16" s="223">
        <f>IF('Cont. Dist.'!AP18&gt;0,0,'Cont. Dist.'!AP18*$C$16)</f>
        <v>0</v>
      </c>
      <c r="AV16" s="223">
        <f>IF('Cont. Dist.'!AQ18&gt;0,0,'Cont. Dist.'!AQ18*$C$16)</f>
        <v>0</v>
      </c>
      <c r="AW16" s="223">
        <f>IF('Cont. Dist.'!AR18&gt;0,0,'Cont. Dist.'!AR18*$C$16)</f>
        <v>0</v>
      </c>
      <c r="AX16" s="223">
        <f>IF('Cont. Dist.'!AS18&gt;0,0,'Cont. Dist.'!AS18*$C$16)</f>
        <v>0</v>
      </c>
      <c r="AY16" s="223">
        <f>IF('Cont. Dist.'!AT18&gt;0,0,'Cont. Dist.'!AT18*$C$16)</f>
        <v>0</v>
      </c>
      <c r="AZ16" s="223">
        <f>IF('Cont. Dist.'!AU18&gt;0,0,'Cont. Dist.'!AU18*$C$16)</f>
        <v>0</v>
      </c>
      <c r="BA16" s="223">
        <f>IF('Cont. Dist.'!AV18&gt;0,0,'Cont. Dist.'!AV18*$C$16)</f>
        <v>0</v>
      </c>
      <c r="BB16" s="223">
        <f>IF('Cont. Dist.'!AW18&gt;0,0,'Cont. Dist.'!AW18*$C$16)</f>
        <v>0</v>
      </c>
      <c r="BC16" s="223">
        <f>IF('Cont. Dist.'!AX18&gt;0,0,'Cont. Dist.'!AX18*$C$16)</f>
        <v>0</v>
      </c>
      <c r="BD16" s="223">
        <f>IF('Cont. Dist.'!AY18&gt;0,0,'Cont. Dist.'!AY18*$C$16)</f>
        <v>0</v>
      </c>
      <c r="BE16" s="223">
        <f>IF('Cont. Dist.'!AZ18&gt;0,0,'Cont. Dist.'!AZ18*$C$16)</f>
        <v>0</v>
      </c>
      <c r="BF16" s="223">
        <f>IF('Cont. Dist.'!BA18&gt;0,0,'Cont. Dist.'!BA18*$C$16)</f>
        <v>0</v>
      </c>
      <c r="BG16" s="223">
        <f>IF('Cont. Dist.'!BB18&gt;0,0,'Cont. Dist.'!BB18*$C$16)</f>
        <v>0</v>
      </c>
      <c r="BH16" s="223">
        <f>IF('Cont. Dist.'!BC18&gt;0,0,'Cont. Dist.'!BC18*$C$16)</f>
        <v>0</v>
      </c>
      <c r="BI16" s="223">
        <f>IF('Cont. Dist.'!BD18&gt;0,0,'Cont. Dist.'!BD18*$C$16)</f>
        <v>0</v>
      </c>
      <c r="BJ16" s="223">
        <f>IF('Cont. Dist.'!BE18&gt;0,0,'Cont. Dist.'!BE18*$C$16)</f>
        <v>0</v>
      </c>
      <c r="BK16" s="223">
        <f>IF('Cont. Dist.'!BF18&gt;0,0,'Cont. Dist.'!BF18*$C$16)</f>
        <v>0</v>
      </c>
      <c r="BL16" s="223">
        <f>IF('Cont. Dist.'!BG18&gt;0,0,'Cont. Dist.'!BG18*$C$16)</f>
        <v>0</v>
      </c>
      <c r="BM16" s="223">
        <f>IF('Cont. Dist.'!BH18&gt;0,0,'Cont. Dist.'!BH18*$C$16)</f>
        <v>0</v>
      </c>
      <c r="BN16" s="223">
        <f>IF('Cont. Dist.'!BI18&gt;0,0,'Cont. Dist.'!BI18*$C$16)</f>
        <v>0</v>
      </c>
      <c r="BO16" s="223">
        <f>IF('Cont. Dist.'!BJ18&gt;0,0,'Cont. Dist.'!BJ18*$C$16)</f>
        <v>0</v>
      </c>
      <c r="BP16" s="223">
        <f>IF('Cont. Dist.'!BK18&gt;0,0,'Cont. Dist.'!BK18*$C$16)</f>
        <v>0</v>
      </c>
      <c r="BQ16" s="223">
        <f>IF('Cont. Dist.'!BL18&gt;0,0,'Cont. Dist.'!BL18*$C$16)</f>
        <v>0</v>
      </c>
      <c r="BR16" s="223">
        <f>IF('Cont. Dist.'!BM18&gt;0,0,'Cont. Dist.'!BM18*$C$16)</f>
        <v>0</v>
      </c>
      <c r="BS16" s="223">
        <f>IF('Cont. Dist.'!BN18&gt;0,0,'Cont. Dist.'!BN18*$C$16)</f>
        <v>0</v>
      </c>
      <c r="BT16" s="223">
        <f>IF('Cont. Dist.'!BO18&gt;0,0,'Cont. Dist.'!BO18*$C$16)</f>
        <v>0</v>
      </c>
      <c r="BU16" s="223">
        <f>IF('Cont. Dist.'!BP18&gt;0,0,'Cont. Dist.'!BP18*$C$16)</f>
        <v>0</v>
      </c>
      <c r="BV16" s="223">
        <f>IF('Cont. Dist.'!BQ18&gt;0,0,'Cont. Dist.'!BQ18*$C$16)</f>
        <v>0</v>
      </c>
      <c r="BW16" s="223">
        <f>IF('Cont. Dist.'!BR18&gt;0,0,'Cont. Dist.'!BR18*$C$16)</f>
        <v>0</v>
      </c>
      <c r="BX16" s="223">
        <f>IF('Cont. Dist.'!BS18&gt;0,0,'Cont. Dist.'!BS18*$C$16)</f>
        <v>0</v>
      </c>
      <c r="BY16" s="223">
        <f>IF('Cont. Dist.'!BT18&gt;0,0,'Cont. Dist.'!BT18*$C$16)</f>
        <v>0</v>
      </c>
      <c r="BZ16" s="223">
        <f>IF('Cont. Dist.'!BU18&gt;0,0,'Cont. Dist.'!BU18*$C$16)</f>
        <v>0</v>
      </c>
      <c r="CA16" s="223">
        <f>IF('Cont. Dist.'!BV18&gt;0,0,'Cont. Dist.'!BV18*$C$16)</f>
        <v>0</v>
      </c>
      <c r="CB16" s="223">
        <f>IF('Cont. Dist.'!BW18&gt;0,0,'Cont. Dist.'!BW18*$C$16)</f>
        <v>0</v>
      </c>
      <c r="CC16" s="223">
        <f>IF('Cont. Dist.'!BX18&gt;0,0,'Cont. Dist.'!BX18*$C$16)</f>
        <v>0</v>
      </c>
      <c r="CD16" s="223">
        <f>IF('Cont. Dist.'!BY18&gt;0,0,'Cont. Dist.'!BY18*$C$16)</f>
        <v>0</v>
      </c>
      <c r="CE16" s="223">
        <f>IF('Cont. Dist.'!BZ18&gt;0,0,'Cont. Dist.'!BZ18*$C$16)</f>
        <v>0</v>
      </c>
      <c r="CF16" s="223">
        <f>IF('Cont. Dist.'!CA18&gt;0,0,'Cont. Dist.'!CA18*$C$16)</f>
        <v>0</v>
      </c>
      <c r="CG16" s="223">
        <f>IF('Cont. Dist.'!CB18&gt;0,0,'Cont. Dist.'!CB18*$C$16)</f>
        <v>0</v>
      </c>
      <c r="CH16" s="223">
        <f>IF('Cont. Dist.'!CC18&gt;0,0,'Cont. Dist.'!CC18*$C$16)</f>
        <v>0</v>
      </c>
      <c r="CI16" s="223">
        <f>IF('Cont. Dist.'!CD18&gt;0,0,'Cont. Dist.'!CD18*$C$16)</f>
        <v>0</v>
      </c>
      <c r="CJ16" s="223">
        <f>IF('Cont. Dist.'!CE18&gt;0,0,'Cont. Dist.'!CE18*$C$16)</f>
        <v>0</v>
      </c>
      <c r="CK16" s="223">
        <f>IF('Cont. Dist.'!CF18&gt;0,0,'Cont. Dist.'!CF18*$C$16)</f>
        <v>0</v>
      </c>
      <c r="CL16" s="223">
        <f>IF('Cont. Dist.'!CG18&gt;0,0,'Cont. Dist.'!CG18*$C$16)</f>
        <v>0</v>
      </c>
      <c r="CM16" s="223">
        <f>IF('Cont. Dist.'!CH18&gt;0,0,'Cont. Dist.'!CH18*$C$16)</f>
        <v>0</v>
      </c>
      <c r="CN16" s="223">
        <f>IF('Cont. Dist.'!CI18&gt;0,0,'Cont. Dist.'!CI18*$C$16)</f>
        <v>0</v>
      </c>
    </row>
    <row r="17" spans="1:92" ht="18">
      <c r="A17" s="204"/>
      <c r="B17" s="220" t="s">
        <v>154</v>
      </c>
      <c r="C17" s="224">
        <f>1-C16</f>
        <v>0.95</v>
      </c>
      <c r="D17" s="205"/>
      <c r="E17" s="212">
        <f t="shared" ref="E17" ca="1" si="2">SUM(H17:BP17)</f>
        <v>-1422759.6644491339</v>
      </c>
      <c r="F17" s="222"/>
      <c r="G17" s="222"/>
      <c r="H17" s="223">
        <f ca="1">IF('Cont. Dist.'!C18&gt;0,0,'Cont. Dist.'!C18*$C$17)</f>
        <v>-1422759.6644491339</v>
      </c>
      <c r="I17" s="223">
        <f>IF('Cont. Dist.'!D18&gt;0,0,'Cont. Dist.'!D18*$C$17)</f>
        <v>0</v>
      </c>
      <c r="J17" s="223">
        <f>IF('Cont. Dist.'!E18&gt;0,0,'Cont. Dist.'!E18*$C$17)</f>
        <v>0</v>
      </c>
      <c r="K17" s="223">
        <f>IF('Cont. Dist.'!F18&gt;0,0,'Cont. Dist.'!F18*$C$17)</f>
        <v>0</v>
      </c>
      <c r="L17" s="223">
        <f>IF('Cont. Dist.'!G18&gt;0,0,'Cont. Dist.'!G18*$C$17)</f>
        <v>0</v>
      </c>
      <c r="M17" s="223">
        <f>IF('Cont. Dist.'!H18&gt;0,0,'Cont. Dist.'!H18*$C$17)</f>
        <v>0</v>
      </c>
      <c r="N17" s="223">
        <f>IF('Cont. Dist.'!I18&gt;0,0,'Cont. Dist.'!I18*$C$17)</f>
        <v>0</v>
      </c>
      <c r="O17" s="223">
        <f>IF('Cont. Dist.'!J18&gt;0,0,'Cont. Dist.'!J18*$C$17)</f>
        <v>0</v>
      </c>
      <c r="P17" s="223">
        <f>IF('Cont. Dist.'!K18&gt;0,0,'Cont. Dist.'!K18*$C$17)</f>
        <v>0</v>
      </c>
      <c r="Q17" s="223">
        <f>IF('Cont. Dist.'!L18&gt;0,0,'Cont. Dist.'!L18*$C$17)</f>
        <v>0</v>
      </c>
      <c r="R17" s="223">
        <f>IF('Cont. Dist.'!M18&gt;0,0,'Cont. Dist.'!M18*$C$17)</f>
        <v>0</v>
      </c>
      <c r="S17" s="223">
        <f>IF('Cont. Dist.'!N18&gt;0,0,'Cont. Dist.'!N18*$C$17)</f>
        <v>0</v>
      </c>
      <c r="T17" s="223">
        <f>IF('Cont. Dist.'!O18&gt;0,0,'Cont. Dist.'!O18*$C$17)</f>
        <v>0</v>
      </c>
      <c r="U17" s="223">
        <f>IF('Cont. Dist.'!P18&gt;0,0,'Cont. Dist.'!P18*$C$17)</f>
        <v>0</v>
      </c>
      <c r="V17" s="223">
        <f>IF('Cont. Dist.'!Q18&gt;0,0,'Cont. Dist.'!Q18*$C$17)</f>
        <v>0</v>
      </c>
      <c r="W17" s="223">
        <f>IF('Cont. Dist.'!R18&gt;0,0,'Cont. Dist.'!R18*$C$17)</f>
        <v>0</v>
      </c>
      <c r="X17" s="223">
        <f>IF('Cont. Dist.'!S18&gt;0,0,'Cont. Dist.'!S18*$C$17)</f>
        <v>0</v>
      </c>
      <c r="Y17" s="223">
        <f>IF('Cont. Dist.'!T18&gt;0,0,'Cont. Dist.'!T18*$C$17)</f>
        <v>0</v>
      </c>
      <c r="Z17" s="223">
        <f>IF('Cont. Dist.'!U18&gt;0,0,'Cont. Dist.'!U18*$C$17)</f>
        <v>0</v>
      </c>
      <c r="AA17" s="223">
        <f>IF('Cont. Dist.'!V18&gt;0,0,'Cont. Dist.'!V18*$C$17)</f>
        <v>0</v>
      </c>
      <c r="AB17" s="223">
        <f>IF('Cont. Dist.'!W18&gt;0,0,'Cont. Dist.'!W18*$C$17)</f>
        <v>0</v>
      </c>
      <c r="AC17" s="223">
        <f>IF('Cont. Dist.'!X18&gt;0,0,'Cont. Dist.'!X18*$C$17)</f>
        <v>0</v>
      </c>
      <c r="AD17" s="223">
        <f>IF('Cont. Dist.'!Y18&gt;0,0,'Cont. Dist.'!Y18*$C$17)</f>
        <v>0</v>
      </c>
      <c r="AE17" s="223">
        <f>IF('Cont. Dist.'!Z18&gt;0,0,'Cont. Dist.'!Z18*$C$17)</f>
        <v>0</v>
      </c>
      <c r="AF17" s="223">
        <f>IF('Cont. Dist.'!AA18&gt;0,0,'Cont. Dist.'!AA18*$C$17)</f>
        <v>0</v>
      </c>
      <c r="AG17" s="223">
        <f>IF('Cont. Dist.'!AB18&gt;0,0,'Cont. Dist.'!AB18*$C$17)</f>
        <v>0</v>
      </c>
      <c r="AH17" s="223">
        <f>IF('Cont. Dist.'!AC18&gt;0,0,'Cont. Dist.'!AC18*$C$17)</f>
        <v>0</v>
      </c>
      <c r="AI17" s="223">
        <f>IF('Cont. Dist.'!AD18&gt;0,0,'Cont. Dist.'!AD18*$C$17)</f>
        <v>0</v>
      </c>
      <c r="AJ17" s="223">
        <f>IF('Cont. Dist.'!AE18&gt;0,0,'Cont. Dist.'!AE18*$C$17)</f>
        <v>0</v>
      </c>
      <c r="AK17" s="223">
        <f>IF('Cont. Dist.'!AF18&gt;0,0,'Cont. Dist.'!AF18*$C$17)</f>
        <v>0</v>
      </c>
      <c r="AL17" s="223">
        <f>IF('Cont. Dist.'!AG18&gt;0,0,'Cont. Dist.'!AG18*$C$17)</f>
        <v>0</v>
      </c>
      <c r="AM17" s="223">
        <f>IF('Cont. Dist.'!AH18&gt;0,0,'Cont. Dist.'!AH18*$C$17)</f>
        <v>0</v>
      </c>
      <c r="AN17" s="223">
        <f>IF('Cont. Dist.'!AI18&gt;0,0,'Cont. Dist.'!AI18*$C$17)</f>
        <v>0</v>
      </c>
      <c r="AO17" s="223">
        <f>IF('Cont. Dist.'!AJ18&gt;0,0,'Cont. Dist.'!AJ18*$C$17)</f>
        <v>0</v>
      </c>
      <c r="AP17" s="223">
        <f>IF('Cont. Dist.'!AK18&gt;0,0,'Cont. Dist.'!AK18*$C$17)</f>
        <v>0</v>
      </c>
      <c r="AQ17" s="223">
        <f>IF('Cont. Dist.'!AL18&gt;0,0,'Cont. Dist.'!AL18*$C$17)</f>
        <v>0</v>
      </c>
      <c r="AR17" s="223">
        <f>IF('Cont. Dist.'!AM18&gt;0,0,'Cont. Dist.'!AM18*$C$17)</f>
        <v>0</v>
      </c>
      <c r="AS17" s="223">
        <f>IF('Cont. Dist.'!AN18&gt;0,0,'Cont. Dist.'!AN18*$C$17)</f>
        <v>0</v>
      </c>
      <c r="AT17" s="223">
        <f>IF('Cont. Dist.'!AO18&gt;0,0,'Cont. Dist.'!AO18*$C$17)</f>
        <v>0</v>
      </c>
      <c r="AU17" s="223">
        <f>IF('Cont. Dist.'!AP18&gt;0,0,'Cont. Dist.'!AP18*$C$17)</f>
        <v>0</v>
      </c>
      <c r="AV17" s="223">
        <f>IF('Cont. Dist.'!AQ18&gt;0,0,'Cont. Dist.'!AQ18*$C$17)</f>
        <v>0</v>
      </c>
      <c r="AW17" s="223">
        <f>IF('Cont. Dist.'!AR18&gt;0,0,'Cont. Dist.'!AR18*$C$17)</f>
        <v>0</v>
      </c>
      <c r="AX17" s="223">
        <f>IF('Cont. Dist.'!AS18&gt;0,0,'Cont. Dist.'!AS18*$C$17)</f>
        <v>0</v>
      </c>
      <c r="AY17" s="223">
        <f>IF('Cont. Dist.'!AT18&gt;0,0,'Cont. Dist.'!AT18*$C$17)</f>
        <v>0</v>
      </c>
      <c r="AZ17" s="223">
        <f>IF('Cont. Dist.'!AU18&gt;0,0,'Cont. Dist.'!AU18*$C$17)</f>
        <v>0</v>
      </c>
      <c r="BA17" s="223">
        <f>IF('Cont. Dist.'!AV18&gt;0,0,'Cont. Dist.'!AV18*$C$17)</f>
        <v>0</v>
      </c>
      <c r="BB17" s="223">
        <f>IF('Cont. Dist.'!AW18&gt;0,0,'Cont. Dist.'!AW18*$C$17)</f>
        <v>0</v>
      </c>
      <c r="BC17" s="223">
        <f>IF('Cont. Dist.'!AX18&gt;0,0,'Cont. Dist.'!AX18*$C$17)</f>
        <v>0</v>
      </c>
      <c r="BD17" s="223">
        <f>IF('Cont. Dist.'!AY18&gt;0,0,'Cont. Dist.'!AY18*$C$17)</f>
        <v>0</v>
      </c>
      <c r="BE17" s="223">
        <f>IF('Cont. Dist.'!AZ18&gt;0,0,'Cont. Dist.'!AZ18*$C$17)</f>
        <v>0</v>
      </c>
      <c r="BF17" s="223">
        <f>IF('Cont. Dist.'!BA18&gt;0,0,'Cont. Dist.'!BA18*$C$17)</f>
        <v>0</v>
      </c>
      <c r="BG17" s="223">
        <f>IF('Cont. Dist.'!BB18&gt;0,0,'Cont. Dist.'!BB18*$C$17)</f>
        <v>0</v>
      </c>
      <c r="BH17" s="223">
        <f>IF('Cont. Dist.'!BC18&gt;0,0,'Cont. Dist.'!BC18*$C$17)</f>
        <v>0</v>
      </c>
      <c r="BI17" s="223">
        <f>IF('Cont. Dist.'!BD18&gt;0,0,'Cont. Dist.'!BD18*$C$17)</f>
        <v>0</v>
      </c>
      <c r="BJ17" s="223">
        <f>IF('Cont. Dist.'!BE18&gt;0,0,'Cont. Dist.'!BE18*$C$17)</f>
        <v>0</v>
      </c>
      <c r="BK17" s="223">
        <f>IF('Cont. Dist.'!BF18&gt;0,0,'Cont. Dist.'!BF18*$C$17)</f>
        <v>0</v>
      </c>
      <c r="BL17" s="223">
        <f>IF('Cont. Dist.'!BG18&gt;0,0,'Cont. Dist.'!BG18*$C$17)</f>
        <v>0</v>
      </c>
      <c r="BM17" s="223">
        <f>IF('Cont. Dist.'!BH18&gt;0,0,'Cont. Dist.'!BH18*$C$17)</f>
        <v>0</v>
      </c>
      <c r="BN17" s="223">
        <f>IF('Cont. Dist.'!BI18&gt;0,0,'Cont. Dist.'!BI18*$C$17)</f>
        <v>0</v>
      </c>
      <c r="BO17" s="223">
        <f>IF('Cont. Dist.'!BJ18&gt;0,0,'Cont. Dist.'!BJ18*$C$17)</f>
        <v>0</v>
      </c>
      <c r="BP17" s="223">
        <f>IF('Cont. Dist.'!BK18&gt;0,0,'Cont. Dist.'!BK18*$C$17)</f>
        <v>0</v>
      </c>
      <c r="BQ17" s="223">
        <f>IF('Cont. Dist.'!BL18&gt;0,0,'Cont. Dist.'!BL18*$C$17)</f>
        <v>0</v>
      </c>
      <c r="BR17" s="223">
        <f>IF('Cont. Dist.'!BM18&gt;0,0,'Cont. Dist.'!BM18*$C$17)</f>
        <v>0</v>
      </c>
      <c r="BS17" s="223">
        <f>IF('Cont. Dist.'!BN18&gt;0,0,'Cont. Dist.'!BN18*$C$17)</f>
        <v>0</v>
      </c>
      <c r="BT17" s="223">
        <f>IF('Cont. Dist.'!BO18&gt;0,0,'Cont. Dist.'!BO18*$C$17)</f>
        <v>0</v>
      </c>
      <c r="BU17" s="223">
        <f>IF('Cont. Dist.'!BP18&gt;0,0,'Cont. Dist.'!BP18*$C$17)</f>
        <v>0</v>
      </c>
      <c r="BV17" s="223">
        <f>IF('Cont. Dist.'!BQ18&gt;0,0,'Cont. Dist.'!BQ18*$C$17)</f>
        <v>0</v>
      </c>
      <c r="BW17" s="223">
        <f>IF('Cont. Dist.'!BR18&gt;0,0,'Cont. Dist.'!BR18*$C$17)</f>
        <v>0</v>
      </c>
      <c r="BX17" s="223">
        <f>IF('Cont. Dist.'!BS18&gt;0,0,'Cont. Dist.'!BS18*$C$17)</f>
        <v>0</v>
      </c>
      <c r="BY17" s="223">
        <f>IF('Cont. Dist.'!BT18&gt;0,0,'Cont. Dist.'!BT18*$C$17)</f>
        <v>0</v>
      </c>
      <c r="BZ17" s="223">
        <f>IF('Cont. Dist.'!BU18&gt;0,0,'Cont. Dist.'!BU18*$C$17)</f>
        <v>0</v>
      </c>
      <c r="CA17" s="223">
        <f>IF('Cont. Dist.'!BV18&gt;0,0,'Cont. Dist.'!BV18*$C$17)</f>
        <v>0</v>
      </c>
      <c r="CB17" s="223">
        <f>IF('Cont. Dist.'!BW18&gt;0,0,'Cont. Dist.'!BW18*$C$17)</f>
        <v>0</v>
      </c>
      <c r="CC17" s="223">
        <f>IF('Cont. Dist.'!BX18&gt;0,0,'Cont. Dist.'!BX18*$C$17)</f>
        <v>0</v>
      </c>
      <c r="CD17" s="223">
        <f>IF('Cont. Dist.'!BY18&gt;0,0,'Cont. Dist.'!BY18*$C$17)</f>
        <v>0</v>
      </c>
      <c r="CE17" s="223">
        <f>IF('Cont. Dist.'!BZ18&gt;0,0,'Cont. Dist.'!BZ18*$C$17)</f>
        <v>0</v>
      </c>
      <c r="CF17" s="223">
        <f>IF('Cont. Dist.'!CA18&gt;0,0,'Cont. Dist.'!CA18*$C$17)</f>
        <v>0</v>
      </c>
      <c r="CG17" s="223">
        <f>IF('Cont. Dist.'!CB18&gt;0,0,'Cont. Dist.'!CB18*$C$17)</f>
        <v>0</v>
      </c>
      <c r="CH17" s="223">
        <f>IF('Cont. Dist.'!CC18&gt;0,0,'Cont. Dist.'!CC18*$C$17)</f>
        <v>0</v>
      </c>
      <c r="CI17" s="223">
        <f>IF('Cont. Dist.'!CD18&gt;0,0,'Cont. Dist.'!CD18*$C$17)</f>
        <v>0</v>
      </c>
      <c r="CJ17" s="223">
        <f>IF('Cont. Dist.'!CE18&gt;0,0,'Cont. Dist.'!CE18*$C$17)</f>
        <v>0</v>
      </c>
      <c r="CK17" s="223">
        <f>IF('Cont. Dist.'!CF18&gt;0,0,'Cont. Dist.'!CF18*$C$17)</f>
        <v>0</v>
      </c>
      <c r="CL17" s="223">
        <f>IF('Cont. Dist.'!CG18&gt;0,0,'Cont. Dist.'!CG18*$C$17)</f>
        <v>0</v>
      </c>
      <c r="CM17" s="223">
        <f>IF('Cont. Dist.'!CH18&gt;0,0,'Cont. Dist.'!CH18*$C$17)</f>
        <v>0</v>
      </c>
      <c r="CN17" s="223">
        <f>IF('Cont. Dist.'!CI18&gt;0,0,'Cont. Dist.'!CI18*$C$17)</f>
        <v>0</v>
      </c>
    </row>
    <row r="18" spans="1:92" ht="37.25" customHeight="1">
      <c r="A18" s="204"/>
      <c r="B18" s="225"/>
      <c r="C18" s="920" t="s">
        <v>155</v>
      </c>
      <c r="D18" s="920"/>
      <c r="E18" s="226"/>
      <c r="F18" s="222"/>
      <c r="G18" s="222"/>
      <c r="H18" s="227"/>
      <c r="I18" s="227"/>
      <c r="J18" s="227"/>
      <c r="BP18" s="227"/>
      <c r="BR18" s="227"/>
      <c r="BT18" s="227"/>
      <c r="BV18" s="227"/>
      <c r="BX18" s="227"/>
      <c r="BZ18" s="227"/>
      <c r="CB18" s="227"/>
      <c r="CD18" s="227"/>
      <c r="CF18" s="227"/>
      <c r="CH18" s="227"/>
      <c r="CJ18" s="227"/>
      <c r="CL18" s="227"/>
      <c r="CN18" s="227"/>
    </row>
    <row r="19" spans="1:92" ht="18">
      <c r="A19" s="228"/>
      <c r="B19" s="229" t="s">
        <v>156</v>
      </c>
      <c r="D19" s="230">
        <v>0.08</v>
      </c>
      <c r="E19" s="231"/>
      <c r="F19" s="232"/>
      <c r="G19" s="232"/>
      <c r="H19" s="227"/>
      <c r="I19" s="227"/>
      <c r="J19" s="227"/>
      <c r="BP19" s="227"/>
      <c r="BR19" s="227"/>
      <c r="BT19" s="227"/>
      <c r="BV19" s="227"/>
      <c r="BX19" s="227"/>
      <c r="BZ19" s="227"/>
      <c r="CB19" s="227"/>
      <c r="CD19" s="227"/>
      <c r="CF19" s="227"/>
      <c r="CH19" s="227"/>
      <c r="CJ19" s="227"/>
      <c r="CL19" s="227"/>
      <c r="CN19" s="227"/>
    </row>
    <row r="20" spans="1:92" ht="18">
      <c r="A20" s="233"/>
      <c r="B20" s="234" t="s">
        <v>157</v>
      </c>
      <c r="C20" s="235"/>
      <c r="D20" s="236">
        <f>(1+D19)^(1/12)-1</f>
        <v>6.4340301100034303E-3</v>
      </c>
      <c r="E20" s="237"/>
      <c r="F20" s="238"/>
      <c r="G20" s="238"/>
      <c r="H20" s="239">
        <f>G24</f>
        <v>0</v>
      </c>
      <c r="I20" s="239">
        <f ca="1">H24</f>
        <v>1422759.6644491339</v>
      </c>
      <c r="J20" s="239">
        <f ca="1">I24</f>
        <v>1431913.742969498</v>
      </c>
      <c r="K20" s="239">
        <f t="shared" ref="K20:BU20" ca="1" si="3">J24</f>
        <v>1441126.7191066914</v>
      </c>
      <c r="L20" s="239">
        <f t="shared" ca="1" si="3"/>
        <v>1450398.9718097544</v>
      </c>
      <c r="M20" s="239">
        <f t="shared" ca="1" si="3"/>
        <v>1459730.8824658964</v>
      </c>
      <c r="N20" s="239">
        <f t="shared" ca="1" si="3"/>
        <v>1469122.834916184</v>
      </c>
      <c r="O20" s="239">
        <f t="shared" ca="1" si="3"/>
        <v>1478575.2154713282</v>
      </c>
      <c r="P20" s="239">
        <f t="shared" ca="1" si="3"/>
        <v>1488088.4129275756</v>
      </c>
      <c r="Q20" s="239">
        <f t="shared" ca="1" si="3"/>
        <v>1497662.8185826989</v>
      </c>
      <c r="R20" s="239">
        <f t="shared" ca="1" si="3"/>
        <v>1507298.8262520926</v>
      </c>
      <c r="S20" s="239">
        <f t="shared" ca="1" si="3"/>
        <v>1516996.8322849714</v>
      </c>
      <c r="T20" s="239">
        <f t="shared" ca="1" si="3"/>
        <v>1526757.2355806727</v>
      </c>
      <c r="U20" s="239">
        <f t="shared" ca="1" si="3"/>
        <v>1536580.4376050644</v>
      </c>
      <c r="V20" s="239">
        <f t="shared" ca="1" si="3"/>
        <v>1540538.6771385195</v>
      </c>
      <c r="W20" s="239">
        <f t="shared" ca="1" si="3"/>
        <v>1544522.3841043154</v>
      </c>
      <c r="X20" s="239">
        <f t="shared" ca="1" si="3"/>
        <v>1548531.7223606787</v>
      </c>
      <c r="Y20" s="239">
        <f t="shared" ca="1" si="3"/>
        <v>1552566.8568201046</v>
      </c>
      <c r="Z20" s="239">
        <f t="shared" ca="1" si="3"/>
        <v>1556627.9534561406</v>
      </c>
      <c r="AA20" s="239">
        <f t="shared" ca="1" si="3"/>
        <v>1560715.1793102124</v>
      </c>
      <c r="AB20" s="239">
        <f t="shared" ca="1" si="3"/>
        <v>1564828.7024984956</v>
      </c>
      <c r="AC20" s="239">
        <f t="shared" ca="1" si="3"/>
        <v>1568968.6922188303</v>
      </c>
      <c r="AD20" s="239">
        <f t="shared" ca="1" si="3"/>
        <v>1573135.3187576809</v>
      </c>
      <c r="AE20" s="239">
        <f t="shared" ca="1" si="3"/>
        <v>1577328.7534971396</v>
      </c>
      <c r="AF20" s="239">
        <f t="shared" ca="1" si="3"/>
        <v>1581549.1689219764</v>
      </c>
      <c r="AG20" s="239">
        <f t="shared" ca="1" si="3"/>
        <v>1585796.7386267332</v>
      </c>
      <c r="AH20" s="239">
        <f t="shared" ca="1" si="3"/>
        <v>1587107.5546885957</v>
      </c>
      <c r="AI20" s="239">
        <f t="shared" ca="1" si="3"/>
        <v>1588426.8045804689</v>
      </c>
      <c r="AJ20" s="239">
        <f t="shared" ca="1" si="3"/>
        <v>1589754.5425658692</v>
      </c>
      <c r="AK20" s="239">
        <f t="shared" ca="1" si="3"/>
        <v>1591090.8232574456</v>
      </c>
      <c r="AL20" s="239">
        <f t="shared" ca="1" si="3"/>
        <v>1592435.701619227</v>
      </c>
      <c r="AM20" s="239">
        <f t="shared" ca="1" si="3"/>
        <v>1593789.2329688824</v>
      </c>
      <c r="AN20" s="239">
        <f t="shared" ca="1" si="3"/>
        <v>1595151.4729799964</v>
      </c>
      <c r="AO20" s="239">
        <f t="shared" ca="1" si="3"/>
        <v>1596522.4776843588</v>
      </c>
      <c r="AP20" s="239">
        <f t="shared" ca="1" si="3"/>
        <v>1597902.3034742703</v>
      </c>
      <c r="AQ20" s="239">
        <f t="shared" ca="1" si="3"/>
        <v>1599291.0071048604</v>
      </c>
      <c r="AR20" s="239">
        <f t="shared" ca="1" si="3"/>
        <v>710069.19377336826</v>
      </c>
      <c r="AS20" s="239">
        <f t="shared" ca="1" si="3"/>
        <v>711346.93264425884</v>
      </c>
      <c r="AT20" s="239">
        <f t="shared" ca="1" si="3"/>
        <v>710658.37190429762</v>
      </c>
      <c r="AU20" s="239">
        <f t="shared" ca="1" si="3"/>
        <v>709965.38094380288</v>
      </c>
      <c r="AV20" s="239">
        <f t="shared" ca="1" si="3"/>
        <v>709267.9312586023</v>
      </c>
      <c r="AW20" s="239">
        <f t="shared" ca="1" si="3"/>
        <v>708565.99416112702</v>
      </c>
      <c r="AX20" s="239">
        <f t="shared" ca="1" si="3"/>
        <v>707859.54077923123</v>
      </c>
      <c r="AY20" s="239">
        <f t="shared" ca="1" si="3"/>
        <v>707148.54205500497</v>
      </c>
      <c r="AZ20" s="239">
        <f t="shared" ca="1" si="3"/>
        <v>706432.96874357888</v>
      </c>
      <c r="BA20" s="239">
        <f t="shared" ca="1" si="3"/>
        <v>705712.79141192115</v>
      </c>
      <c r="BB20" s="239">
        <f t="shared" ca="1" si="3"/>
        <v>704987.98043762695</v>
      </c>
      <c r="BC20" s="239">
        <f t="shared" ca="1" si="3"/>
        <v>704258.50600770011</v>
      </c>
      <c r="BD20" s="239">
        <f t="shared" ca="1" si="3"/>
        <v>703524.33811732661</v>
      </c>
      <c r="BE20" s="239">
        <f t="shared" ca="1" si="3"/>
        <v>702785.44656864065</v>
      </c>
      <c r="BF20" s="239">
        <f t="shared" ca="1" si="3"/>
        <v>701603.01860921143</v>
      </c>
      <c r="BG20" s="239">
        <f t="shared" ca="1" si="3"/>
        <v>700412.98287268833</v>
      </c>
      <c r="BH20" s="239">
        <f t="shared" ca="1" si="3"/>
        <v>699215.29041040444</v>
      </c>
      <c r="BI20" s="239">
        <f t="shared" ca="1" si="3"/>
        <v>698009.89195875567</v>
      </c>
      <c r="BJ20" s="239">
        <f t="shared" ca="1" si="3"/>
        <v>696796.73793717439</v>
      </c>
      <c r="BK20" s="239">
        <f t="shared" ca="1" si="3"/>
        <v>695575.77844609017</v>
      </c>
      <c r="BL20" s="239">
        <f t="shared" ca="1" si="3"/>
        <v>694346.96326487733</v>
      </c>
      <c r="BM20" s="239">
        <f t="shared" ca="1" si="3"/>
        <v>693110.24184978893</v>
      </c>
      <c r="BN20" s="239">
        <f t="shared" ca="1" si="3"/>
        <v>691865.56333187816</v>
      </c>
      <c r="BO20" s="239">
        <f t="shared" ca="1" si="3"/>
        <v>690612.87651490583</v>
      </c>
      <c r="BP20" s="240">
        <f t="shared" ca="1" si="3"/>
        <v>689352.12987323466</v>
      </c>
      <c r="BQ20" s="239">
        <f t="shared" ca="1" si="3"/>
        <v>688083.27154970996</v>
      </c>
      <c r="BR20" s="240">
        <f t="shared" ca="1" si="3"/>
        <v>686367.46699325531</v>
      </c>
      <c r="BS20" s="239">
        <f t="shared" ca="1" si="3"/>
        <v>684640.62289862148</v>
      </c>
      <c r="BT20" s="240">
        <f t="shared" ca="1" si="3"/>
        <v>682902.66823708755</v>
      </c>
      <c r="BU20" s="239">
        <f t="shared" ca="1" si="3"/>
        <v>681153.53152293141</v>
      </c>
      <c r="BV20" s="240">
        <f t="shared" ref="BV20:CN20" ca="1" si="4">BU24</f>
        <v>679393.14081048989</v>
      </c>
      <c r="BW20" s="239">
        <f t="shared" ca="1" si="4"/>
        <v>677621.42369119916</v>
      </c>
      <c r="BX20" s="240">
        <f t="shared" ca="1" si="4"/>
        <v>675838.30729061656</v>
      </c>
      <c r="BY20" s="239">
        <f t="shared" ca="1" si="4"/>
        <v>674043.71826542297</v>
      </c>
      <c r="BZ20" s="240">
        <f t="shared" ca="1" si="4"/>
        <v>672237.58280040615</v>
      </c>
      <c r="CA20" s="239">
        <f t="shared" ca="1" si="4"/>
        <v>670419.82660542475</v>
      </c>
      <c r="CB20" s="240">
        <f t="shared" ca="1" si="4"/>
        <v>668590.37491235218</v>
      </c>
      <c r="CC20" s="239">
        <f t="shared" ca="1" si="4"/>
        <v>666749.1524720015</v>
      </c>
      <c r="CD20" s="240">
        <f t="shared" ca="1" si="4"/>
        <v>664457.3011907594</v>
      </c>
      <c r="CE20" s="239">
        <f t="shared" ca="1" si="4"/>
        <v>662150.7040693661</v>
      </c>
      <c r="CF20" s="240">
        <f t="shared" ca="1" si="4"/>
        <v>659829.26623264211</v>
      </c>
      <c r="CG20" s="239">
        <f t="shared" ca="1" si="4"/>
        <v>657492.89219497808</v>
      </c>
      <c r="CH20" s="240">
        <f t="shared" ca="1" si="4"/>
        <v>655141.48585640755</v>
      </c>
      <c r="CI20" s="239">
        <f t="shared" ca="1" si="4"/>
        <v>652774.95049865381</v>
      </c>
      <c r="CJ20" s="240">
        <f t="shared" ca="1" si="4"/>
        <v>650393.1887811519</v>
      </c>
      <c r="CK20" s="239">
        <f t="shared" ca="1" si="4"/>
        <v>647996.10273704468</v>
      </c>
      <c r="CL20" s="240">
        <f t="shared" ca="1" si="4"/>
        <v>645583.59376915346</v>
      </c>
      <c r="CM20" s="239">
        <f t="shared" ca="1" si="4"/>
        <v>643155.56264592218</v>
      </c>
      <c r="CN20" s="240">
        <f t="shared" ca="1" si="4"/>
        <v>0</v>
      </c>
    </row>
    <row r="21" spans="1:92" ht="18">
      <c r="A21" s="241"/>
      <c r="B21" s="242" t="s">
        <v>158</v>
      </c>
      <c r="C21" s="243"/>
      <c r="D21" s="243"/>
      <c r="E21" s="212">
        <f t="shared" ref="E21:E23" ca="1" si="5">SUM(H21:BP21)</f>
        <v>1422759.6644491339</v>
      </c>
      <c r="F21" s="244"/>
      <c r="G21" s="244"/>
      <c r="H21" s="245">
        <f ca="1">-H17</f>
        <v>1422759.6644491339</v>
      </c>
      <c r="I21" s="245">
        <f>-I17</f>
        <v>0</v>
      </c>
      <c r="J21" s="245">
        <f t="shared" ref="J21:BU21" si="6">-J17</f>
        <v>0</v>
      </c>
      <c r="K21" s="245">
        <f t="shared" si="6"/>
        <v>0</v>
      </c>
      <c r="L21" s="245">
        <f t="shared" si="6"/>
        <v>0</v>
      </c>
      <c r="M21" s="245">
        <f t="shared" si="6"/>
        <v>0</v>
      </c>
      <c r="N21" s="245">
        <f t="shared" si="6"/>
        <v>0</v>
      </c>
      <c r="O21" s="245">
        <f t="shared" si="6"/>
        <v>0</v>
      </c>
      <c r="P21" s="245">
        <f t="shared" si="6"/>
        <v>0</v>
      </c>
      <c r="Q21" s="245">
        <f t="shared" si="6"/>
        <v>0</v>
      </c>
      <c r="R21" s="245">
        <f t="shared" si="6"/>
        <v>0</v>
      </c>
      <c r="S21" s="245">
        <f t="shared" si="6"/>
        <v>0</v>
      </c>
      <c r="T21" s="245">
        <f t="shared" si="6"/>
        <v>0</v>
      </c>
      <c r="U21" s="245">
        <f t="shared" si="6"/>
        <v>0</v>
      </c>
      <c r="V21" s="245">
        <f t="shared" si="6"/>
        <v>0</v>
      </c>
      <c r="W21" s="245">
        <f t="shared" si="6"/>
        <v>0</v>
      </c>
      <c r="X21" s="245">
        <f t="shared" si="6"/>
        <v>0</v>
      </c>
      <c r="Y21" s="245">
        <f t="shared" si="6"/>
        <v>0</v>
      </c>
      <c r="Z21" s="245">
        <f t="shared" si="6"/>
        <v>0</v>
      </c>
      <c r="AA21" s="245">
        <f t="shared" si="6"/>
        <v>0</v>
      </c>
      <c r="AB21" s="245">
        <f t="shared" si="6"/>
        <v>0</v>
      </c>
      <c r="AC21" s="245">
        <f t="shared" si="6"/>
        <v>0</v>
      </c>
      <c r="AD21" s="245">
        <f t="shared" si="6"/>
        <v>0</v>
      </c>
      <c r="AE21" s="245">
        <f t="shared" si="6"/>
        <v>0</v>
      </c>
      <c r="AF21" s="245">
        <f t="shared" si="6"/>
        <v>0</v>
      </c>
      <c r="AG21" s="245">
        <f t="shared" si="6"/>
        <v>0</v>
      </c>
      <c r="AH21" s="245">
        <f t="shared" si="6"/>
        <v>0</v>
      </c>
      <c r="AI21" s="245">
        <f t="shared" si="6"/>
        <v>0</v>
      </c>
      <c r="AJ21" s="245">
        <f t="shared" si="6"/>
        <v>0</v>
      </c>
      <c r="AK21" s="245">
        <f t="shared" si="6"/>
        <v>0</v>
      </c>
      <c r="AL21" s="245">
        <f t="shared" si="6"/>
        <v>0</v>
      </c>
      <c r="AM21" s="245">
        <f t="shared" si="6"/>
        <v>0</v>
      </c>
      <c r="AN21" s="245">
        <f t="shared" si="6"/>
        <v>0</v>
      </c>
      <c r="AO21" s="245">
        <f t="shared" si="6"/>
        <v>0</v>
      </c>
      <c r="AP21" s="245">
        <f t="shared" si="6"/>
        <v>0</v>
      </c>
      <c r="AQ21" s="245">
        <f t="shared" si="6"/>
        <v>0</v>
      </c>
      <c r="AR21" s="245">
        <f t="shared" si="6"/>
        <v>0</v>
      </c>
      <c r="AS21" s="245">
        <f t="shared" si="6"/>
        <v>0</v>
      </c>
      <c r="AT21" s="245">
        <f t="shared" si="6"/>
        <v>0</v>
      </c>
      <c r="AU21" s="245">
        <f t="shared" si="6"/>
        <v>0</v>
      </c>
      <c r="AV21" s="245">
        <f t="shared" si="6"/>
        <v>0</v>
      </c>
      <c r="AW21" s="245">
        <f t="shared" si="6"/>
        <v>0</v>
      </c>
      <c r="AX21" s="245">
        <f t="shared" si="6"/>
        <v>0</v>
      </c>
      <c r="AY21" s="245">
        <f t="shared" si="6"/>
        <v>0</v>
      </c>
      <c r="AZ21" s="245">
        <f t="shared" si="6"/>
        <v>0</v>
      </c>
      <c r="BA21" s="245">
        <f t="shared" si="6"/>
        <v>0</v>
      </c>
      <c r="BB21" s="245">
        <f t="shared" si="6"/>
        <v>0</v>
      </c>
      <c r="BC21" s="245">
        <f t="shared" si="6"/>
        <v>0</v>
      </c>
      <c r="BD21" s="245">
        <f t="shared" si="6"/>
        <v>0</v>
      </c>
      <c r="BE21" s="245">
        <f t="shared" si="6"/>
        <v>0</v>
      </c>
      <c r="BF21" s="245">
        <f t="shared" si="6"/>
        <v>0</v>
      </c>
      <c r="BG21" s="245">
        <f t="shared" si="6"/>
        <v>0</v>
      </c>
      <c r="BH21" s="245">
        <f t="shared" si="6"/>
        <v>0</v>
      </c>
      <c r="BI21" s="245">
        <f t="shared" si="6"/>
        <v>0</v>
      </c>
      <c r="BJ21" s="245">
        <f t="shared" si="6"/>
        <v>0</v>
      </c>
      <c r="BK21" s="245">
        <f t="shared" si="6"/>
        <v>0</v>
      </c>
      <c r="BL21" s="245">
        <f t="shared" si="6"/>
        <v>0</v>
      </c>
      <c r="BM21" s="245">
        <f t="shared" si="6"/>
        <v>0</v>
      </c>
      <c r="BN21" s="245">
        <f t="shared" si="6"/>
        <v>0</v>
      </c>
      <c r="BO21" s="245">
        <f t="shared" si="6"/>
        <v>0</v>
      </c>
      <c r="BP21" s="246">
        <f t="shared" si="6"/>
        <v>0</v>
      </c>
      <c r="BQ21" s="245">
        <f t="shared" si="6"/>
        <v>0</v>
      </c>
      <c r="BR21" s="246">
        <f t="shared" si="6"/>
        <v>0</v>
      </c>
      <c r="BS21" s="245">
        <f t="shared" si="6"/>
        <v>0</v>
      </c>
      <c r="BT21" s="246">
        <f t="shared" si="6"/>
        <v>0</v>
      </c>
      <c r="BU21" s="245">
        <f t="shared" si="6"/>
        <v>0</v>
      </c>
      <c r="BV21" s="246">
        <f t="shared" ref="BV21:CN21" si="7">-BV17</f>
        <v>0</v>
      </c>
      <c r="BW21" s="245">
        <f t="shared" si="7"/>
        <v>0</v>
      </c>
      <c r="BX21" s="246">
        <f t="shared" si="7"/>
        <v>0</v>
      </c>
      <c r="BY21" s="245">
        <f t="shared" si="7"/>
        <v>0</v>
      </c>
      <c r="BZ21" s="246">
        <f t="shared" si="7"/>
        <v>0</v>
      </c>
      <c r="CA21" s="245">
        <f t="shared" si="7"/>
        <v>0</v>
      </c>
      <c r="CB21" s="246">
        <f t="shared" si="7"/>
        <v>0</v>
      </c>
      <c r="CC21" s="245">
        <f t="shared" si="7"/>
        <v>0</v>
      </c>
      <c r="CD21" s="246">
        <f t="shared" si="7"/>
        <v>0</v>
      </c>
      <c r="CE21" s="245">
        <f t="shared" si="7"/>
        <v>0</v>
      </c>
      <c r="CF21" s="246">
        <f t="shared" si="7"/>
        <v>0</v>
      </c>
      <c r="CG21" s="245">
        <f t="shared" si="7"/>
        <v>0</v>
      </c>
      <c r="CH21" s="246">
        <f t="shared" si="7"/>
        <v>0</v>
      </c>
      <c r="CI21" s="245">
        <f t="shared" si="7"/>
        <v>0</v>
      </c>
      <c r="CJ21" s="246">
        <f t="shared" si="7"/>
        <v>0</v>
      </c>
      <c r="CK21" s="245">
        <f t="shared" si="7"/>
        <v>0</v>
      </c>
      <c r="CL21" s="246">
        <f t="shared" si="7"/>
        <v>0</v>
      </c>
      <c r="CM21" s="245">
        <f t="shared" si="7"/>
        <v>0</v>
      </c>
      <c r="CN21" s="246">
        <f t="shared" si="7"/>
        <v>0</v>
      </c>
    </row>
    <row r="22" spans="1:92" ht="18">
      <c r="A22" s="204"/>
      <c r="B22" s="242" t="s">
        <v>159</v>
      </c>
      <c r="C22" s="243"/>
      <c r="D22" s="243"/>
      <c r="E22" s="212">
        <f t="shared" ca="1" si="5"/>
        <v>459821.34496032528</v>
      </c>
      <c r="F22" s="244"/>
      <c r="G22" s="244"/>
      <c r="H22" s="245">
        <f>$D$20*H20</f>
        <v>0</v>
      </c>
      <c r="I22" s="245">
        <f ca="1">$D$20*I20</f>
        <v>9154.0785203641044</v>
      </c>
      <c r="J22" s="245">
        <f ca="1">$D$20*J20</f>
        <v>9212.9761371934637</v>
      </c>
      <c r="K22" s="245">
        <f ca="1">$D$20*K20</f>
        <v>9272.252703062908</v>
      </c>
      <c r="L22" s="245">
        <f t="shared" ref="L22:BU22" ca="1" si="8">$D$20*L20</f>
        <v>9331.9106561419758</v>
      </c>
      <c r="M22" s="245">
        <f t="shared" ca="1" si="8"/>
        <v>9391.9524502874556</v>
      </c>
      <c r="N22" s="245">
        <f t="shared" ca="1" si="8"/>
        <v>9452.3805551443256</v>
      </c>
      <c r="O22" s="245">
        <f t="shared" ca="1" si="8"/>
        <v>9513.1974562473351</v>
      </c>
      <c r="P22" s="245">
        <f t="shared" ca="1" si="8"/>
        <v>9574.4056551232388</v>
      </c>
      <c r="Q22" s="245">
        <f t="shared" ca="1" si="8"/>
        <v>9636.0076693936899</v>
      </c>
      <c r="R22" s="245">
        <f t="shared" ca="1" si="8"/>
        <v>9698.0060328787931</v>
      </c>
      <c r="S22" s="245">
        <f t="shared" ca="1" si="8"/>
        <v>9760.4032957013296</v>
      </c>
      <c r="T22" s="245">
        <f t="shared" ca="1" si="8"/>
        <v>9823.2020243916486</v>
      </c>
      <c r="U22" s="245">
        <f t="shared" ca="1" si="8"/>
        <v>9886.4048019932306</v>
      </c>
      <c r="V22" s="245">
        <f t="shared" ca="1" si="8"/>
        <v>9911.8722343340869</v>
      </c>
      <c r="W22" s="245">
        <f t="shared" ca="1" si="8"/>
        <v>9937.5035249014491</v>
      </c>
      <c r="X22" s="245">
        <f t="shared" ca="1" si="8"/>
        <v>9963.2997279640786</v>
      </c>
      <c r="Y22" s="245">
        <f t="shared" ca="1" si="8"/>
        <v>9989.2619045739375</v>
      </c>
      <c r="Z22" s="245">
        <f t="shared" ca="1" si="8"/>
        <v>10015.391122609826</v>
      </c>
      <c r="AA22" s="245">
        <f t="shared" ca="1" si="8"/>
        <v>10041.68845682131</v>
      </c>
      <c r="AB22" s="245">
        <f t="shared" ca="1" si="8"/>
        <v>10068.154988872921</v>
      </c>
      <c r="AC22" s="245">
        <f t="shared" ca="1" si="8"/>
        <v>10094.791807388659</v>
      </c>
      <c r="AD22" s="245">
        <f t="shared" ca="1" si="8"/>
        <v>10121.600007996763</v>
      </c>
      <c r="AE22" s="245">
        <f t="shared" ca="1" si="8"/>
        <v>10148.580693374774</v>
      </c>
      <c r="AF22" s="245">
        <f t="shared" ca="1" si="8"/>
        <v>10175.734973294897</v>
      </c>
      <c r="AG22" s="245">
        <f t="shared" ca="1" si="8"/>
        <v>10203.063964669642</v>
      </c>
      <c r="AH22" s="245">
        <f t="shared" ca="1" si="8"/>
        <v>10211.497794680341</v>
      </c>
      <c r="AI22" s="245">
        <f t="shared" ca="1" si="8"/>
        <v>10219.985888207271</v>
      </c>
      <c r="AJ22" s="245">
        <f t="shared" ca="1" si="8"/>
        <v>10228.528594383532</v>
      </c>
      <c r="AK22" s="245">
        <f t="shared" ca="1" si="8"/>
        <v>10237.126264588551</v>
      </c>
      <c r="AL22" s="245">
        <f t="shared" ca="1" si="8"/>
        <v>10245.779252462544</v>
      </c>
      <c r="AM22" s="245">
        <f t="shared" ca="1" si="8"/>
        <v>10254.487913921061</v>
      </c>
      <c r="AN22" s="245">
        <f t="shared" ca="1" si="8"/>
        <v>10263.252607169619</v>
      </c>
      <c r="AO22" s="245">
        <f t="shared" ca="1" si="8"/>
        <v>10272.073692718444</v>
      </c>
      <c r="AP22" s="245">
        <f t="shared" ca="1" si="8"/>
        <v>10280.951533397294</v>
      </c>
      <c r="AQ22" s="245">
        <f t="shared" ca="1" si="8"/>
        <v>10289.886494370381</v>
      </c>
      <c r="AR22" s="245">
        <f t="shared" ca="1" si="8"/>
        <v>4568.6065729237116</v>
      </c>
      <c r="AS22" s="245">
        <f t="shared" ca="1" si="8"/>
        <v>4576.8275832917434</v>
      </c>
      <c r="AT22" s="245">
        <f t="shared" ca="1" si="8"/>
        <v>4572.3973627582664</v>
      </c>
      <c r="AU22" s="245">
        <f t="shared" ca="1" si="8"/>
        <v>4567.9386380524829</v>
      </c>
      <c r="AV22" s="245">
        <f t="shared" ca="1" si="8"/>
        <v>4563.4512257776905</v>
      </c>
      <c r="AW22" s="245">
        <f t="shared" ca="1" si="8"/>
        <v>4558.9349413572063</v>
      </c>
      <c r="AX22" s="245">
        <f t="shared" ca="1" si="8"/>
        <v>4554.3895990267747</v>
      </c>
      <c r="AY22" s="245">
        <f t="shared" ca="1" si="8"/>
        <v>4549.8150118269286</v>
      </c>
      <c r="AZ22" s="245">
        <f t="shared" ca="1" si="8"/>
        <v>4545.2109915952988</v>
      </c>
      <c r="BA22" s="245">
        <f t="shared" ca="1" si="8"/>
        <v>4540.577348958871</v>
      </c>
      <c r="BB22" s="245">
        <f t="shared" ca="1" si="8"/>
        <v>4535.9138933262011</v>
      </c>
      <c r="BC22" s="245">
        <f t="shared" ca="1" si="8"/>
        <v>4531.2204328795742</v>
      </c>
      <c r="BD22" s="245">
        <f t="shared" ca="1" si="8"/>
        <v>4526.4967745671138</v>
      </c>
      <c r="BE22" s="245">
        <f t="shared" ca="1" si="8"/>
        <v>4521.7427240948409</v>
      </c>
      <c r="BF22" s="245">
        <f t="shared" ca="1" si="8"/>
        <v>4514.1349470009636</v>
      </c>
      <c r="BG22" s="245">
        <f t="shared" ca="1" si="8"/>
        <v>4506.4782212401933</v>
      </c>
      <c r="BH22" s="245">
        <f t="shared" ca="1" si="8"/>
        <v>4498.7722318753349</v>
      </c>
      <c r="BI22" s="245">
        <f t="shared" ca="1" si="8"/>
        <v>4491.0166619428755</v>
      </c>
      <c r="BJ22" s="245">
        <f t="shared" ca="1" si="8"/>
        <v>4483.2111924399496</v>
      </c>
      <c r="BK22" s="245">
        <f t="shared" ca="1" si="8"/>
        <v>4475.3555023112194</v>
      </c>
      <c r="BL22" s="245">
        <f t="shared" ca="1" si="8"/>
        <v>4467.4492684356665</v>
      </c>
      <c r="BM22" s="245">
        <f t="shared" ca="1" si="8"/>
        <v>4459.4921656133019</v>
      </c>
      <c r="BN22" s="245">
        <f t="shared" ca="1" si="8"/>
        <v>4451.4838665517891</v>
      </c>
      <c r="BO22" s="245">
        <f t="shared" ca="1" si="8"/>
        <v>4443.4240418529853</v>
      </c>
      <c r="BP22" s="246">
        <f t="shared" ca="1" si="8"/>
        <v>4435.3123599993869</v>
      </c>
      <c r="BQ22" s="245">
        <f t="shared" ca="1" si="8"/>
        <v>4427.1484873405007</v>
      </c>
      <c r="BR22" s="246">
        <f t="shared" ca="1" si="8"/>
        <v>4416.1089491613902</v>
      </c>
      <c r="BS22" s="245">
        <f t="shared" ca="1" si="8"/>
        <v>4404.9983822612348</v>
      </c>
      <c r="BT22" s="246">
        <f t="shared" ca="1" si="8"/>
        <v>4393.8163296391049</v>
      </c>
      <c r="BU22" s="245">
        <f t="shared" ca="1" si="8"/>
        <v>4382.5623313537117</v>
      </c>
      <c r="BV22" s="246">
        <f t="shared" ref="BV22:CN22" ca="1" si="9">$D$20*BV20</f>
        <v>4371.2359245044927</v>
      </c>
      <c r="BW22" s="245">
        <f t="shared" ca="1" si="9"/>
        <v>4359.8366432125667</v>
      </c>
      <c r="BX22" s="246">
        <f t="shared" ca="1" si="9"/>
        <v>4348.3640186015782</v>
      </c>
      <c r="BY22" s="245">
        <f t="shared" ca="1" si="9"/>
        <v>4336.8175787784003</v>
      </c>
      <c r="BZ22" s="246">
        <f t="shared" ca="1" si="9"/>
        <v>4325.1968488137372</v>
      </c>
      <c r="CA22" s="245">
        <f t="shared" ca="1" si="9"/>
        <v>4313.5013507225813</v>
      </c>
      <c r="CB22" s="246">
        <f t="shared" ca="1" si="9"/>
        <v>4301.7306034445564</v>
      </c>
      <c r="CC22" s="245">
        <f t="shared" ca="1" si="9"/>
        <v>4289.8841228241254</v>
      </c>
      <c r="CD22" s="246">
        <f t="shared" ca="1" si="9"/>
        <v>4275.1382826729641</v>
      </c>
      <c r="CE22" s="245">
        <f t="shared" ca="1" si="9"/>
        <v>4260.2975673422725</v>
      </c>
      <c r="CF22" s="246">
        <f t="shared" ca="1" si="9"/>
        <v>4245.3613664022887</v>
      </c>
      <c r="CG22" s="245">
        <f t="shared" ca="1" si="9"/>
        <v>4230.3290654957282</v>
      </c>
      <c r="CH22" s="246">
        <f t="shared" ca="1" si="9"/>
        <v>4215.2000463125123</v>
      </c>
      <c r="CI22" s="245">
        <f t="shared" ca="1" si="9"/>
        <v>4199.9736865643372</v>
      </c>
      <c r="CJ22" s="246">
        <f t="shared" ca="1" si="9"/>
        <v>4184.6493599590767</v>
      </c>
      <c r="CK22" s="245">
        <f t="shared" ca="1" si="9"/>
        <v>4169.2264361750213</v>
      </c>
      <c r="CL22" s="246">
        <f t="shared" ca="1" si="9"/>
        <v>4153.7042808349561</v>
      </c>
      <c r="CM22" s="245">
        <f t="shared" ca="1" si="9"/>
        <v>4138.0822554800607</v>
      </c>
      <c r="CN22" s="246">
        <f t="shared" ca="1" si="9"/>
        <v>0</v>
      </c>
    </row>
    <row r="23" spans="1:92" ht="18">
      <c r="A23" s="204"/>
      <c r="B23" s="242" t="s">
        <v>160</v>
      </c>
      <c r="C23" s="243"/>
      <c r="D23" s="243"/>
      <c r="E23" s="212">
        <f t="shared" ca="1" si="5"/>
        <v>-1194497.7378597488</v>
      </c>
      <c r="F23" s="247"/>
      <c r="G23" s="247"/>
      <c r="H23" s="248">
        <f>-IF(H56&gt;0,MIN($C$26*H56,H20+H21+H22),0)</f>
        <v>0</v>
      </c>
      <c r="I23" s="248">
        <f t="shared" ref="I23:BT23" ca="1" si="10">-IF(I56&gt;0,MIN($C$26*I56,I20+I21+I22),0)</f>
        <v>0</v>
      </c>
      <c r="J23" s="248">
        <f t="shared" ca="1" si="10"/>
        <v>0</v>
      </c>
      <c r="K23" s="248">
        <f t="shared" ca="1" si="10"/>
        <v>0</v>
      </c>
      <c r="L23" s="248">
        <f t="shared" ca="1" si="10"/>
        <v>0</v>
      </c>
      <c r="M23" s="248">
        <f t="shared" ca="1" si="10"/>
        <v>0</v>
      </c>
      <c r="N23" s="248">
        <f t="shared" ca="1" si="10"/>
        <v>0</v>
      </c>
      <c r="O23" s="248">
        <f t="shared" ca="1" si="10"/>
        <v>0</v>
      </c>
      <c r="P23" s="248">
        <f t="shared" ca="1" si="10"/>
        <v>0</v>
      </c>
      <c r="Q23" s="248">
        <f t="shared" ca="1" si="10"/>
        <v>0</v>
      </c>
      <c r="R23" s="248">
        <f t="shared" ca="1" si="10"/>
        <v>0</v>
      </c>
      <c r="S23" s="248">
        <f t="shared" ca="1" si="10"/>
        <v>0</v>
      </c>
      <c r="T23" s="248">
        <f t="shared" ca="1" si="10"/>
        <v>0</v>
      </c>
      <c r="U23" s="248">
        <f t="shared" ca="1" si="10"/>
        <v>-5928.1652685380586</v>
      </c>
      <c r="V23" s="248">
        <f t="shared" ca="1" si="10"/>
        <v>-5928.1652685380586</v>
      </c>
      <c r="W23" s="248">
        <f t="shared" ca="1" si="10"/>
        <v>-5928.1652685380586</v>
      </c>
      <c r="X23" s="248">
        <f t="shared" ca="1" si="10"/>
        <v>-5928.1652685380586</v>
      </c>
      <c r="Y23" s="248">
        <f t="shared" ca="1" si="10"/>
        <v>-5928.1652685380586</v>
      </c>
      <c r="Z23" s="248">
        <f t="shared" ca="1" si="10"/>
        <v>-5928.1652685380586</v>
      </c>
      <c r="AA23" s="248">
        <f t="shared" ca="1" si="10"/>
        <v>-5928.1652685380586</v>
      </c>
      <c r="AB23" s="248">
        <f t="shared" ca="1" si="10"/>
        <v>-5928.1652685380586</v>
      </c>
      <c r="AC23" s="248">
        <f t="shared" ca="1" si="10"/>
        <v>-5928.1652685380586</v>
      </c>
      <c r="AD23" s="248">
        <f t="shared" ca="1" si="10"/>
        <v>-5928.1652685380586</v>
      </c>
      <c r="AE23" s="248">
        <f t="shared" ca="1" si="10"/>
        <v>-5928.1652685380586</v>
      </c>
      <c r="AF23" s="248">
        <f t="shared" ca="1" si="10"/>
        <v>-5928.1652685380586</v>
      </c>
      <c r="AG23" s="248">
        <f t="shared" ca="1" si="10"/>
        <v>-8892.2479028070866</v>
      </c>
      <c r="AH23" s="248">
        <f t="shared" ca="1" si="10"/>
        <v>-8892.2479028070866</v>
      </c>
      <c r="AI23" s="248">
        <f t="shared" ca="1" si="10"/>
        <v>-8892.2479028070866</v>
      </c>
      <c r="AJ23" s="248">
        <f t="shared" ca="1" si="10"/>
        <v>-8892.2479028070866</v>
      </c>
      <c r="AK23" s="248">
        <f t="shared" ca="1" si="10"/>
        <v>-8892.2479028070866</v>
      </c>
      <c r="AL23" s="248">
        <f t="shared" ca="1" si="10"/>
        <v>-8892.2479028070866</v>
      </c>
      <c r="AM23" s="248">
        <f t="shared" ca="1" si="10"/>
        <v>-8892.2479028070866</v>
      </c>
      <c r="AN23" s="248">
        <f t="shared" ca="1" si="10"/>
        <v>-8892.2479028070866</v>
      </c>
      <c r="AO23" s="248">
        <f t="shared" ca="1" si="10"/>
        <v>-8892.2479028070866</v>
      </c>
      <c r="AP23" s="248">
        <f t="shared" ca="1" si="10"/>
        <v>-8892.2479028070866</v>
      </c>
      <c r="AQ23" s="248">
        <f t="shared" ca="1" si="10"/>
        <v>-899511.69982586254</v>
      </c>
      <c r="AR23" s="248">
        <f t="shared" ca="1" si="10"/>
        <v>-3290.8677020331529</v>
      </c>
      <c r="AS23" s="248">
        <f t="shared" ca="1" si="10"/>
        <v>-5265.3883232530443</v>
      </c>
      <c r="AT23" s="248">
        <f t="shared" ca="1" si="10"/>
        <v>-5265.3883232530443</v>
      </c>
      <c r="AU23" s="248">
        <f t="shared" ca="1" si="10"/>
        <v>-5265.3883232530443</v>
      </c>
      <c r="AV23" s="248">
        <f t="shared" ca="1" si="10"/>
        <v>-5265.3883232530443</v>
      </c>
      <c r="AW23" s="248">
        <f t="shared" ca="1" si="10"/>
        <v>-5265.3883232530443</v>
      </c>
      <c r="AX23" s="248">
        <f t="shared" ca="1" si="10"/>
        <v>-5265.3883232530443</v>
      </c>
      <c r="AY23" s="248">
        <f t="shared" ca="1" si="10"/>
        <v>-5265.3883232530443</v>
      </c>
      <c r="AZ23" s="248">
        <f t="shared" ca="1" si="10"/>
        <v>-5265.3883232530443</v>
      </c>
      <c r="BA23" s="248">
        <f t="shared" ca="1" si="10"/>
        <v>-5265.3883232530443</v>
      </c>
      <c r="BB23" s="248">
        <f t="shared" ca="1" si="10"/>
        <v>-5265.3883232530443</v>
      </c>
      <c r="BC23" s="248">
        <f t="shared" ca="1" si="10"/>
        <v>-5265.3883232530443</v>
      </c>
      <c r="BD23" s="248">
        <f t="shared" ca="1" si="10"/>
        <v>-5265.3883232530443</v>
      </c>
      <c r="BE23" s="248">
        <f t="shared" ca="1" si="10"/>
        <v>-5704.170683524133</v>
      </c>
      <c r="BF23" s="248">
        <f t="shared" ca="1" si="10"/>
        <v>-5704.170683524133</v>
      </c>
      <c r="BG23" s="248">
        <f t="shared" ca="1" si="10"/>
        <v>-5704.170683524133</v>
      </c>
      <c r="BH23" s="248">
        <f t="shared" ca="1" si="10"/>
        <v>-5704.170683524133</v>
      </c>
      <c r="BI23" s="248">
        <f t="shared" ca="1" si="10"/>
        <v>-5704.170683524133</v>
      </c>
      <c r="BJ23" s="248">
        <f t="shared" ca="1" si="10"/>
        <v>-5704.170683524133</v>
      </c>
      <c r="BK23" s="248">
        <f t="shared" ca="1" si="10"/>
        <v>-5704.170683524133</v>
      </c>
      <c r="BL23" s="248">
        <f t="shared" ca="1" si="10"/>
        <v>-5704.170683524133</v>
      </c>
      <c r="BM23" s="248">
        <f t="shared" ca="1" si="10"/>
        <v>-5704.170683524133</v>
      </c>
      <c r="BN23" s="248">
        <f t="shared" ca="1" si="10"/>
        <v>-5704.170683524133</v>
      </c>
      <c r="BO23" s="248">
        <f t="shared" ca="1" si="10"/>
        <v>-5704.170683524133</v>
      </c>
      <c r="BP23" s="248">
        <f t="shared" ca="1" si="10"/>
        <v>-5704.170683524133</v>
      </c>
      <c r="BQ23" s="248">
        <f t="shared" ca="1" si="10"/>
        <v>-6142.9530437952199</v>
      </c>
      <c r="BR23" s="248">
        <f t="shared" ca="1" si="10"/>
        <v>-6142.9530437952199</v>
      </c>
      <c r="BS23" s="248">
        <f t="shared" ca="1" si="10"/>
        <v>-6142.9530437952199</v>
      </c>
      <c r="BT23" s="248">
        <f t="shared" ca="1" si="10"/>
        <v>-6142.9530437952199</v>
      </c>
      <c r="BU23" s="248">
        <f t="shared" ref="BU23:CN23" ca="1" si="11">-IF(BU56&gt;0,MIN($C$26*BU56,BU20+BU21+BU22),0)</f>
        <v>-6142.9530437952199</v>
      </c>
      <c r="BV23" s="248">
        <f t="shared" ca="1" si="11"/>
        <v>-6142.9530437952199</v>
      </c>
      <c r="BW23" s="248">
        <f t="shared" ca="1" si="11"/>
        <v>-6142.9530437952199</v>
      </c>
      <c r="BX23" s="248">
        <f t="shared" ca="1" si="11"/>
        <v>-6142.9530437952199</v>
      </c>
      <c r="BY23" s="248">
        <f t="shared" ca="1" si="11"/>
        <v>-6142.9530437952199</v>
      </c>
      <c r="BZ23" s="248">
        <f t="shared" ca="1" si="11"/>
        <v>-6142.9530437952199</v>
      </c>
      <c r="CA23" s="248">
        <f t="shared" ca="1" si="11"/>
        <v>-6142.9530437952199</v>
      </c>
      <c r="CB23" s="248">
        <f t="shared" ca="1" si="11"/>
        <v>-6142.9530437952199</v>
      </c>
      <c r="CC23" s="248">
        <f t="shared" ca="1" si="11"/>
        <v>-6581.7354040663058</v>
      </c>
      <c r="CD23" s="248">
        <f t="shared" ca="1" si="11"/>
        <v>-6581.7354040663058</v>
      </c>
      <c r="CE23" s="248">
        <f t="shared" ca="1" si="11"/>
        <v>-6581.7354040663058</v>
      </c>
      <c r="CF23" s="248">
        <f t="shared" ca="1" si="11"/>
        <v>-6581.7354040663058</v>
      </c>
      <c r="CG23" s="248">
        <f t="shared" ca="1" si="11"/>
        <v>-6581.7354040663058</v>
      </c>
      <c r="CH23" s="248">
        <f t="shared" ca="1" si="11"/>
        <v>-6581.7354040663058</v>
      </c>
      <c r="CI23" s="248">
        <f t="shared" ca="1" si="11"/>
        <v>-6581.7354040663058</v>
      </c>
      <c r="CJ23" s="248">
        <f t="shared" ca="1" si="11"/>
        <v>-6581.7354040663058</v>
      </c>
      <c r="CK23" s="248">
        <f t="shared" ca="1" si="11"/>
        <v>-6581.7354040663058</v>
      </c>
      <c r="CL23" s="248">
        <f t="shared" ca="1" si="11"/>
        <v>-6581.7354040663058</v>
      </c>
      <c r="CM23" s="248">
        <f t="shared" ca="1" si="11"/>
        <v>-647293.64490140229</v>
      </c>
      <c r="CN23" s="248">
        <f t="shared" si="11"/>
        <v>0</v>
      </c>
    </row>
    <row r="24" spans="1:92" ht="18">
      <c r="A24" s="204"/>
      <c r="B24" s="242" t="s">
        <v>161</v>
      </c>
      <c r="C24" s="243"/>
      <c r="D24" s="243"/>
      <c r="E24" s="212">
        <f ca="1">SUM(E21:E23)</f>
        <v>688083.27154971054</v>
      </c>
      <c r="F24" s="244"/>
      <c r="G24" s="250"/>
      <c r="H24" s="245">
        <f ca="1">SUM(H20:H23)</f>
        <v>1422759.6644491339</v>
      </c>
      <c r="I24" s="245">
        <f ca="1">SUM(I20:I23)</f>
        <v>1431913.742969498</v>
      </c>
      <c r="J24" s="245">
        <f t="shared" ref="J24:BU24" ca="1" si="12">SUM(J20:J23)</f>
        <v>1441126.7191066914</v>
      </c>
      <c r="K24" s="245">
        <f t="shared" ca="1" si="12"/>
        <v>1450398.9718097544</v>
      </c>
      <c r="L24" s="245">
        <f t="shared" ca="1" si="12"/>
        <v>1459730.8824658964</v>
      </c>
      <c r="M24" s="245">
        <f t="shared" ca="1" si="12"/>
        <v>1469122.834916184</v>
      </c>
      <c r="N24" s="245">
        <f t="shared" ca="1" si="12"/>
        <v>1478575.2154713282</v>
      </c>
      <c r="O24" s="245">
        <f t="shared" ca="1" si="12"/>
        <v>1488088.4129275756</v>
      </c>
      <c r="P24" s="245">
        <f t="shared" ca="1" si="12"/>
        <v>1497662.8185826989</v>
      </c>
      <c r="Q24" s="245">
        <f t="shared" ca="1" si="12"/>
        <v>1507298.8262520926</v>
      </c>
      <c r="R24" s="245">
        <f t="shared" ca="1" si="12"/>
        <v>1516996.8322849714</v>
      </c>
      <c r="S24" s="245">
        <f t="shared" ca="1" si="12"/>
        <v>1526757.2355806727</v>
      </c>
      <c r="T24" s="245">
        <f t="shared" ca="1" si="12"/>
        <v>1536580.4376050644</v>
      </c>
      <c r="U24" s="245">
        <f t="shared" ca="1" si="12"/>
        <v>1540538.6771385195</v>
      </c>
      <c r="V24" s="245">
        <f t="shared" ca="1" si="12"/>
        <v>1544522.3841043154</v>
      </c>
      <c r="W24" s="245">
        <f t="shared" ca="1" si="12"/>
        <v>1548531.7223606787</v>
      </c>
      <c r="X24" s="245">
        <f t="shared" ca="1" si="12"/>
        <v>1552566.8568201046</v>
      </c>
      <c r="Y24" s="245">
        <f t="shared" ca="1" si="12"/>
        <v>1556627.9534561406</v>
      </c>
      <c r="Z24" s="245">
        <f t="shared" ca="1" si="12"/>
        <v>1560715.1793102124</v>
      </c>
      <c r="AA24" s="245">
        <f t="shared" ca="1" si="12"/>
        <v>1564828.7024984956</v>
      </c>
      <c r="AB24" s="245">
        <f t="shared" ca="1" si="12"/>
        <v>1568968.6922188303</v>
      </c>
      <c r="AC24" s="245">
        <f t="shared" ca="1" si="12"/>
        <v>1573135.3187576809</v>
      </c>
      <c r="AD24" s="245">
        <f t="shared" ca="1" si="12"/>
        <v>1577328.7534971396</v>
      </c>
      <c r="AE24" s="245">
        <f t="shared" ca="1" si="12"/>
        <v>1581549.1689219764</v>
      </c>
      <c r="AF24" s="245">
        <f t="shared" ca="1" si="12"/>
        <v>1585796.7386267332</v>
      </c>
      <c r="AG24" s="245">
        <f t="shared" ca="1" si="12"/>
        <v>1587107.5546885957</v>
      </c>
      <c r="AH24" s="245">
        <f t="shared" ca="1" si="12"/>
        <v>1588426.8045804689</v>
      </c>
      <c r="AI24" s="245">
        <f t="shared" ca="1" si="12"/>
        <v>1589754.5425658692</v>
      </c>
      <c r="AJ24" s="245">
        <f t="shared" ca="1" si="12"/>
        <v>1591090.8232574456</v>
      </c>
      <c r="AK24" s="245">
        <f t="shared" ca="1" si="12"/>
        <v>1592435.701619227</v>
      </c>
      <c r="AL24" s="245">
        <f t="shared" ca="1" si="12"/>
        <v>1593789.2329688824</v>
      </c>
      <c r="AM24" s="245">
        <f t="shared" ca="1" si="12"/>
        <v>1595151.4729799964</v>
      </c>
      <c r="AN24" s="245">
        <f t="shared" ca="1" si="12"/>
        <v>1596522.4776843588</v>
      </c>
      <c r="AO24" s="245">
        <f t="shared" ca="1" si="12"/>
        <v>1597902.3034742703</v>
      </c>
      <c r="AP24" s="245">
        <f t="shared" ca="1" si="12"/>
        <v>1599291.0071048604</v>
      </c>
      <c r="AQ24" s="245">
        <f t="shared" ca="1" si="12"/>
        <v>710069.19377336826</v>
      </c>
      <c r="AR24" s="245">
        <f t="shared" ca="1" si="12"/>
        <v>711346.93264425884</v>
      </c>
      <c r="AS24" s="245">
        <f t="shared" ca="1" si="12"/>
        <v>710658.37190429762</v>
      </c>
      <c r="AT24" s="245">
        <f t="shared" ca="1" si="12"/>
        <v>709965.38094380288</v>
      </c>
      <c r="AU24" s="245">
        <f t="shared" ca="1" si="12"/>
        <v>709267.9312586023</v>
      </c>
      <c r="AV24" s="245">
        <f t="shared" ca="1" si="12"/>
        <v>708565.99416112702</v>
      </c>
      <c r="AW24" s="245">
        <f t="shared" ca="1" si="12"/>
        <v>707859.54077923123</v>
      </c>
      <c r="AX24" s="245">
        <f t="shared" ca="1" si="12"/>
        <v>707148.54205500497</v>
      </c>
      <c r="AY24" s="245">
        <f t="shared" ca="1" si="12"/>
        <v>706432.96874357888</v>
      </c>
      <c r="AZ24" s="245">
        <f t="shared" ca="1" si="12"/>
        <v>705712.79141192115</v>
      </c>
      <c r="BA24" s="245">
        <f t="shared" ca="1" si="12"/>
        <v>704987.98043762695</v>
      </c>
      <c r="BB24" s="245">
        <f t="shared" ca="1" si="12"/>
        <v>704258.50600770011</v>
      </c>
      <c r="BC24" s="245">
        <f t="shared" ca="1" si="12"/>
        <v>703524.33811732661</v>
      </c>
      <c r="BD24" s="245">
        <f t="shared" ca="1" si="12"/>
        <v>702785.44656864065</v>
      </c>
      <c r="BE24" s="245">
        <f t="shared" ca="1" si="12"/>
        <v>701603.01860921143</v>
      </c>
      <c r="BF24" s="245">
        <f t="shared" ca="1" si="12"/>
        <v>700412.98287268833</v>
      </c>
      <c r="BG24" s="245">
        <f t="shared" ca="1" si="12"/>
        <v>699215.29041040444</v>
      </c>
      <c r="BH24" s="245">
        <f t="shared" ca="1" si="12"/>
        <v>698009.89195875567</v>
      </c>
      <c r="BI24" s="245">
        <f t="shared" ca="1" si="12"/>
        <v>696796.73793717439</v>
      </c>
      <c r="BJ24" s="245">
        <f t="shared" ca="1" si="12"/>
        <v>695575.77844609017</v>
      </c>
      <c r="BK24" s="245">
        <f t="shared" ca="1" si="12"/>
        <v>694346.96326487733</v>
      </c>
      <c r="BL24" s="245">
        <f t="shared" ca="1" si="12"/>
        <v>693110.24184978893</v>
      </c>
      <c r="BM24" s="245">
        <f t="shared" ca="1" si="12"/>
        <v>691865.56333187816</v>
      </c>
      <c r="BN24" s="245">
        <f t="shared" ca="1" si="12"/>
        <v>690612.87651490583</v>
      </c>
      <c r="BO24" s="245">
        <f t="shared" ca="1" si="12"/>
        <v>689352.12987323466</v>
      </c>
      <c r="BP24" s="246">
        <f t="shared" ca="1" si="12"/>
        <v>688083.27154970996</v>
      </c>
      <c r="BQ24" s="245">
        <f t="shared" ca="1" si="12"/>
        <v>686367.46699325531</v>
      </c>
      <c r="BR24" s="246">
        <f t="shared" ca="1" si="12"/>
        <v>684640.62289862148</v>
      </c>
      <c r="BS24" s="245">
        <f t="shared" ca="1" si="12"/>
        <v>682902.66823708755</v>
      </c>
      <c r="BT24" s="246">
        <f t="shared" ca="1" si="12"/>
        <v>681153.53152293141</v>
      </c>
      <c r="BU24" s="245">
        <f t="shared" ca="1" si="12"/>
        <v>679393.14081048989</v>
      </c>
      <c r="BV24" s="246">
        <f t="shared" ref="BV24:CN24" ca="1" si="13">SUM(BV20:BV23)</f>
        <v>677621.42369119916</v>
      </c>
      <c r="BW24" s="245">
        <f t="shared" ca="1" si="13"/>
        <v>675838.30729061656</v>
      </c>
      <c r="BX24" s="246">
        <f t="shared" ca="1" si="13"/>
        <v>674043.71826542297</v>
      </c>
      <c r="BY24" s="245">
        <f t="shared" ca="1" si="13"/>
        <v>672237.58280040615</v>
      </c>
      <c r="BZ24" s="246">
        <f t="shared" ca="1" si="13"/>
        <v>670419.82660542475</v>
      </c>
      <c r="CA24" s="245">
        <f t="shared" ca="1" si="13"/>
        <v>668590.37491235218</v>
      </c>
      <c r="CB24" s="246">
        <f t="shared" ca="1" si="13"/>
        <v>666749.1524720015</v>
      </c>
      <c r="CC24" s="245">
        <f t="shared" ca="1" si="13"/>
        <v>664457.3011907594</v>
      </c>
      <c r="CD24" s="246">
        <f t="shared" ca="1" si="13"/>
        <v>662150.7040693661</v>
      </c>
      <c r="CE24" s="245">
        <f t="shared" ca="1" si="13"/>
        <v>659829.26623264211</v>
      </c>
      <c r="CF24" s="246">
        <f t="shared" ca="1" si="13"/>
        <v>657492.89219497808</v>
      </c>
      <c r="CG24" s="245">
        <f t="shared" ca="1" si="13"/>
        <v>655141.48585640755</v>
      </c>
      <c r="CH24" s="246">
        <f t="shared" ca="1" si="13"/>
        <v>652774.95049865381</v>
      </c>
      <c r="CI24" s="245">
        <f t="shared" ca="1" si="13"/>
        <v>650393.1887811519</v>
      </c>
      <c r="CJ24" s="246">
        <f t="shared" ca="1" si="13"/>
        <v>647996.10273704468</v>
      </c>
      <c r="CK24" s="245">
        <f t="shared" ca="1" si="13"/>
        <v>645583.59376915346</v>
      </c>
      <c r="CL24" s="246">
        <f t="shared" ca="1" si="13"/>
        <v>643155.56264592218</v>
      </c>
      <c r="CM24" s="245">
        <f t="shared" ca="1" si="13"/>
        <v>0</v>
      </c>
      <c r="CN24" s="246">
        <f t="shared" ca="1" si="13"/>
        <v>0</v>
      </c>
    </row>
    <row r="25" spans="1:92" ht="18">
      <c r="A25" s="204"/>
      <c r="B25" s="242"/>
      <c r="C25" s="243"/>
      <c r="D25" s="243"/>
      <c r="E25" s="251"/>
      <c r="F25" s="222"/>
      <c r="G25" s="222"/>
      <c r="H25" s="252"/>
      <c r="I25" s="252"/>
      <c r="J25" s="252"/>
      <c r="K25" s="252"/>
      <c r="L25" s="252"/>
      <c r="M25" s="252"/>
      <c r="N25" s="252"/>
      <c r="O25" s="252"/>
      <c r="P25" s="252"/>
      <c r="Q25" s="252"/>
      <c r="R25" s="252"/>
      <c r="S25" s="252"/>
      <c r="T25" s="252"/>
      <c r="U25" s="252"/>
      <c r="V25" s="252"/>
      <c r="W25" s="252"/>
      <c r="X25" s="252"/>
      <c r="Y25" s="252"/>
      <c r="Z25" s="252"/>
      <c r="AA25" s="252"/>
      <c r="AB25" s="252"/>
      <c r="AC25" s="252"/>
      <c r="AD25" s="252"/>
      <c r="AE25" s="252"/>
      <c r="AF25" s="252"/>
      <c r="AG25" s="252"/>
      <c r="AH25" s="252"/>
      <c r="AI25" s="252"/>
      <c r="AJ25" s="252"/>
      <c r="AK25" s="252"/>
      <c r="AL25" s="252"/>
      <c r="AM25" s="252"/>
      <c r="AN25" s="252"/>
      <c r="AO25" s="252"/>
      <c r="AP25" s="252"/>
      <c r="AQ25" s="252"/>
      <c r="AR25" s="252"/>
      <c r="AS25" s="252"/>
      <c r="AT25" s="252"/>
      <c r="AU25" s="252"/>
      <c r="AV25" s="252"/>
      <c r="AW25" s="252"/>
      <c r="AX25" s="252"/>
      <c r="AY25" s="252"/>
      <c r="AZ25" s="252"/>
      <c r="BA25" s="252"/>
      <c r="BB25" s="252"/>
      <c r="BC25" s="252"/>
      <c r="BD25" s="252"/>
      <c r="BE25" s="252"/>
      <c r="BF25" s="252"/>
      <c r="BG25" s="252"/>
      <c r="BH25" s="252"/>
      <c r="BI25" s="252"/>
      <c r="BJ25" s="252"/>
      <c r="BK25" s="252"/>
      <c r="BL25" s="252"/>
      <c r="BM25" s="252"/>
      <c r="BN25" s="252"/>
      <c r="BO25" s="252"/>
      <c r="BP25" s="253"/>
      <c r="BQ25" s="252"/>
      <c r="BR25" s="253"/>
      <c r="BS25" s="252"/>
      <c r="BT25" s="253"/>
      <c r="BU25" s="252"/>
      <c r="BV25" s="253"/>
      <c r="BW25" s="252"/>
      <c r="BX25" s="253"/>
      <c r="BY25" s="252"/>
      <c r="BZ25" s="253"/>
      <c r="CA25" s="252"/>
      <c r="CB25" s="253"/>
      <c r="CC25" s="252"/>
      <c r="CD25" s="253"/>
      <c r="CE25" s="252"/>
      <c r="CF25" s="253"/>
      <c r="CG25" s="252"/>
      <c r="CH25" s="253"/>
      <c r="CI25" s="252"/>
      <c r="CJ25" s="253"/>
      <c r="CK25" s="252"/>
      <c r="CL25" s="253"/>
      <c r="CM25" s="252"/>
      <c r="CN25" s="253"/>
    </row>
    <row r="26" spans="1:92" ht="18">
      <c r="A26" s="204"/>
      <c r="B26" s="242" t="s">
        <v>162</v>
      </c>
      <c r="C26" s="243">
        <f>C17</f>
        <v>0.95</v>
      </c>
      <c r="D26" s="225"/>
      <c r="E26" s="212">
        <f ca="1">SUM(H26:BP26)</f>
        <v>-228261.92658938508</v>
      </c>
      <c r="F26" s="244"/>
      <c r="G26" s="244"/>
      <c r="H26" s="245">
        <f ca="1">-H21-H23</f>
        <v>-1422759.6644491339</v>
      </c>
      <c r="I26" s="245">
        <f t="shared" ref="I26:BT26" ca="1" si="14">-I21-I23</f>
        <v>0</v>
      </c>
      <c r="J26" s="245">
        <f t="shared" ca="1" si="14"/>
        <v>0</v>
      </c>
      <c r="K26" s="245">
        <f t="shared" ca="1" si="14"/>
        <v>0</v>
      </c>
      <c r="L26" s="245">
        <f t="shared" ca="1" si="14"/>
        <v>0</v>
      </c>
      <c r="M26" s="245">
        <f t="shared" ca="1" si="14"/>
        <v>0</v>
      </c>
      <c r="N26" s="245">
        <f t="shared" ca="1" si="14"/>
        <v>0</v>
      </c>
      <c r="O26" s="245">
        <f t="shared" ca="1" si="14"/>
        <v>0</v>
      </c>
      <c r="P26" s="245">
        <f t="shared" ca="1" si="14"/>
        <v>0</v>
      </c>
      <c r="Q26" s="245">
        <f t="shared" ca="1" si="14"/>
        <v>0</v>
      </c>
      <c r="R26" s="245">
        <f t="shared" ca="1" si="14"/>
        <v>0</v>
      </c>
      <c r="S26" s="245">
        <f t="shared" ca="1" si="14"/>
        <v>0</v>
      </c>
      <c r="T26" s="245">
        <f t="shared" ca="1" si="14"/>
        <v>0</v>
      </c>
      <c r="U26" s="245">
        <f t="shared" ca="1" si="14"/>
        <v>5928.1652685380586</v>
      </c>
      <c r="V26" s="245">
        <f t="shared" ca="1" si="14"/>
        <v>5928.1652685380586</v>
      </c>
      <c r="W26" s="245">
        <f t="shared" ca="1" si="14"/>
        <v>5928.1652685380586</v>
      </c>
      <c r="X26" s="245">
        <f t="shared" ca="1" si="14"/>
        <v>5928.1652685380586</v>
      </c>
      <c r="Y26" s="245">
        <f t="shared" ca="1" si="14"/>
        <v>5928.1652685380586</v>
      </c>
      <c r="Z26" s="245">
        <f t="shared" ca="1" si="14"/>
        <v>5928.1652685380586</v>
      </c>
      <c r="AA26" s="245">
        <f t="shared" ca="1" si="14"/>
        <v>5928.1652685380586</v>
      </c>
      <c r="AB26" s="245">
        <f t="shared" ca="1" si="14"/>
        <v>5928.1652685380586</v>
      </c>
      <c r="AC26" s="245">
        <f t="shared" ca="1" si="14"/>
        <v>5928.1652685380586</v>
      </c>
      <c r="AD26" s="245">
        <f t="shared" ca="1" si="14"/>
        <v>5928.1652685380586</v>
      </c>
      <c r="AE26" s="245">
        <f t="shared" ca="1" si="14"/>
        <v>5928.1652685380586</v>
      </c>
      <c r="AF26" s="245">
        <f t="shared" ca="1" si="14"/>
        <v>5928.1652685380586</v>
      </c>
      <c r="AG26" s="245">
        <f t="shared" ca="1" si="14"/>
        <v>8892.2479028070866</v>
      </c>
      <c r="AH26" s="245">
        <f t="shared" ca="1" si="14"/>
        <v>8892.2479028070866</v>
      </c>
      <c r="AI26" s="245">
        <f t="shared" ca="1" si="14"/>
        <v>8892.2479028070866</v>
      </c>
      <c r="AJ26" s="245">
        <f t="shared" ca="1" si="14"/>
        <v>8892.2479028070866</v>
      </c>
      <c r="AK26" s="245">
        <f t="shared" ca="1" si="14"/>
        <v>8892.2479028070866</v>
      </c>
      <c r="AL26" s="245">
        <f t="shared" ca="1" si="14"/>
        <v>8892.2479028070866</v>
      </c>
      <c r="AM26" s="245">
        <f t="shared" ca="1" si="14"/>
        <v>8892.2479028070866</v>
      </c>
      <c r="AN26" s="245">
        <f t="shared" ca="1" si="14"/>
        <v>8892.2479028070866</v>
      </c>
      <c r="AO26" s="245">
        <f t="shared" ca="1" si="14"/>
        <v>8892.2479028070866</v>
      </c>
      <c r="AP26" s="245">
        <f t="shared" ca="1" si="14"/>
        <v>8892.2479028070866</v>
      </c>
      <c r="AQ26" s="245">
        <f t="shared" ca="1" si="14"/>
        <v>899511.69982586254</v>
      </c>
      <c r="AR26" s="245">
        <f t="shared" ca="1" si="14"/>
        <v>3290.8677020331529</v>
      </c>
      <c r="AS26" s="245">
        <f t="shared" ca="1" si="14"/>
        <v>5265.3883232530443</v>
      </c>
      <c r="AT26" s="245">
        <f t="shared" ca="1" si="14"/>
        <v>5265.3883232530443</v>
      </c>
      <c r="AU26" s="245">
        <f t="shared" ca="1" si="14"/>
        <v>5265.3883232530443</v>
      </c>
      <c r="AV26" s="245">
        <f t="shared" ca="1" si="14"/>
        <v>5265.3883232530443</v>
      </c>
      <c r="AW26" s="245">
        <f t="shared" ca="1" si="14"/>
        <v>5265.3883232530443</v>
      </c>
      <c r="AX26" s="245">
        <f t="shared" ca="1" si="14"/>
        <v>5265.3883232530443</v>
      </c>
      <c r="AY26" s="245">
        <f t="shared" ca="1" si="14"/>
        <v>5265.3883232530443</v>
      </c>
      <c r="AZ26" s="245">
        <f t="shared" ca="1" si="14"/>
        <v>5265.3883232530443</v>
      </c>
      <c r="BA26" s="245">
        <f t="shared" ca="1" si="14"/>
        <v>5265.3883232530443</v>
      </c>
      <c r="BB26" s="245">
        <f t="shared" ca="1" si="14"/>
        <v>5265.3883232530443</v>
      </c>
      <c r="BC26" s="245">
        <f t="shared" ca="1" si="14"/>
        <v>5265.3883232530443</v>
      </c>
      <c r="BD26" s="245">
        <f t="shared" ca="1" si="14"/>
        <v>5265.3883232530443</v>
      </c>
      <c r="BE26" s="245">
        <f t="shared" ca="1" si="14"/>
        <v>5704.170683524133</v>
      </c>
      <c r="BF26" s="245">
        <f t="shared" ca="1" si="14"/>
        <v>5704.170683524133</v>
      </c>
      <c r="BG26" s="245">
        <f t="shared" ca="1" si="14"/>
        <v>5704.170683524133</v>
      </c>
      <c r="BH26" s="245">
        <f t="shared" ca="1" si="14"/>
        <v>5704.170683524133</v>
      </c>
      <c r="BI26" s="245">
        <f t="shared" ca="1" si="14"/>
        <v>5704.170683524133</v>
      </c>
      <c r="BJ26" s="245">
        <f t="shared" ca="1" si="14"/>
        <v>5704.170683524133</v>
      </c>
      <c r="BK26" s="245">
        <f t="shared" ca="1" si="14"/>
        <v>5704.170683524133</v>
      </c>
      <c r="BL26" s="245">
        <f t="shared" ca="1" si="14"/>
        <v>5704.170683524133</v>
      </c>
      <c r="BM26" s="245">
        <f t="shared" ca="1" si="14"/>
        <v>5704.170683524133</v>
      </c>
      <c r="BN26" s="245">
        <f t="shared" ca="1" si="14"/>
        <v>5704.170683524133</v>
      </c>
      <c r="BO26" s="245">
        <f t="shared" ca="1" si="14"/>
        <v>5704.170683524133</v>
      </c>
      <c r="BP26" s="246">
        <f t="shared" ca="1" si="14"/>
        <v>5704.170683524133</v>
      </c>
      <c r="BQ26" s="245">
        <f t="shared" ca="1" si="14"/>
        <v>6142.9530437952199</v>
      </c>
      <c r="BR26" s="246">
        <f t="shared" ca="1" si="14"/>
        <v>6142.9530437952199</v>
      </c>
      <c r="BS26" s="245">
        <f t="shared" ca="1" si="14"/>
        <v>6142.9530437952199</v>
      </c>
      <c r="BT26" s="246">
        <f t="shared" ca="1" si="14"/>
        <v>6142.9530437952199</v>
      </c>
      <c r="BU26" s="245">
        <f t="shared" ref="BU26:CN26" ca="1" si="15">-BU21-BU23</f>
        <v>6142.9530437952199</v>
      </c>
      <c r="BV26" s="246">
        <f t="shared" ca="1" si="15"/>
        <v>6142.9530437952199</v>
      </c>
      <c r="BW26" s="245">
        <f t="shared" ca="1" si="15"/>
        <v>6142.9530437952199</v>
      </c>
      <c r="BX26" s="246">
        <f t="shared" ca="1" si="15"/>
        <v>6142.9530437952199</v>
      </c>
      <c r="BY26" s="245">
        <f t="shared" ca="1" si="15"/>
        <v>6142.9530437952199</v>
      </c>
      <c r="BZ26" s="246">
        <f t="shared" ca="1" si="15"/>
        <v>6142.9530437952199</v>
      </c>
      <c r="CA26" s="245">
        <f t="shared" ca="1" si="15"/>
        <v>6142.9530437952199</v>
      </c>
      <c r="CB26" s="246">
        <f t="shared" ca="1" si="15"/>
        <v>6142.9530437952199</v>
      </c>
      <c r="CC26" s="245">
        <f t="shared" ca="1" si="15"/>
        <v>6581.7354040663058</v>
      </c>
      <c r="CD26" s="246">
        <f t="shared" ca="1" si="15"/>
        <v>6581.7354040663058</v>
      </c>
      <c r="CE26" s="245">
        <f t="shared" ca="1" si="15"/>
        <v>6581.7354040663058</v>
      </c>
      <c r="CF26" s="246">
        <f t="shared" ca="1" si="15"/>
        <v>6581.7354040663058</v>
      </c>
      <c r="CG26" s="245">
        <f t="shared" ca="1" si="15"/>
        <v>6581.7354040663058</v>
      </c>
      <c r="CH26" s="246">
        <f t="shared" ca="1" si="15"/>
        <v>6581.7354040663058</v>
      </c>
      <c r="CI26" s="245">
        <f t="shared" ca="1" si="15"/>
        <v>6581.7354040663058</v>
      </c>
      <c r="CJ26" s="246">
        <f t="shared" ca="1" si="15"/>
        <v>6581.7354040663058</v>
      </c>
      <c r="CK26" s="245">
        <f t="shared" ca="1" si="15"/>
        <v>6581.7354040663058</v>
      </c>
      <c r="CL26" s="246">
        <f t="shared" ca="1" si="15"/>
        <v>6581.7354040663058</v>
      </c>
      <c r="CM26" s="245">
        <f t="shared" ca="1" si="15"/>
        <v>647293.64490140229</v>
      </c>
      <c r="CN26" s="246">
        <f t="shared" si="15"/>
        <v>0</v>
      </c>
    </row>
    <row r="27" spans="1:92" ht="18">
      <c r="A27" s="204"/>
      <c r="B27" s="242" t="s">
        <v>163</v>
      </c>
      <c r="C27" s="243">
        <f>C16</f>
        <v>0.05</v>
      </c>
      <c r="D27" s="254"/>
      <c r="E27" s="212">
        <f t="shared" ref="E27" ca="1" si="16">SUM(H27:BP27)</f>
        <v>62868.301992618399</v>
      </c>
      <c r="F27" s="255"/>
      <c r="G27" s="255"/>
      <c r="H27" s="245">
        <f>-H23/$C$26*$C$27</f>
        <v>0</v>
      </c>
      <c r="I27" s="245">
        <f ca="1">-I23/$C$26*$C$27</f>
        <v>0</v>
      </c>
      <c r="J27" s="245">
        <f t="shared" ref="J27:BU27" ca="1" si="17">-J23/$C$26*$C$27</f>
        <v>0</v>
      </c>
      <c r="K27" s="245">
        <f t="shared" ca="1" si="17"/>
        <v>0</v>
      </c>
      <c r="L27" s="245">
        <f t="shared" ca="1" si="17"/>
        <v>0</v>
      </c>
      <c r="M27" s="245">
        <f t="shared" ca="1" si="17"/>
        <v>0</v>
      </c>
      <c r="N27" s="245">
        <f t="shared" ca="1" si="17"/>
        <v>0</v>
      </c>
      <c r="O27" s="245">
        <f t="shared" ca="1" si="17"/>
        <v>0</v>
      </c>
      <c r="P27" s="245">
        <f t="shared" ca="1" si="17"/>
        <v>0</v>
      </c>
      <c r="Q27" s="245">
        <f t="shared" ca="1" si="17"/>
        <v>0</v>
      </c>
      <c r="R27" s="245">
        <f t="shared" ca="1" si="17"/>
        <v>0</v>
      </c>
      <c r="S27" s="245">
        <f t="shared" ca="1" si="17"/>
        <v>0</v>
      </c>
      <c r="T27" s="245">
        <f t="shared" ca="1" si="17"/>
        <v>0</v>
      </c>
      <c r="U27" s="245">
        <f t="shared" ca="1" si="17"/>
        <v>312.00869834410838</v>
      </c>
      <c r="V27" s="245">
        <f t="shared" ca="1" si="17"/>
        <v>312.00869834410838</v>
      </c>
      <c r="W27" s="245">
        <f t="shared" ca="1" si="17"/>
        <v>312.00869834410838</v>
      </c>
      <c r="X27" s="245">
        <f t="shared" ca="1" si="17"/>
        <v>312.00869834410838</v>
      </c>
      <c r="Y27" s="245">
        <f t="shared" ca="1" si="17"/>
        <v>312.00869834410838</v>
      </c>
      <c r="Z27" s="245">
        <f t="shared" ca="1" si="17"/>
        <v>312.00869834410838</v>
      </c>
      <c r="AA27" s="245">
        <f t="shared" ca="1" si="17"/>
        <v>312.00869834410838</v>
      </c>
      <c r="AB27" s="245">
        <f t="shared" ca="1" si="17"/>
        <v>312.00869834410838</v>
      </c>
      <c r="AC27" s="245">
        <f t="shared" ca="1" si="17"/>
        <v>312.00869834410838</v>
      </c>
      <c r="AD27" s="245">
        <f t="shared" ca="1" si="17"/>
        <v>312.00869834410838</v>
      </c>
      <c r="AE27" s="245">
        <f t="shared" ca="1" si="17"/>
        <v>312.00869834410838</v>
      </c>
      <c r="AF27" s="245">
        <f t="shared" ca="1" si="17"/>
        <v>312.00869834410838</v>
      </c>
      <c r="AG27" s="245">
        <f t="shared" ca="1" si="17"/>
        <v>468.01304751616249</v>
      </c>
      <c r="AH27" s="245">
        <f t="shared" ca="1" si="17"/>
        <v>468.01304751616249</v>
      </c>
      <c r="AI27" s="245">
        <f t="shared" ca="1" si="17"/>
        <v>468.01304751616249</v>
      </c>
      <c r="AJ27" s="245">
        <f t="shared" ca="1" si="17"/>
        <v>468.01304751616249</v>
      </c>
      <c r="AK27" s="245">
        <f t="shared" ca="1" si="17"/>
        <v>468.01304751616249</v>
      </c>
      <c r="AL27" s="245">
        <f t="shared" ca="1" si="17"/>
        <v>468.01304751616249</v>
      </c>
      <c r="AM27" s="245">
        <f t="shared" ca="1" si="17"/>
        <v>468.01304751616249</v>
      </c>
      <c r="AN27" s="245">
        <f t="shared" ca="1" si="17"/>
        <v>468.01304751616249</v>
      </c>
      <c r="AO27" s="245">
        <f t="shared" ca="1" si="17"/>
        <v>468.01304751616249</v>
      </c>
      <c r="AP27" s="245">
        <f t="shared" ca="1" si="17"/>
        <v>468.01304751616249</v>
      </c>
      <c r="AQ27" s="245">
        <f t="shared" ca="1" si="17"/>
        <v>47342.721043466452</v>
      </c>
      <c r="AR27" s="245">
        <f t="shared" ca="1" si="17"/>
        <v>173.20356326490281</v>
      </c>
      <c r="AS27" s="245">
        <f t="shared" ca="1" si="17"/>
        <v>277.12570122384449</v>
      </c>
      <c r="AT27" s="245">
        <f t="shared" ca="1" si="17"/>
        <v>277.12570122384449</v>
      </c>
      <c r="AU27" s="245">
        <f t="shared" ca="1" si="17"/>
        <v>277.12570122384449</v>
      </c>
      <c r="AV27" s="245">
        <f t="shared" ca="1" si="17"/>
        <v>277.12570122384449</v>
      </c>
      <c r="AW27" s="245">
        <f t="shared" ca="1" si="17"/>
        <v>277.12570122384449</v>
      </c>
      <c r="AX27" s="245">
        <f t="shared" ca="1" si="17"/>
        <v>277.12570122384449</v>
      </c>
      <c r="AY27" s="245">
        <f t="shared" ca="1" si="17"/>
        <v>277.12570122384449</v>
      </c>
      <c r="AZ27" s="245">
        <f t="shared" ca="1" si="17"/>
        <v>277.12570122384449</v>
      </c>
      <c r="BA27" s="245">
        <f t="shared" ca="1" si="17"/>
        <v>277.12570122384449</v>
      </c>
      <c r="BB27" s="245">
        <f t="shared" ca="1" si="17"/>
        <v>277.12570122384449</v>
      </c>
      <c r="BC27" s="245">
        <f t="shared" ca="1" si="17"/>
        <v>277.12570122384449</v>
      </c>
      <c r="BD27" s="245">
        <f t="shared" ca="1" si="17"/>
        <v>277.12570122384449</v>
      </c>
      <c r="BE27" s="245">
        <f t="shared" ca="1" si="17"/>
        <v>300.21950965916488</v>
      </c>
      <c r="BF27" s="245">
        <f t="shared" ca="1" si="17"/>
        <v>300.21950965916488</v>
      </c>
      <c r="BG27" s="245">
        <f t="shared" ca="1" si="17"/>
        <v>300.21950965916488</v>
      </c>
      <c r="BH27" s="245">
        <f t="shared" ca="1" si="17"/>
        <v>300.21950965916488</v>
      </c>
      <c r="BI27" s="245">
        <f t="shared" ca="1" si="17"/>
        <v>300.21950965916488</v>
      </c>
      <c r="BJ27" s="245">
        <f t="shared" ca="1" si="17"/>
        <v>300.21950965916488</v>
      </c>
      <c r="BK27" s="245">
        <f t="shared" ca="1" si="17"/>
        <v>300.21950965916488</v>
      </c>
      <c r="BL27" s="245">
        <f t="shared" ca="1" si="17"/>
        <v>300.21950965916488</v>
      </c>
      <c r="BM27" s="245">
        <f t="shared" ca="1" si="17"/>
        <v>300.21950965916488</v>
      </c>
      <c r="BN27" s="245">
        <f t="shared" ca="1" si="17"/>
        <v>300.21950965916488</v>
      </c>
      <c r="BO27" s="245">
        <f t="shared" ca="1" si="17"/>
        <v>300.21950965916488</v>
      </c>
      <c r="BP27" s="246">
        <f t="shared" ca="1" si="17"/>
        <v>300.21950965916488</v>
      </c>
      <c r="BQ27" s="245">
        <f t="shared" ca="1" si="17"/>
        <v>323.31331809448528</v>
      </c>
      <c r="BR27" s="246">
        <f t="shared" ca="1" si="17"/>
        <v>323.31331809448528</v>
      </c>
      <c r="BS27" s="245">
        <f t="shared" ca="1" si="17"/>
        <v>323.31331809448528</v>
      </c>
      <c r="BT27" s="246">
        <f t="shared" ca="1" si="17"/>
        <v>323.31331809448528</v>
      </c>
      <c r="BU27" s="245">
        <f t="shared" ca="1" si="17"/>
        <v>323.31331809448528</v>
      </c>
      <c r="BV27" s="246">
        <f t="shared" ref="BV27:CN27" ca="1" si="18">-BV23/$C$26*$C$27</f>
        <v>323.31331809448528</v>
      </c>
      <c r="BW27" s="245">
        <f t="shared" ca="1" si="18"/>
        <v>323.31331809448528</v>
      </c>
      <c r="BX27" s="246">
        <f t="shared" ca="1" si="18"/>
        <v>323.31331809448528</v>
      </c>
      <c r="BY27" s="245">
        <f t="shared" ca="1" si="18"/>
        <v>323.31331809448528</v>
      </c>
      <c r="BZ27" s="246">
        <f t="shared" ca="1" si="18"/>
        <v>323.31331809448528</v>
      </c>
      <c r="CA27" s="245">
        <f t="shared" ca="1" si="18"/>
        <v>323.31331809448528</v>
      </c>
      <c r="CB27" s="246">
        <f t="shared" ca="1" si="18"/>
        <v>323.31331809448528</v>
      </c>
      <c r="CC27" s="245">
        <f t="shared" ca="1" si="18"/>
        <v>346.40712652980562</v>
      </c>
      <c r="CD27" s="246">
        <f t="shared" ca="1" si="18"/>
        <v>346.40712652980562</v>
      </c>
      <c r="CE27" s="245">
        <f t="shared" ca="1" si="18"/>
        <v>346.40712652980562</v>
      </c>
      <c r="CF27" s="246">
        <f t="shared" ca="1" si="18"/>
        <v>346.40712652980562</v>
      </c>
      <c r="CG27" s="245">
        <f t="shared" ca="1" si="18"/>
        <v>346.40712652980562</v>
      </c>
      <c r="CH27" s="246">
        <f t="shared" ca="1" si="18"/>
        <v>346.40712652980562</v>
      </c>
      <c r="CI27" s="245">
        <f t="shared" ca="1" si="18"/>
        <v>346.40712652980562</v>
      </c>
      <c r="CJ27" s="246">
        <f t="shared" ca="1" si="18"/>
        <v>346.40712652980562</v>
      </c>
      <c r="CK27" s="245">
        <f t="shared" ca="1" si="18"/>
        <v>346.40712652980562</v>
      </c>
      <c r="CL27" s="246">
        <f t="shared" ca="1" si="18"/>
        <v>346.40712652980562</v>
      </c>
      <c r="CM27" s="245">
        <f t="shared" ca="1" si="18"/>
        <v>34068.086573758017</v>
      </c>
      <c r="CN27" s="246">
        <f t="shared" si="18"/>
        <v>0</v>
      </c>
    </row>
    <row r="28" spans="1:92" ht="18">
      <c r="A28" s="204"/>
      <c r="B28" s="256"/>
      <c r="C28" s="257"/>
      <c r="D28" s="257"/>
      <c r="E28" s="212"/>
      <c r="F28" s="244"/>
      <c r="G28" s="244"/>
      <c r="H28" s="258"/>
      <c r="I28" s="258"/>
      <c r="J28" s="258"/>
      <c r="K28" s="258"/>
      <c r="L28" s="258"/>
      <c r="M28" s="258"/>
      <c r="N28" s="258"/>
      <c r="O28" s="258"/>
      <c r="P28" s="258"/>
      <c r="Q28" s="258"/>
      <c r="R28" s="258"/>
      <c r="S28" s="258"/>
      <c r="T28" s="258"/>
      <c r="U28" s="258"/>
      <c r="V28" s="258"/>
      <c r="W28" s="258"/>
      <c r="X28" s="258"/>
      <c r="Y28" s="258"/>
      <c r="Z28" s="258"/>
      <c r="AA28" s="258"/>
      <c r="AB28" s="258"/>
      <c r="AC28" s="258"/>
      <c r="AD28" s="258"/>
      <c r="AE28" s="258"/>
      <c r="AF28" s="258"/>
      <c r="AG28" s="258"/>
      <c r="AH28" s="258"/>
      <c r="AI28" s="258"/>
      <c r="AJ28" s="258"/>
      <c r="AK28" s="258"/>
      <c r="AL28" s="258"/>
      <c r="AM28" s="258"/>
      <c r="AN28" s="258"/>
      <c r="AO28" s="258"/>
      <c r="AP28" s="258"/>
      <c r="AQ28" s="258"/>
      <c r="AR28" s="258"/>
      <c r="AS28" s="258"/>
      <c r="AT28" s="258"/>
      <c r="AU28" s="258"/>
      <c r="AV28" s="258"/>
      <c r="AW28" s="258"/>
      <c r="AX28" s="258"/>
      <c r="AY28" s="258"/>
      <c r="AZ28" s="258"/>
      <c r="BA28" s="258"/>
      <c r="BB28" s="258"/>
      <c r="BC28" s="258"/>
      <c r="BD28" s="258"/>
      <c r="BE28" s="258"/>
      <c r="BF28" s="258"/>
      <c r="BG28" s="258"/>
      <c r="BH28" s="258"/>
      <c r="BI28" s="258"/>
      <c r="BJ28" s="258"/>
      <c r="BK28" s="258"/>
      <c r="BL28" s="258"/>
      <c r="BM28" s="258"/>
      <c r="BN28" s="258"/>
      <c r="BO28" s="258"/>
      <c r="BP28" s="259"/>
      <c r="BQ28" s="258"/>
      <c r="BR28" s="259"/>
      <c r="BS28" s="258"/>
      <c r="BT28" s="259"/>
      <c r="BU28" s="258"/>
      <c r="BV28" s="259"/>
      <c r="BW28" s="258"/>
      <c r="BX28" s="259"/>
      <c r="BY28" s="258"/>
      <c r="BZ28" s="259"/>
      <c r="CA28" s="258"/>
      <c r="CB28" s="259"/>
      <c r="CC28" s="258"/>
      <c r="CD28" s="259"/>
      <c r="CE28" s="258"/>
      <c r="CF28" s="259"/>
      <c r="CG28" s="258"/>
      <c r="CH28" s="259"/>
      <c r="CI28" s="258"/>
      <c r="CJ28" s="259"/>
      <c r="CK28" s="258"/>
      <c r="CL28" s="259"/>
      <c r="CM28" s="258"/>
      <c r="CN28" s="259"/>
    </row>
    <row r="29" spans="1:92" ht="18">
      <c r="A29" s="204"/>
      <c r="B29" s="260" t="s">
        <v>164</v>
      </c>
      <c r="C29" s="261"/>
      <c r="D29" s="261"/>
      <c r="E29" s="262">
        <f t="shared" ref="E29" ca="1" si="19">SUM(H29:BP29)</f>
        <v>4.5474735088646412E-13</v>
      </c>
      <c r="F29" s="247"/>
      <c r="G29" s="247"/>
      <c r="H29" s="263">
        <f ca="1">IF(H13&gt;0,H13-SUM(H26:H27),0)</f>
        <v>0</v>
      </c>
      <c r="I29" s="263">
        <f ca="1">IF(I13&gt;0,I13-SUM(I26:I27),0)</f>
        <v>0</v>
      </c>
      <c r="J29" s="263">
        <f t="shared" ref="J29:BU29" ca="1" si="20">IF(J13&gt;0,J13-SUM(J26:J27),0)</f>
        <v>0</v>
      </c>
      <c r="K29" s="263">
        <f t="shared" ca="1" si="20"/>
        <v>0</v>
      </c>
      <c r="L29" s="263">
        <f t="shared" ca="1" si="20"/>
        <v>0</v>
      </c>
      <c r="M29" s="263">
        <f t="shared" ca="1" si="20"/>
        <v>0</v>
      </c>
      <c r="N29" s="263">
        <f t="shared" ca="1" si="20"/>
        <v>0</v>
      </c>
      <c r="O29" s="263">
        <f t="shared" ca="1" si="20"/>
        <v>0</v>
      </c>
      <c r="P29" s="263">
        <f t="shared" ca="1" si="20"/>
        <v>0</v>
      </c>
      <c r="Q29" s="263">
        <f t="shared" ca="1" si="20"/>
        <v>0</v>
      </c>
      <c r="R29" s="263">
        <f t="shared" ca="1" si="20"/>
        <v>0</v>
      </c>
      <c r="S29" s="263">
        <f t="shared" ca="1" si="20"/>
        <v>0</v>
      </c>
      <c r="T29" s="263">
        <f t="shared" ca="1" si="20"/>
        <v>0</v>
      </c>
      <c r="U29" s="263">
        <f t="shared" ca="1" si="20"/>
        <v>0</v>
      </c>
      <c r="V29" s="263">
        <f t="shared" ca="1" si="20"/>
        <v>0</v>
      </c>
      <c r="W29" s="263">
        <f t="shared" ca="1" si="20"/>
        <v>0</v>
      </c>
      <c r="X29" s="263">
        <f t="shared" ca="1" si="20"/>
        <v>0</v>
      </c>
      <c r="Y29" s="263">
        <f t="shared" ca="1" si="20"/>
        <v>0</v>
      </c>
      <c r="Z29" s="263">
        <f t="shared" ca="1" si="20"/>
        <v>0</v>
      </c>
      <c r="AA29" s="263">
        <f t="shared" ca="1" si="20"/>
        <v>0</v>
      </c>
      <c r="AB29" s="263">
        <f t="shared" ca="1" si="20"/>
        <v>0</v>
      </c>
      <c r="AC29" s="263">
        <f t="shared" ca="1" si="20"/>
        <v>0</v>
      </c>
      <c r="AD29" s="263">
        <f t="shared" ca="1" si="20"/>
        <v>0</v>
      </c>
      <c r="AE29" s="263">
        <f t="shared" ca="1" si="20"/>
        <v>0</v>
      </c>
      <c r="AF29" s="263">
        <f t="shared" ca="1" si="20"/>
        <v>0</v>
      </c>
      <c r="AG29" s="263">
        <f t="shared" ca="1" si="20"/>
        <v>0</v>
      </c>
      <c r="AH29" s="263">
        <f t="shared" ca="1" si="20"/>
        <v>0</v>
      </c>
      <c r="AI29" s="263">
        <f t="shared" ca="1" si="20"/>
        <v>0</v>
      </c>
      <c r="AJ29" s="263">
        <f t="shared" ca="1" si="20"/>
        <v>0</v>
      </c>
      <c r="AK29" s="263">
        <f t="shared" ca="1" si="20"/>
        <v>0</v>
      </c>
      <c r="AL29" s="263">
        <f t="shared" ca="1" si="20"/>
        <v>0</v>
      </c>
      <c r="AM29" s="263">
        <f t="shared" ca="1" si="20"/>
        <v>0</v>
      </c>
      <c r="AN29" s="263">
        <f t="shared" ca="1" si="20"/>
        <v>0</v>
      </c>
      <c r="AO29" s="263">
        <f t="shared" ca="1" si="20"/>
        <v>0</v>
      </c>
      <c r="AP29" s="263">
        <f t="shared" ca="1" si="20"/>
        <v>0</v>
      </c>
      <c r="AQ29" s="263">
        <f t="shared" ca="1" si="20"/>
        <v>0</v>
      </c>
      <c r="AR29" s="263">
        <f t="shared" ca="1" si="20"/>
        <v>4.5474735088646412E-13</v>
      </c>
      <c r="AS29" s="263">
        <f t="shared" ca="1" si="20"/>
        <v>0</v>
      </c>
      <c r="AT29" s="263">
        <f t="shared" ca="1" si="20"/>
        <v>0</v>
      </c>
      <c r="AU29" s="263">
        <f t="shared" ca="1" si="20"/>
        <v>0</v>
      </c>
      <c r="AV29" s="263">
        <f t="shared" ca="1" si="20"/>
        <v>0</v>
      </c>
      <c r="AW29" s="263">
        <f t="shared" ca="1" si="20"/>
        <v>0</v>
      </c>
      <c r="AX29" s="263">
        <f t="shared" ca="1" si="20"/>
        <v>0</v>
      </c>
      <c r="AY29" s="263">
        <f t="shared" ca="1" si="20"/>
        <v>0</v>
      </c>
      <c r="AZ29" s="263">
        <f t="shared" ca="1" si="20"/>
        <v>0</v>
      </c>
      <c r="BA29" s="263">
        <f t="shared" ca="1" si="20"/>
        <v>0</v>
      </c>
      <c r="BB29" s="263">
        <f t="shared" ca="1" si="20"/>
        <v>0</v>
      </c>
      <c r="BC29" s="263">
        <f t="shared" ca="1" si="20"/>
        <v>0</v>
      </c>
      <c r="BD29" s="263">
        <f t="shared" ca="1" si="20"/>
        <v>0</v>
      </c>
      <c r="BE29" s="263">
        <f t="shared" ca="1" si="20"/>
        <v>0</v>
      </c>
      <c r="BF29" s="263">
        <f t="shared" ca="1" si="20"/>
        <v>0</v>
      </c>
      <c r="BG29" s="263">
        <f t="shared" ca="1" si="20"/>
        <v>0</v>
      </c>
      <c r="BH29" s="263">
        <f t="shared" ca="1" si="20"/>
        <v>0</v>
      </c>
      <c r="BI29" s="263">
        <f t="shared" ca="1" si="20"/>
        <v>0</v>
      </c>
      <c r="BJ29" s="263">
        <f t="shared" ca="1" si="20"/>
        <v>0</v>
      </c>
      <c r="BK29" s="263">
        <f t="shared" ca="1" si="20"/>
        <v>0</v>
      </c>
      <c r="BL29" s="263">
        <f t="shared" ca="1" si="20"/>
        <v>0</v>
      </c>
      <c r="BM29" s="263">
        <f t="shared" ca="1" si="20"/>
        <v>0</v>
      </c>
      <c r="BN29" s="263">
        <f t="shared" ca="1" si="20"/>
        <v>0</v>
      </c>
      <c r="BO29" s="263">
        <f t="shared" ca="1" si="20"/>
        <v>0</v>
      </c>
      <c r="BP29" s="264">
        <f t="shared" ca="1" si="20"/>
        <v>0</v>
      </c>
      <c r="BQ29" s="263">
        <f t="shared" ca="1" si="20"/>
        <v>9.0949470177292824E-13</v>
      </c>
      <c r="BR29" s="264">
        <f t="shared" ca="1" si="20"/>
        <v>9.0949470177292824E-13</v>
      </c>
      <c r="BS29" s="263">
        <f t="shared" ca="1" si="20"/>
        <v>9.0949470177292824E-13</v>
      </c>
      <c r="BT29" s="264">
        <f t="shared" ca="1" si="20"/>
        <v>9.0949470177292824E-13</v>
      </c>
      <c r="BU29" s="263">
        <f t="shared" ca="1" si="20"/>
        <v>9.0949470177292824E-13</v>
      </c>
      <c r="BV29" s="264">
        <f t="shared" ref="BV29:CN29" ca="1" si="21">IF(BV13&gt;0,BV13-SUM(BV26:BV27),0)</f>
        <v>9.0949470177292824E-13</v>
      </c>
      <c r="BW29" s="263">
        <f t="shared" ca="1" si="21"/>
        <v>9.0949470177292824E-13</v>
      </c>
      <c r="BX29" s="264">
        <f t="shared" ca="1" si="21"/>
        <v>9.0949470177292824E-13</v>
      </c>
      <c r="BY29" s="263">
        <f t="shared" ca="1" si="21"/>
        <v>9.0949470177292824E-13</v>
      </c>
      <c r="BZ29" s="264">
        <f t="shared" ca="1" si="21"/>
        <v>9.0949470177292824E-13</v>
      </c>
      <c r="CA29" s="263">
        <f t="shared" ca="1" si="21"/>
        <v>9.0949470177292824E-13</v>
      </c>
      <c r="CB29" s="264">
        <f t="shared" ca="1" si="21"/>
        <v>9.0949470177292824E-13</v>
      </c>
      <c r="CC29" s="263">
        <f t="shared" ca="1" si="21"/>
        <v>9.0949470177292824E-13</v>
      </c>
      <c r="CD29" s="264">
        <f t="shared" ca="1" si="21"/>
        <v>9.0949470177292824E-13</v>
      </c>
      <c r="CE29" s="263">
        <f t="shared" ca="1" si="21"/>
        <v>9.0949470177292824E-13</v>
      </c>
      <c r="CF29" s="264">
        <f t="shared" ca="1" si="21"/>
        <v>9.0949470177292824E-13</v>
      </c>
      <c r="CG29" s="263">
        <f t="shared" ca="1" si="21"/>
        <v>9.0949470177292824E-13</v>
      </c>
      <c r="CH29" s="264">
        <f t="shared" ca="1" si="21"/>
        <v>9.0949470177292824E-13</v>
      </c>
      <c r="CI29" s="263">
        <f t="shared" ca="1" si="21"/>
        <v>9.0949470177292824E-13</v>
      </c>
      <c r="CJ29" s="264">
        <f t="shared" ca="1" si="21"/>
        <v>9.0949470177292824E-13</v>
      </c>
      <c r="CK29" s="263">
        <f t="shared" ca="1" si="21"/>
        <v>9.0949470177292824E-13</v>
      </c>
      <c r="CL29" s="264">
        <f t="shared" ca="1" si="21"/>
        <v>9.0949470177292824E-13</v>
      </c>
      <c r="CM29" s="263">
        <f t="shared" ca="1" si="21"/>
        <v>879024.48673819972</v>
      </c>
      <c r="CN29" s="264">
        <f t="shared" si="21"/>
        <v>0</v>
      </c>
    </row>
    <row r="30" spans="1:92" ht="18">
      <c r="A30" s="204"/>
      <c r="B30" s="265" t="s">
        <v>165</v>
      </c>
      <c r="C30" s="266"/>
      <c r="D30" s="257"/>
      <c r="E30" s="212"/>
      <c r="F30" s="244"/>
      <c r="G30" s="244"/>
      <c r="H30" s="267">
        <f ca="1">IFERROR((IRR($H26:H26)+1)^12-1,0)</f>
        <v>0</v>
      </c>
      <c r="I30" s="267">
        <f ca="1">IFERROR((IRR($H26:I26)+1)^12-1,0)</f>
        <v>0</v>
      </c>
      <c r="J30" s="267">
        <f ca="1">IFERROR((IRR($H26:J26)+1)^12-1,0)</f>
        <v>0</v>
      </c>
      <c r="K30" s="267">
        <f ca="1">IFERROR((IRR($H26:K26)+1)^12-1,0)</f>
        <v>0</v>
      </c>
      <c r="L30" s="267">
        <f ca="1">IFERROR((IRR($H26:L26)+1)^12-1,0)</f>
        <v>0</v>
      </c>
      <c r="M30" s="267">
        <f ca="1">IFERROR((IRR($H26:M26)+1)^12-1,0)</f>
        <v>0</v>
      </c>
      <c r="N30" s="267">
        <f ca="1">IFERROR((IRR($H26:N26)+1)^12-1,0)</f>
        <v>0</v>
      </c>
      <c r="O30" s="267">
        <f ca="1">IFERROR((IRR($H26:O26)+1)^12-1,0)</f>
        <v>0</v>
      </c>
      <c r="P30" s="267">
        <f ca="1">IFERROR((IRR($H26:P26)+1)^12-1,0)</f>
        <v>0</v>
      </c>
      <c r="Q30" s="267">
        <f ca="1">IFERROR((IRR($H26:Q26)+1)^12-1,0)</f>
        <v>0</v>
      </c>
      <c r="R30" s="267">
        <f ca="1">IFERROR((IRR($H26:R26)+1)^12-1,0)</f>
        <v>0</v>
      </c>
      <c r="S30" s="267">
        <f ca="1">IFERROR((IRR($H26:S26)+1)^12-1,0)</f>
        <v>0</v>
      </c>
      <c r="T30" s="267">
        <f ca="1">IFERROR((IRR($H26:T26)+1)^12-1,0)</f>
        <v>0</v>
      </c>
      <c r="U30" s="267">
        <f ca="1">IFERROR((IRR($H26:U26)+1)^12-1,0)</f>
        <v>0</v>
      </c>
      <c r="V30" s="267">
        <f ca="1">IFERROR((IRR($H26:V26)+1)^12-1,0)</f>
        <v>0</v>
      </c>
      <c r="W30" s="267">
        <f ca="1">IFERROR((IRR($H26:W26)+1)^12-1,0)</f>
        <v>0</v>
      </c>
      <c r="X30" s="267">
        <f ca="1">IFERROR((IRR($H26:X26)+1)^12-1,0)</f>
        <v>-0.96486586738293834</v>
      </c>
      <c r="Y30" s="267">
        <f ca="1">IFERROR((IRR($H26:Y26)+1)^12-1,0)</f>
        <v>-0.95245666485205915</v>
      </c>
      <c r="Z30" s="267">
        <f ca="1">IFERROR((IRR($H26:Z26)+1)^12-1,0)</f>
        <v>-0.93892324220773615</v>
      </c>
      <c r="AA30" s="267">
        <f ca="1">IFERROR((IRR($H26:AA26)+1)^12-1,0)</f>
        <v>-0.92444170218128541</v>
      </c>
      <c r="AB30" s="267">
        <f ca="1">IFERROR((IRR($H26:AB26)+1)^12-1,0)</f>
        <v>-0.90918151320187535</v>
      </c>
      <c r="AC30" s="267">
        <f ca="1">IFERROR((IRR($H26:AC26)+1)^12-1,0)</f>
        <v>-0.89330106090242889</v>
      </c>
      <c r="AD30" s="267">
        <f ca="1">IFERROR((IRR($H26:AD26)+1)^12-1,0)</f>
        <v>-0.87694508628203149</v>
      </c>
      <c r="AE30" s="267">
        <f ca="1">IFERROR((IRR($H26:AE26)+1)^12-1,0)</f>
        <v>-0.86024352706301288</v>
      </c>
      <c r="AF30" s="267">
        <f ca="1">IFERROR((IRR($H26:AF26)+1)^12-1,0)</f>
        <v>-0.8433113429538921</v>
      </c>
      <c r="AG30" s="267">
        <f ca="1">IFERROR((IRR($H26:AG26)+1)^12-1,0)</f>
        <v>-0.81853025901817777</v>
      </c>
      <c r="AH30" s="267">
        <f ca="1">IFERROR((IRR($H26:AH26)+1)^12-1,0)</f>
        <v>-0.79494079329992595</v>
      </c>
      <c r="AI30" s="267">
        <f ca="1">IFERROR((IRR($H26:AI26)+1)^12-1,0)</f>
        <v>-0.77228426747146428</v>
      </c>
      <c r="AJ30" s="267">
        <f ca="1">IFERROR((IRR($H26:AJ26)+1)^12-1,0)</f>
        <v>-0.75042270622793561</v>
      </c>
      <c r="AK30" s="267">
        <f ca="1">IFERROR((IRR($H26:AK26)+1)^12-1,0)</f>
        <v>-0.72927601951462828</v>
      </c>
      <c r="AL30" s="267">
        <f ca="1">IFERROR((IRR($H26:AL26)+1)^12-1,0)</f>
        <v>-0.70879409646587588</v>
      </c>
      <c r="AM30" s="267">
        <f ca="1">IFERROR((IRR($H26:AM26)+1)^12-1,0)</f>
        <v>-0.68894305282289636</v>
      </c>
      <c r="AN30" s="267">
        <f ca="1">IFERROR((IRR($H26:AN26)+1)^12-1,0)</f>
        <v>-0.66969798061568664</v>
      </c>
      <c r="AO30" s="267">
        <f ca="1">IFERROR((IRR($H26:AO26)+1)^12-1,0)</f>
        <v>-0.65103895747964902</v>
      </c>
      <c r="AP30" s="267">
        <f ca="1">IFERROR((IRR($H26:AP26)+1)^12-1,0)</f>
        <v>-0.63294879525292147</v>
      </c>
      <c r="AQ30" s="267">
        <f ca="1">IFERROR((IRR($H26:AQ26)+1)^12-1,0)</f>
        <v>-0.10015279476558403</v>
      </c>
      <c r="AR30" s="267">
        <f ca="1">IFERROR((IRR($H26:AR26)+1)^12-1,0)</f>
        <v>-9.9133696809667882E-2</v>
      </c>
      <c r="AS30" s="267">
        <f ca="1">IFERROR((IRR($H26:AS26)+1)^12-1,0)</f>
        <v>-9.7494364918765841E-2</v>
      </c>
      <c r="AT30" s="267">
        <f ca="1">IFERROR((IRR($H26:AT26)+1)^12-1,0)</f>
        <v>-9.5848182028953399E-2</v>
      </c>
      <c r="AU30" s="267">
        <f ca="1">IFERROR((IRR($H26:AU26)+1)^12-1,0)</f>
        <v>-9.4195883004110081E-2</v>
      </c>
      <c r="AV30" s="267">
        <f ca="1">IFERROR((IRR($H26:AV26)+1)^12-1,0)</f>
        <v>-9.2538208254610343E-2</v>
      </c>
      <c r="AW30" s="267">
        <f ca="1">IFERROR((IRR($H26:AW26)+1)^12-1,0)</f>
        <v>-9.0875901828935901E-2</v>
      </c>
      <c r="AX30" s="267">
        <f ca="1">IFERROR((IRR($H26:AX26)+1)^12-1,0)</f>
        <v>-8.9209709511320123E-2</v>
      </c>
      <c r="AY30" s="267">
        <f ca="1">IFERROR((IRR($H26:AY26)+1)^12-1,0)</f>
        <v>-8.7540376937375708E-2</v>
      </c>
      <c r="AZ30" s="267">
        <f ca="1">IFERROR((IRR($H26:AZ26)+1)^12-1,0)</f>
        <v>-8.5868647739373194E-2</v>
      </c>
      <c r="BA30" s="267">
        <f ca="1">IFERROR((IRR($H26:BA26)+1)^12-1,0)</f>
        <v>-8.4195261732159965E-2</v>
      </c>
      <c r="BB30" s="267">
        <f ca="1">IFERROR((IRR($H26:BB26)+1)^12-1,0)</f>
        <v>-8.2520953150194032E-2</v>
      </c>
      <c r="BC30" s="267">
        <f ca="1">IFERROR((IRR($H26:BC26)+1)^12-1,0)</f>
        <v>-8.0846448945263494E-2</v>
      </c>
      <c r="BD30" s="267">
        <f ca="1">IFERROR((IRR($H26:BD26)+1)^12-1,0)</f>
        <v>-7.9172467153782677E-2</v>
      </c>
      <c r="BE30" s="267">
        <f ca="1">IFERROR((IRR($H26:BE26)+1)^12-1,0)</f>
        <v>-7.736090177831223E-2</v>
      </c>
      <c r="BF30" s="267">
        <f ca="1">IFERROR((IRR($H26:BF26)+1)^12-1,0)</f>
        <v>-7.5552616447039589E-2</v>
      </c>
      <c r="BG30" s="267">
        <f ca="1">IFERROR((IRR($H26:BG26)+1)^12-1,0)</f>
        <v>-7.3748390816275378E-2</v>
      </c>
      <c r="BH30" s="267">
        <f ca="1">IFERROR((IRR($H26:BH26)+1)^12-1,0)</f>
        <v>-7.1948984398146676E-2</v>
      </c>
      <c r="BI30" s="267">
        <f ca="1">IFERROR((IRR($H26:BI26)+1)^12-1,0)</f>
        <v>-7.0155135237747523E-2</v>
      </c>
      <c r="BJ30" s="267">
        <f ca="1">IFERROR((IRR($H26:BJ26)+1)^12-1,0)</f>
        <v>-6.8367558730454192E-2</v>
      </c>
      <c r="BK30" s="267">
        <f ca="1">IFERROR((IRR($H26:BK26)+1)^12-1,0)</f>
        <v>-6.6586946580041162E-2</v>
      </c>
      <c r="BL30" s="267">
        <f ca="1">IFERROR((IRR($H26:BL26)+1)^12-1,0)</f>
        <v>-6.4813965896846404E-2</v>
      </c>
      <c r="BM30" s="267">
        <f ca="1">IFERROR((IRR($H26:BM26)+1)^12-1,0)</f>
        <v>-6.3049258434181854E-2</v>
      </c>
      <c r="BN30" s="267">
        <f ca="1">IFERROR((IRR($H26:BN26)+1)^12-1,0)</f>
        <v>-6.1293439960026452E-2</v>
      </c>
      <c r="BO30" s="267">
        <f ca="1">IFERROR((IRR($H26:BO26)+1)^12-1,0)</f>
        <v>-5.9547099760158484E-2</v>
      </c>
      <c r="BP30" s="267">
        <f ca="1">IFERROR((IRR($H26:BP26)+1)^12-1,0)</f>
        <v>-5.7810800267985019E-2</v>
      </c>
      <c r="BQ30" s="267">
        <f ca="1">IFERROR((IRR($H26:BQ26)+1)^12-1,0)</f>
        <v>-5.5953122764906826E-2</v>
      </c>
      <c r="BR30" s="267">
        <f ca="1">IFERROR((IRR($H26:BR26)+1)^12-1,0)</f>
        <v>-5.4108968142320912E-2</v>
      </c>
      <c r="BS30" s="267">
        <f ca="1">IFERROR((IRR($H26:BS26)+1)^12-1,0)</f>
        <v>-5.2278848560688762E-2</v>
      </c>
      <c r="BT30" s="267">
        <f ca="1">IFERROR((IRR($H26:BT26)+1)^12-1,0)</f>
        <v>-5.0463242942949682E-2</v>
      </c>
      <c r="BU30" s="267">
        <f ca="1">IFERROR((IRR($H26:BU26)+1)^12-1,0)</f>
        <v>-4.8662597409665498E-2</v>
      </c>
      <c r="BV30" s="267">
        <f ca="1">IFERROR((IRR($H26:BV26)+1)^12-1,0)</f>
        <v>-4.6877325813024395E-2</v>
      </c>
      <c r="BW30" s="267">
        <f ca="1">IFERROR((IRR($H26:BW26)+1)^12-1,0)</f>
        <v>-4.5107810359346634E-2</v>
      </c>
      <c r="BX30" s="267">
        <f ca="1">IFERROR((IRR($H26:BX26)+1)^12-1,0)</f>
        <v>-4.335440230988119E-2</v>
      </c>
      <c r="BY30" s="267">
        <f ca="1">IFERROR((IRR($H26:BY26)+1)^12-1,0)</f>
        <v>-4.161742275011826E-2</v>
      </c>
      <c r="BZ30" s="267">
        <f ca="1">IFERROR((IRR($H26:BZ26)+1)^12-1,0)</f>
        <v>-3.9897163418054604E-2</v>
      </c>
      <c r="CA30" s="267">
        <f ca="1">IFERROR((IRR($H26:CA26)+1)^12-1,0)</f>
        <v>-3.8193887582442132E-2</v>
      </c>
      <c r="CB30" s="267">
        <f ca="1">IFERROR((IRR($H26:CB26)+1)^12-1,0)</f>
        <v>-3.6507830962314358E-2</v>
      </c>
      <c r="CC30" s="267">
        <f ca="1">IFERROR((IRR($H26:CC26)+1)^12-1,0)</f>
        <v>-3.472087353666975E-2</v>
      </c>
      <c r="CD30" s="267">
        <f ca="1">IFERROR((IRR($H26:CD26)+1)^12-1,0)</f>
        <v>-3.2954473329482425E-2</v>
      </c>
      <c r="CE30" s="267">
        <f ca="1">IFERROR((IRR($H26:CE26)+1)^12-1,0)</f>
        <v>-3.1208754815417072E-2</v>
      </c>
      <c r="CF30" s="267">
        <f ca="1">IFERROR((IRR($H26:CF26)+1)^12-1,0)</f>
        <v>-2.9483815956282577E-2</v>
      </c>
      <c r="CG30" s="267">
        <f ca="1">IFERROR((IRR($H26:CG26)+1)^12-1,0)</f>
        <v>-2.7779729533132125E-2</v>
      </c>
      <c r="CH30" s="267">
        <f ca="1">IFERROR((IRR($H26:CH26)+1)^12-1,0)</f>
        <v>-2.6096544463256266E-2</v>
      </c>
      <c r="CI30" s="267">
        <f ca="1">IFERROR((IRR($H26:CI26)+1)^12-1,0)</f>
        <v>-2.4434287097038654E-2</v>
      </c>
      <c r="CJ30" s="267">
        <f ca="1">IFERROR((IRR($H26:CJ26)+1)^12-1,0)</f>
        <v>-2.2792962490034152E-2</v>
      </c>
      <c r="CK30" s="267">
        <f ca="1">IFERROR((IRR($H26:CK26)+1)^12-1,0)</f>
        <v>-2.1172555646677638E-2</v>
      </c>
      <c r="CL30" s="267">
        <f ca="1">IFERROR((IRR($H26:CL26)+1)^12-1,0)</f>
        <v>-1.9573032732330575E-2</v>
      </c>
      <c r="CM30" s="267">
        <f ca="1">IFERROR((IRR($H26:CM26)+1)^12-1,0)</f>
        <v>7.9999999999997184E-2</v>
      </c>
      <c r="CN30" s="267">
        <f ca="1">IFERROR((IRR($H26:CN26)+1)^12-1,0)</f>
        <v>7.9999999999997184E-2</v>
      </c>
    </row>
    <row r="31" spans="1:92" ht="31.25" customHeight="1">
      <c r="A31" s="241"/>
      <c r="B31" s="205"/>
      <c r="C31" s="268" t="s">
        <v>166</v>
      </c>
      <c r="D31" s="269">
        <f>D19</f>
        <v>0.08</v>
      </c>
      <c r="E31" s="251"/>
      <c r="F31" s="222"/>
      <c r="G31" s="270"/>
      <c r="H31" s="271"/>
      <c r="I31" s="272"/>
      <c r="J31" s="272"/>
      <c r="K31" s="272"/>
      <c r="L31" s="272"/>
      <c r="M31" s="272"/>
      <c r="N31" s="272"/>
      <c r="O31" s="272"/>
      <c r="P31" s="272"/>
      <c r="Q31" s="272"/>
      <c r="R31" s="272"/>
      <c r="S31" s="272"/>
      <c r="T31" s="272"/>
      <c r="U31" s="272"/>
      <c r="V31" s="272"/>
      <c r="W31" s="272"/>
      <c r="X31" s="272"/>
      <c r="Y31" s="272"/>
      <c r="Z31" s="272"/>
      <c r="AA31" s="272"/>
      <c r="AB31" s="272"/>
      <c r="AC31" s="272"/>
      <c r="AD31" s="272"/>
      <c r="AE31" s="272"/>
      <c r="AF31" s="272"/>
      <c r="AG31" s="272"/>
      <c r="AH31" s="272"/>
      <c r="AI31" s="272"/>
      <c r="AJ31" s="272"/>
      <c r="AK31" s="272"/>
      <c r="AL31" s="272"/>
      <c r="AM31" s="272"/>
      <c r="AN31" s="272"/>
      <c r="AO31" s="272"/>
      <c r="AP31" s="272"/>
      <c r="AQ31" s="272"/>
      <c r="AR31" s="272"/>
      <c r="AS31" s="272"/>
      <c r="AT31" s="272"/>
      <c r="AU31" s="272"/>
      <c r="AV31" s="272"/>
      <c r="AW31" s="272"/>
      <c r="AX31" s="272"/>
      <c r="AY31" s="272"/>
      <c r="AZ31" s="272"/>
      <c r="BA31" s="272"/>
      <c r="BB31" s="272"/>
      <c r="BC31" s="272"/>
      <c r="BD31" s="272"/>
      <c r="BE31" s="272"/>
      <c r="BF31" s="272"/>
      <c r="BG31" s="272"/>
      <c r="BH31" s="272"/>
      <c r="BI31" s="272"/>
      <c r="BJ31" s="272"/>
      <c r="BK31" s="272"/>
      <c r="BL31" s="272"/>
      <c r="BM31" s="272"/>
      <c r="BN31" s="272"/>
      <c r="BO31" s="272"/>
      <c r="BP31" s="272"/>
      <c r="BQ31" s="272"/>
      <c r="BR31" s="272"/>
      <c r="BS31" s="272"/>
      <c r="BT31" s="272"/>
      <c r="BU31" s="272"/>
      <c r="BV31" s="272"/>
      <c r="BW31" s="272"/>
      <c r="BX31" s="272"/>
      <c r="BY31" s="272"/>
      <c r="BZ31" s="272"/>
      <c r="CA31" s="272"/>
      <c r="CB31" s="272"/>
      <c r="CC31" s="272"/>
      <c r="CD31" s="272"/>
      <c r="CE31" s="272"/>
      <c r="CF31" s="272"/>
      <c r="CG31" s="272"/>
      <c r="CH31" s="272"/>
      <c r="CI31" s="272"/>
      <c r="CJ31" s="272"/>
      <c r="CK31" s="272"/>
      <c r="CL31" s="272"/>
      <c r="CM31" s="272"/>
      <c r="CN31" s="272"/>
    </row>
    <row r="32" spans="1:92" ht="18">
      <c r="A32" s="233"/>
      <c r="B32" s="229" t="s">
        <v>167</v>
      </c>
      <c r="C32" s="273" t="s">
        <v>168</v>
      </c>
      <c r="D32" s="230">
        <v>0.12</v>
      </c>
      <c r="E32" s="274"/>
      <c r="F32" s="232"/>
      <c r="G32" s="275"/>
      <c r="H32" s="272"/>
      <c r="I32" s="272"/>
      <c r="J32" s="272"/>
      <c r="K32" s="272"/>
      <c r="L32" s="272"/>
      <c r="M32" s="272"/>
      <c r="N32" s="272"/>
      <c r="O32" s="272"/>
      <c r="P32" s="272"/>
      <c r="Q32" s="272"/>
      <c r="R32" s="272"/>
      <c r="S32" s="272"/>
      <c r="T32" s="272"/>
      <c r="U32" s="272"/>
      <c r="V32" s="272"/>
      <c r="W32" s="272"/>
      <c r="X32" s="272"/>
      <c r="Y32" s="272"/>
      <c r="Z32" s="272"/>
      <c r="AA32" s="272"/>
      <c r="AB32" s="272"/>
      <c r="AC32" s="272"/>
      <c r="AD32" s="272"/>
      <c r="AE32" s="272"/>
      <c r="AF32" s="272"/>
      <c r="AG32" s="272"/>
      <c r="AH32" s="272"/>
      <c r="AI32" s="272"/>
      <c r="AJ32" s="272"/>
      <c r="AK32" s="272"/>
      <c r="AL32" s="272"/>
      <c r="AM32" s="272"/>
      <c r="AN32" s="272"/>
      <c r="AO32" s="272"/>
      <c r="AP32" s="272"/>
      <c r="AQ32" s="272"/>
      <c r="AR32" s="272"/>
      <c r="AS32" s="272"/>
      <c r="AT32" s="272"/>
      <c r="AU32" s="272"/>
      <c r="AV32" s="272"/>
      <c r="AW32" s="272"/>
      <c r="AX32" s="272"/>
      <c r="AY32" s="272"/>
      <c r="AZ32" s="272"/>
      <c r="BA32" s="272"/>
      <c r="BB32" s="272"/>
      <c r="BC32" s="272"/>
      <c r="BD32" s="272"/>
      <c r="BE32" s="272"/>
      <c r="BF32" s="272"/>
      <c r="BG32" s="272"/>
      <c r="BH32" s="272"/>
      <c r="BI32" s="272"/>
      <c r="BJ32" s="272"/>
      <c r="BK32" s="272"/>
      <c r="BL32" s="272"/>
      <c r="BM32" s="272"/>
      <c r="BN32" s="272"/>
      <c r="BO32" s="272"/>
      <c r="BP32" s="272"/>
      <c r="BQ32" s="272"/>
      <c r="BR32" s="272"/>
      <c r="BS32" s="272"/>
      <c r="BT32" s="272"/>
      <c r="BU32" s="272"/>
      <c r="BV32" s="272"/>
      <c r="BW32" s="272"/>
      <c r="BX32" s="272"/>
      <c r="BY32" s="272"/>
      <c r="BZ32" s="272"/>
      <c r="CA32" s="272"/>
      <c r="CB32" s="272"/>
      <c r="CC32" s="272"/>
      <c r="CD32" s="272"/>
      <c r="CE32" s="272"/>
      <c r="CF32" s="272"/>
      <c r="CG32" s="272"/>
      <c r="CH32" s="272"/>
      <c r="CI32" s="272"/>
      <c r="CJ32" s="272"/>
      <c r="CK32" s="272"/>
      <c r="CL32" s="272"/>
      <c r="CM32" s="272"/>
      <c r="CN32" s="272"/>
    </row>
    <row r="33" spans="1:92" ht="18">
      <c r="A33" s="241"/>
      <c r="B33" s="234" t="s">
        <v>157</v>
      </c>
      <c r="C33" s="235"/>
      <c r="D33" s="236">
        <f>(1+D32)^(1/12)-1</f>
        <v>9.4887929345830457E-3</v>
      </c>
      <c r="E33" s="276"/>
      <c r="F33" s="238"/>
      <c r="G33" s="238"/>
      <c r="H33" s="239">
        <f>G38</f>
        <v>0</v>
      </c>
      <c r="I33" s="239">
        <f t="shared" ref="I33:BT33" ca="1" si="22">H38</f>
        <v>1422759.6644491339</v>
      </c>
      <c r="J33" s="239">
        <f t="shared" ca="1" si="22"/>
        <v>1436259.9363007685</v>
      </c>
      <c r="K33" s="239">
        <f t="shared" ca="1" si="22"/>
        <v>1449888.3094365639</v>
      </c>
      <c r="L33" s="239">
        <f t="shared" ca="1" si="22"/>
        <v>1463645.9993830801</v>
      </c>
      <c r="M33" s="239">
        <f t="shared" ca="1" si="22"/>
        <v>1477534.2332007571</v>
      </c>
      <c r="N33" s="239">
        <f t="shared" ca="1" si="22"/>
        <v>1491554.2495933571</v>
      </c>
      <c r="O33" s="239">
        <f t="shared" ca="1" si="22"/>
        <v>1505707.2990184459</v>
      </c>
      <c r="P33" s="239">
        <f t="shared" ca="1" si="22"/>
        <v>1519994.6437989222</v>
      </c>
      <c r="Q33" s="239">
        <f t="shared" ca="1" si="22"/>
        <v>1534417.5582356055</v>
      </c>
      <c r="R33" s="239">
        <f t="shared" ca="1" si="22"/>
        <v>1548977.3287208916</v>
      </c>
      <c r="S33" s="239">
        <f t="shared" ca="1" si="22"/>
        <v>1563675.2538534878</v>
      </c>
      <c r="T33" s="239">
        <f t="shared" ca="1" si="22"/>
        <v>1578512.644554235</v>
      </c>
      <c r="U33" s="239">
        <f t="shared" ca="1" si="22"/>
        <v>1593490.8241830312</v>
      </c>
      <c r="V33" s="239">
        <f t="shared" ca="1" si="22"/>
        <v>1602682.963388324</v>
      </c>
      <c r="W33" s="239">
        <f t="shared" ca="1" si="22"/>
        <v>1611962.3248991617</v>
      </c>
      <c r="X33" s="239">
        <f t="shared" ca="1" si="22"/>
        <v>1621329.7363499408</v>
      </c>
      <c r="Y33" s="239">
        <f t="shared" ca="1" si="22"/>
        <v>1630786.0332283094</v>
      </c>
      <c r="Z33" s="239">
        <f t="shared" ca="1" si="22"/>
        <v>1640332.0589496847</v>
      </c>
      <c r="AA33" s="239">
        <f t="shared" ca="1" si="22"/>
        <v>1649968.6649324785</v>
      </c>
      <c r="AB33" s="239">
        <f t="shared" ca="1" si="22"/>
        <v>1659696.7106740351</v>
      </c>
      <c r="AC33" s="239">
        <f t="shared" ca="1" si="22"/>
        <v>1669517.0638272916</v>
      </c>
      <c r="AD33" s="239">
        <f t="shared" ca="1" si="22"/>
        <v>1679430.6002781638</v>
      </c>
      <c r="AE33" s="239">
        <f t="shared" ca="1" si="22"/>
        <v>1689438.2042236677</v>
      </c>
      <c r="AF33" s="239">
        <f t="shared" ca="1" si="22"/>
        <v>1699540.7682507818</v>
      </c>
      <c r="AG33" s="239">
        <f t="shared" ca="1" si="22"/>
        <v>1709739.1934160576</v>
      </c>
      <c r="AH33" s="239">
        <f t="shared" ca="1" si="22"/>
        <v>1717070.3066917167</v>
      </c>
      <c r="AI33" s="239">
        <f t="shared" ca="1" si="22"/>
        <v>1724470.9833832283</v>
      </c>
      <c r="AJ33" s="239">
        <f t="shared" ca="1" si="22"/>
        <v>1731941.8835634415</v>
      </c>
      <c r="AK33" s="239">
        <f t="shared" ca="1" si="22"/>
        <v>1739483.6735684995</v>
      </c>
      <c r="AL33" s="239">
        <f t="shared" ca="1" si="22"/>
        <v>1747097.0260572718</v>
      </c>
      <c r="AM33" s="239">
        <f t="shared" ca="1" si="22"/>
        <v>1754782.620071348</v>
      </c>
      <c r="AN33" s="239">
        <f t="shared" ca="1" si="22"/>
        <v>1762541.1410956031</v>
      </c>
      <c r="AO33" s="239">
        <f t="shared" ca="1" si="22"/>
        <v>1770373.2811193359</v>
      </c>
      <c r="AP33" s="239">
        <f t="shared" ca="1" si="22"/>
        <v>1778279.7386979887</v>
      </c>
      <c r="AQ33" s="239">
        <f t="shared" ca="1" si="22"/>
        <v>1786261.2190154511</v>
      </c>
      <c r="AR33" s="239">
        <f t="shared" ca="1" si="22"/>
        <v>903698.98202390212</v>
      </c>
      <c r="AS33" s="239">
        <f t="shared" ca="1" si="22"/>
        <v>908983.12683748733</v>
      </c>
      <c r="AT33" s="239">
        <f t="shared" ca="1" si="22"/>
        <v>912342.89118582511</v>
      </c>
      <c r="AU33" s="239">
        <f t="shared" ca="1" si="22"/>
        <v>915734.53564237326</v>
      </c>
      <c r="AV33" s="239">
        <f t="shared" ca="1" si="22"/>
        <v>919158.36271087732</v>
      </c>
      <c r="AW33" s="239">
        <f t="shared" ca="1" si="22"/>
        <v>922614.67776547815</v>
      </c>
      <c r="AX33" s="239">
        <f t="shared" ca="1" si="22"/>
        <v>926103.78907794878</v>
      </c>
      <c r="AY33" s="239">
        <f t="shared" ca="1" si="22"/>
        <v>929626.00784518919</v>
      </c>
      <c r="AZ33" s="239">
        <f t="shared" ca="1" si="22"/>
        <v>933181.64821698226</v>
      </c>
      <c r="BA33" s="239">
        <f t="shared" ca="1" si="22"/>
        <v>936771.02732401306</v>
      </c>
      <c r="BB33" s="239">
        <f t="shared" ca="1" si="22"/>
        <v>940394.46530615422</v>
      </c>
      <c r="BC33" s="239">
        <f t="shared" ca="1" si="22"/>
        <v>944052.28534101928</v>
      </c>
      <c r="BD33" s="239">
        <f t="shared" ca="1" si="22"/>
        <v>947744.81367278704</v>
      </c>
      <c r="BE33" s="239">
        <f t="shared" ca="1" si="22"/>
        <v>951472.37964130007</v>
      </c>
      <c r="BF33" s="239">
        <f t="shared" ca="1" si="22"/>
        <v>954796.53335116722</v>
      </c>
      <c r="BG33" s="239">
        <f t="shared" ca="1" si="22"/>
        <v>958152.22926727007</v>
      </c>
      <c r="BH33" s="239">
        <f t="shared" ca="1" si="22"/>
        <v>961539.76668707223</v>
      </c>
      <c r="BI33" s="239">
        <f t="shared" ca="1" si="22"/>
        <v>964959.447748009</v>
      </c>
      <c r="BJ33" s="239">
        <f t="shared" ca="1" si="22"/>
        <v>968411.57745443541</v>
      </c>
      <c r="BK33" s="239">
        <f t="shared" ca="1" si="22"/>
        <v>971896.46370482934</v>
      </c>
      <c r="BL33" s="239">
        <f t="shared" ca="1" si="22"/>
        <v>975414.4173192539</v>
      </c>
      <c r="BM33" s="239">
        <f t="shared" ca="1" si="22"/>
        <v>978965.75206707919</v>
      </c>
      <c r="BN33" s="239">
        <f t="shared" ca="1" si="22"/>
        <v>982550.78469496791</v>
      </c>
      <c r="BO33" s="239">
        <f t="shared" ca="1" si="22"/>
        <v>986169.8349551264</v>
      </c>
      <c r="BP33" s="240">
        <f t="shared" ca="1" si="22"/>
        <v>989823.22563382343</v>
      </c>
      <c r="BQ33" s="239">
        <f t="shared" ca="1" si="22"/>
        <v>993511.28258017974</v>
      </c>
      <c r="BR33" s="240">
        <f t="shared" ca="1" si="22"/>
        <v>996795.55237495992</v>
      </c>
      <c r="BS33" s="239">
        <f t="shared" ca="1" si="22"/>
        <v>1000110.9859257641</v>
      </c>
      <c r="BT33" s="240">
        <f t="shared" ca="1" si="22"/>
        <v>1003457.8789390202</v>
      </c>
      <c r="BU33" s="239">
        <f t="shared" ref="BU33:CN33" ca="1" si="23">BT38</f>
        <v>1006836.5299270533</v>
      </c>
      <c r="BV33" s="240">
        <f t="shared" ca="1" si="23"/>
        <v>1010247.24023471</v>
      </c>
      <c r="BW33" s="239">
        <f t="shared" ca="1" si="23"/>
        <v>1013690.314066236</v>
      </c>
      <c r="BX33" s="240">
        <f t="shared" ca="1" si="23"/>
        <v>1017166.0585124078</v>
      </c>
      <c r="BY33" s="239">
        <f t="shared" ca="1" si="23"/>
        <v>1020674.7835779228</v>
      </c>
      <c r="BZ33" s="240">
        <f t="shared" ca="1" si="23"/>
        <v>1024216.8022090489</v>
      </c>
      <c r="CA33" s="239">
        <f t="shared" ca="1" si="23"/>
        <v>1027792.4303215361</v>
      </c>
      <c r="CB33" s="240">
        <f t="shared" ca="1" si="23"/>
        <v>1031401.9868287939</v>
      </c>
      <c r="CC33" s="239">
        <f t="shared" ca="1" si="23"/>
        <v>1035045.7936703346</v>
      </c>
      <c r="CD33" s="240">
        <f t="shared" ca="1" si="23"/>
        <v>1038285.3934802173</v>
      </c>
      <c r="CE33" s="239">
        <f t="shared" ca="1" si="23"/>
        <v>1041555.733181887</v>
      </c>
      <c r="CF33" s="240">
        <f t="shared" ca="1" si="23"/>
        <v>1044857.1044598115</v>
      </c>
      <c r="CG33" s="239">
        <f t="shared" ca="1" si="23"/>
        <v>1048189.8017661923</v>
      </c>
      <c r="CH33" s="240">
        <f t="shared" ca="1" si="23"/>
        <v>1051554.1223472271</v>
      </c>
      <c r="CI33" s="239">
        <f t="shared" ca="1" si="23"/>
        <v>1054950.3662696208</v>
      </c>
      <c r="CJ33" s="240">
        <f t="shared" ca="1" si="23"/>
        <v>1058378.8364473495</v>
      </c>
      <c r="CK33" s="239">
        <f t="shared" ca="1" si="23"/>
        <v>1061839.838668677</v>
      </c>
      <c r="CL33" s="240">
        <f t="shared" ca="1" si="23"/>
        <v>1065333.6816234288</v>
      </c>
      <c r="CM33" s="239">
        <f t="shared" ca="1" si="23"/>
        <v>1068860.6769305242</v>
      </c>
      <c r="CN33" s="240">
        <f t="shared" ca="1" si="23"/>
        <v>0</v>
      </c>
    </row>
    <row r="34" spans="1:92" ht="18">
      <c r="A34" s="204"/>
      <c r="B34" s="242" t="s">
        <v>158</v>
      </c>
      <c r="C34" s="243"/>
      <c r="D34" s="243"/>
      <c r="E34" s="212">
        <f t="shared" ref="E34:E37" ca="1" si="24">SUM(H34:BP34)</f>
        <v>1422759.6644491339</v>
      </c>
      <c r="F34" s="244"/>
      <c r="G34" s="244"/>
      <c r="H34" s="245">
        <f ca="1">H21</f>
        <v>1422759.6644491339</v>
      </c>
      <c r="I34" s="245">
        <f>I21</f>
        <v>0</v>
      </c>
      <c r="J34" s="245">
        <f t="shared" ref="J34:BU34" si="25">J21</f>
        <v>0</v>
      </c>
      <c r="K34" s="245">
        <f t="shared" si="25"/>
        <v>0</v>
      </c>
      <c r="L34" s="245">
        <f t="shared" si="25"/>
        <v>0</v>
      </c>
      <c r="M34" s="245">
        <f t="shared" si="25"/>
        <v>0</v>
      </c>
      <c r="N34" s="245">
        <f t="shared" si="25"/>
        <v>0</v>
      </c>
      <c r="O34" s="245">
        <f t="shared" si="25"/>
        <v>0</v>
      </c>
      <c r="P34" s="245">
        <f t="shared" si="25"/>
        <v>0</v>
      </c>
      <c r="Q34" s="245">
        <f t="shared" si="25"/>
        <v>0</v>
      </c>
      <c r="R34" s="245">
        <f t="shared" si="25"/>
        <v>0</v>
      </c>
      <c r="S34" s="245">
        <f t="shared" si="25"/>
        <v>0</v>
      </c>
      <c r="T34" s="245">
        <f t="shared" si="25"/>
        <v>0</v>
      </c>
      <c r="U34" s="245">
        <f t="shared" si="25"/>
        <v>0</v>
      </c>
      <c r="V34" s="245">
        <f t="shared" si="25"/>
        <v>0</v>
      </c>
      <c r="W34" s="245">
        <f t="shared" si="25"/>
        <v>0</v>
      </c>
      <c r="X34" s="245">
        <f t="shared" si="25"/>
        <v>0</v>
      </c>
      <c r="Y34" s="245">
        <f t="shared" si="25"/>
        <v>0</v>
      </c>
      <c r="Z34" s="245">
        <f t="shared" si="25"/>
        <v>0</v>
      </c>
      <c r="AA34" s="245">
        <f t="shared" si="25"/>
        <v>0</v>
      </c>
      <c r="AB34" s="245">
        <f t="shared" si="25"/>
        <v>0</v>
      </c>
      <c r="AC34" s="245">
        <f t="shared" si="25"/>
        <v>0</v>
      </c>
      <c r="AD34" s="245">
        <f t="shared" si="25"/>
        <v>0</v>
      </c>
      <c r="AE34" s="245">
        <f t="shared" si="25"/>
        <v>0</v>
      </c>
      <c r="AF34" s="245">
        <f t="shared" si="25"/>
        <v>0</v>
      </c>
      <c r="AG34" s="245">
        <f t="shared" si="25"/>
        <v>0</v>
      </c>
      <c r="AH34" s="245">
        <f t="shared" si="25"/>
        <v>0</v>
      </c>
      <c r="AI34" s="245">
        <f t="shared" si="25"/>
        <v>0</v>
      </c>
      <c r="AJ34" s="245">
        <f t="shared" si="25"/>
        <v>0</v>
      </c>
      <c r="AK34" s="245">
        <f t="shared" si="25"/>
        <v>0</v>
      </c>
      <c r="AL34" s="245">
        <f t="shared" si="25"/>
        <v>0</v>
      </c>
      <c r="AM34" s="245">
        <f t="shared" si="25"/>
        <v>0</v>
      </c>
      <c r="AN34" s="245">
        <f t="shared" si="25"/>
        <v>0</v>
      </c>
      <c r="AO34" s="245">
        <f t="shared" si="25"/>
        <v>0</v>
      </c>
      <c r="AP34" s="245">
        <f t="shared" si="25"/>
        <v>0</v>
      </c>
      <c r="AQ34" s="245">
        <f t="shared" si="25"/>
        <v>0</v>
      </c>
      <c r="AR34" s="245">
        <f t="shared" si="25"/>
        <v>0</v>
      </c>
      <c r="AS34" s="245">
        <f t="shared" si="25"/>
        <v>0</v>
      </c>
      <c r="AT34" s="245">
        <f t="shared" si="25"/>
        <v>0</v>
      </c>
      <c r="AU34" s="245">
        <f t="shared" si="25"/>
        <v>0</v>
      </c>
      <c r="AV34" s="245">
        <f t="shared" si="25"/>
        <v>0</v>
      </c>
      <c r="AW34" s="245">
        <f t="shared" si="25"/>
        <v>0</v>
      </c>
      <c r="AX34" s="245">
        <f t="shared" si="25"/>
        <v>0</v>
      </c>
      <c r="AY34" s="245">
        <f t="shared" si="25"/>
        <v>0</v>
      </c>
      <c r="AZ34" s="245">
        <f t="shared" si="25"/>
        <v>0</v>
      </c>
      <c r="BA34" s="245">
        <f t="shared" si="25"/>
        <v>0</v>
      </c>
      <c r="BB34" s="245">
        <f t="shared" si="25"/>
        <v>0</v>
      </c>
      <c r="BC34" s="245">
        <f t="shared" si="25"/>
        <v>0</v>
      </c>
      <c r="BD34" s="245">
        <f t="shared" si="25"/>
        <v>0</v>
      </c>
      <c r="BE34" s="245">
        <f t="shared" si="25"/>
        <v>0</v>
      </c>
      <c r="BF34" s="245">
        <f t="shared" si="25"/>
        <v>0</v>
      </c>
      <c r="BG34" s="245">
        <f t="shared" si="25"/>
        <v>0</v>
      </c>
      <c r="BH34" s="245">
        <f t="shared" si="25"/>
        <v>0</v>
      </c>
      <c r="BI34" s="245">
        <f t="shared" si="25"/>
        <v>0</v>
      </c>
      <c r="BJ34" s="245">
        <f t="shared" si="25"/>
        <v>0</v>
      </c>
      <c r="BK34" s="245">
        <f t="shared" si="25"/>
        <v>0</v>
      </c>
      <c r="BL34" s="245">
        <f t="shared" si="25"/>
        <v>0</v>
      </c>
      <c r="BM34" s="245">
        <f t="shared" si="25"/>
        <v>0</v>
      </c>
      <c r="BN34" s="245">
        <f t="shared" si="25"/>
        <v>0</v>
      </c>
      <c r="BO34" s="245">
        <f t="shared" si="25"/>
        <v>0</v>
      </c>
      <c r="BP34" s="246">
        <f t="shared" si="25"/>
        <v>0</v>
      </c>
      <c r="BQ34" s="245">
        <f t="shared" si="25"/>
        <v>0</v>
      </c>
      <c r="BR34" s="246">
        <f t="shared" si="25"/>
        <v>0</v>
      </c>
      <c r="BS34" s="245">
        <f t="shared" si="25"/>
        <v>0</v>
      </c>
      <c r="BT34" s="246">
        <f t="shared" si="25"/>
        <v>0</v>
      </c>
      <c r="BU34" s="245">
        <f t="shared" si="25"/>
        <v>0</v>
      </c>
      <c r="BV34" s="246">
        <f t="shared" ref="BV34:CN34" si="26">BV21</f>
        <v>0</v>
      </c>
      <c r="BW34" s="245">
        <f t="shared" si="26"/>
        <v>0</v>
      </c>
      <c r="BX34" s="246">
        <f t="shared" si="26"/>
        <v>0</v>
      </c>
      <c r="BY34" s="245">
        <f t="shared" si="26"/>
        <v>0</v>
      </c>
      <c r="BZ34" s="246">
        <f t="shared" si="26"/>
        <v>0</v>
      </c>
      <c r="CA34" s="245">
        <f t="shared" si="26"/>
        <v>0</v>
      </c>
      <c r="CB34" s="246">
        <f t="shared" si="26"/>
        <v>0</v>
      </c>
      <c r="CC34" s="245">
        <f t="shared" si="26"/>
        <v>0</v>
      </c>
      <c r="CD34" s="246">
        <f t="shared" si="26"/>
        <v>0</v>
      </c>
      <c r="CE34" s="245">
        <f t="shared" si="26"/>
        <v>0</v>
      </c>
      <c r="CF34" s="246">
        <f t="shared" si="26"/>
        <v>0</v>
      </c>
      <c r="CG34" s="245">
        <f t="shared" si="26"/>
        <v>0</v>
      </c>
      <c r="CH34" s="246">
        <f t="shared" si="26"/>
        <v>0</v>
      </c>
      <c r="CI34" s="245">
        <f t="shared" si="26"/>
        <v>0</v>
      </c>
      <c r="CJ34" s="246">
        <f t="shared" si="26"/>
        <v>0</v>
      </c>
      <c r="CK34" s="245">
        <f t="shared" si="26"/>
        <v>0</v>
      </c>
      <c r="CL34" s="246">
        <f t="shared" si="26"/>
        <v>0</v>
      </c>
      <c r="CM34" s="245">
        <f t="shared" si="26"/>
        <v>0</v>
      </c>
      <c r="CN34" s="246">
        <f t="shared" si="26"/>
        <v>0</v>
      </c>
    </row>
    <row r="35" spans="1:92" ht="18">
      <c r="A35" s="204"/>
      <c r="B35" s="242" t="s">
        <v>159</v>
      </c>
      <c r="C35" s="243"/>
      <c r="D35" s="243"/>
      <c r="E35" s="212">
        <f t="shared" ca="1" si="24"/>
        <v>765249.35599079495</v>
      </c>
      <c r="F35" s="244"/>
      <c r="G35" s="244"/>
      <c r="H35" s="245">
        <f>$D$33*H33</f>
        <v>0</v>
      </c>
      <c r="I35" s="245">
        <f ca="1">$D$33*I33</f>
        <v>13500.271851634687</v>
      </c>
      <c r="J35" s="245">
        <f t="shared" ref="J35:BU35" ca="1" si="27">$D$33*J33</f>
        <v>13628.373135795428</v>
      </c>
      <c r="K35" s="245">
        <f t="shared" ca="1" si="27"/>
        <v>13757.689946516224</v>
      </c>
      <c r="L35" s="245">
        <f t="shared" ca="1" si="27"/>
        <v>13888.233817676912</v>
      </c>
      <c r="M35" s="245">
        <f t="shared" ca="1" si="27"/>
        <v>14020.016392599922</v>
      </c>
      <c r="N35" s="245">
        <f t="shared" ca="1" si="27"/>
        <v>14153.049425088764</v>
      </c>
      <c r="O35" s="245">
        <f t="shared" ca="1" si="27"/>
        <v>14287.344780476351</v>
      </c>
      <c r="P35" s="245">
        <f t="shared" ca="1" si="27"/>
        <v>14422.914436683286</v>
      </c>
      <c r="Q35" s="245">
        <f t="shared" ca="1" si="27"/>
        <v>14559.770485286183</v>
      </c>
      <c r="R35" s="245">
        <f t="shared" ca="1" si="27"/>
        <v>14697.925132596116</v>
      </c>
      <c r="S35" s="245">
        <f t="shared" ca="1" si="27"/>
        <v>14837.390700747324</v>
      </c>
      <c r="T35" s="245">
        <f t="shared" ca="1" si="27"/>
        <v>14978.179628796224</v>
      </c>
      <c r="U35" s="245">
        <f t="shared" ca="1" si="27"/>
        <v>15120.304473830862</v>
      </c>
      <c r="V35" s="245">
        <f t="shared" ca="1" si="27"/>
        <v>15207.526779375747</v>
      </c>
      <c r="W35" s="245">
        <f t="shared" ca="1" si="27"/>
        <v>15295.576719317225</v>
      </c>
      <c r="X35" s="245">
        <f t="shared" ca="1" si="27"/>
        <v>15384.46214690671</v>
      </c>
      <c r="Y35" s="245">
        <f t="shared" ca="1" si="27"/>
        <v>15474.190989913493</v>
      </c>
      <c r="Z35" s="245">
        <f t="shared" ca="1" si="27"/>
        <v>15564.771251331829</v>
      </c>
      <c r="AA35" s="245">
        <f t="shared" ca="1" si="27"/>
        <v>15656.211010094723</v>
      </c>
      <c r="AB35" s="245">
        <f t="shared" ca="1" si="27"/>
        <v>15748.518421794506</v>
      </c>
      <c r="AC35" s="245">
        <f t="shared" ca="1" si="27"/>
        <v>15841.701719410235</v>
      </c>
      <c r="AD35" s="245">
        <f t="shared" ca="1" si="27"/>
        <v>15935.769214042004</v>
      </c>
      <c r="AE35" s="245">
        <f t="shared" ca="1" si="27"/>
        <v>16030.729295652207</v>
      </c>
      <c r="AF35" s="245">
        <f t="shared" ca="1" si="27"/>
        <v>16126.590433813861</v>
      </c>
      <c r="AG35" s="245">
        <f t="shared" ca="1" si="27"/>
        <v>16223.361178466002</v>
      </c>
      <c r="AH35" s="245">
        <f t="shared" ca="1" si="27"/>
        <v>16292.924594318705</v>
      </c>
      <c r="AI35" s="245">
        <f t="shared" ca="1" si="27"/>
        <v>16363.148083020254</v>
      </c>
      <c r="AJ35" s="245">
        <f t="shared" ca="1" si="27"/>
        <v>16434.037907865237</v>
      </c>
      <c r="AK35" s="245">
        <f t="shared" ca="1" si="27"/>
        <v>16505.600391579341</v>
      </c>
      <c r="AL35" s="245">
        <f t="shared" ca="1" si="27"/>
        <v>16577.841916883292</v>
      </c>
      <c r="AM35" s="245">
        <f t="shared" ca="1" si="27"/>
        <v>16650.768927062134</v>
      </c>
      <c r="AN35" s="245">
        <f t="shared" ca="1" si="27"/>
        <v>16724.387926539897</v>
      </c>
      <c r="AO35" s="245">
        <f t="shared" ca="1" si="27"/>
        <v>16798.705481459758</v>
      </c>
      <c r="AP35" s="245">
        <f t="shared" ca="1" si="27"/>
        <v>16873.728220269659</v>
      </c>
      <c r="AQ35" s="245">
        <f t="shared" ca="1" si="27"/>
        <v>16949.462834313512</v>
      </c>
      <c r="AR35" s="245">
        <f t="shared" ca="1" si="27"/>
        <v>8575.012515618293</v>
      </c>
      <c r="AS35" s="245">
        <f t="shared" ca="1" si="27"/>
        <v>8625.1526715907548</v>
      </c>
      <c r="AT35" s="245">
        <f t="shared" ca="1" si="27"/>
        <v>8657.0327798011258</v>
      </c>
      <c r="AU35" s="245">
        <f t="shared" ca="1" si="27"/>
        <v>8689.2153917570377</v>
      </c>
      <c r="AV35" s="245">
        <f t="shared" ca="1" si="27"/>
        <v>8721.7033778538935</v>
      </c>
      <c r="AW35" s="245">
        <f t="shared" ca="1" si="27"/>
        <v>8754.4996357236832</v>
      </c>
      <c r="AX35" s="245">
        <f t="shared" ca="1" si="27"/>
        <v>8787.6070904934277</v>
      </c>
      <c r="AY35" s="245">
        <f t="shared" ca="1" si="27"/>
        <v>8821.0286950460741</v>
      </c>
      <c r="AZ35" s="245">
        <f t="shared" ca="1" si="27"/>
        <v>8854.7674302838623</v>
      </c>
      <c r="BA35" s="245">
        <f t="shared" ca="1" si="27"/>
        <v>8888.8263053941973</v>
      </c>
      <c r="BB35" s="245">
        <f t="shared" ca="1" si="27"/>
        <v>8923.2083581180377</v>
      </c>
      <c r="BC35" s="245">
        <f t="shared" ca="1" si="27"/>
        <v>8957.9166550208411</v>
      </c>
      <c r="BD35" s="245">
        <f t="shared" ca="1" si="27"/>
        <v>8992.9542917660674</v>
      </c>
      <c r="BE35" s="245">
        <f t="shared" ca="1" si="27"/>
        <v>9028.3243933912854</v>
      </c>
      <c r="BF35" s="245">
        <f t="shared" ca="1" si="27"/>
        <v>9059.866599626941</v>
      </c>
      <c r="BG35" s="245">
        <f t="shared" ca="1" si="27"/>
        <v>9091.7081033262675</v>
      </c>
      <c r="BH35" s="245">
        <f t="shared" ca="1" si="27"/>
        <v>9123.8517444609206</v>
      </c>
      <c r="BI35" s="245">
        <f t="shared" ca="1" si="27"/>
        <v>9156.3003899504656</v>
      </c>
      <c r="BJ35" s="245">
        <f t="shared" ca="1" si="27"/>
        <v>9189.0569339180693</v>
      </c>
      <c r="BK35" s="245">
        <f t="shared" ca="1" si="27"/>
        <v>9222.1242979486324</v>
      </c>
      <c r="BL35" s="245">
        <f t="shared" ca="1" si="27"/>
        <v>9255.5054313493747</v>
      </c>
      <c r="BM35" s="245">
        <f t="shared" ca="1" si="27"/>
        <v>9289.203311412879</v>
      </c>
      <c r="BN35" s="245">
        <f t="shared" ca="1" si="27"/>
        <v>9323.2209436826397</v>
      </c>
      <c r="BO35" s="245">
        <f t="shared" ca="1" si="27"/>
        <v>9357.5613622211313</v>
      </c>
      <c r="BP35" s="246">
        <f t="shared" ca="1" si="27"/>
        <v>9392.2276298804245</v>
      </c>
      <c r="BQ35" s="245">
        <f t="shared" ca="1" si="27"/>
        <v>9427.2228385753497</v>
      </c>
      <c r="BR35" s="246">
        <f t="shared" ca="1" si="27"/>
        <v>9458.3865945993239</v>
      </c>
      <c r="BS35" s="245">
        <f t="shared" ca="1" si="27"/>
        <v>9489.8460570512743</v>
      </c>
      <c r="BT35" s="246">
        <f t="shared" ca="1" si="27"/>
        <v>9521.6040318282649</v>
      </c>
      <c r="BU35" s="245">
        <f t="shared" ca="1" si="27"/>
        <v>9553.6633514519344</v>
      </c>
      <c r="BV35" s="246">
        <f t="shared" ref="BV35:CN35" ca="1" si="28">$D$33*BV33</f>
        <v>9586.0268753211367</v>
      </c>
      <c r="BW35" s="245">
        <f t="shared" ca="1" si="28"/>
        <v>9618.6974899669694</v>
      </c>
      <c r="BX35" s="246">
        <f t="shared" ca="1" si="28"/>
        <v>9651.67810931022</v>
      </c>
      <c r="BY35" s="245">
        <f t="shared" ca="1" si="28"/>
        <v>9684.971674921273</v>
      </c>
      <c r="BZ35" s="246">
        <f t="shared" ca="1" si="28"/>
        <v>9718.5811562824638</v>
      </c>
      <c r="CA35" s="245">
        <f t="shared" ca="1" si="28"/>
        <v>9752.50955105293</v>
      </c>
      <c r="CB35" s="246">
        <f t="shared" ca="1" si="28"/>
        <v>9786.7598853359759</v>
      </c>
      <c r="CC35" s="245">
        <f t="shared" ca="1" si="28"/>
        <v>9821.3352139489725</v>
      </c>
      <c r="CD35" s="246">
        <f t="shared" ca="1" si="28"/>
        <v>9852.075105735863</v>
      </c>
      <c r="CE35" s="245">
        <f t="shared" ca="1" si="28"/>
        <v>9883.1066819907537</v>
      </c>
      <c r="CF35" s="246">
        <f t="shared" ca="1" si="28"/>
        <v>9914.4327104471577</v>
      </c>
      <c r="CG35" s="245">
        <f t="shared" ca="1" si="28"/>
        <v>9946.0559851010494</v>
      </c>
      <c r="CH35" s="246">
        <f t="shared" ca="1" si="28"/>
        <v>9977.979326460043</v>
      </c>
      <c r="CI35" s="245">
        <f t="shared" ca="1" si="28"/>
        <v>10010.205581794975</v>
      </c>
      <c r="CJ35" s="246">
        <f t="shared" ca="1" si="28"/>
        <v>10042.737625393835</v>
      </c>
      <c r="CK35" s="245">
        <f t="shared" ca="1" si="28"/>
        <v>10075.578358818144</v>
      </c>
      <c r="CL35" s="246">
        <f t="shared" ca="1" si="28"/>
        <v>10108.730711161736</v>
      </c>
      <c r="CM35" s="245">
        <f t="shared" ca="1" si="28"/>
        <v>10142.197639312009</v>
      </c>
      <c r="CN35" s="246">
        <f t="shared" ca="1" si="28"/>
        <v>0</v>
      </c>
    </row>
    <row r="36" spans="1:92" ht="18">
      <c r="A36" s="204"/>
      <c r="B36" s="242" t="s">
        <v>160</v>
      </c>
      <c r="C36" s="243"/>
      <c r="D36" s="243"/>
      <c r="E36" s="212">
        <f t="shared" ca="1" si="24"/>
        <v>-1194497.7378597488</v>
      </c>
      <c r="F36" s="244"/>
      <c r="G36" s="244"/>
      <c r="H36" s="245">
        <f>H23</f>
        <v>0</v>
      </c>
      <c r="I36" s="245">
        <f t="shared" ref="I36:BT36" ca="1" si="29">I23</f>
        <v>0</v>
      </c>
      <c r="J36" s="245">
        <f t="shared" ca="1" si="29"/>
        <v>0</v>
      </c>
      <c r="K36" s="245">
        <f t="shared" ca="1" si="29"/>
        <v>0</v>
      </c>
      <c r="L36" s="245">
        <f t="shared" ca="1" si="29"/>
        <v>0</v>
      </c>
      <c r="M36" s="245">
        <f t="shared" ca="1" si="29"/>
        <v>0</v>
      </c>
      <c r="N36" s="245">
        <f t="shared" ca="1" si="29"/>
        <v>0</v>
      </c>
      <c r="O36" s="245">
        <f t="shared" ca="1" si="29"/>
        <v>0</v>
      </c>
      <c r="P36" s="245">
        <f t="shared" ca="1" si="29"/>
        <v>0</v>
      </c>
      <c r="Q36" s="245">
        <f t="shared" ca="1" si="29"/>
        <v>0</v>
      </c>
      <c r="R36" s="245">
        <f t="shared" ca="1" si="29"/>
        <v>0</v>
      </c>
      <c r="S36" s="245">
        <f t="shared" ca="1" si="29"/>
        <v>0</v>
      </c>
      <c r="T36" s="245">
        <f t="shared" ca="1" si="29"/>
        <v>0</v>
      </c>
      <c r="U36" s="245">
        <f t="shared" ca="1" si="29"/>
        <v>-5928.1652685380586</v>
      </c>
      <c r="V36" s="245">
        <f t="shared" ca="1" si="29"/>
        <v>-5928.1652685380586</v>
      </c>
      <c r="W36" s="245">
        <f t="shared" ca="1" si="29"/>
        <v>-5928.1652685380586</v>
      </c>
      <c r="X36" s="245">
        <f t="shared" ca="1" si="29"/>
        <v>-5928.1652685380586</v>
      </c>
      <c r="Y36" s="245">
        <f t="shared" ca="1" si="29"/>
        <v>-5928.1652685380586</v>
      </c>
      <c r="Z36" s="245">
        <f t="shared" ca="1" si="29"/>
        <v>-5928.1652685380586</v>
      </c>
      <c r="AA36" s="245">
        <f t="shared" ca="1" si="29"/>
        <v>-5928.1652685380586</v>
      </c>
      <c r="AB36" s="245">
        <f t="shared" ca="1" si="29"/>
        <v>-5928.1652685380586</v>
      </c>
      <c r="AC36" s="245">
        <f t="shared" ca="1" si="29"/>
        <v>-5928.1652685380586</v>
      </c>
      <c r="AD36" s="245">
        <f t="shared" ca="1" si="29"/>
        <v>-5928.1652685380586</v>
      </c>
      <c r="AE36" s="245">
        <f t="shared" ca="1" si="29"/>
        <v>-5928.1652685380586</v>
      </c>
      <c r="AF36" s="245">
        <f t="shared" ca="1" si="29"/>
        <v>-5928.1652685380586</v>
      </c>
      <c r="AG36" s="245">
        <f t="shared" ca="1" si="29"/>
        <v>-8892.2479028070866</v>
      </c>
      <c r="AH36" s="245">
        <f t="shared" ca="1" si="29"/>
        <v>-8892.2479028070866</v>
      </c>
      <c r="AI36" s="245">
        <f t="shared" ca="1" si="29"/>
        <v>-8892.2479028070866</v>
      </c>
      <c r="AJ36" s="245">
        <f t="shared" ca="1" si="29"/>
        <v>-8892.2479028070866</v>
      </c>
      <c r="AK36" s="245">
        <f t="shared" ca="1" si="29"/>
        <v>-8892.2479028070866</v>
      </c>
      <c r="AL36" s="245">
        <f t="shared" ca="1" si="29"/>
        <v>-8892.2479028070866</v>
      </c>
      <c r="AM36" s="245">
        <f t="shared" ca="1" si="29"/>
        <v>-8892.2479028070866</v>
      </c>
      <c r="AN36" s="245">
        <f t="shared" ca="1" si="29"/>
        <v>-8892.2479028070866</v>
      </c>
      <c r="AO36" s="245">
        <f t="shared" ca="1" si="29"/>
        <v>-8892.2479028070866</v>
      </c>
      <c r="AP36" s="245">
        <f t="shared" ca="1" si="29"/>
        <v>-8892.2479028070866</v>
      </c>
      <c r="AQ36" s="245">
        <f t="shared" ca="1" si="29"/>
        <v>-899511.69982586254</v>
      </c>
      <c r="AR36" s="245">
        <f t="shared" ca="1" si="29"/>
        <v>-3290.8677020331529</v>
      </c>
      <c r="AS36" s="245">
        <f t="shared" ca="1" si="29"/>
        <v>-5265.3883232530443</v>
      </c>
      <c r="AT36" s="245">
        <f t="shared" ca="1" si="29"/>
        <v>-5265.3883232530443</v>
      </c>
      <c r="AU36" s="245">
        <f t="shared" ca="1" si="29"/>
        <v>-5265.3883232530443</v>
      </c>
      <c r="AV36" s="245">
        <f t="shared" ca="1" si="29"/>
        <v>-5265.3883232530443</v>
      </c>
      <c r="AW36" s="245">
        <f t="shared" ca="1" si="29"/>
        <v>-5265.3883232530443</v>
      </c>
      <c r="AX36" s="245">
        <f t="shared" ca="1" si="29"/>
        <v>-5265.3883232530443</v>
      </c>
      <c r="AY36" s="245">
        <f t="shared" ca="1" si="29"/>
        <v>-5265.3883232530443</v>
      </c>
      <c r="AZ36" s="245">
        <f t="shared" ca="1" si="29"/>
        <v>-5265.3883232530443</v>
      </c>
      <c r="BA36" s="245">
        <f t="shared" ca="1" si="29"/>
        <v>-5265.3883232530443</v>
      </c>
      <c r="BB36" s="245">
        <f t="shared" ca="1" si="29"/>
        <v>-5265.3883232530443</v>
      </c>
      <c r="BC36" s="245">
        <f t="shared" ca="1" si="29"/>
        <v>-5265.3883232530443</v>
      </c>
      <c r="BD36" s="245">
        <f t="shared" ca="1" si="29"/>
        <v>-5265.3883232530443</v>
      </c>
      <c r="BE36" s="245">
        <f t="shared" ca="1" si="29"/>
        <v>-5704.170683524133</v>
      </c>
      <c r="BF36" s="245">
        <f t="shared" ca="1" si="29"/>
        <v>-5704.170683524133</v>
      </c>
      <c r="BG36" s="245">
        <f t="shared" ca="1" si="29"/>
        <v>-5704.170683524133</v>
      </c>
      <c r="BH36" s="245">
        <f t="shared" ca="1" si="29"/>
        <v>-5704.170683524133</v>
      </c>
      <c r="BI36" s="245">
        <f t="shared" ca="1" si="29"/>
        <v>-5704.170683524133</v>
      </c>
      <c r="BJ36" s="245">
        <f t="shared" ca="1" si="29"/>
        <v>-5704.170683524133</v>
      </c>
      <c r="BK36" s="245">
        <f t="shared" ca="1" si="29"/>
        <v>-5704.170683524133</v>
      </c>
      <c r="BL36" s="245">
        <f t="shared" ca="1" si="29"/>
        <v>-5704.170683524133</v>
      </c>
      <c r="BM36" s="245">
        <f t="shared" ca="1" si="29"/>
        <v>-5704.170683524133</v>
      </c>
      <c r="BN36" s="245">
        <f t="shared" ca="1" si="29"/>
        <v>-5704.170683524133</v>
      </c>
      <c r="BO36" s="245">
        <f t="shared" ca="1" si="29"/>
        <v>-5704.170683524133</v>
      </c>
      <c r="BP36" s="246">
        <f t="shared" ca="1" si="29"/>
        <v>-5704.170683524133</v>
      </c>
      <c r="BQ36" s="245">
        <f t="shared" ca="1" si="29"/>
        <v>-6142.9530437952199</v>
      </c>
      <c r="BR36" s="246">
        <f t="shared" ca="1" si="29"/>
        <v>-6142.9530437952199</v>
      </c>
      <c r="BS36" s="245">
        <f t="shared" ca="1" si="29"/>
        <v>-6142.9530437952199</v>
      </c>
      <c r="BT36" s="246">
        <f t="shared" ca="1" si="29"/>
        <v>-6142.9530437952199</v>
      </c>
      <c r="BU36" s="245">
        <f t="shared" ref="BU36:CN36" ca="1" si="30">BU23</f>
        <v>-6142.9530437952199</v>
      </c>
      <c r="BV36" s="246">
        <f t="shared" ca="1" si="30"/>
        <v>-6142.9530437952199</v>
      </c>
      <c r="BW36" s="245">
        <f t="shared" ca="1" si="30"/>
        <v>-6142.9530437952199</v>
      </c>
      <c r="BX36" s="246">
        <f t="shared" ca="1" si="30"/>
        <v>-6142.9530437952199</v>
      </c>
      <c r="BY36" s="245">
        <f t="shared" ca="1" si="30"/>
        <v>-6142.9530437952199</v>
      </c>
      <c r="BZ36" s="246">
        <f t="shared" ca="1" si="30"/>
        <v>-6142.9530437952199</v>
      </c>
      <c r="CA36" s="245">
        <f t="shared" ca="1" si="30"/>
        <v>-6142.9530437952199</v>
      </c>
      <c r="CB36" s="246">
        <f t="shared" ca="1" si="30"/>
        <v>-6142.9530437952199</v>
      </c>
      <c r="CC36" s="245">
        <f t="shared" ca="1" si="30"/>
        <v>-6581.7354040663058</v>
      </c>
      <c r="CD36" s="246">
        <f t="shared" ca="1" si="30"/>
        <v>-6581.7354040663058</v>
      </c>
      <c r="CE36" s="245">
        <f t="shared" ca="1" si="30"/>
        <v>-6581.7354040663058</v>
      </c>
      <c r="CF36" s="246">
        <f t="shared" ca="1" si="30"/>
        <v>-6581.7354040663058</v>
      </c>
      <c r="CG36" s="245">
        <f t="shared" ca="1" si="30"/>
        <v>-6581.7354040663058</v>
      </c>
      <c r="CH36" s="246">
        <f t="shared" ca="1" si="30"/>
        <v>-6581.7354040663058</v>
      </c>
      <c r="CI36" s="245">
        <f t="shared" ca="1" si="30"/>
        <v>-6581.7354040663058</v>
      </c>
      <c r="CJ36" s="246">
        <f t="shared" ca="1" si="30"/>
        <v>-6581.7354040663058</v>
      </c>
      <c r="CK36" s="245">
        <f t="shared" ca="1" si="30"/>
        <v>-6581.7354040663058</v>
      </c>
      <c r="CL36" s="246">
        <f t="shared" ca="1" si="30"/>
        <v>-6581.7354040663058</v>
      </c>
      <c r="CM36" s="245">
        <f t="shared" ca="1" si="30"/>
        <v>-647293.64490140229</v>
      </c>
      <c r="CN36" s="246">
        <f t="shared" si="30"/>
        <v>0</v>
      </c>
    </row>
    <row r="37" spans="1:92" ht="18">
      <c r="A37" s="204"/>
      <c r="B37" s="242" t="s">
        <v>169</v>
      </c>
      <c r="C37" s="243"/>
      <c r="D37" s="243"/>
      <c r="E37" s="262">
        <f t="shared" ca="1" si="24"/>
        <v>-3.0240698833949866E-13</v>
      </c>
      <c r="F37" s="247"/>
      <c r="G37" s="247"/>
      <c r="H37" s="248">
        <f ca="1">-IF(H29&gt;0,MIN($C$40*H29,H33+H35+H36),0)</f>
        <v>0</v>
      </c>
      <c r="I37" s="248">
        <f t="shared" ref="I37:BT37" ca="1" si="31">-IF(I29&gt;0,MIN($C$40*I29,I33+I35+I36),0)</f>
        <v>0</v>
      </c>
      <c r="J37" s="248">
        <f t="shared" ca="1" si="31"/>
        <v>0</v>
      </c>
      <c r="K37" s="248">
        <f t="shared" ca="1" si="31"/>
        <v>0</v>
      </c>
      <c r="L37" s="248">
        <f t="shared" ca="1" si="31"/>
        <v>0</v>
      </c>
      <c r="M37" s="248">
        <f t="shared" ca="1" si="31"/>
        <v>0</v>
      </c>
      <c r="N37" s="248">
        <f t="shared" ca="1" si="31"/>
        <v>0</v>
      </c>
      <c r="O37" s="248">
        <f t="shared" ca="1" si="31"/>
        <v>0</v>
      </c>
      <c r="P37" s="248">
        <f t="shared" ca="1" si="31"/>
        <v>0</v>
      </c>
      <c r="Q37" s="248">
        <f t="shared" ca="1" si="31"/>
        <v>0</v>
      </c>
      <c r="R37" s="248">
        <f t="shared" ca="1" si="31"/>
        <v>0</v>
      </c>
      <c r="S37" s="248">
        <f t="shared" ca="1" si="31"/>
        <v>0</v>
      </c>
      <c r="T37" s="248">
        <f t="shared" ca="1" si="31"/>
        <v>0</v>
      </c>
      <c r="U37" s="248">
        <f t="shared" ca="1" si="31"/>
        <v>0</v>
      </c>
      <c r="V37" s="248">
        <f t="shared" ca="1" si="31"/>
        <v>0</v>
      </c>
      <c r="W37" s="248">
        <f t="shared" ca="1" si="31"/>
        <v>0</v>
      </c>
      <c r="X37" s="248">
        <f t="shared" ca="1" si="31"/>
        <v>0</v>
      </c>
      <c r="Y37" s="248">
        <f t="shared" ca="1" si="31"/>
        <v>0</v>
      </c>
      <c r="Z37" s="248">
        <f t="shared" ca="1" si="31"/>
        <v>0</v>
      </c>
      <c r="AA37" s="248">
        <f t="shared" ca="1" si="31"/>
        <v>0</v>
      </c>
      <c r="AB37" s="248">
        <f t="shared" ca="1" si="31"/>
        <v>0</v>
      </c>
      <c r="AC37" s="248">
        <f t="shared" ca="1" si="31"/>
        <v>0</v>
      </c>
      <c r="AD37" s="248">
        <f t="shared" ca="1" si="31"/>
        <v>0</v>
      </c>
      <c r="AE37" s="248">
        <f t="shared" ca="1" si="31"/>
        <v>0</v>
      </c>
      <c r="AF37" s="248">
        <f t="shared" ca="1" si="31"/>
        <v>0</v>
      </c>
      <c r="AG37" s="248">
        <f t="shared" ca="1" si="31"/>
        <v>0</v>
      </c>
      <c r="AH37" s="248">
        <f t="shared" ca="1" si="31"/>
        <v>0</v>
      </c>
      <c r="AI37" s="248">
        <f t="shared" ca="1" si="31"/>
        <v>0</v>
      </c>
      <c r="AJ37" s="248">
        <f t="shared" ca="1" si="31"/>
        <v>0</v>
      </c>
      <c r="AK37" s="248">
        <f t="shared" ca="1" si="31"/>
        <v>0</v>
      </c>
      <c r="AL37" s="248">
        <f t="shared" ca="1" si="31"/>
        <v>0</v>
      </c>
      <c r="AM37" s="248">
        <f t="shared" ca="1" si="31"/>
        <v>0</v>
      </c>
      <c r="AN37" s="248">
        <f t="shared" ca="1" si="31"/>
        <v>0</v>
      </c>
      <c r="AO37" s="248">
        <f t="shared" ca="1" si="31"/>
        <v>0</v>
      </c>
      <c r="AP37" s="248">
        <f t="shared" ca="1" si="31"/>
        <v>0</v>
      </c>
      <c r="AQ37" s="248">
        <f t="shared" ca="1" si="31"/>
        <v>0</v>
      </c>
      <c r="AR37" s="248">
        <f t="shared" ca="1" si="31"/>
        <v>-3.0240698833949866E-13</v>
      </c>
      <c r="AS37" s="248">
        <f t="shared" ca="1" si="31"/>
        <v>0</v>
      </c>
      <c r="AT37" s="248">
        <f t="shared" ca="1" si="31"/>
        <v>0</v>
      </c>
      <c r="AU37" s="248">
        <f t="shared" ca="1" si="31"/>
        <v>0</v>
      </c>
      <c r="AV37" s="248">
        <f t="shared" ca="1" si="31"/>
        <v>0</v>
      </c>
      <c r="AW37" s="248">
        <f t="shared" ca="1" si="31"/>
        <v>0</v>
      </c>
      <c r="AX37" s="248">
        <f t="shared" ca="1" si="31"/>
        <v>0</v>
      </c>
      <c r="AY37" s="248">
        <f t="shared" ca="1" si="31"/>
        <v>0</v>
      </c>
      <c r="AZ37" s="248">
        <f t="shared" ca="1" si="31"/>
        <v>0</v>
      </c>
      <c r="BA37" s="248">
        <f t="shared" ca="1" si="31"/>
        <v>0</v>
      </c>
      <c r="BB37" s="248">
        <f t="shared" ca="1" si="31"/>
        <v>0</v>
      </c>
      <c r="BC37" s="248">
        <f t="shared" ca="1" si="31"/>
        <v>0</v>
      </c>
      <c r="BD37" s="248">
        <f t="shared" ca="1" si="31"/>
        <v>0</v>
      </c>
      <c r="BE37" s="248">
        <f t="shared" ca="1" si="31"/>
        <v>0</v>
      </c>
      <c r="BF37" s="248">
        <f t="shared" ca="1" si="31"/>
        <v>0</v>
      </c>
      <c r="BG37" s="248">
        <f t="shared" ca="1" si="31"/>
        <v>0</v>
      </c>
      <c r="BH37" s="248">
        <f t="shared" ca="1" si="31"/>
        <v>0</v>
      </c>
      <c r="BI37" s="248">
        <f t="shared" ca="1" si="31"/>
        <v>0</v>
      </c>
      <c r="BJ37" s="248">
        <f t="shared" ca="1" si="31"/>
        <v>0</v>
      </c>
      <c r="BK37" s="248">
        <f t="shared" ca="1" si="31"/>
        <v>0</v>
      </c>
      <c r="BL37" s="248">
        <f t="shared" ca="1" si="31"/>
        <v>0</v>
      </c>
      <c r="BM37" s="248">
        <f t="shared" ca="1" si="31"/>
        <v>0</v>
      </c>
      <c r="BN37" s="248">
        <f t="shared" ca="1" si="31"/>
        <v>0</v>
      </c>
      <c r="BO37" s="248">
        <f t="shared" ca="1" si="31"/>
        <v>0</v>
      </c>
      <c r="BP37" s="249">
        <f t="shared" ca="1" si="31"/>
        <v>0</v>
      </c>
      <c r="BQ37" s="248">
        <f t="shared" ca="1" si="31"/>
        <v>-6.0481397667899731E-13</v>
      </c>
      <c r="BR37" s="249">
        <f t="shared" ca="1" si="31"/>
        <v>-6.0481397667899731E-13</v>
      </c>
      <c r="BS37" s="248">
        <f t="shared" ca="1" si="31"/>
        <v>-6.0481397667899731E-13</v>
      </c>
      <c r="BT37" s="249">
        <f t="shared" ca="1" si="31"/>
        <v>-6.0481397667899731E-13</v>
      </c>
      <c r="BU37" s="248">
        <f t="shared" ref="BU37:CN37" ca="1" si="32">-IF(BU29&gt;0,MIN($C$40*BU29,BU33+BU35+BU36),0)</f>
        <v>-6.0481397667899731E-13</v>
      </c>
      <c r="BV37" s="249">
        <f t="shared" ca="1" si="32"/>
        <v>-6.0481397667899731E-13</v>
      </c>
      <c r="BW37" s="248">
        <f t="shared" ca="1" si="32"/>
        <v>-6.0481397667899731E-13</v>
      </c>
      <c r="BX37" s="249">
        <f t="shared" ca="1" si="32"/>
        <v>-6.0481397667899731E-13</v>
      </c>
      <c r="BY37" s="248">
        <f t="shared" ca="1" si="32"/>
        <v>-6.0481397667899731E-13</v>
      </c>
      <c r="BZ37" s="249">
        <f t="shared" ca="1" si="32"/>
        <v>-6.0481397667899731E-13</v>
      </c>
      <c r="CA37" s="248">
        <f t="shared" ca="1" si="32"/>
        <v>-6.0481397667899731E-13</v>
      </c>
      <c r="CB37" s="249">
        <f t="shared" ca="1" si="32"/>
        <v>-6.0481397667899731E-13</v>
      </c>
      <c r="CC37" s="248">
        <f t="shared" ca="1" si="32"/>
        <v>-6.0481397667899731E-13</v>
      </c>
      <c r="CD37" s="249">
        <f t="shared" ca="1" si="32"/>
        <v>-6.0481397667899731E-13</v>
      </c>
      <c r="CE37" s="248">
        <f t="shared" ca="1" si="32"/>
        <v>-6.0481397667899731E-13</v>
      </c>
      <c r="CF37" s="249">
        <f t="shared" ca="1" si="32"/>
        <v>-6.0481397667899731E-13</v>
      </c>
      <c r="CG37" s="248">
        <f t="shared" ca="1" si="32"/>
        <v>-6.0481397667899731E-13</v>
      </c>
      <c r="CH37" s="249">
        <f t="shared" ca="1" si="32"/>
        <v>-6.0481397667899731E-13</v>
      </c>
      <c r="CI37" s="248">
        <f t="shared" ca="1" si="32"/>
        <v>-6.0481397667899731E-13</v>
      </c>
      <c r="CJ37" s="249">
        <f t="shared" ca="1" si="32"/>
        <v>-6.0481397667899731E-13</v>
      </c>
      <c r="CK37" s="248">
        <f t="shared" ca="1" si="32"/>
        <v>-6.0481397667899731E-13</v>
      </c>
      <c r="CL37" s="249">
        <f t="shared" ca="1" si="32"/>
        <v>-6.0481397667899731E-13</v>
      </c>
      <c r="CM37" s="248">
        <f t="shared" ca="1" si="32"/>
        <v>-431709.22966843378</v>
      </c>
      <c r="CN37" s="249">
        <f t="shared" si="32"/>
        <v>0</v>
      </c>
    </row>
    <row r="38" spans="1:92" ht="18">
      <c r="A38" s="204"/>
      <c r="B38" s="242" t="s">
        <v>161</v>
      </c>
      <c r="C38" s="243"/>
      <c r="D38" s="243"/>
      <c r="E38" s="212">
        <f ca="1">SUM(E34:E37)</f>
        <v>993511.28258018009</v>
      </c>
      <c r="F38" s="244"/>
      <c r="G38" s="250"/>
      <c r="H38" s="245">
        <f ca="1">SUM(H33:H37)</f>
        <v>1422759.6644491339</v>
      </c>
      <c r="I38" s="245">
        <f ca="1">SUM(I33:I37)</f>
        <v>1436259.9363007685</v>
      </c>
      <c r="J38" s="245">
        <f t="shared" ref="J38:BU38" ca="1" si="33">SUM(J33:J37)</f>
        <v>1449888.3094365639</v>
      </c>
      <c r="K38" s="245">
        <f t="shared" ca="1" si="33"/>
        <v>1463645.9993830801</v>
      </c>
      <c r="L38" s="245">
        <f t="shared" ca="1" si="33"/>
        <v>1477534.2332007571</v>
      </c>
      <c r="M38" s="245">
        <f t="shared" ca="1" si="33"/>
        <v>1491554.2495933571</v>
      </c>
      <c r="N38" s="245">
        <f t="shared" ca="1" si="33"/>
        <v>1505707.2990184459</v>
      </c>
      <c r="O38" s="245">
        <f t="shared" ca="1" si="33"/>
        <v>1519994.6437989222</v>
      </c>
      <c r="P38" s="245">
        <f t="shared" ca="1" si="33"/>
        <v>1534417.5582356055</v>
      </c>
      <c r="Q38" s="245">
        <f t="shared" ca="1" si="33"/>
        <v>1548977.3287208916</v>
      </c>
      <c r="R38" s="245">
        <f t="shared" ca="1" si="33"/>
        <v>1563675.2538534878</v>
      </c>
      <c r="S38" s="245">
        <f t="shared" ca="1" si="33"/>
        <v>1578512.644554235</v>
      </c>
      <c r="T38" s="245">
        <f t="shared" ca="1" si="33"/>
        <v>1593490.8241830312</v>
      </c>
      <c r="U38" s="245">
        <f t="shared" ca="1" si="33"/>
        <v>1602682.963388324</v>
      </c>
      <c r="V38" s="245">
        <f t="shared" ca="1" si="33"/>
        <v>1611962.3248991617</v>
      </c>
      <c r="W38" s="245">
        <f t="shared" ca="1" si="33"/>
        <v>1621329.7363499408</v>
      </c>
      <c r="X38" s="245">
        <f t="shared" ca="1" si="33"/>
        <v>1630786.0332283094</v>
      </c>
      <c r="Y38" s="245">
        <f t="shared" ca="1" si="33"/>
        <v>1640332.0589496847</v>
      </c>
      <c r="Z38" s="245">
        <f t="shared" ca="1" si="33"/>
        <v>1649968.6649324785</v>
      </c>
      <c r="AA38" s="245">
        <f t="shared" ca="1" si="33"/>
        <v>1659696.7106740351</v>
      </c>
      <c r="AB38" s="245">
        <f t="shared" ca="1" si="33"/>
        <v>1669517.0638272916</v>
      </c>
      <c r="AC38" s="245">
        <f t="shared" ca="1" si="33"/>
        <v>1679430.6002781638</v>
      </c>
      <c r="AD38" s="245">
        <f t="shared" ca="1" si="33"/>
        <v>1689438.2042236677</v>
      </c>
      <c r="AE38" s="245">
        <f t="shared" ca="1" si="33"/>
        <v>1699540.7682507818</v>
      </c>
      <c r="AF38" s="245">
        <f t="shared" ca="1" si="33"/>
        <v>1709739.1934160576</v>
      </c>
      <c r="AG38" s="245">
        <f t="shared" ca="1" si="33"/>
        <v>1717070.3066917167</v>
      </c>
      <c r="AH38" s="245">
        <f t="shared" ca="1" si="33"/>
        <v>1724470.9833832283</v>
      </c>
      <c r="AI38" s="245">
        <f t="shared" ca="1" si="33"/>
        <v>1731941.8835634415</v>
      </c>
      <c r="AJ38" s="245">
        <f t="shared" ca="1" si="33"/>
        <v>1739483.6735684995</v>
      </c>
      <c r="AK38" s="245">
        <f t="shared" ca="1" si="33"/>
        <v>1747097.0260572718</v>
      </c>
      <c r="AL38" s="245">
        <f t="shared" ca="1" si="33"/>
        <v>1754782.620071348</v>
      </c>
      <c r="AM38" s="245">
        <f t="shared" ca="1" si="33"/>
        <v>1762541.1410956031</v>
      </c>
      <c r="AN38" s="245">
        <f t="shared" ca="1" si="33"/>
        <v>1770373.2811193359</v>
      </c>
      <c r="AO38" s="245">
        <f t="shared" ca="1" si="33"/>
        <v>1778279.7386979887</v>
      </c>
      <c r="AP38" s="245">
        <f t="shared" ca="1" si="33"/>
        <v>1786261.2190154511</v>
      </c>
      <c r="AQ38" s="245">
        <f t="shared" ca="1" si="33"/>
        <v>903698.98202390212</v>
      </c>
      <c r="AR38" s="245">
        <f t="shared" ca="1" si="33"/>
        <v>908983.12683748733</v>
      </c>
      <c r="AS38" s="245">
        <f t="shared" ca="1" si="33"/>
        <v>912342.89118582511</v>
      </c>
      <c r="AT38" s="245">
        <f t="shared" ca="1" si="33"/>
        <v>915734.53564237326</v>
      </c>
      <c r="AU38" s="245">
        <f t="shared" ca="1" si="33"/>
        <v>919158.36271087732</v>
      </c>
      <c r="AV38" s="245">
        <f t="shared" ca="1" si="33"/>
        <v>922614.67776547815</v>
      </c>
      <c r="AW38" s="245">
        <f t="shared" ca="1" si="33"/>
        <v>926103.78907794878</v>
      </c>
      <c r="AX38" s="245">
        <f t="shared" ca="1" si="33"/>
        <v>929626.00784518919</v>
      </c>
      <c r="AY38" s="245">
        <f t="shared" ca="1" si="33"/>
        <v>933181.64821698226</v>
      </c>
      <c r="AZ38" s="245">
        <f t="shared" ca="1" si="33"/>
        <v>936771.02732401306</v>
      </c>
      <c r="BA38" s="245">
        <f t="shared" ca="1" si="33"/>
        <v>940394.46530615422</v>
      </c>
      <c r="BB38" s="245">
        <f t="shared" ca="1" si="33"/>
        <v>944052.28534101928</v>
      </c>
      <c r="BC38" s="245">
        <f t="shared" ca="1" si="33"/>
        <v>947744.81367278704</v>
      </c>
      <c r="BD38" s="245">
        <f t="shared" ca="1" si="33"/>
        <v>951472.37964130007</v>
      </c>
      <c r="BE38" s="245">
        <f t="shared" ca="1" si="33"/>
        <v>954796.53335116722</v>
      </c>
      <c r="BF38" s="245">
        <f t="shared" ca="1" si="33"/>
        <v>958152.22926727007</v>
      </c>
      <c r="BG38" s="245">
        <f t="shared" ca="1" si="33"/>
        <v>961539.76668707223</v>
      </c>
      <c r="BH38" s="245">
        <f t="shared" ca="1" si="33"/>
        <v>964959.447748009</v>
      </c>
      <c r="BI38" s="245">
        <f t="shared" ca="1" si="33"/>
        <v>968411.57745443541</v>
      </c>
      <c r="BJ38" s="245">
        <f t="shared" ca="1" si="33"/>
        <v>971896.46370482934</v>
      </c>
      <c r="BK38" s="245">
        <f t="shared" ca="1" si="33"/>
        <v>975414.4173192539</v>
      </c>
      <c r="BL38" s="245">
        <f t="shared" ca="1" si="33"/>
        <v>978965.75206707919</v>
      </c>
      <c r="BM38" s="245">
        <f t="shared" ca="1" si="33"/>
        <v>982550.78469496791</v>
      </c>
      <c r="BN38" s="245">
        <f t="shared" ca="1" si="33"/>
        <v>986169.8349551264</v>
      </c>
      <c r="BO38" s="245">
        <f t="shared" ca="1" si="33"/>
        <v>989823.22563382343</v>
      </c>
      <c r="BP38" s="246">
        <f t="shared" ca="1" si="33"/>
        <v>993511.28258017974</v>
      </c>
      <c r="BQ38" s="245">
        <f t="shared" ca="1" si="33"/>
        <v>996795.55237495992</v>
      </c>
      <c r="BR38" s="246">
        <f t="shared" ca="1" si="33"/>
        <v>1000110.9859257641</v>
      </c>
      <c r="BS38" s="245">
        <f t="shared" ca="1" si="33"/>
        <v>1003457.8789390202</v>
      </c>
      <c r="BT38" s="246">
        <f t="shared" ca="1" si="33"/>
        <v>1006836.5299270533</v>
      </c>
      <c r="BU38" s="245">
        <f t="shared" ca="1" si="33"/>
        <v>1010247.24023471</v>
      </c>
      <c r="BV38" s="246">
        <f t="shared" ref="BV38:CN38" ca="1" si="34">SUM(BV33:BV37)</f>
        <v>1013690.314066236</v>
      </c>
      <c r="BW38" s="245">
        <f t="shared" ca="1" si="34"/>
        <v>1017166.0585124078</v>
      </c>
      <c r="BX38" s="246">
        <f t="shared" ca="1" si="34"/>
        <v>1020674.7835779228</v>
      </c>
      <c r="BY38" s="245">
        <f t="shared" ca="1" si="34"/>
        <v>1024216.8022090489</v>
      </c>
      <c r="BZ38" s="246">
        <f t="shared" ca="1" si="34"/>
        <v>1027792.4303215361</v>
      </c>
      <c r="CA38" s="245">
        <f t="shared" ca="1" si="34"/>
        <v>1031401.9868287939</v>
      </c>
      <c r="CB38" s="246">
        <f t="shared" ca="1" si="34"/>
        <v>1035045.7936703346</v>
      </c>
      <c r="CC38" s="245">
        <f t="shared" ca="1" si="34"/>
        <v>1038285.3934802173</v>
      </c>
      <c r="CD38" s="246">
        <f t="shared" ca="1" si="34"/>
        <v>1041555.733181887</v>
      </c>
      <c r="CE38" s="245">
        <f t="shared" ca="1" si="34"/>
        <v>1044857.1044598115</v>
      </c>
      <c r="CF38" s="246">
        <f t="shared" ca="1" si="34"/>
        <v>1048189.8017661923</v>
      </c>
      <c r="CG38" s="245">
        <f t="shared" ca="1" si="34"/>
        <v>1051554.1223472271</v>
      </c>
      <c r="CH38" s="246">
        <f t="shared" ca="1" si="34"/>
        <v>1054950.3662696208</v>
      </c>
      <c r="CI38" s="245">
        <f t="shared" ca="1" si="34"/>
        <v>1058378.8364473495</v>
      </c>
      <c r="CJ38" s="246">
        <f t="shared" ca="1" si="34"/>
        <v>1061839.838668677</v>
      </c>
      <c r="CK38" s="245">
        <f t="shared" ca="1" si="34"/>
        <v>1065333.6816234288</v>
      </c>
      <c r="CL38" s="246">
        <f t="shared" ca="1" si="34"/>
        <v>1068860.6769305242</v>
      </c>
      <c r="CM38" s="245">
        <f t="shared" ca="1" si="34"/>
        <v>0</v>
      </c>
      <c r="CN38" s="246">
        <f t="shared" ca="1" si="34"/>
        <v>0</v>
      </c>
    </row>
    <row r="39" spans="1:92" ht="18">
      <c r="A39" s="204"/>
      <c r="B39" s="242"/>
      <c r="C39" s="243"/>
      <c r="D39" s="243"/>
      <c r="E39" s="251"/>
      <c r="F39" s="222"/>
      <c r="G39" s="222"/>
      <c r="H39" s="252"/>
      <c r="I39" s="252"/>
      <c r="J39" s="252"/>
      <c r="K39" s="252"/>
      <c r="L39" s="252"/>
      <c r="M39" s="252"/>
      <c r="N39" s="252"/>
      <c r="O39" s="252"/>
      <c r="P39" s="252"/>
      <c r="Q39" s="252"/>
      <c r="R39" s="252"/>
      <c r="S39" s="252"/>
      <c r="T39" s="252"/>
      <c r="U39" s="252"/>
      <c r="V39" s="252"/>
      <c r="W39" s="252"/>
      <c r="X39" s="252"/>
      <c r="Y39" s="252"/>
      <c r="Z39" s="252"/>
      <c r="AA39" s="252"/>
      <c r="AB39" s="252"/>
      <c r="AC39" s="252"/>
      <c r="AD39" s="252"/>
      <c r="AE39" s="252"/>
      <c r="AF39" s="252"/>
      <c r="AG39" s="252"/>
      <c r="AH39" s="252"/>
      <c r="AI39" s="252"/>
      <c r="AJ39" s="252"/>
      <c r="AK39" s="252"/>
      <c r="AL39" s="252"/>
      <c r="AM39" s="252"/>
      <c r="AN39" s="252"/>
      <c r="AO39" s="252"/>
      <c r="AP39" s="252"/>
      <c r="AQ39" s="252"/>
      <c r="AR39" s="252"/>
      <c r="AS39" s="252"/>
      <c r="AT39" s="252"/>
      <c r="AU39" s="252"/>
      <c r="AV39" s="252"/>
      <c r="AW39" s="252"/>
      <c r="AX39" s="252"/>
      <c r="AY39" s="252"/>
      <c r="AZ39" s="252"/>
      <c r="BA39" s="252"/>
      <c r="BB39" s="252"/>
      <c r="BC39" s="252"/>
      <c r="BD39" s="252"/>
      <c r="BE39" s="252"/>
      <c r="BF39" s="252"/>
      <c r="BG39" s="252"/>
      <c r="BH39" s="252"/>
      <c r="BI39" s="252"/>
      <c r="BJ39" s="252"/>
      <c r="BK39" s="252"/>
      <c r="BL39" s="252"/>
      <c r="BM39" s="252"/>
      <c r="BN39" s="252"/>
      <c r="BO39" s="252"/>
      <c r="BP39" s="253"/>
      <c r="BQ39" s="252"/>
      <c r="BR39" s="253"/>
      <c r="BS39" s="252"/>
      <c r="BT39" s="253"/>
      <c r="BU39" s="252"/>
      <c r="BV39" s="253"/>
      <c r="BW39" s="252"/>
      <c r="BX39" s="253"/>
      <c r="BY39" s="252"/>
      <c r="BZ39" s="253"/>
      <c r="CA39" s="252"/>
      <c r="CB39" s="253"/>
      <c r="CC39" s="252"/>
      <c r="CD39" s="253"/>
      <c r="CE39" s="252"/>
      <c r="CF39" s="253"/>
      <c r="CG39" s="252"/>
      <c r="CH39" s="253"/>
      <c r="CI39" s="252"/>
      <c r="CJ39" s="253"/>
      <c r="CK39" s="252"/>
      <c r="CL39" s="253"/>
      <c r="CM39" s="252"/>
      <c r="CN39" s="253"/>
    </row>
    <row r="40" spans="1:92" ht="18">
      <c r="A40" s="204"/>
      <c r="B40" s="242" t="s">
        <v>162</v>
      </c>
      <c r="C40" s="243">
        <f>1-SUM(C41:C42)</f>
        <v>0.66500000000000004</v>
      </c>
      <c r="D40" s="225"/>
      <c r="E40" s="212">
        <f t="shared" ref="E40:E42" ca="1" si="35">SUM(H40:BP40)</f>
        <v>3.0240698833949866E-13</v>
      </c>
      <c r="F40" s="244"/>
      <c r="G40" s="244"/>
      <c r="H40" s="245">
        <f ca="1">-H37</f>
        <v>0</v>
      </c>
      <c r="I40" s="245">
        <f t="shared" ref="I40:BT40" ca="1" si="36">-I37</f>
        <v>0</v>
      </c>
      <c r="J40" s="245">
        <f t="shared" ca="1" si="36"/>
        <v>0</v>
      </c>
      <c r="K40" s="245">
        <f t="shared" ca="1" si="36"/>
        <v>0</v>
      </c>
      <c r="L40" s="245">
        <f t="shared" ca="1" si="36"/>
        <v>0</v>
      </c>
      <c r="M40" s="245">
        <f t="shared" ca="1" si="36"/>
        <v>0</v>
      </c>
      <c r="N40" s="245">
        <f t="shared" ca="1" si="36"/>
        <v>0</v>
      </c>
      <c r="O40" s="245">
        <f t="shared" ca="1" si="36"/>
        <v>0</v>
      </c>
      <c r="P40" s="245">
        <f t="shared" ca="1" si="36"/>
        <v>0</v>
      </c>
      <c r="Q40" s="245">
        <f t="shared" ca="1" si="36"/>
        <v>0</v>
      </c>
      <c r="R40" s="245">
        <f t="shared" ca="1" si="36"/>
        <v>0</v>
      </c>
      <c r="S40" s="245">
        <f t="shared" ca="1" si="36"/>
        <v>0</v>
      </c>
      <c r="T40" s="245">
        <f t="shared" ca="1" si="36"/>
        <v>0</v>
      </c>
      <c r="U40" s="245">
        <f t="shared" ca="1" si="36"/>
        <v>0</v>
      </c>
      <c r="V40" s="245">
        <f t="shared" ca="1" si="36"/>
        <v>0</v>
      </c>
      <c r="W40" s="245">
        <f t="shared" ca="1" si="36"/>
        <v>0</v>
      </c>
      <c r="X40" s="245">
        <f t="shared" ca="1" si="36"/>
        <v>0</v>
      </c>
      <c r="Y40" s="245">
        <f t="shared" ca="1" si="36"/>
        <v>0</v>
      </c>
      <c r="Z40" s="245">
        <f t="shared" ca="1" si="36"/>
        <v>0</v>
      </c>
      <c r="AA40" s="245">
        <f t="shared" ca="1" si="36"/>
        <v>0</v>
      </c>
      <c r="AB40" s="245">
        <f t="shared" ca="1" si="36"/>
        <v>0</v>
      </c>
      <c r="AC40" s="245">
        <f t="shared" ca="1" si="36"/>
        <v>0</v>
      </c>
      <c r="AD40" s="245">
        <f t="shared" ca="1" si="36"/>
        <v>0</v>
      </c>
      <c r="AE40" s="245">
        <f t="shared" ca="1" si="36"/>
        <v>0</v>
      </c>
      <c r="AF40" s="245">
        <f t="shared" ca="1" si="36"/>
        <v>0</v>
      </c>
      <c r="AG40" s="245">
        <f t="shared" ca="1" si="36"/>
        <v>0</v>
      </c>
      <c r="AH40" s="245">
        <f t="shared" ca="1" si="36"/>
        <v>0</v>
      </c>
      <c r="AI40" s="245">
        <f t="shared" ca="1" si="36"/>
        <v>0</v>
      </c>
      <c r="AJ40" s="245">
        <f t="shared" ca="1" si="36"/>
        <v>0</v>
      </c>
      <c r="AK40" s="245">
        <f t="shared" ca="1" si="36"/>
        <v>0</v>
      </c>
      <c r="AL40" s="245">
        <f t="shared" ca="1" si="36"/>
        <v>0</v>
      </c>
      <c r="AM40" s="245">
        <f t="shared" ca="1" si="36"/>
        <v>0</v>
      </c>
      <c r="AN40" s="245">
        <f t="shared" ca="1" si="36"/>
        <v>0</v>
      </c>
      <c r="AO40" s="245">
        <f t="shared" ca="1" si="36"/>
        <v>0</v>
      </c>
      <c r="AP40" s="245">
        <f t="shared" ca="1" si="36"/>
        <v>0</v>
      </c>
      <c r="AQ40" s="245">
        <f t="shared" ca="1" si="36"/>
        <v>0</v>
      </c>
      <c r="AR40" s="245">
        <f t="shared" ca="1" si="36"/>
        <v>3.0240698833949866E-13</v>
      </c>
      <c r="AS40" s="245">
        <f t="shared" ca="1" si="36"/>
        <v>0</v>
      </c>
      <c r="AT40" s="245">
        <f t="shared" ca="1" si="36"/>
        <v>0</v>
      </c>
      <c r="AU40" s="245">
        <f t="shared" ca="1" si="36"/>
        <v>0</v>
      </c>
      <c r="AV40" s="245">
        <f t="shared" ca="1" si="36"/>
        <v>0</v>
      </c>
      <c r="AW40" s="245">
        <f t="shared" ca="1" si="36"/>
        <v>0</v>
      </c>
      <c r="AX40" s="245">
        <f t="shared" ca="1" si="36"/>
        <v>0</v>
      </c>
      <c r="AY40" s="245">
        <f t="shared" ca="1" si="36"/>
        <v>0</v>
      </c>
      <c r="AZ40" s="245">
        <f t="shared" ca="1" si="36"/>
        <v>0</v>
      </c>
      <c r="BA40" s="245">
        <f t="shared" ca="1" si="36"/>
        <v>0</v>
      </c>
      <c r="BB40" s="245">
        <f t="shared" ca="1" si="36"/>
        <v>0</v>
      </c>
      <c r="BC40" s="245">
        <f t="shared" ca="1" si="36"/>
        <v>0</v>
      </c>
      <c r="BD40" s="245">
        <f t="shared" ca="1" si="36"/>
        <v>0</v>
      </c>
      <c r="BE40" s="245">
        <f t="shared" ca="1" si="36"/>
        <v>0</v>
      </c>
      <c r="BF40" s="245">
        <f t="shared" ca="1" si="36"/>
        <v>0</v>
      </c>
      <c r="BG40" s="245">
        <f t="shared" ca="1" si="36"/>
        <v>0</v>
      </c>
      <c r="BH40" s="245">
        <f t="shared" ca="1" si="36"/>
        <v>0</v>
      </c>
      <c r="BI40" s="245">
        <f t="shared" ca="1" si="36"/>
        <v>0</v>
      </c>
      <c r="BJ40" s="245">
        <f t="shared" ca="1" si="36"/>
        <v>0</v>
      </c>
      <c r="BK40" s="245">
        <f t="shared" ca="1" si="36"/>
        <v>0</v>
      </c>
      <c r="BL40" s="245">
        <f t="shared" ca="1" si="36"/>
        <v>0</v>
      </c>
      <c r="BM40" s="245">
        <f t="shared" ca="1" si="36"/>
        <v>0</v>
      </c>
      <c r="BN40" s="245">
        <f t="shared" ca="1" si="36"/>
        <v>0</v>
      </c>
      <c r="BO40" s="245">
        <f t="shared" ca="1" si="36"/>
        <v>0</v>
      </c>
      <c r="BP40" s="246">
        <f t="shared" ca="1" si="36"/>
        <v>0</v>
      </c>
      <c r="BQ40" s="245">
        <f t="shared" ca="1" si="36"/>
        <v>6.0481397667899731E-13</v>
      </c>
      <c r="BR40" s="246">
        <f t="shared" ca="1" si="36"/>
        <v>6.0481397667899731E-13</v>
      </c>
      <c r="BS40" s="245">
        <f t="shared" ca="1" si="36"/>
        <v>6.0481397667899731E-13</v>
      </c>
      <c r="BT40" s="246">
        <f t="shared" ca="1" si="36"/>
        <v>6.0481397667899731E-13</v>
      </c>
      <c r="BU40" s="245">
        <f t="shared" ref="BU40:CN40" ca="1" si="37">-BU37</f>
        <v>6.0481397667899731E-13</v>
      </c>
      <c r="BV40" s="246">
        <f t="shared" ca="1" si="37"/>
        <v>6.0481397667899731E-13</v>
      </c>
      <c r="BW40" s="245">
        <f t="shared" ca="1" si="37"/>
        <v>6.0481397667899731E-13</v>
      </c>
      <c r="BX40" s="246">
        <f t="shared" ca="1" si="37"/>
        <v>6.0481397667899731E-13</v>
      </c>
      <c r="BY40" s="245">
        <f t="shared" ca="1" si="37"/>
        <v>6.0481397667899731E-13</v>
      </c>
      <c r="BZ40" s="246">
        <f t="shared" ca="1" si="37"/>
        <v>6.0481397667899731E-13</v>
      </c>
      <c r="CA40" s="245">
        <f t="shared" ca="1" si="37"/>
        <v>6.0481397667899731E-13</v>
      </c>
      <c r="CB40" s="246">
        <f t="shared" ca="1" si="37"/>
        <v>6.0481397667899731E-13</v>
      </c>
      <c r="CC40" s="245">
        <f t="shared" ca="1" si="37"/>
        <v>6.0481397667899731E-13</v>
      </c>
      <c r="CD40" s="246">
        <f t="shared" ca="1" si="37"/>
        <v>6.0481397667899731E-13</v>
      </c>
      <c r="CE40" s="245">
        <f t="shared" ca="1" si="37"/>
        <v>6.0481397667899731E-13</v>
      </c>
      <c r="CF40" s="246">
        <f t="shared" ca="1" si="37"/>
        <v>6.0481397667899731E-13</v>
      </c>
      <c r="CG40" s="245">
        <f t="shared" ca="1" si="37"/>
        <v>6.0481397667899731E-13</v>
      </c>
      <c r="CH40" s="246">
        <f t="shared" ca="1" si="37"/>
        <v>6.0481397667899731E-13</v>
      </c>
      <c r="CI40" s="245">
        <f t="shared" ca="1" si="37"/>
        <v>6.0481397667899731E-13</v>
      </c>
      <c r="CJ40" s="246">
        <f t="shared" ca="1" si="37"/>
        <v>6.0481397667899731E-13</v>
      </c>
      <c r="CK40" s="245">
        <f t="shared" ca="1" si="37"/>
        <v>6.0481397667899731E-13</v>
      </c>
      <c r="CL40" s="246">
        <f t="shared" ca="1" si="37"/>
        <v>6.0481397667899731E-13</v>
      </c>
      <c r="CM40" s="245">
        <f t="shared" ca="1" si="37"/>
        <v>431709.22966843378</v>
      </c>
      <c r="CN40" s="246">
        <f t="shared" si="37"/>
        <v>0</v>
      </c>
    </row>
    <row r="41" spans="1:92" ht="18">
      <c r="A41" s="204"/>
      <c r="B41" s="242" t="s">
        <v>163</v>
      </c>
      <c r="C41" s="243">
        <f>C16*(1-C42)</f>
        <v>3.4999999999999996E-2</v>
      </c>
      <c r="D41" s="225"/>
      <c r="E41" s="212">
        <f t="shared" ca="1" si="35"/>
        <v>1.5916157281026243E-14</v>
      </c>
      <c r="F41" s="244"/>
      <c r="G41" s="244"/>
      <c r="H41" s="245">
        <f ca="1">-H37/$C$40*$C$41</f>
        <v>0</v>
      </c>
      <c r="I41" s="245">
        <f ca="1">-I37/$C$40*$C$41</f>
        <v>0</v>
      </c>
      <c r="J41" s="245">
        <f t="shared" ref="J41:BU41" ca="1" si="38">-J37/$C$40*$C$41</f>
        <v>0</v>
      </c>
      <c r="K41" s="245">
        <f t="shared" ca="1" si="38"/>
        <v>0</v>
      </c>
      <c r="L41" s="245">
        <f t="shared" ca="1" si="38"/>
        <v>0</v>
      </c>
      <c r="M41" s="245">
        <f t="shared" ca="1" si="38"/>
        <v>0</v>
      </c>
      <c r="N41" s="245">
        <f t="shared" ca="1" si="38"/>
        <v>0</v>
      </c>
      <c r="O41" s="245">
        <f t="shared" ca="1" si="38"/>
        <v>0</v>
      </c>
      <c r="P41" s="245">
        <f t="shared" ca="1" si="38"/>
        <v>0</v>
      </c>
      <c r="Q41" s="245">
        <f t="shared" ca="1" si="38"/>
        <v>0</v>
      </c>
      <c r="R41" s="245">
        <f t="shared" ca="1" si="38"/>
        <v>0</v>
      </c>
      <c r="S41" s="245">
        <f t="shared" ca="1" si="38"/>
        <v>0</v>
      </c>
      <c r="T41" s="245">
        <f t="shared" ca="1" si="38"/>
        <v>0</v>
      </c>
      <c r="U41" s="245">
        <f t="shared" ca="1" si="38"/>
        <v>0</v>
      </c>
      <c r="V41" s="245">
        <f t="shared" ca="1" si="38"/>
        <v>0</v>
      </c>
      <c r="W41" s="245">
        <f t="shared" ca="1" si="38"/>
        <v>0</v>
      </c>
      <c r="X41" s="245">
        <f t="shared" ca="1" si="38"/>
        <v>0</v>
      </c>
      <c r="Y41" s="245">
        <f t="shared" ca="1" si="38"/>
        <v>0</v>
      </c>
      <c r="Z41" s="245">
        <f t="shared" ca="1" si="38"/>
        <v>0</v>
      </c>
      <c r="AA41" s="245">
        <f t="shared" ca="1" si="38"/>
        <v>0</v>
      </c>
      <c r="AB41" s="245">
        <f t="shared" ca="1" si="38"/>
        <v>0</v>
      </c>
      <c r="AC41" s="245">
        <f t="shared" ca="1" si="38"/>
        <v>0</v>
      </c>
      <c r="AD41" s="245">
        <f t="shared" ca="1" si="38"/>
        <v>0</v>
      </c>
      <c r="AE41" s="245">
        <f t="shared" ca="1" si="38"/>
        <v>0</v>
      </c>
      <c r="AF41" s="245">
        <f t="shared" ca="1" si="38"/>
        <v>0</v>
      </c>
      <c r="AG41" s="245">
        <f t="shared" ca="1" si="38"/>
        <v>0</v>
      </c>
      <c r="AH41" s="245">
        <f t="shared" ca="1" si="38"/>
        <v>0</v>
      </c>
      <c r="AI41" s="245">
        <f t="shared" ca="1" si="38"/>
        <v>0</v>
      </c>
      <c r="AJ41" s="245">
        <f t="shared" ca="1" si="38"/>
        <v>0</v>
      </c>
      <c r="AK41" s="245">
        <f t="shared" ca="1" si="38"/>
        <v>0</v>
      </c>
      <c r="AL41" s="245">
        <f t="shared" ca="1" si="38"/>
        <v>0</v>
      </c>
      <c r="AM41" s="245">
        <f t="shared" ca="1" si="38"/>
        <v>0</v>
      </c>
      <c r="AN41" s="245">
        <f t="shared" ca="1" si="38"/>
        <v>0</v>
      </c>
      <c r="AO41" s="245">
        <f t="shared" ca="1" si="38"/>
        <v>0</v>
      </c>
      <c r="AP41" s="245">
        <f t="shared" ca="1" si="38"/>
        <v>0</v>
      </c>
      <c r="AQ41" s="245">
        <f t="shared" ca="1" si="38"/>
        <v>0</v>
      </c>
      <c r="AR41" s="245">
        <f t="shared" ca="1" si="38"/>
        <v>1.5916157281026243E-14</v>
      </c>
      <c r="AS41" s="245">
        <f t="shared" ca="1" si="38"/>
        <v>0</v>
      </c>
      <c r="AT41" s="245">
        <f t="shared" ca="1" si="38"/>
        <v>0</v>
      </c>
      <c r="AU41" s="245">
        <f t="shared" ca="1" si="38"/>
        <v>0</v>
      </c>
      <c r="AV41" s="245">
        <f t="shared" ca="1" si="38"/>
        <v>0</v>
      </c>
      <c r="AW41" s="245">
        <f t="shared" ca="1" si="38"/>
        <v>0</v>
      </c>
      <c r="AX41" s="245">
        <f t="shared" ca="1" si="38"/>
        <v>0</v>
      </c>
      <c r="AY41" s="245">
        <f t="shared" ca="1" si="38"/>
        <v>0</v>
      </c>
      <c r="AZ41" s="245">
        <f t="shared" ca="1" si="38"/>
        <v>0</v>
      </c>
      <c r="BA41" s="245">
        <f t="shared" ca="1" si="38"/>
        <v>0</v>
      </c>
      <c r="BB41" s="245">
        <f t="shared" ca="1" si="38"/>
        <v>0</v>
      </c>
      <c r="BC41" s="245">
        <f t="shared" ca="1" si="38"/>
        <v>0</v>
      </c>
      <c r="BD41" s="245">
        <f t="shared" ca="1" si="38"/>
        <v>0</v>
      </c>
      <c r="BE41" s="245">
        <f t="shared" ca="1" si="38"/>
        <v>0</v>
      </c>
      <c r="BF41" s="245">
        <f t="shared" ca="1" si="38"/>
        <v>0</v>
      </c>
      <c r="BG41" s="245">
        <f t="shared" ca="1" si="38"/>
        <v>0</v>
      </c>
      <c r="BH41" s="245">
        <f t="shared" ca="1" si="38"/>
        <v>0</v>
      </c>
      <c r="BI41" s="245">
        <f t="shared" ca="1" si="38"/>
        <v>0</v>
      </c>
      <c r="BJ41" s="245">
        <f t="shared" ca="1" si="38"/>
        <v>0</v>
      </c>
      <c r="BK41" s="245">
        <f t="shared" ca="1" si="38"/>
        <v>0</v>
      </c>
      <c r="BL41" s="245">
        <f t="shared" ca="1" si="38"/>
        <v>0</v>
      </c>
      <c r="BM41" s="245">
        <f t="shared" ca="1" si="38"/>
        <v>0</v>
      </c>
      <c r="BN41" s="245">
        <f t="shared" ca="1" si="38"/>
        <v>0</v>
      </c>
      <c r="BO41" s="245">
        <f t="shared" ca="1" si="38"/>
        <v>0</v>
      </c>
      <c r="BP41" s="246">
        <f t="shared" ca="1" si="38"/>
        <v>0</v>
      </c>
      <c r="BQ41" s="245">
        <f t="shared" ca="1" si="38"/>
        <v>3.1832314562052485E-14</v>
      </c>
      <c r="BR41" s="246">
        <f t="shared" ca="1" si="38"/>
        <v>3.1832314562052485E-14</v>
      </c>
      <c r="BS41" s="245">
        <f t="shared" ca="1" si="38"/>
        <v>3.1832314562052485E-14</v>
      </c>
      <c r="BT41" s="246">
        <f t="shared" ca="1" si="38"/>
        <v>3.1832314562052485E-14</v>
      </c>
      <c r="BU41" s="245">
        <f t="shared" ca="1" si="38"/>
        <v>3.1832314562052485E-14</v>
      </c>
      <c r="BV41" s="246">
        <f t="shared" ref="BV41:CN41" ca="1" si="39">-BV37/$C$40*$C$41</f>
        <v>3.1832314562052485E-14</v>
      </c>
      <c r="BW41" s="245">
        <f t="shared" ca="1" si="39"/>
        <v>3.1832314562052485E-14</v>
      </c>
      <c r="BX41" s="246">
        <f t="shared" ca="1" si="39"/>
        <v>3.1832314562052485E-14</v>
      </c>
      <c r="BY41" s="245">
        <f t="shared" ca="1" si="39"/>
        <v>3.1832314562052485E-14</v>
      </c>
      <c r="BZ41" s="246">
        <f t="shared" ca="1" si="39"/>
        <v>3.1832314562052485E-14</v>
      </c>
      <c r="CA41" s="245">
        <f t="shared" ca="1" si="39"/>
        <v>3.1832314562052485E-14</v>
      </c>
      <c r="CB41" s="246">
        <f t="shared" ca="1" si="39"/>
        <v>3.1832314562052485E-14</v>
      </c>
      <c r="CC41" s="245">
        <f t="shared" ca="1" si="39"/>
        <v>3.1832314562052485E-14</v>
      </c>
      <c r="CD41" s="246">
        <f t="shared" ca="1" si="39"/>
        <v>3.1832314562052485E-14</v>
      </c>
      <c r="CE41" s="245">
        <f t="shared" ca="1" si="39"/>
        <v>3.1832314562052485E-14</v>
      </c>
      <c r="CF41" s="246">
        <f t="shared" ca="1" si="39"/>
        <v>3.1832314562052485E-14</v>
      </c>
      <c r="CG41" s="245">
        <f t="shared" ca="1" si="39"/>
        <v>3.1832314562052485E-14</v>
      </c>
      <c r="CH41" s="246">
        <f t="shared" ca="1" si="39"/>
        <v>3.1832314562052485E-14</v>
      </c>
      <c r="CI41" s="245">
        <f t="shared" ca="1" si="39"/>
        <v>3.1832314562052485E-14</v>
      </c>
      <c r="CJ41" s="246">
        <f t="shared" ca="1" si="39"/>
        <v>3.1832314562052485E-14</v>
      </c>
      <c r="CK41" s="245">
        <f t="shared" ca="1" si="39"/>
        <v>3.1832314562052485E-14</v>
      </c>
      <c r="CL41" s="246">
        <f t="shared" ca="1" si="39"/>
        <v>3.1832314562052485E-14</v>
      </c>
      <c r="CM41" s="245">
        <f t="shared" ca="1" si="39"/>
        <v>22721.538403601775</v>
      </c>
      <c r="CN41" s="246">
        <f t="shared" si="39"/>
        <v>0</v>
      </c>
    </row>
    <row r="42" spans="1:92" ht="18">
      <c r="A42" s="204"/>
      <c r="B42" s="242" t="s">
        <v>170</v>
      </c>
      <c r="C42" s="277">
        <v>0.3</v>
      </c>
      <c r="D42" s="225"/>
      <c r="E42" s="212">
        <f t="shared" ca="1" si="35"/>
        <v>1.3642420526593923E-13</v>
      </c>
      <c r="F42" s="255"/>
      <c r="G42" s="255"/>
      <c r="H42" s="245">
        <f ca="1">-H37/$C$40*$C$42</f>
        <v>0</v>
      </c>
      <c r="I42" s="245">
        <f ca="1">-I37/$C$40*$C$42</f>
        <v>0</v>
      </c>
      <c r="J42" s="245">
        <f t="shared" ref="J42:BU42" ca="1" si="40">-J37/$C$40*$C$42</f>
        <v>0</v>
      </c>
      <c r="K42" s="245">
        <f t="shared" ca="1" si="40"/>
        <v>0</v>
      </c>
      <c r="L42" s="245">
        <f t="shared" ca="1" si="40"/>
        <v>0</v>
      </c>
      <c r="M42" s="245">
        <f t="shared" ca="1" si="40"/>
        <v>0</v>
      </c>
      <c r="N42" s="245">
        <f t="shared" ca="1" si="40"/>
        <v>0</v>
      </c>
      <c r="O42" s="245">
        <f t="shared" ca="1" si="40"/>
        <v>0</v>
      </c>
      <c r="P42" s="245">
        <f t="shared" ca="1" si="40"/>
        <v>0</v>
      </c>
      <c r="Q42" s="245">
        <f t="shared" ca="1" si="40"/>
        <v>0</v>
      </c>
      <c r="R42" s="245">
        <f t="shared" ca="1" si="40"/>
        <v>0</v>
      </c>
      <c r="S42" s="245">
        <f t="shared" ca="1" si="40"/>
        <v>0</v>
      </c>
      <c r="T42" s="245">
        <f t="shared" ca="1" si="40"/>
        <v>0</v>
      </c>
      <c r="U42" s="245">
        <f t="shared" ca="1" si="40"/>
        <v>0</v>
      </c>
      <c r="V42" s="245">
        <f t="shared" ca="1" si="40"/>
        <v>0</v>
      </c>
      <c r="W42" s="245">
        <f t="shared" ca="1" si="40"/>
        <v>0</v>
      </c>
      <c r="X42" s="245">
        <f t="shared" ca="1" si="40"/>
        <v>0</v>
      </c>
      <c r="Y42" s="245">
        <f t="shared" ca="1" si="40"/>
        <v>0</v>
      </c>
      <c r="Z42" s="245">
        <f t="shared" ca="1" si="40"/>
        <v>0</v>
      </c>
      <c r="AA42" s="245">
        <f t="shared" ca="1" si="40"/>
        <v>0</v>
      </c>
      <c r="AB42" s="245">
        <f t="shared" ca="1" si="40"/>
        <v>0</v>
      </c>
      <c r="AC42" s="245">
        <f t="shared" ca="1" si="40"/>
        <v>0</v>
      </c>
      <c r="AD42" s="245">
        <f t="shared" ca="1" si="40"/>
        <v>0</v>
      </c>
      <c r="AE42" s="245">
        <f t="shared" ca="1" si="40"/>
        <v>0</v>
      </c>
      <c r="AF42" s="245">
        <f t="shared" ca="1" si="40"/>
        <v>0</v>
      </c>
      <c r="AG42" s="245">
        <f t="shared" ca="1" si="40"/>
        <v>0</v>
      </c>
      <c r="AH42" s="245">
        <f t="shared" ca="1" si="40"/>
        <v>0</v>
      </c>
      <c r="AI42" s="245">
        <f t="shared" ca="1" si="40"/>
        <v>0</v>
      </c>
      <c r="AJ42" s="245">
        <f t="shared" ca="1" si="40"/>
        <v>0</v>
      </c>
      <c r="AK42" s="245">
        <f t="shared" ca="1" si="40"/>
        <v>0</v>
      </c>
      <c r="AL42" s="245">
        <f t="shared" ca="1" si="40"/>
        <v>0</v>
      </c>
      <c r="AM42" s="245">
        <f t="shared" ca="1" si="40"/>
        <v>0</v>
      </c>
      <c r="AN42" s="245">
        <f t="shared" ca="1" si="40"/>
        <v>0</v>
      </c>
      <c r="AO42" s="245">
        <f t="shared" ca="1" si="40"/>
        <v>0</v>
      </c>
      <c r="AP42" s="245">
        <f t="shared" ca="1" si="40"/>
        <v>0</v>
      </c>
      <c r="AQ42" s="245">
        <f t="shared" ca="1" si="40"/>
        <v>0</v>
      </c>
      <c r="AR42" s="245">
        <f t="shared" ca="1" si="40"/>
        <v>1.3642420526593923E-13</v>
      </c>
      <c r="AS42" s="245">
        <f t="shared" ca="1" si="40"/>
        <v>0</v>
      </c>
      <c r="AT42" s="245">
        <f t="shared" ca="1" si="40"/>
        <v>0</v>
      </c>
      <c r="AU42" s="245">
        <f t="shared" ca="1" si="40"/>
        <v>0</v>
      </c>
      <c r="AV42" s="245">
        <f t="shared" ca="1" si="40"/>
        <v>0</v>
      </c>
      <c r="AW42" s="245">
        <f t="shared" ca="1" si="40"/>
        <v>0</v>
      </c>
      <c r="AX42" s="245">
        <f t="shared" ca="1" si="40"/>
        <v>0</v>
      </c>
      <c r="AY42" s="245">
        <f t="shared" ca="1" si="40"/>
        <v>0</v>
      </c>
      <c r="AZ42" s="245">
        <f t="shared" ca="1" si="40"/>
        <v>0</v>
      </c>
      <c r="BA42" s="245">
        <f t="shared" ca="1" si="40"/>
        <v>0</v>
      </c>
      <c r="BB42" s="245">
        <f t="shared" ca="1" si="40"/>
        <v>0</v>
      </c>
      <c r="BC42" s="245">
        <f t="shared" ca="1" si="40"/>
        <v>0</v>
      </c>
      <c r="BD42" s="245">
        <f t="shared" ca="1" si="40"/>
        <v>0</v>
      </c>
      <c r="BE42" s="245">
        <f t="shared" ca="1" si="40"/>
        <v>0</v>
      </c>
      <c r="BF42" s="245">
        <f t="shared" ca="1" si="40"/>
        <v>0</v>
      </c>
      <c r="BG42" s="245">
        <f t="shared" ca="1" si="40"/>
        <v>0</v>
      </c>
      <c r="BH42" s="245">
        <f t="shared" ca="1" si="40"/>
        <v>0</v>
      </c>
      <c r="BI42" s="245">
        <f t="shared" ca="1" si="40"/>
        <v>0</v>
      </c>
      <c r="BJ42" s="245">
        <f t="shared" ca="1" si="40"/>
        <v>0</v>
      </c>
      <c r="BK42" s="245">
        <f t="shared" ca="1" si="40"/>
        <v>0</v>
      </c>
      <c r="BL42" s="245">
        <f t="shared" ca="1" si="40"/>
        <v>0</v>
      </c>
      <c r="BM42" s="245">
        <f t="shared" ca="1" si="40"/>
        <v>0</v>
      </c>
      <c r="BN42" s="245">
        <f t="shared" ca="1" si="40"/>
        <v>0</v>
      </c>
      <c r="BO42" s="245">
        <f t="shared" ca="1" si="40"/>
        <v>0</v>
      </c>
      <c r="BP42" s="246">
        <f t="shared" ca="1" si="40"/>
        <v>0</v>
      </c>
      <c r="BQ42" s="245">
        <f t="shared" ca="1" si="40"/>
        <v>2.7284841053187846E-13</v>
      </c>
      <c r="BR42" s="246">
        <f t="shared" ca="1" si="40"/>
        <v>2.7284841053187846E-13</v>
      </c>
      <c r="BS42" s="245">
        <f t="shared" ca="1" si="40"/>
        <v>2.7284841053187846E-13</v>
      </c>
      <c r="BT42" s="246">
        <f t="shared" ca="1" si="40"/>
        <v>2.7284841053187846E-13</v>
      </c>
      <c r="BU42" s="245">
        <f t="shared" ca="1" si="40"/>
        <v>2.7284841053187846E-13</v>
      </c>
      <c r="BV42" s="246">
        <f t="shared" ref="BV42:CN42" ca="1" si="41">-BV37/$C$40*$C$42</f>
        <v>2.7284841053187846E-13</v>
      </c>
      <c r="BW42" s="245">
        <f t="shared" ca="1" si="41"/>
        <v>2.7284841053187846E-13</v>
      </c>
      <c r="BX42" s="246">
        <f t="shared" ca="1" si="41"/>
        <v>2.7284841053187846E-13</v>
      </c>
      <c r="BY42" s="245">
        <f t="shared" ca="1" si="41"/>
        <v>2.7284841053187846E-13</v>
      </c>
      <c r="BZ42" s="246">
        <f t="shared" ca="1" si="41"/>
        <v>2.7284841053187846E-13</v>
      </c>
      <c r="CA42" s="245">
        <f t="shared" ca="1" si="41"/>
        <v>2.7284841053187846E-13</v>
      </c>
      <c r="CB42" s="246">
        <f t="shared" ca="1" si="41"/>
        <v>2.7284841053187846E-13</v>
      </c>
      <c r="CC42" s="245">
        <f t="shared" ca="1" si="41"/>
        <v>2.7284841053187846E-13</v>
      </c>
      <c r="CD42" s="246">
        <f t="shared" ca="1" si="41"/>
        <v>2.7284841053187846E-13</v>
      </c>
      <c r="CE42" s="245">
        <f t="shared" ca="1" si="41"/>
        <v>2.7284841053187846E-13</v>
      </c>
      <c r="CF42" s="246">
        <f t="shared" ca="1" si="41"/>
        <v>2.7284841053187846E-13</v>
      </c>
      <c r="CG42" s="245">
        <f t="shared" ca="1" si="41"/>
        <v>2.7284841053187846E-13</v>
      </c>
      <c r="CH42" s="246">
        <f t="shared" ca="1" si="41"/>
        <v>2.7284841053187846E-13</v>
      </c>
      <c r="CI42" s="245">
        <f t="shared" ca="1" si="41"/>
        <v>2.7284841053187846E-13</v>
      </c>
      <c r="CJ42" s="246">
        <f t="shared" ca="1" si="41"/>
        <v>2.7284841053187846E-13</v>
      </c>
      <c r="CK42" s="245">
        <f t="shared" ca="1" si="41"/>
        <v>2.7284841053187846E-13</v>
      </c>
      <c r="CL42" s="246">
        <f t="shared" ca="1" si="41"/>
        <v>2.7284841053187846E-13</v>
      </c>
      <c r="CM42" s="245">
        <f t="shared" ca="1" si="41"/>
        <v>194756.04345944381</v>
      </c>
      <c r="CN42" s="246">
        <f t="shared" si="41"/>
        <v>0</v>
      </c>
    </row>
    <row r="43" spans="1:92" ht="18">
      <c r="A43" s="204"/>
      <c r="B43" s="256"/>
      <c r="C43" s="257"/>
      <c r="D43" s="257"/>
      <c r="E43" s="251"/>
      <c r="F43" s="244"/>
      <c r="G43" s="244"/>
      <c r="H43" s="258"/>
      <c r="I43" s="258"/>
      <c r="J43" s="258"/>
      <c r="K43" s="258"/>
      <c r="L43" s="258"/>
      <c r="M43" s="258"/>
      <c r="N43" s="258"/>
      <c r="O43" s="258"/>
      <c r="P43" s="258"/>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c r="AO43" s="258"/>
      <c r="AP43" s="258"/>
      <c r="AQ43" s="258"/>
      <c r="AR43" s="258"/>
      <c r="AS43" s="258"/>
      <c r="AT43" s="258"/>
      <c r="AU43" s="258"/>
      <c r="AV43" s="258"/>
      <c r="AW43" s="258"/>
      <c r="AX43" s="258"/>
      <c r="AY43" s="258"/>
      <c r="AZ43" s="258"/>
      <c r="BA43" s="258"/>
      <c r="BB43" s="258"/>
      <c r="BC43" s="258"/>
      <c r="BD43" s="258"/>
      <c r="BE43" s="258"/>
      <c r="BF43" s="258"/>
      <c r="BG43" s="258"/>
      <c r="BH43" s="258"/>
      <c r="BI43" s="258"/>
      <c r="BJ43" s="258"/>
      <c r="BK43" s="258"/>
      <c r="BL43" s="258"/>
      <c r="BM43" s="258"/>
      <c r="BN43" s="258"/>
      <c r="BO43" s="258"/>
      <c r="BP43" s="259"/>
      <c r="BQ43" s="258"/>
      <c r="BR43" s="259"/>
      <c r="BS43" s="258"/>
      <c r="BT43" s="259"/>
      <c r="BU43" s="258"/>
      <c r="BV43" s="259"/>
      <c r="BW43" s="258"/>
      <c r="BX43" s="259"/>
      <c r="BY43" s="258"/>
      <c r="BZ43" s="259"/>
      <c r="CA43" s="258"/>
      <c r="CB43" s="259"/>
      <c r="CC43" s="258"/>
      <c r="CD43" s="259"/>
      <c r="CE43" s="258"/>
      <c r="CF43" s="259"/>
      <c r="CG43" s="258"/>
      <c r="CH43" s="259"/>
      <c r="CI43" s="258"/>
      <c r="CJ43" s="259"/>
      <c r="CK43" s="258"/>
      <c r="CL43" s="259"/>
      <c r="CM43" s="258"/>
      <c r="CN43" s="259"/>
    </row>
    <row r="44" spans="1:92" ht="18">
      <c r="A44" s="204"/>
      <c r="B44" s="260" t="s">
        <v>164</v>
      </c>
      <c r="C44" s="261"/>
      <c r="D44" s="261"/>
      <c r="E44" s="262">
        <f t="shared" ref="E44" ca="1" si="42">SUM(H44:BP44)</f>
        <v>0</v>
      </c>
      <c r="F44" s="247"/>
      <c r="G44" s="247"/>
      <c r="H44" s="263">
        <f ca="1">H29-SUM(H40:H42)</f>
        <v>0</v>
      </c>
      <c r="I44" s="263">
        <f t="shared" ref="I44" ca="1" si="43">I29-SUM(I40:I42)</f>
        <v>0</v>
      </c>
      <c r="J44" s="263">
        <f t="shared" ref="J44:BU44" ca="1" si="44">J29-SUM(J40:J42)</f>
        <v>0</v>
      </c>
      <c r="K44" s="263">
        <f t="shared" ca="1" si="44"/>
        <v>0</v>
      </c>
      <c r="L44" s="263">
        <f t="shared" ca="1" si="44"/>
        <v>0</v>
      </c>
      <c r="M44" s="263">
        <f t="shared" ca="1" si="44"/>
        <v>0</v>
      </c>
      <c r="N44" s="263">
        <f t="shared" ca="1" si="44"/>
        <v>0</v>
      </c>
      <c r="O44" s="263">
        <f t="shared" ca="1" si="44"/>
        <v>0</v>
      </c>
      <c r="P44" s="263">
        <f t="shared" ca="1" si="44"/>
        <v>0</v>
      </c>
      <c r="Q44" s="263">
        <f t="shared" ca="1" si="44"/>
        <v>0</v>
      </c>
      <c r="R44" s="263">
        <f t="shared" ca="1" si="44"/>
        <v>0</v>
      </c>
      <c r="S44" s="263">
        <f t="shared" ca="1" si="44"/>
        <v>0</v>
      </c>
      <c r="T44" s="263">
        <f t="shared" ca="1" si="44"/>
        <v>0</v>
      </c>
      <c r="U44" s="263">
        <f t="shared" ca="1" si="44"/>
        <v>0</v>
      </c>
      <c r="V44" s="263">
        <f t="shared" ca="1" si="44"/>
        <v>0</v>
      </c>
      <c r="W44" s="263">
        <f t="shared" ca="1" si="44"/>
        <v>0</v>
      </c>
      <c r="X44" s="263">
        <f t="shared" ca="1" si="44"/>
        <v>0</v>
      </c>
      <c r="Y44" s="263">
        <f t="shared" ca="1" si="44"/>
        <v>0</v>
      </c>
      <c r="Z44" s="263">
        <f t="shared" ca="1" si="44"/>
        <v>0</v>
      </c>
      <c r="AA44" s="263">
        <f t="shared" ca="1" si="44"/>
        <v>0</v>
      </c>
      <c r="AB44" s="263">
        <f t="shared" ca="1" si="44"/>
        <v>0</v>
      </c>
      <c r="AC44" s="263">
        <f t="shared" ca="1" si="44"/>
        <v>0</v>
      </c>
      <c r="AD44" s="263">
        <f t="shared" ca="1" si="44"/>
        <v>0</v>
      </c>
      <c r="AE44" s="263">
        <f t="shared" ca="1" si="44"/>
        <v>0</v>
      </c>
      <c r="AF44" s="263">
        <f t="shared" ca="1" si="44"/>
        <v>0</v>
      </c>
      <c r="AG44" s="263">
        <f t="shared" ca="1" si="44"/>
        <v>0</v>
      </c>
      <c r="AH44" s="263">
        <f t="shared" ca="1" si="44"/>
        <v>0</v>
      </c>
      <c r="AI44" s="263">
        <f t="shared" ca="1" si="44"/>
        <v>0</v>
      </c>
      <c r="AJ44" s="263">
        <f t="shared" ca="1" si="44"/>
        <v>0</v>
      </c>
      <c r="AK44" s="263">
        <f t="shared" ca="1" si="44"/>
        <v>0</v>
      </c>
      <c r="AL44" s="263">
        <f t="shared" ca="1" si="44"/>
        <v>0</v>
      </c>
      <c r="AM44" s="263">
        <f t="shared" ca="1" si="44"/>
        <v>0</v>
      </c>
      <c r="AN44" s="263">
        <f t="shared" ca="1" si="44"/>
        <v>0</v>
      </c>
      <c r="AO44" s="263">
        <f t="shared" ca="1" si="44"/>
        <v>0</v>
      </c>
      <c r="AP44" s="263">
        <f t="shared" ca="1" si="44"/>
        <v>0</v>
      </c>
      <c r="AQ44" s="263">
        <f t="shared" ca="1" si="44"/>
        <v>0</v>
      </c>
      <c r="AR44" s="263">
        <f t="shared" ca="1" si="44"/>
        <v>0</v>
      </c>
      <c r="AS44" s="263">
        <f t="shared" ca="1" si="44"/>
        <v>0</v>
      </c>
      <c r="AT44" s="263">
        <f t="shared" ca="1" si="44"/>
        <v>0</v>
      </c>
      <c r="AU44" s="263">
        <f t="shared" ca="1" si="44"/>
        <v>0</v>
      </c>
      <c r="AV44" s="263">
        <f t="shared" ca="1" si="44"/>
        <v>0</v>
      </c>
      <c r="AW44" s="263">
        <f t="shared" ca="1" si="44"/>
        <v>0</v>
      </c>
      <c r="AX44" s="263">
        <f t="shared" ca="1" si="44"/>
        <v>0</v>
      </c>
      <c r="AY44" s="263">
        <f t="shared" ca="1" si="44"/>
        <v>0</v>
      </c>
      <c r="AZ44" s="263">
        <f t="shared" ca="1" si="44"/>
        <v>0</v>
      </c>
      <c r="BA44" s="263">
        <f t="shared" ca="1" si="44"/>
        <v>0</v>
      </c>
      <c r="BB44" s="263">
        <f t="shared" ca="1" si="44"/>
        <v>0</v>
      </c>
      <c r="BC44" s="263">
        <f t="shared" ca="1" si="44"/>
        <v>0</v>
      </c>
      <c r="BD44" s="263">
        <f t="shared" ca="1" si="44"/>
        <v>0</v>
      </c>
      <c r="BE44" s="263">
        <f t="shared" ca="1" si="44"/>
        <v>0</v>
      </c>
      <c r="BF44" s="263">
        <f t="shared" ca="1" si="44"/>
        <v>0</v>
      </c>
      <c r="BG44" s="263">
        <f t="shared" ca="1" si="44"/>
        <v>0</v>
      </c>
      <c r="BH44" s="263">
        <f t="shared" ca="1" si="44"/>
        <v>0</v>
      </c>
      <c r="BI44" s="263">
        <f t="shared" ca="1" si="44"/>
        <v>0</v>
      </c>
      <c r="BJ44" s="263">
        <f t="shared" ca="1" si="44"/>
        <v>0</v>
      </c>
      <c r="BK44" s="263">
        <f t="shared" ca="1" si="44"/>
        <v>0</v>
      </c>
      <c r="BL44" s="263">
        <f t="shared" ca="1" si="44"/>
        <v>0</v>
      </c>
      <c r="BM44" s="263">
        <f t="shared" ca="1" si="44"/>
        <v>0</v>
      </c>
      <c r="BN44" s="263">
        <f t="shared" ca="1" si="44"/>
        <v>0</v>
      </c>
      <c r="BO44" s="263">
        <f t="shared" ca="1" si="44"/>
        <v>0</v>
      </c>
      <c r="BP44" s="264">
        <f t="shared" ca="1" si="44"/>
        <v>0</v>
      </c>
      <c r="BQ44" s="263">
        <f t="shared" ca="1" si="44"/>
        <v>0</v>
      </c>
      <c r="BR44" s="264">
        <f t="shared" ca="1" si="44"/>
        <v>0</v>
      </c>
      <c r="BS44" s="263">
        <f t="shared" ca="1" si="44"/>
        <v>0</v>
      </c>
      <c r="BT44" s="264">
        <f t="shared" ca="1" si="44"/>
        <v>0</v>
      </c>
      <c r="BU44" s="263">
        <f t="shared" ca="1" si="44"/>
        <v>0</v>
      </c>
      <c r="BV44" s="264">
        <f t="shared" ref="BV44:CN44" ca="1" si="45">BV29-SUM(BV40:BV42)</f>
        <v>0</v>
      </c>
      <c r="BW44" s="263">
        <f t="shared" ca="1" si="45"/>
        <v>0</v>
      </c>
      <c r="BX44" s="264">
        <f t="shared" ca="1" si="45"/>
        <v>0</v>
      </c>
      <c r="BY44" s="263">
        <f t="shared" ca="1" si="45"/>
        <v>0</v>
      </c>
      <c r="BZ44" s="264">
        <f t="shared" ca="1" si="45"/>
        <v>0</v>
      </c>
      <c r="CA44" s="263">
        <f t="shared" ca="1" si="45"/>
        <v>0</v>
      </c>
      <c r="CB44" s="264">
        <f t="shared" ca="1" si="45"/>
        <v>0</v>
      </c>
      <c r="CC44" s="263">
        <f t="shared" ca="1" si="45"/>
        <v>0</v>
      </c>
      <c r="CD44" s="264">
        <f t="shared" ca="1" si="45"/>
        <v>0</v>
      </c>
      <c r="CE44" s="263">
        <f t="shared" ca="1" si="45"/>
        <v>0</v>
      </c>
      <c r="CF44" s="264">
        <f t="shared" ca="1" si="45"/>
        <v>0</v>
      </c>
      <c r="CG44" s="263">
        <f t="shared" ca="1" si="45"/>
        <v>0</v>
      </c>
      <c r="CH44" s="264">
        <f t="shared" ca="1" si="45"/>
        <v>0</v>
      </c>
      <c r="CI44" s="263">
        <f t="shared" ca="1" si="45"/>
        <v>0</v>
      </c>
      <c r="CJ44" s="264">
        <f t="shared" ca="1" si="45"/>
        <v>0</v>
      </c>
      <c r="CK44" s="263">
        <f t="shared" ca="1" si="45"/>
        <v>0</v>
      </c>
      <c r="CL44" s="264">
        <f t="shared" ca="1" si="45"/>
        <v>0</v>
      </c>
      <c r="CM44" s="263">
        <f t="shared" ca="1" si="45"/>
        <v>229837.67520672036</v>
      </c>
      <c r="CN44" s="264">
        <f t="shared" si="45"/>
        <v>0</v>
      </c>
    </row>
    <row r="45" spans="1:92" ht="31.25" customHeight="1">
      <c r="A45" s="204"/>
      <c r="B45" s="205"/>
      <c r="C45" s="921" t="s">
        <v>166</v>
      </c>
      <c r="D45" s="921"/>
      <c r="E45" s="274"/>
      <c r="F45" s="232"/>
      <c r="G45" s="232"/>
      <c r="H45" s="272"/>
      <c r="I45" s="216"/>
      <c r="J45" s="216"/>
      <c r="K45" s="216"/>
      <c r="L45" s="216"/>
      <c r="M45" s="216"/>
      <c r="N45" s="216"/>
      <c r="O45" s="216"/>
      <c r="P45" s="216"/>
      <c r="Q45" s="216"/>
      <c r="R45" s="216"/>
      <c r="S45" s="216"/>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6"/>
      <c r="AX45" s="216"/>
      <c r="AY45" s="216"/>
      <c r="AZ45" s="216"/>
      <c r="BA45" s="216"/>
      <c r="BB45" s="216"/>
      <c r="BC45" s="216"/>
      <c r="BD45" s="216"/>
      <c r="BE45" s="216"/>
      <c r="BF45" s="216"/>
      <c r="BG45" s="216"/>
      <c r="BH45" s="216"/>
      <c r="BI45" s="216"/>
      <c r="BJ45" s="216"/>
      <c r="BK45" s="216"/>
      <c r="BL45" s="216"/>
      <c r="BM45" s="216"/>
      <c r="BN45" s="216"/>
      <c r="BO45" s="216"/>
      <c r="BP45" s="216"/>
      <c r="BQ45" s="216"/>
      <c r="BR45" s="216"/>
      <c r="BS45" s="216"/>
      <c r="BT45" s="216"/>
      <c r="BU45" s="216"/>
      <c r="BV45" s="216"/>
      <c r="BW45" s="216"/>
      <c r="BX45" s="216"/>
      <c r="BY45" s="216"/>
      <c r="BZ45" s="216"/>
      <c r="CA45" s="216"/>
      <c r="CB45" s="216"/>
      <c r="CC45" s="216"/>
      <c r="CD45" s="216"/>
      <c r="CE45" s="216"/>
      <c r="CF45" s="216"/>
      <c r="CG45" s="216"/>
      <c r="CH45" s="216"/>
      <c r="CI45" s="216"/>
      <c r="CJ45" s="216"/>
      <c r="CK45" s="216"/>
      <c r="CL45" s="216"/>
      <c r="CM45" s="216"/>
      <c r="CN45" s="216"/>
    </row>
    <row r="46" spans="1:92" ht="18">
      <c r="A46" s="233"/>
      <c r="B46" s="229" t="s">
        <v>171</v>
      </c>
      <c r="D46" s="278">
        <f>D32</f>
        <v>0.12</v>
      </c>
      <c r="E46" s="251"/>
      <c r="F46" s="222"/>
      <c r="G46" s="222"/>
      <c r="H46" s="272"/>
      <c r="I46" s="216"/>
      <c r="J46" s="216"/>
      <c r="K46" s="216"/>
      <c r="L46" s="216"/>
      <c r="M46" s="216"/>
      <c r="N46" s="216"/>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216"/>
      <c r="BD46" s="216"/>
      <c r="BE46" s="216"/>
      <c r="BF46" s="216"/>
      <c r="BG46" s="216"/>
      <c r="BH46" s="216"/>
      <c r="BI46" s="216"/>
      <c r="BJ46" s="216"/>
      <c r="BK46" s="216"/>
      <c r="BL46" s="216"/>
      <c r="BM46" s="216"/>
      <c r="BN46" s="216"/>
      <c r="BO46" s="216"/>
      <c r="BP46" s="216"/>
      <c r="BQ46" s="216"/>
      <c r="BR46" s="216"/>
      <c r="BS46" s="216"/>
      <c r="BT46" s="216"/>
      <c r="BU46" s="216"/>
      <c r="BV46" s="216"/>
      <c r="BW46" s="216"/>
      <c r="BX46" s="216"/>
      <c r="BY46" s="216"/>
      <c r="BZ46" s="216"/>
      <c r="CA46" s="216"/>
      <c r="CB46" s="216"/>
      <c r="CC46" s="216"/>
      <c r="CD46" s="216"/>
      <c r="CE46" s="216"/>
      <c r="CF46" s="216"/>
      <c r="CG46" s="216"/>
      <c r="CH46" s="216"/>
      <c r="CI46" s="216"/>
      <c r="CJ46" s="216"/>
      <c r="CK46" s="216"/>
      <c r="CL46" s="216"/>
      <c r="CM46" s="216"/>
      <c r="CN46" s="216"/>
    </row>
    <row r="47" spans="1:92" ht="18">
      <c r="A47" s="204"/>
      <c r="B47" s="234" t="s">
        <v>162</v>
      </c>
      <c r="C47" s="235">
        <f>1-SUM(C48:C49)</f>
        <v>0.56999999999999995</v>
      </c>
      <c r="D47" s="279"/>
      <c r="E47" s="280">
        <f t="shared" ref="E47:E49" ca="1" si="46">SUM(H47:BP47)</f>
        <v>0</v>
      </c>
      <c r="F47" s="238"/>
      <c r="G47" s="238"/>
      <c r="H47" s="239">
        <f ca="1">$C$47*H44</f>
        <v>0</v>
      </c>
      <c r="I47" s="239">
        <f ca="1">$C$47*I44</f>
        <v>0</v>
      </c>
      <c r="J47" s="239">
        <f t="shared" ref="J47:BU47" ca="1" si="47">$C$47*J44</f>
        <v>0</v>
      </c>
      <c r="K47" s="239">
        <f t="shared" ca="1" si="47"/>
        <v>0</v>
      </c>
      <c r="L47" s="239">
        <f t="shared" ca="1" si="47"/>
        <v>0</v>
      </c>
      <c r="M47" s="239">
        <f t="shared" ca="1" si="47"/>
        <v>0</v>
      </c>
      <c r="N47" s="239">
        <f t="shared" ca="1" si="47"/>
        <v>0</v>
      </c>
      <c r="O47" s="239">
        <f t="shared" ca="1" si="47"/>
        <v>0</v>
      </c>
      <c r="P47" s="239">
        <f t="shared" ca="1" si="47"/>
        <v>0</v>
      </c>
      <c r="Q47" s="239">
        <f t="shared" ca="1" si="47"/>
        <v>0</v>
      </c>
      <c r="R47" s="239">
        <f t="shared" ca="1" si="47"/>
        <v>0</v>
      </c>
      <c r="S47" s="239">
        <f t="shared" ca="1" si="47"/>
        <v>0</v>
      </c>
      <c r="T47" s="239">
        <f t="shared" ca="1" si="47"/>
        <v>0</v>
      </c>
      <c r="U47" s="239">
        <f t="shared" ca="1" si="47"/>
        <v>0</v>
      </c>
      <c r="V47" s="239">
        <f t="shared" ca="1" si="47"/>
        <v>0</v>
      </c>
      <c r="W47" s="239">
        <f t="shared" ca="1" si="47"/>
        <v>0</v>
      </c>
      <c r="X47" s="239">
        <f t="shared" ca="1" si="47"/>
        <v>0</v>
      </c>
      <c r="Y47" s="239">
        <f t="shared" ca="1" si="47"/>
        <v>0</v>
      </c>
      <c r="Z47" s="239">
        <f t="shared" ca="1" si="47"/>
        <v>0</v>
      </c>
      <c r="AA47" s="239">
        <f t="shared" ca="1" si="47"/>
        <v>0</v>
      </c>
      <c r="AB47" s="239">
        <f t="shared" ca="1" si="47"/>
        <v>0</v>
      </c>
      <c r="AC47" s="239">
        <f t="shared" ca="1" si="47"/>
        <v>0</v>
      </c>
      <c r="AD47" s="239">
        <f t="shared" ca="1" si="47"/>
        <v>0</v>
      </c>
      <c r="AE47" s="239">
        <f t="shared" ca="1" si="47"/>
        <v>0</v>
      </c>
      <c r="AF47" s="239">
        <f t="shared" ca="1" si="47"/>
        <v>0</v>
      </c>
      <c r="AG47" s="239">
        <f t="shared" ca="1" si="47"/>
        <v>0</v>
      </c>
      <c r="AH47" s="239">
        <f t="shared" ca="1" si="47"/>
        <v>0</v>
      </c>
      <c r="AI47" s="239">
        <f t="shared" ca="1" si="47"/>
        <v>0</v>
      </c>
      <c r="AJ47" s="239">
        <f t="shared" ca="1" si="47"/>
        <v>0</v>
      </c>
      <c r="AK47" s="239">
        <f t="shared" ca="1" si="47"/>
        <v>0</v>
      </c>
      <c r="AL47" s="239">
        <f t="shared" ca="1" si="47"/>
        <v>0</v>
      </c>
      <c r="AM47" s="239">
        <f t="shared" ca="1" si="47"/>
        <v>0</v>
      </c>
      <c r="AN47" s="239">
        <f t="shared" ca="1" si="47"/>
        <v>0</v>
      </c>
      <c r="AO47" s="239">
        <f t="shared" ca="1" si="47"/>
        <v>0</v>
      </c>
      <c r="AP47" s="239">
        <f t="shared" ca="1" si="47"/>
        <v>0</v>
      </c>
      <c r="AQ47" s="239">
        <f t="shared" ca="1" si="47"/>
        <v>0</v>
      </c>
      <c r="AR47" s="239">
        <f t="shared" ca="1" si="47"/>
        <v>0</v>
      </c>
      <c r="AS47" s="239">
        <f t="shared" ca="1" si="47"/>
        <v>0</v>
      </c>
      <c r="AT47" s="239">
        <f t="shared" ca="1" si="47"/>
        <v>0</v>
      </c>
      <c r="AU47" s="239">
        <f t="shared" ca="1" si="47"/>
        <v>0</v>
      </c>
      <c r="AV47" s="239">
        <f t="shared" ca="1" si="47"/>
        <v>0</v>
      </c>
      <c r="AW47" s="239">
        <f t="shared" ca="1" si="47"/>
        <v>0</v>
      </c>
      <c r="AX47" s="239">
        <f t="shared" ca="1" si="47"/>
        <v>0</v>
      </c>
      <c r="AY47" s="239">
        <f t="shared" ca="1" si="47"/>
        <v>0</v>
      </c>
      <c r="AZ47" s="239">
        <f t="shared" ca="1" si="47"/>
        <v>0</v>
      </c>
      <c r="BA47" s="239">
        <f t="shared" ca="1" si="47"/>
        <v>0</v>
      </c>
      <c r="BB47" s="239">
        <f t="shared" ca="1" si="47"/>
        <v>0</v>
      </c>
      <c r="BC47" s="239">
        <f t="shared" ca="1" si="47"/>
        <v>0</v>
      </c>
      <c r="BD47" s="239">
        <f t="shared" ca="1" si="47"/>
        <v>0</v>
      </c>
      <c r="BE47" s="239">
        <f t="shared" ca="1" si="47"/>
        <v>0</v>
      </c>
      <c r="BF47" s="239">
        <f t="shared" ca="1" si="47"/>
        <v>0</v>
      </c>
      <c r="BG47" s="239">
        <f t="shared" ca="1" si="47"/>
        <v>0</v>
      </c>
      <c r="BH47" s="239">
        <f t="shared" ca="1" si="47"/>
        <v>0</v>
      </c>
      <c r="BI47" s="239">
        <f t="shared" ca="1" si="47"/>
        <v>0</v>
      </c>
      <c r="BJ47" s="239">
        <f t="shared" ca="1" si="47"/>
        <v>0</v>
      </c>
      <c r="BK47" s="239">
        <f t="shared" ca="1" si="47"/>
        <v>0</v>
      </c>
      <c r="BL47" s="239">
        <f t="shared" ca="1" si="47"/>
        <v>0</v>
      </c>
      <c r="BM47" s="239">
        <f t="shared" ca="1" si="47"/>
        <v>0</v>
      </c>
      <c r="BN47" s="239">
        <f t="shared" ca="1" si="47"/>
        <v>0</v>
      </c>
      <c r="BO47" s="239">
        <f t="shared" ca="1" si="47"/>
        <v>0</v>
      </c>
      <c r="BP47" s="240">
        <f t="shared" ca="1" si="47"/>
        <v>0</v>
      </c>
      <c r="BQ47" s="239">
        <f t="shared" ca="1" si="47"/>
        <v>0</v>
      </c>
      <c r="BR47" s="240">
        <f t="shared" ca="1" si="47"/>
        <v>0</v>
      </c>
      <c r="BS47" s="239">
        <f t="shared" ca="1" si="47"/>
        <v>0</v>
      </c>
      <c r="BT47" s="240">
        <f t="shared" ca="1" si="47"/>
        <v>0</v>
      </c>
      <c r="BU47" s="239">
        <f t="shared" ca="1" si="47"/>
        <v>0</v>
      </c>
      <c r="BV47" s="240">
        <f t="shared" ref="BV47:CN47" ca="1" si="48">$C$47*BV44</f>
        <v>0</v>
      </c>
      <c r="BW47" s="239">
        <f t="shared" ca="1" si="48"/>
        <v>0</v>
      </c>
      <c r="BX47" s="240">
        <f t="shared" ca="1" si="48"/>
        <v>0</v>
      </c>
      <c r="BY47" s="239">
        <f t="shared" ca="1" si="48"/>
        <v>0</v>
      </c>
      <c r="BZ47" s="240">
        <f t="shared" ca="1" si="48"/>
        <v>0</v>
      </c>
      <c r="CA47" s="239">
        <f t="shared" ca="1" si="48"/>
        <v>0</v>
      </c>
      <c r="CB47" s="240">
        <f t="shared" ca="1" si="48"/>
        <v>0</v>
      </c>
      <c r="CC47" s="239">
        <f t="shared" ca="1" si="48"/>
        <v>0</v>
      </c>
      <c r="CD47" s="240">
        <f t="shared" ca="1" si="48"/>
        <v>0</v>
      </c>
      <c r="CE47" s="239">
        <f t="shared" ca="1" si="48"/>
        <v>0</v>
      </c>
      <c r="CF47" s="240">
        <f t="shared" ca="1" si="48"/>
        <v>0</v>
      </c>
      <c r="CG47" s="239">
        <f t="shared" ca="1" si="48"/>
        <v>0</v>
      </c>
      <c r="CH47" s="240">
        <f t="shared" ca="1" si="48"/>
        <v>0</v>
      </c>
      <c r="CI47" s="239">
        <f t="shared" ca="1" si="48"/>
        <v>0</v>
      </c>
      <c r="CJ47" s="240">
        <f t="shared" ca="1" si="48"/>
        <v>0</v>
      </c>
      <c r="CK47" s="239">
        <f t="shared" ca="1" si="48"/>
        <v>0</v>
      </c>
      <c r="CL47" s="240">
        <f t="shared" ca="1" si="48"/>
        <v>0</v>
      </c>
      <c r="CM47" s="239">
        <f t="shared" ca="1" si="48"/>
        <v>131007.47486783059</v>
      </c>
      <c r="CN47" s="240">
        <f t="shared" si="48"/>
        <v>0</v>
      </c>
    </row>
    <row r="48" spans="1:92" ht="18">
      <c r="A48" s="204"/>
      <c r="B48" s="242" t="s">
        <v>163</v>
      </c>
      <c r="C48" s="243">
        <f>C16*(1-C49)</f>
        <v>0.03</v>
      </c>
      <c r="D48" s="225"/>
      <c r="E48" s="212">
        <f t="shared" ca="1" si="46"/>
        <v>0</v>
      </c>
      <c r="F48" s="222"/>
      <c r="G48" s="222"/>
      <c r="H48" s="245">
        <f ca="1">$C$48*H44</f>
        <v>0</v>
      </c>
      <c r="I48" s="245">
        <f ca="1">$C$48*I44</f>
        <v>0</v>
      </c>
      <c r="J48" s="245">
        <f t="shared" ref="J48:BU48" ca="1" si="49">$C$48*J44</f>
        <v>0</v>
      </c>
      <c r="K48" s="245">
        <f t="shared" ca="1" si="49"/>
        <v>0</v>
      </c>
      <c r="L48" s="245">
        <f t="shared" ca="1" si="49"/>
        <v>0</v>
      </c>
      <c r="M48" s="245">
        <f t="shared" ca="1" si="49"/>
        <v>0</v>
      </c>
      <c r="N48" s="245">
        <f t="shared" ca="1" si="49"/>
        <v>0</v>
      </c>
      <c r="O48" s="245">
        <f t="shared" ca="1" si="49"/>
        <v>0</v>
      </c>
      <c r="P48" s="245">
        <f t="shared" ca="1" si="49"/>
        <v>0</v>
      </c>
      <c r="Q48" s="245">
        <f t="shared" ca="1" si="49"/>
        <v>0</v>
      </c>
      <c r="R48" s="245">
        <f t="shared" ca="1" si="49"/>
        <v>0</v>
      </c>
      <c r="S48" s="245">
        <f t="shared" ca="1" si="49"/>
        <v>0</v>
      </c>
      <c r="T48" s="245">
        <f t="shared" ca="1" si="49"/>
        <v>0</v>
      </c>
      <c r="U48" s="245">
        <f t="shared" ca="1" si="49"/>
        <v>0</v>
      </c>
      <c r="V48" s="245">
        <f t="shared" ca="1" si="49"/>
        <v>0</v>
      </c>
      <c r="W48" s="245">
        <f t="shared" ca="1" si="49"/>
        <v>0</v>
      </c>
      <c r="X48" s="245">
        <f t="shared" ca="1" si="49"/>
        <v>0</v>
      </c>
      <c r="Y48" s="245">
        <f t="shared" ca="1" si="49"/>
        <v>0</v>
      </c>
      <c r="Z48" s="245">
        <f t="shared" ca="1" si="49"/>
        <v>0</v>
      </c>
      <c r="AA48" s="245">
        <f t="shared" ca="1" si="49"/>
        <v>0</v>
      </c>
      <c r="AB48" s="245">
        <f t="shared" ca="1" si="49"/>
        <v>0</v>
      </c>
      <c r="AC48" s="245">
        <f t="shared" ca="1" si="49"/>
        <v>0</v>
      </c>
      <c r="AD48" s="245">
        <f t="shared" ca="1" si="49"/>
        <v>0</v>
      </c>
      <c r="AE48" s="245">
        <f t="shared" ca="1" si="49"/>
        <v>0</v>
      </c>
      <c r="AF48" s="245">
        <f t="shared" ca="1" si="49"/>
        <v>0</v>
      </c>
      <c r="AG48" s="245">
        <f t="shared" ca="1" si="49"/>
        <v>0</v>
      </c>
      <c r="AH48" s="245">
        <f t="shared" ca="1" si="49"/>
        <v>0</v>
      </c>
      <c r="AI48" s="245">
        <f t="shared" ca="1" si="49"/>
        <v>0</v>
      </c>
      <c r="AJ48" s="245">
        <f t="shared" ca="1" si="49"/>
        <v>0</v>
      </c>
      <c r="AK48" s="245">
        <f t="shared" ca="1" si="49"/>
        <v>0</v>
      </c>
      <c r="AL48" s="245">
        <f t="shared" ca="1" si="49"/>
        <v>0</v>
      </c>
      <c r="AM48" s="245">
        <f t="shared" ca="1" si="49"/>
        <v>0</v>
      </c>
      <c r="AN48" s="245">
        <f t="shared" ca="1" si="49"/>
        <v>0</v>
      </c>
      <c r="AO48" s="245">
        <f t="shared" ca="1" si="49"/>
        <v>0</v>
      </c>
      <c r="AP48" s="245">
        <f t="shared" ca="1" si="49"/>
        <v>0</v>
      </c>
      <c r="AQ48" s="245">
        <f t="shared" ca="1" si="49"/>
        <v>0</v>
      </c>
      <c r="AR48" s="245">
        <f t="shared" ca="1" si="49"/>
        <v>0</v>
      </c>
      <c r="AS48" s="245">
        <f t="shared" ca="1" si="49"/>
        <v>0</v>
      </c>
      <c r="AT48" s="245">
        <f t="shared" ca="1" si="49"/>
        <v>0</v>
      </c>
      <c r="AU48" s="245">
        <f t="shared" ca="1" si="49"/>
        <v>0</v>
      </c>
      <c r="AV48" s="245">
        <f t="shared" ca="1" si="49"/>
        <v>0</v>
      </c>
      <c r="AW48" s="245">
        <f t="shared" ca="1" si="49"/>
        <v>0</v>
      </c>
      <c r="AX48" s="245">
        <f t="shared" ca="1" si="49"/>
        <v>0</v>
      </c>
      <c r="AY48" s="245">
        <f t="shared" ca="1" si="49"/>
        <v>0</v>
      </c>
      <c r="AZ48" s="245">
        <f t="shared" ca="1" si="49"/>
        <v>0</v>
      </c>
      <c r="BA48" s="245">
        <f t="shared" ca="1" si="49"/>
        <v>0</v>
      </c>
      <c r="BB48" s="245">
        <f t="shared" ca="1" si="49"/>
        <v>0</v>
      </c>
      <c r="BC48" s="245">
        <f t="shared" ca="1" si="49"/>
        <v>0</v>
      </c>
      <c r="BD48" s="245">
        <f t="shared" ca="1" si="49"/>
        <v>0</v>
      </c>
      <c r="BE48" s="245">
        <f t="shared" ca="1" si="49"/>
        <v>0</v>
      </c>
      <c r="BF48" s="245">
        <f t="shared" ca="1" si="49"/>
        <v>0</v>
      </c>
      <c r="BG48" s="245">
        <f t="shared" ca="1" si="49"/>
        <v>0</v>
      </c>
      <c r="BH48" s="245">
        <f t="shared" ca="1" si="49"/>
        <v>0</v>
      </c>
      <c r="BI48" s="245">
        <f t="shared" ca="1" si="49"/>
        <v>0</v>
      </c>
      <c r="BJ48" s="245">
        <f t="shared" ca="1" si="49"/>
        <v>0</v>
      </c>
      <c r="BK48" s="245">
        <f t="shared" ca="1" si="49"/>
        <v>0</v>
      </c>
      <c r="BL48" s="245">
        <f t="shared" ca="1" si="49"/>
        <v>0</v>
      </c>
      <c r="BM48" s="245">
        <f t="shared" ca="1" si="49"/>
        <v>0</v>
      </c>
      <c r="BN48" s="245">
        <f t="shared" ca="1" si="49"/>
        <v>0</v>
      </c>
      <c r="BO48" s="245">
        <f t="shared" ca="1" si="49"/>
        <v>0</v>
      </c>
      <c r="BP48" s="246">
        <f t="shared" ca="1" si="49"/>
        <v>0</v>
      </c>
      <c r="BQ48" s="245">
        <f t="shared" ca="1" si="49"/>
        <v>0</v>
      </c>
      <c r="BR48" s="246">
        <f t="shared" ca="1" si="49"/>
        <v>0</v>
      </c>
      <c r="BS48" s="245">
        <f t="shared" ca="1" si="49"/>
        <v>0</v>
      </c>
      <c r="BT48" s="246">
        <f t="shared" ca="1" si="49"/>
        <v>0</v>
      </c>
      <c r="BU48" s="245">
        <f t="shared" ca="1" si="49"/>
        <v>0</v>
      </c>
      <c r="BV48" s="246">
        <f t="shared" ref="BV48:CN48" ca="1" si="50">$C$48*BV44</f>
        <v>0</v>
      </c>
      <c r="BW48" s="245">
        <f t="shared" ca="1" si="50"/>
        <v>0</v>
      </c>
      <c r="BX48" s="246">
        <f t="shared" ca="1" si="50"/>
        <v>0</v>
      </c>
      <c r="BY48" s="245">
        <f t="shared" ca="1" si="50"/>
        <v>0</v>
      </c>
      <c r="BZ48" s="246">
        <f t="shared" ca="1" si="50"/>
        <v>0</v>
      </c>
      <c r="CA48" s="245">
        <f t="shared" ca="1" si="50"/>
        <v>0</v>
      </c>
      <c r="CB48" s="246">
        <f t="shared" ca="1" si="50"/>
        <v>0</v>
      </c>
      <c r="CC48" s="245">
        <f t="shared" ca="1" si="50"/>
        <v>0</v>
      </c>
      <c r="CD48" s="246">
        <f t="shared" ca="1" si="50"/>
        <v>0</v>
      </c>
      <c r="CE48" s="245">
        <f t="shared" ca="1" si="50"/>
        <v>0</v>
      </c>
      <c r="CF48" s="246">
        <f t="shared" ca="1" si="50"/>
        <v>0</v>
      </c>
      <c r="CG48" s="245">
        <f t="shared" ca="1" si="50"/>
        <v>0</v>
      </c>
      <c r="CH48" s="246">
        <f t="shared" ca="1" si="50"/>
        <v>0</v>
      </c>
      <c r="CI48" s="245">
        <f t="shared" ca="1" si="50"/>
        <v>0</v>
      </c>
      <c r="CJ48" s="246">
        <f t="shared" ca="1" si="50"/>
        <v>0</v>
      </c>
      <c r="CK48" s="245">
        <f t="shared" ca="1" si="50"/>
        <v>0</v>
      </c>
      <c r="CL48" s="246">
        <f t="shared" ca="1" si="50"/>
        <v>0</v>
      </c>
      <c r="CM48" s="245">
        <f t="shared" ca="1" si="50"/>
        <v>6895.1302562016108</v>
      </c>
      <c r="CN48" s="246">
        <f t="shared" si="50"/>
        <v>0</v>
      </c>
    </row>
    <row r="49" spans="1:92" ht="18">
      <c r="A49" s="204"/>
      <c r="B49" s="242" t="s">
        <v>170</v>
      </c>
      <c r="C49" s="277">
        <v>0.4</v>
      </c>
      <c r="D49" s="225"/>
      <c r="E49" s="212">
        <f t="shared" ca="1" si="46"/>
        <v>0</v>
      </c>
      <c r="F49" s="232"/>
      <c r="G49" s="232"/>
      <c r="H49" s="245">
        <f ca="1">$C$49*H44</f>
        <v>0</v>
      </c>
      <c r="I49" s="245">
        <f ca="1">$C$49*I44</f>
        <v>0</v>
      </c>
      <c r="J49" s="245">
        <f t="shared" ref="J49:BU49" ca="1" si="51">$C$49*J44</f>
        <v>0</v>
      </c>
      <c r="K49" s="245">
        <f t="shared" ca="1" si="51"/>
        <v>0</v>
      </c>
      <c r="L49" s="245">
        <f t="shared" ca="1" si="51"/>
        <v>0</v>
      </c>
      <c r="M49" s="245">
        <f t="shared" ca="1" si="51"/>
        <v>0</v>
      </c>
      <c r="N49" s="245">
        <f t="shared" ca="1" si="51"/>
        <v>0</v>
      </c>
      <c r="O49" s="245">
        <f t="shared" ca="1" si="51"/>
        <v>0</v>
      </c>
      <c r="P49" s="245">
        <f t="shared" ca="1" si="51"/>
        <v>0</v>
      </c>
      <c r="Q49" s="245">
        <f t="shared" ca="1" si="51"/>
        <v>0</v>
      </c>
      <c r="R49" s="245">
        <f t="shared" ca="1" si="51"/>
        <v>0</v>
      </c>
      <c r="S49" s="245">
        <f t="shared" ca="1" si="51"/>
        <v>0</v>
      </c>
      <c r="T49" s="245">
        <f t="shared" ca="1" si="51"/>
        <v>0</v>
      </c>
      <c r="U49" s="245">
        <f t="shared" ca="1" si="51"/>
        <v>0</v>
      </c>
      <c r="V49" s="245">
        <f t="shared" ca="1" si="51"/>
        <v>0</v>
      </c>
      <c r="W49" s="245">
        <f t="shared" ca="1" si="51"/>
        <v>0</v>
      </c>
      <c r="X49" s="245">
        <f t="shared" ca="1" si="51"/>
        <v>0</v>
      </c>
      <c r="Y49" s="245">
        <f t="shared" ca="1" si="51"/>
        <v>0</v>
      </c>
      <c r="Z49" s="245">
        <f t="shared" ca="1" si="51"/>
        <v>0</v>
      </c>
      <c r="AA49" s="245">
        <f t="shared" ca="1" si="51"/>
        <v>0</v>
      </c>
      <c r="AB49" s="245">
        <f t="shared" ca="1" si="51"/>
        <v>0</v>
      </c>
      <c r="AC49" s="245">
        <f t="shared" ca="1" si="51"/>
        <v>0</v>
      </c>
      <c r="AD49" s="245">
        <f t="shared" ca="1" si="51"/>
        <v>0</v>
      </c>
      <c r="AE49" s="245">
        <f t="shared" ca="1" si="51"/>
        <v>0</v>
      </c>
      <c r="AF49" s="245">
        <f t="shared" ca="1" si="51"/>
        <v>0</v>
      </c>
      <c r="AG49" s="245">
        <f t="shared" ca="1" si="51"/>
        <v>0</v>
      </c>
      <c r="AH49" s="245">
        <f t="shared" ca="1" si="51"/>
        <v>0</v>
      </c>
      <c r="AI49" s="245">
        <f t="shared" ca="1" si="51"/>
        <v>0</v>
      </c>
      <c r="AJ49" s="245">
        <f t="shared" ca="1" si="51"/>
        <v>0</v>
      </c>
      <c r="AK49" s="245">
        <f t="shared" ca="1" si="51"/>
        <v>0</v>
      </c>
      <c r="AL49" s="245">
        <f t="shared" ca="1" si="51"/>
        <v>0</v>
      </c>
      <c r="AM49" s="245">
        <f t="shared" ca="1" si="51"/>
        <v>0</v>
      </c>
      <c r="AN49" s="245">
        <f t="shared" ca="1" si="51"/>
        <v>0</v>
      </c>
      <c r="AO49" s="245">
        <f t="shared" ca="1" si="51"/>
        <v>0</v>
      </c>
      <c r="AP49" s="245">
        <f t="shared" ca="1" si="51"/>
        <v>0</v>
      </c>
      <c r="AQ49" s="245">
        <f t="shared" ca="1" si="51"/>
        <v>0</v>
      </c>
      <c r="AR49" s="245">
        <f t="shared" ca="1" si="51"/>
        <v>0</v>
      </c>
      <c r="AS49" s="245">
        <f t="shared" ca="1" si="51"/>
        <v>0</v>
      </c>
      <c r="AT49" s="245">
        <f t="shared" ca="1" si="51"/>
        <v>0</v>
      </c>
      <c r="AU49" s="245">
        <f t="shared" ca="1" si="51"/>
        <v>0</v>
      </c>
      <c r="AV49" s="245">
        <f t="shared" ca="1" si="51"/>
        <v>0</v>
      </c>
      <c r="AW49" s="245">
        <f t="shared" ca="1" si="51"/>
        <v>0</v>
      </c>
      <c r="AX49" s="245">
        <f t="shared" ca="1" si="51"/>
        <v>0</v>
      </c>
      <c r="AY49" s="245">
        <f t="shared" ca="1" si="51"/>
        <v>0</v>
      </c>
      <c r="AZ49" s="245">
        <f t="shared" ca="1" si="51"/>
        <v>0</v>
      </c>
      <c r="BA49" s="245">
        <f t="shared" ca="1" si="51"/>
        <v>0</v>
      </c>
      <c r="BB49" s="245">
        <f t="shared" ca="1" si="51"/>
        <v>0</v>
      </c>
      <c r="BC49" s="245">
        <f t="shared" ca="1" si="51"/>
        <v>0</v>
      </c>
      <c r="BD49" s="245">
        <f t="shared" ca="1" si="51"/>
        <v>0</v>
      </c>
      <c r="BE49" s="245">
        <f t="shared" ca="1" si="51"/>
        <v>0</v>
      </c>
      <c r="BF49" s="245">
        <f t="shared" ca="1" si="51"/>
        <v>0</v>
      </c>
      <c r="BG49" s="245">
        <f t="shared" ca="1" si="51"/>
        <v>0</v>
      </c>
      <c r="BH49" s="245">
        <f t="shared" ca="1" si="51"/>
        <v>0</v>
      </c>
      <c r="BI49" s="245">
        <f t="shared" ca="1" si="51"/>
        <v>0</v>
      </c>
      <c r="BJ49" s="245">
        <f t="shared" ca="1" si="51"/>
        <v>0</v>
      </c>
      <c r="BK49" s="245">
        <f t="shared" ca="1" si="51"/>
        <v>0</v>
      </c>
      <c r="BL49" s="245">
        <f t="shared" ca="1" si="51"/>
        <v>0</v>
      </c>
      <c r="BM49" s="245">
        <f t="shared" ca="1" si="51"/>
        <v>0</v>
      </c>
      <c r="BN49" s="245">
        <f t="shared" ca="1" si="51"/>
        <v>0</v>
      </c>
      <c r="BO49" s="245">
        <f t="shared" ca="1" si="51"/>
        <v>0</v>
      </c>
      <c r="BP49" s="246">
        <f t="shared" ca="1" si="51"/>
        <v>0</v>
      </c>
      <c r="BQ49" s="245">
        <f t="shared" ca="1" si="51"/>
        <v>0</v>
      </c>
      <c r="BR49" s="246">
        <f t="shared" ca="1" si="51"/>
        <v>0</v>
      </c>
      <c r="BS49" s="245">
        <f t="shared" ca="1" si="51"/>
        <v>0</v>
      </c>
      <c r="BT49" s="246">
        <f t="shared" ca="1" si="51"/>
        <v>0</v>
      </c>
      <c r="BU49" s="245">
        <f t="shared" ca="1" si="51"/>
        <v>0</v>
      </c>
      <c r="BV49" s="246">
        <f t="shared" ref="BV49:CN49" ca="1" si="52">$C$49*BV44</f>
        <v>0</v>
      </c>
      <c r="BW49" s="245">
        <f t="shared" ca="1" si="52"/>
        <v>0</v>
      </c>
      <c r="BX49" s="246">
        <f t="shared" ca="1" si="52"/>
        <v>0</v>
      </c>
      <c r="BY49" s="245">
        <f t="shared" ca="1" si="52"/>
        <v>0</v>
      </c>
      <c r="BZ49" s="246">
        <f t="shared" ca="1" si="52"/>
        <v>0</v>
      </c>
      <c r="CA49" s="245">
        <f t="shared" ca="1" si="52"/>
        <v>0</v>
      </c>
      <c r="CB49" s="246">
        <f t="shared" ca="1" si="52"/>
        <v>0</v>
      </c>
      <c r="CC49" s="245">
        <f t="shared" ca="1" si="52"/>
        <v>0</v>
      </c>
      <c r="CD49" s="246">
        <f t="shared" ca="1" si="52"/>
        <v>0</v>
      </c>
      <c r="CE49" s="245">
        <f t="shared" ca="1" si="52"/>
        <v>0</v>
      </c>
      <c r="CF49" s="246">
        <f t="shared" ca="1" si="52"/>
        <v>0</v>
      </c>
      <c r="CG49" s="245">
        <f t="shared" ca="1" si="52"/>
        <v>0</v>
      </c>
      <c r="CH49" s="246">
        <f t="shared" ca="1" si="52"/>
        <v>0</v>
      </c>
      <c r="CI49" s="245">
        <f t="shared" ca="1" si="52"/>
        <v>0</v>
      </c>
      <c r="CJ49" s="246">
        <f t="shared" ca="1" si="52"/>
        <v>0</v>
      </c>
      <c r="CK49" s="245">
        <f t="shared" ca="1" si="52"/>
        <v>0</v>
      </c>
      <c r="CL49" s="246">
        <f t="shared" ca="1" si="52"/>
        <v>0</v>
      </c>
      <c r="CM49" s="245">
        <f t="shared" ca="1" si="52"/>
        <v>91935.070082688151</v>
      </c>
      <c r="CN49" s="246">
        <f t="shared" si="52"/>
        <v>0</v>
      </c>
    </row>
    <row r="50" spans="1:92" ht="18">
      <c r="A50" s="204"/>
      <c r="B50" s="256"/>
      <c r="C50" s="257"/>
      <c r="D50" s="257"/>
      <c r="E50" s="251"/>
      <c r="F50" s="244"/>
      <c r="G50" s="244"/>
      <c r="H50" s="258"/>
      <c r="I50" s="258"/>
      <c r="J50" s="258"/>
      <c r="K50" s="258"/>
      <c r="L50" s="258"/>
      <c r="M50" s="258"/>
      <c r="N50" s="258"/>
      <c r="O50" s="258"/>
      <c r="P50" s="258"/>
      <c r="Q50" s="258"/>
      <c r="R50" s="258"/>
      <c r="S50" s="258"/>
      <c r="T50" s="258"/>
      <c r="U50" s="258"/>
      <c r="V50" s="258"/>
      <c r="W50" s="258"/>
      <c r="X50" s="258"/>
      <c r="Y50" s="258"/>
      <c r="Z50" s="258"/>
      <c r="AA50" s="258"/>
      <c r="AB50" s="258"/>
      <c r="AC50" s="258"/>
      <c r="AD50" s="258"/>
      <c r="AE50" s="258"/>
      <c r="AF50" s="258"/>
      <c r="AG50" s="258"/>
      <c r="AH50" s="258"/>
      <c r="AI50" s="258"/>
      <c r="AJ50" s="258"/>
      <c r="AK50" s="258"/>
      <c r="AL50" s="258"/>
      <c r="AM50" s="258"/>
      <c r="AN50" s="258"/>
      <c r="AO50" s="258"/>
      <c r="AP50" s="258"/>
      <c r="AQ50" s="258"/>
      <c r="AR50" s="258"/>
      <c r="AS50" s="258"/>
      <c r="AT50" s="258"/>
      <c r="AU50" s="258"/>
      <c r="AV50" s="258"/>
      <c r="AW50" s="258"/>
      <c r="AX50" s="258"/>
      <c r="AY50" s="258"/>
      <c r="AZ50" s="258"/>
      <c r="BA50" s="258"/>
      <c r="BB50" s="258"/>
      <c r="BC50" s="258"/>
      <c r="BD50" s="258"/>
      <c r="BE50" s="258"/>
      <c r="BF50" s="258"/>
      <c r="BG50" s="258"/>
      <c r="BH50" s="258"/>
      <c r="BI50" s="258"/>
      <c r="BJ50" s="258"/>
      <c r="BK50" s="258"/>
      <c r="BL50" s="258"/>
      <c r="BM50" s="258"/>
      <c r="BN50" s="258"/>
      <c r="BO50" s="258"/>
      <c r="BP50" s="259"/>
      <c r="BQ50" s="258"/>
      <c r="BR50" s="259"/>
      <c r="BS50" s="258"/>
      <c r="BT50" s="259"/>
      <c r="BU50" s="258"/>
      <c r="BV50" s="259"/>
      <c r="BW50" s="258"/>
      <c r="BX50" s="259"/>
      <c r="BY50" s="258"/>
      <c r="BZ50" s="259"/>
      <c r="CA50" s="258"/>
      <c r="CB50" s="259"/>
      <c r="CC50" s="258"/>
      <c r="CD50" s="259"/>
      <c r="CE50" s="258"/>
      <c r="CF50" s="259"/>
      <c r="CG50" s="258"/>
      <c r="CH50" s="259"/>
      <c r="CI50" s="258"/>
      <c r="CJ50" s="259"/>
      <c r="CK50" s="258"/>
      <c r="CL50" s="259"/>
      <c r="CM50" s="258"/>
      <c r="CN50" s="259"/>
    </row>
    <row r="51" spans="1:92" ht="18">
      <c r="A51" s="204"/>
      <c r="B51" s="260" t="s">
        <v>164</v>
      </c>
      <c r="C51" s="281"/>
      <c r="D51" s="281"/>
      <c r="E51" s="262">
        <f t="shared" ref="E51" ca="1" si="53">SUM(H51:BP51)</f>
        <v>0</v>
      </c>
      <c r="F51" s="247"/>
      <c r="G51" s="247"/>
      <c r="H51" s="263">
        <f ca="1">H44-SUM(H47:H49)</f>
        <v>0</v>
      </c>
      <c r="I51" s="263">
        <f ca="1">I44-SUM(I47:I49)</f>
        <v>0</v>
      </c>
      <c r="J51" s="263">
        <f t="shared" ref="J51:BU51" ca="1" si="54">J44-SUM(J47:J49)</f>
        <v>0</v>
      </c>
      <c r="K51" s="263">
        <f t="shared" ca="1" si="54"/>
        <v>0</v>
      </c>
      <c r="L51" s="263">
        <f t="shared" ca="1" si="54"/>
        <v>0</v>
      </c>
      <c r="M51" s="263">
        <f t="shared" ca="1" si="54"/>
        <v>0</v>
      </c>
      <c r="N51" s="263">
        <f t="shared" ca="1" si="54"/>
        <v>0</v>
      </c>
      <c r="O51" s="263">
        <f t="shared" ca="1" si="54"/>
        <v>0</v>
      </c>
      <c r="P51" s="263">
        <f t="shared" ca="1" si="54"/>
        <v>0</v>
      </c>
      <c r="Q51" s="263">
        <f t="shared" ca="1" si="54"/>
        <v>0</v>
      </c>
      <c r="R51" s="263">
        <f t="shared" ca="1" si="54"/>
        <v>0</v>
      </c>
      <c r="S51" s="263">
        <f t="shared" ca="1" si="54"/>
        <v>0</v>
      </c>
      <c r="T51" s="263">
        <f t="shared" ca="1" si="54"/>
        <v>0</v>
      </c>
      <c r="U51" s="263">
        <f t="shared" ca="1" si="54"/>
        <v>0</v>
      </c>
      <c r="V51" s="263">
        <f t="shared" ca="1" si="54"/>
        <v>0</v>
      </c>
      <c r="W51" s="263">
        <f t="shared" ca="1" si="54"/>
        <v>0</v>
      </c>
      <c r="X51" s="263">
        <f t="shared" ca="1" si="54"/>
        <v>0</v>
      </c>
      <c r="Y51" s="263">
        <f t="shared" ca="1" si="54"/>
        <v>0</v>
      </c>
      <c r="Z51" s="263">
        <f t="shared" ca="1" si="54"/>
        <v>0</v>
      </c>
      <c r="AA51" s="263">
        <f t="shared" ca="1" si="54"/>
        <v>0</v>
      </c>
      <c r="AB51" s="263">
        <f t="shared" ca="1" si="54"/>
        <v>0</v>
      </c>
      <c r="AC51" s="263">
        <f t="shared" ca="1" si="54"/>
        <v>0</v>
      </c>
      <c r="AD51" s="263">
        <f t="shared" ca="1" si="54"/>
        <v>0</v>
      </c>
      <c r="AE51" s="263">
        <f t="shared" ca="1" si="54"/>
        <v>0</v>
      </c>
      <c r="AF51" s="263">
        <f t="shared" ca="1" si="54"/>
        <v>0</v>
      </c>
      <c r="AG51" s="263">
        <f t="shared" ca="1" si="54"/>
        <v>0</v>
      </c>
      <c r="AH51" s="263">
        <f t="shared" ca="1" si="54"/>
        <v>0</v>
      </c>
      <c r="AI51" s="263">
        <f t="shared" ca="1" si="54"/>
        <v>0</v>
      </c>
      <c r="AJ51" s="263">
        <f t="shared" ca="1" si="54"/>
        <v>0</v>
      </c>
      <c r="AK51" s="263">
        <f t="shared" ca="1" si="54"/>
        <v>0</v>
      </c>
      <c r="AL51" s="263">
        <f t="shared" ca="1" si="54"/>
        <v>0</v>
      </c>
      <c r="AM51" s="263">
        <f t="shared" ca="1" si="54"/>
        <v>0</v>
      </c>
      <c r="AN51" s="263">
        <f t="shared" ca="1" si="54"/>
        <v>0</v>
      </c>
      <c r="AO51" s="263">
        <f t="shared" ca="1" si="54"/>
        <v>0</v>
      </c>
      <c r="AP51" s="263">
        <f t="shared" ca="1" si="54"/>
        <v>0</v>
      </c>
      <c r="AQ51" s="263">
        <f t="shared" ca="1" si="54"/>
        <v>0</v>
      </c>
      <c r="AR51" s="263">
        <f t="shared" ca="1" si="54"/>
        <v>0</v>
      </c>
      <c r="AS51" s="263">
        <f t="shared" ca="1" si="54"/>
        <v>0</v>
      </c>
      <c r="AT51" s="263">
        <f t="shared" ca="1" si="54"/>
        <v>0</v>
      </c>
      <c r="AU51" s="263">
        <f t="shared" ca="1" si="54"/>
        <v>0</v>
      </c>
      <c r="AV51" s="263">
        <f t="shared" ca="1" si="54"/>
        <v>0</v>
      </c>
      <c r="AW51" s="263">
        <f t="shared" ca="1" si="54"/>
        <v>0</v>
      </c>
      <c r="AX51" s="263">
        <f t="shared" ca="1" si="54"/>
        <v>0</v>
      </c>
      <c r="AY51" s="263">
        <f t="shared" ca="1" si="54"/>
        <v>0</v>
      </c>
      <c r="AZ51" s="263">
        <f t="shared" ca="1" si="54"/>
        <v>0</v>
      </c>
      <c r="BA51" s="263">
        <f t="shared" ca="1" si="54"/>
        <v>0</v>
      </c>
      <c r="BB51" s="263">
        <f t="shared" ca="1" si="54"/>
        <v>0</v>
      </c>
      <c r="BC51" s="263">
        <f t="shared" ca="1" si="54"/>
        <v>0</v>
      </c>
      <c r="BD51" s="263">
        <f t="shared" ca="1" si="54"/>
        <v>0</v>
      </c>
      <c r="BE51" s="263">
        <f t="shared" ca="1" si="54"/>
        <v>0</v>
      </c>
      <c r="BF51" s="263">
        <f t="shared" ca="1" si="54"/>
        <v>0</v>
      </c>
      <c r="BG51" s="263">
        <f t="shared" ca="1" si="54"/>
        <v>0</v>
      </c>
      <c r="BH51" s="263">
        <f t="shared" ca="1" si="54"/>
        <v>0</v>
      </c>
      <c r="BI51" s="263">
        <f t="shared" ca="1" si="54"/>
        <v>0</v>
      </c>
      <c r="BJ51" s="263">
        <f t="shared" ca="1" si="54"/>
        <v>0</v>
      </c>
      <c r="BK51" s="263">
        <f t="shared" ca="1" si="54"/>
        <v>0</v>
      </c>
      <c r="BL51" s="263">
        <f t="shared" ca="1" si="54"/>
        <v>0</v>
      </c>
      <c r="BM51" s="263">
        <f t="shared" ca="1" si="54"/>
        <v>0</v>
      </c>
      <c r="BN51" s="263">
        <f t="shared" ca="1" si="54"/>
        <v>0</v>
      </c>
      <c r="BO51" s="263">
        <f t="shared" ca="1" si="54"/>
        <v>0</v>
      </c>
      <c r="BP51" s="264">
        <f t="shared" ca="1" si="54"/>
        <v>0</v>
      </c>
      <c r="BQ51" s="263">
        <f t="shared" ca="1" si="54"/>
        <v>0</v>
      </c>
      <c r="BR51" s="264">
        <f t="shared" ca="1" si="54"/>
        <v>0</v>
      </c>
      <c r="BS51" s="263">
        <f t="shared" ca="1" si="54"/>
        <v>0</v>
      </c>
      <c r="BT51" s="264">
        <f t="shared" ca="1" si="54"/>
        <v>0</v>
      </c>
      <c r="BU51" s="263">
        <f t="shared" ca="1" si="54"/>
        <v>0</v>
      </c>
      <c r="BV51" s="264">
        <f t="shared" ref="BV51:CN51" ca="1" si="55">BV44-SUM(BV47:BV49)</f>
        <v>0</v>
      </c>
      <c r="BW51" s="263">
        <f t="shared" ca="1" si="55"/>
        <v>0</v>
      </c>
      <c r="BX51" s="264">
        <f t="shared" ca="1" si="55"/>
        <v>0</v>
      </c>
      <c r="BY51" s="263">
        <f t="shared" ca="1" si="55"/>
        <v>0</v>
      </c>
      <c r="BZ51" s="264">
        <f t="shared" ca="1" si="55"/>
        <v>0</v>
      </c>
      <c r="CA51" s="263">
        <f t="shared" ca="1" si="55"/>
        <v>0</v>
      </c>
      <c r="CB51" s="264">
        <f t="shared" ca="1" si="55"/>
        <v>0</v>
      </c>
      <c r="CC51" s="263">
        <f t="shared" ca="1" si="55"/>
        <v>0</v>
      </c>
      <c r="CD51" s="264">
        <f t="shared" ca="1" si="55"/>
        <v>0</v>
      </c>
      <c r="CE51" s="263">
        <f t="shared" ca="1" si="55"/>
        <v>0</v>
      </c>
      <c r="CF51" s="264">
        <f t="shared" ca="1" si="55"/>
        <v>0</v>
      </c>
      <c r="CG51" s="263">
        <f t="shared" ca="1" si="55"/>
        <v>0</v>
      </c>
      <c r="CH51" s="264">
        <f t="shared" ca="1" si="55"/>
        <v>0</v>
      </c>
      <c r="CI51" s="263">
        <f t="shared" ca="1" si="55"/>
        <v>0</v>
      </c>
      <c r="CJ51" s="264">
        <f t="shared" ca="1" si="55"/>
        <v>0</v>
      </c>
      <c r="CK51" s="263">
        <f t="shared" ca="1" si="55"/>
        <v>0</v>
      </c>
      <c r="CL51" s="264">
        <f t="shared" ca="1" si="55"/>
        <v>0</v>
      </c>
      <c r="CM51" s="263">
        <f t="shared" ca="1" si="55"/>
        <v>0</v>
      </c>
      <c r="CN51" s="264">
        <f t="shared" si="55"/>
        <v>0</v>
      </c>
    </row>
    <row r="52" spans="1:92" ht="18">
      <c r="A52" s="204"/>
      <c r="B52" s="205"/>
      <c r="C52" s="205"/>
      <c r="D52" s="205"/>
      <c r="E52" s="282"/>
      <c r="F52" s="222"/>
      <c r="G52" s="222"/>
      <c r="H52" s="205"/>
      <c r="I52" s="207"/>
      <c r="J52" s="207"/>
      <c r="K52" s="207"/>
      <c r="L52" s="207"/>
      <c r="M52" s="207"/>
      <c r="N52" s="207"/>
      <c r="O52" s="207"/>
      <c r="P52" s="207"/>
      <c r="Q52" s="207"/>
      <c r="R52" s="207"/>
      <c r="S52" s="207"/>
      <c r="T52" s="207"/>
      <c r="U52" s="207"/>
      <c r="V52" s="207"/>
      <c r="W52" s="207"/>
      <c r="X52" s="207"/>
      <c r="Y52" s="207"/>
      <c r="Z52" s="207"/>
      <c r="AA52" s="207"/>
      <c r="AB52" s="207"/>
      <c r="AC52" s="207"/>
      <c r="AD52" s="207"/>
      <c r="AE52" s="207"/>
      <c r="AF52" s="207"/>
      <c r="AG52" s="207"/>
      <c r="AH52" s="207"/>
      <c r="AI52" s="207"/>
      <c r="AJ52" s="207"/>
      <c r="AK52" s="207"/>
      <c r="AL52" s="207"/>
      <c r="AM52" s="207"/>
      <c r="AN52" s="207"/>
      <c r="AO52" s="207"/>
      <c r="AP52" s="207"/>
      <c r="AQ52" s="207"/>
      <c r="AR52" s="207"/>
      <c r="AS52" s="207"/>
      <c r="AT52" s="207"/>
      <c r="AU52" s="207"/>
      <c r="AV52" s="207"/>
      <c r="AW52" s="207"/>
      <c r="AX52" s="207"/>
      <c r="AY52" s="207"/>
      <c r="AZ52" s="207"/>
      <c r="BA52" s="207"/>
      <c r="BB52" s="207"/>
      <c r="BC52" s="207"/>
      <c r="BD52" s="207"/>
      <c r="BE52" s="207"/>
      <c r="BF52" s="207"/>
      <c r="BG52" s="207"/>
      <c r="BH52" s="207"/>
      <c r="BI52" s="207"/>
      <c r="BJ52" s="207"/>
      <c r="BK52" s="207"/>
      <c r="BL52" s="207"/>
      <c r="BM52" s="207"/>
      <c r="BN52" s="207"/>
      <c r="BO52" s="207"/>
      <c r="BP52" s="207"/>
      <c r="BQ52" s="207"/>
      <c r="BR52" s="207"/>
      <c r="BS52" s="207"/>
      <c r="BT52" s="207"/>
      <c r="BU52" s="207"/>
      <c r="BV52" s="207"/>
      <c r="BW52" s="207"/>
      <c r="BX52" s="207"/>
      <c r="BY52" s="207"/>
      <c r="BZ52" s="207"/>
      <c r="CA52" s="207"/>
      <c r="CB52" s="207"/>
      <c r="CC52" s="207"/>
      <c r="CD52" s="207"/>
      <c r="CE52" s="207"/>
      <c r="CF52" s="207"/>
      <c r="CG52" s="207"/>
      <c r="CH52" s="207"/>
      <c r="CI52" s="207"/>
      <c r="CJ52" s="207"/>
      <c r="CK52" s="207"/>
      <c r="CL52" s="207"/>
      <c r="CM52" s="207"/>
      <c r="CN52" s="207"/>
    </row>
    <row r="53" spans="1:92" ht="18">
      <c r="A53" s="204"/>
      <c r="B53" s="283"/>
      <c r="C53" s="205"/>
      <c r="D53" s="205"/>
      <c r="E53" s="222"/>
      <c r="F53" s="222"/>
      <c r="G53" s="222"/>
      <c r="H53" s="284" t="s">
        <v>150</v>
      </c>
      <c r="I53" s="285">
        <f>I11</f>
        <v>1</v>
      </c>
      <c r="J53" s="285">
        <f t="shared" ref="J53:BU53" si="56">J11</f>
        <v>2</v>
      </c>
      <c r="K53" s="285">
        <f t="shared" si="56"/>
        <v>3</v>
      </c>
      <c r="L53" s="285">
        <f t="shared" si="56"/>
        <v>4</v>
      </c>
      <c r="M53" s="285">
        <f t="shared" si="56"/>
        <v>5</v>
      </c>
      <c r="N53" s="285">
        <f t="shared" si="56"/>
        <v>6</v>
      </c>
      <c r="O53" s="285">
        <f t="shared" si="56"/>
        <v>7</v>
      </c>
      <c r="P53" s="285">
        <f t="shared" si="56"/>
        <v>8</v>
      </c>
      <c r="Q53" s="285">
        <f t="shared" si="56"/>
        <v>9</v>
      </c>
      <c r="R53" s="285">
        <f t="shared" si="56"/>
        <v>10</v>
      </c>
      <c r="S53" s="285">
        <f t="shared" si="56"/>
        <v>11</v>
      </c>
      <c r="T53" s="285">
        <f t="shared" si="56"/>
        <v>12</v>
      </c>
      <c r="U53" s="285">
        <f t="shared" si="56"/>
        <v>13</v>
      </c>
      <c r="V53" s="285">
        <f t="shared" si="56"/>
        <v>14</v>
      </c>
      <c r="W53" s="285">
        <f t="shared" si="56"/>
        <v>15</v>
      </c>
      <c r="X53" s="285">
        <f t="shared" si="56"/>
        <v>16</v>
      </c>
      <c r="Y53" s="285">
        <f t="shared" si="56"/>
        <v>17</v>
      </c>
      <c r="Z53" s="285">
        <f t="shared" si="56"/>
        <v>18</v>
      </c>
      <c r="AA53" s="285">
        <f t="shared" si="56"/>
        <v>19</v>
      </c>
      <c r="AB53" s="285">
        <f t="shared" si="56"/>
        <v>20</v>
      </c>
      <c r="AC53" s="285">
        <f t="shared" si="56"/>
        <v>21</v>
      </c>
      <c r="AD53" s="285">
        <f t="shared" si="56"/>
        <v>22</v>
      </c>
      <c r="AE53" s="285">
        <f t="shared" si="56"/>
        <v>23</v>
      </c>
      <c r="AF53" s="285">
        <f t="shared" si="56"/>
        <v>24</v>
      </c>
      <c r="AG53" s="285">
        <f t="shared" si="56"/>
        <v>25</v>
      </c>
      <c r="AH53" s="285">
        <f t="shared" si="56"/>
        <v>26</v>
      </c>
      <c r="AI53" s="285">
        <f t="shared" si="56"/>
        <v>27</v>
      </c>
      <c r="AJ53" s="285">
        <f t="shared" si="56"/>
        <v>28</v>
      </c>
      <c r="AK53" s="285">
        <f t="shared" si="56"/>
        <v>29</v>
      </c>
      <c r="AL53" s="285">
        <f t="shared" si="56"/>
        <v>30</v>
      </c>
      <c r="AM53" s="285">
        <f t="shared" si="56"/>
        <v>31</v>
      </c>
      <c r="AN53" s="285">
        <f t="shared" si="56"/>
        <v>32</v>
      </c>
      <c r="AO53" s="285">
        <f t="shared" si="56"/>
        <v>33</v>
      </c>
      <c r="AP53" s="285">
        <f t="shared" si="56"/>
        <v>34</v>
      </c>
      <c r="AQ53" s="285">
        <f t="shared" si="56"/>
        <v>35</v>
      </c>
      <c r="AR53" s="285">
        <f t="shared" si="56"/>
        <v>36</v>
      </c>
      <c r="AS53" s="285">
        <f t="shared" si="56"/>
        <v>37</v>
      </c>
      <c r="AT53" s="285">
        <f t="shared" si="56"/>
        <v>38</v>
      </c>
      <c r="AU53" s="285">
        <f t="shared" si="56"/>
        <v>39</v>
      </c>
      <c r="AV53" s="285">
        <f t="shared" si="56"/>
        <v>40</v>
      </c>
      <c r="AW53" s="285">
        <f t="shared" si="56"/>
        <v>41</v>
      </c>
      <c r="AX53" s="285">
        <f t="shared" si="56"/>
        <v>42</v>
      </c>
      <c r="AY53" s="285">
        <f t="shared" si="56"/>
        <v>43</v>
      </c>
      <c r="AZ53" s="285">
        <f t="shared" si="56"/>
        <v>44</v>
      </c>
      <c r="BA53" s="285">
        <f t="shared" si="56"/>
        <v>45</v>
      </c>
      <c r="BB53" s="285">
        <f t="shared" si="56"/>
        <v>46</v>
      </c>
      <c r="BC53" s="285">
        <f t="shared" si="56"/>
        <v>47</v>
      </c>
      <c r="BD53" s="285">
        <f t="shared" si="56"/>
        <v>48</v>
      </c>
      <c r="BE53" s="285">
        <f t="shared" si="56"/>
        <v>49</v>
      </c>
      <c r="BF53" s="285">
        <f t="shared" si="56"/>
        <v>50</v>
      </c>
      <c r="BG53" s="285">
        <f t="shared" si="56"/>
        <v>51</v>
      </c>
      <c r="BH53" s="285">
        <f t="shared" si="56"/>
        <v>52</v>
      </c>
      <c r="BI53" s="285">
        <f t="shared" si="56"/>
        <v>53</v>
      </c>
      <c r="BJ53" s="285">
        <f t="shared" si="56"/>
        <v>54</v>
      </c>
      <c r="BK53" s="285">
        <f t="shared" si="56"/>
        <v>55</v>
      </c>
      <c r="BL53" s="285">
        <f t="shared" si="56"/>
        <v>56</v>
      </c>
      <c r="BM53" s="285">
        <f t="shared" si="56"/>
        <v>57</v>
      </c>
      <c r="BN53" s="285">
        <f t="shared" si="56"/>
        <v>58</v>
      </c>
      <c r="BO53" s="285">
        <f t="shared" si="56"/>
        <v>59</v>
      </c>
      <c r="BP53" s="285">
        <f t="shared" si="56"/>
        <v>60</v>
      </c>
      <c r="BQ53" s="285">
        <f t="shared" si="56"/>
        <v>61</v>
      </c>
      <c r="BR53" s="285">
        <f t="shared" si="56"/>
        <v>62</v>
      </c>
      <c r="BS53" s="285">
        <f t="shared" si="56"/>
        <v>63</v>
      </c>
      <c r="BT53" s="285">
        <f t="shared" si="56"/>
        <v>64</v>
      </c>
      <c r="BU53" s="285">
        <f t="shared" si="56"/>
        <v>65</v>
      </c>
      <c r="BV53" s="285">
        <f t="shared" ref="BV53:CN53" si="57">BV11</f>
        <v>66</v>
      </c>
      <c r="BW53" s="285">
        <f t="shared" si="57"/>
        <v>67</v>
      </c>
      <c r="BX53" s="285">
        <f t="shared" si="57"/>
        <v>68</v>
      </c>
      <c r="BY53" s="285">
        <f t="shared" si="57"/>
        <v>69</v>
      </c>
      <c r="BZ53" s="285">
        <f t="shared" si="57"/>
        <v>70</v>
      </c>
      <c r="CA53" s="285">
        <f t="shared" si="57"/>
        <v>71</v>
      </c>
      <c r="CB53" s="285">
        <f t="shared" si="57"/>
        <v>72</v>
      </c>
      <c r="CC53" s="285">
        <f t="shared" si="57"/>
        <v>73</v>
      </c>
      <c r="CD53" s="285">
        <f t="shared" si="57"/>
        <v>74</v>
      </c>
      <c r="CE53" s="285">
        <f t="shared" si="57"/>
        <v>75</v>
      </c>
      <c r="CF53" s="285">
        <f t="shared" si="57"/>
        <v>76</v>
      </c>
      <c r="CG53" s="285">
        <f t="shared" si="57"/>
        <v>77</v>
      </c>
      <c r="CH53" s="285">
        <f t="shared" si="57"/>
        <v>78</v>
      </c>
      <c r="CI53" s="285">
        <f t="shared" si="57"/>
        <v>79</v>
      </c>
      <c r="CJ53" s="285">
        <f t="shared" si="57"/>
        <v>80</v>
      </c>
      <c r="CK53" s="285">
        <f t="shared" si="57"/>
        <v>81</v>
      </c>
      <c r="CL53" s="285">
        <f t="shared" si="57"/>
        <v>82</v>
      </c>
      <c r="CM53" s="285">
        <f t="shared" si="57"/>
        <v>83</v>
      </c>
      <c r="CN53" s="285">
        <f t="shared" si="57"/>
        <v>84</v>
      </c>
    </row>
    <row r="54" spans="1:92" ht="18">
      <c r="A54" s="204"/>
      <c r="B54" s="211" t="s">
        <v>172</v>
      </c>
      <c r="C54" s="205"/>
      <c r="D54" s="205"/>
      <c r="E54" s="222"/>
      <c r="F54" s="222"/>
      <c r="G54" s="222"/>
      <c r="H54" s="205"/>
      <c r="I54" s="207"/>
      <c r="J54" s="207"/>
      <c r="K54" s="207"/>
      <c r="L54" s="207"/>
      <c r="M54" s="207"/>
      <c r="N54" s="207"/>
      <c r="O54" s="207"/>
      <c r="P54" s="207"/>
      <c r="Q54" s="207"/>
      <c r="R54" s="207"/>
      <c r="S54" s="207"/>
      <c r="T54" s="207"/>
      <c r="U54" s="207"/>
      <c r="V54" s="207"/>
      <c r="W54" s="207"/>
      <c r="X54" s="207"/>
      <c r="Y54" s="207"/>
      <c r="Z54" s="207"/>
      <c r="AA54" s="207"/>
      <c r="AB54" s="207"/>
      <c r="AC54" s="207"/>
      <c r="AD54" s="207"/>
      <c r="AE54" s="207"/>
      <c r="AF54" s="207"/>
      <c r="AG54" s="207"/>
      <c r="AH54" s="207"/>
      <c r="AI54" s="207"/>
      <c r="AJ54" s="207"/>
      <c r="AK54" s="207"/>
      <c r="AL54" s="207"/>
      <c r="AM54" s="207"/>
      <c r="AN54" s="207"/>
      <c r="AO54" s="207"/>
      <c r="AP54" s="207"/>
      <c r="AQ54" s="207"/>
      <c r="AR54" s="207"/>
      <c r="AS54" s="207"/>
      <c r="AT54" s="207"/>
      <c r="AU54" s="207"/>
      <c r="AV54" s="207"/>
      <c r="AW54" s="207"/>
      <c r="AX54" s="207"/>
      <c r="AY54" s="207"/>
      <c r="AZ54" s="207"/>
      <c r="BA54" s="207"/>
      <c r="BB54" s="207"/>
      <c r="BC54" s="207"/>
      <c r="BD54" s="207"/>
      <c r="BE54" s="207"/>
      <c r="BF54" s="207"/>
      <c r="BG54" s="207"/>
      <c r="BH54" s="207"/>
      <c r="BI54" s="207"/>
      <c r="BJ54" s="207"/>
      <c r="BK54" s="207"/>
      <c r="BL54" s="207"/>
      <c r="BM54" s="207"/>
      <c r="BN54" s="207"/>
      <c r="BO54" s="207"/>
      <c r="BP54" s="207"/>
      <c r="BQ54" s="207"/>
      <c r="BR54" s="207"/>
      <c r="BS54" s="207"/>
      <c r="BT54" s="207"/>
      <c r="BU54" s="207"/>
      <c r="BV54" s="207"/>
      <c r="BW54" s="207"/>
      <c r="BX54" s="207"/>
      <c r="BY54" s="207"/>
      <c r="BZ54" s="207"/>
      <c r="CA54" s="207"/>
      <c r="CB54" s="207"/>
      <c r="CC54" s="207"/>
      <c r="CD54" s="207"/>
      <c r="CE54" s="207"/>
      <c r="CF54" s="207"/>
      <c r="CG54" s="207"/>
      <c r="CH54" s="207"/>
      <c r="CI54" s="207"/>
      <c r="CJ54" s="207"/>
      <c r="CK54" s="207"/>
      <c r="CL54" s="207"/>
      <c r="CM54" s="207"/>
      <c r="CN54" s="207"/>
    </row>
    <row r="55" spans="1:92" ht="18">
      <c r="A55" s="204"/>
      <c r="B55" s="286" t="s">
        <v>173</v>
      </c>
      <c r="C55" s="287">
        <f ca="1">SUM(H55:CN55)</f>
        <v>-1497641.7520517199</v>
      </c>
      <c r="D55" s="205"/>
      <c r="E55" s="222"/>
      <c r="F55" s="222"/>
      <c r="G55" s="222"/>
      <c r="H55" s="272">
        <f ca="1">H16+H17</f>
        <v>-1497641.7520517199</v>
      </c>
      <c r="I55" s="272">
        <f>I16+I17</f>
        <v>0</v>
      </c>
      <c r="J55" s="272">
        <f t="shared" ref="J55:BU55" si="58">J16+J17</f>
        <v>0</v>
      </c>
      <c r="K55" s="272">
        <f t="shared" si="58"/>
        <v>0</v>
      </c>
      <c r="L55" s="272">
        <f t="shared" si="58"/>
        <v>0</v>
      </c>
      <c r="M55" s="272">
        <f t="shared" si="58"/>
        <v>0</v>
      </c>
      <c r="N55" s="272">
        <f t="shared" si="58"/>
        <v>0</v>
      </c>
      <c r="O55" s="272">
        <f t="shared" si="58"/>
        <v>0</v>
      </c>
      <c r="P55" s="272">
        <f t="shared" si="58"/>
        <v>0</v>
      </c>
      <c r="Q55" s="272">
        <f t="shared" si="58"/>
        <v>0</v>
      </c>
      <c r="R55" s="272">
        <f t="shared" si="58"/>
        <v>0</v>
      </c>
      <c r="S55" s="272">
        <f t="shared" si="58"/>
        <v>0</v>
      </c>
      <c r="T55" s="272">
        <f t="shared" si="58"/>
        <v>0</v>
      </c>
      <c r="U55" s="272">
        <f t="shared" si="58"/>
        <v>0</v>
      </c>
      <c r="V55" s="272">
        <f t="shared" si="58"/>
        <v>0</v>
      </c>
      <c r="W55" s="272">
        <f t="shared" si="58"/>
        <v>0</v>
      </c>
      <c r="X55" s="272">
        <f t="shared" si="58"/>
        <v>0</v>
      </c>
      <c r="Y55" s="272">
        <f t="shared" si="58"/>
        <v>0</v>
      </c>
      <c r="Z55" s="272">
        <f t="shared" si="58"/>
        <v>0</v>
      </c>
      <c r="AA55" s="272">
        <f t="shared" si="58"/>
        <v>0</v>
      </c>
      <c r="AB55" s="272">
        <f t="shared" si="58"/>
        <v>0</v>
      </c>
      <c r="AC55" s="272">
        <f t="shared" si="58"/>
        <v>0</v>
      </c>
      <c r="AD55" s="272">
        <f t="shared" si="58"/>
        <v>0</v>
      </c>
      <c r="AE55" s="272">
        <f t="shared" si="58"/>
        <v>0</v>
      </c>
      <c r="AF55" s="272">
        <f t="shared" si="58"/>
        <v>0</v>
      </c>
      <c r="AG55" s="272">
        <f t="shared" si="58"/>
        <v>0</v>
      </c>
      <c r="AH55" s="272">
        <f t="shared" si="58"/>
        <v>0</v>
      </c>
      <c r="AI55" s="272">
        <f t="shared" si="58"/>
        <v>0</v>
      </c>
      <c r="AJ55" s="272">
        <f t="shared" si="58"/>
        <v>0</v>
      </c>
      <c r="AK55" s="272">
        <f t="shared" si="58"/>
        <v>0</v>
      </c>
      <c r="AL55" s="272">
        <f t="shared" si="58"/>
        <v>0</v>
      </c>
      <c r="AM55" s="272">
        <f t="shared" si="58"/>
        <v>0</v>
      </c>
      <c r="AN55" s="272">
        <f t="shared" si="58"/>
        <v>0</v>
      </c>
      <c r="AO55" s="272">
        <f t="shared" si="58"/>
        <v>0</v>
      </c>
      <c r="AP55" s="272">
        <f t="shared" si="58"/>
        <v>0</v>
      </c>
      <c r="AQ55" s="272">
        <f t="shared" si="58"/>
        <v>0</v>
      </c>
      <c r="AR55" s="272">
        <f t="shared" si="58"/>
        <v>0</v>
      </c>
      <c r="AS55" s="272">
        <f t="shared" si="58"/>
        <v>0</v>
      </c>
      <c r="AT55" s="272">
        <f t="shared" si="58"/>
        <v>0</v>
      </c>
      <c r="AU55" s="272">
        <f t="shared" si="58"/>
        <v>0</v>
      </c>
      <c r="AV55" s="272">
        <f t="shared" si="58"/>
        <v>0</v>
      </c>
      <c r="AW55" s="272">
        <f t="shared" si="58"/>
        <v>0</v>
      </c>
      <c r="AX55" s="272">
        <f t="shared" si="58"/>
        <v>0</v>
      </c>
      <c r="AY55" s="272">
        <f t="shared" si="58"/>
        <v>0</v>
      </c>
      <c r="AZ55" s="272">
        <f t="shared" si="58"/>
        <v>0</v>
      </c>
      <c r="BA55" s="272">
        <f t="shared" si="58"/>
        <v>0</v>
      </c>
      <c r="BB55" s="272">
        <f t="shared" si="58"/>
        <v>0</v>
      </c>
      <c r="BC55" s="272">
        <f t="shared" si="58"/>
        <v>0</v>
      </c>
      <c r="BD55" s="272">
        <f t="shared" si="58"/>
        <v>0</v>
      </c>
      <c r="BE55" s="272">
        <f t="shared" si="58"/>
        <v>0</v>
      </c>
      <c r="BF55" s="272">
        <f t="shared" si="58"/>
        <v>0</v>
      </c>
      <c r="BG55" s="272">
        <f t="shared" si="58"/>
        <v>0</v>
      </c>
      <c r="BH55" s="272">
        <f t="shared" si="58"/>
        <v>0</v>
      </c>
      <c r="BI55" s="272">
        <f t="shared" si="58"/>
        <v>0</v>
      </c>
      <c r="BJ55" s="272">
        <f t="shared" si="58"/>
        <v>0</v>
      </c>
      <c r="BK55" s="272">
        <f t="shared" si="58"/>
        <v>0</v>
      </c>
      <c r="BL55" s="272">
        <f t="shared" si="58"/>
        <v>0</v>
      </c>
      <c r="BM55" s="272">
        <f t="shared" si="58"/>
        <v>0</v>
      </c>
      <c r="BN55" s="272">
        <f t="shared" si="58"/>
        <v>0</v>
      </c>
      <c r="BO55" s="272">
        <f t="shared" si="58"/>
        <v>0</v>
      </c>
      <c r="BP55" s="272">
        <f t="shared" si="58"/>
        <v>0</v>
      </c>
      <c r="BQ55" s="272">
        <f t="shared" si="58"/>
        <v>0</v>
      </c>
      <c r="BR55" s="272">
        <f t="shared" si="58"/>
        <v>0</v>
      </c>
      <c r="BS55" s="272">
        <f t="shared" si="58"/>
        <v>0</v>
      </c>
      <c r="BT55" s="272">
        <f t="shared" si="58"/>
        <v>0</v>
      </c>
      <c r="BU55" s="272">
        <f t="shared" si="58"/>
        <v>0</v>
      </c>
      <c r="BV55" s="272">
        <f t="shared" ref="BV55:CN55" si="59">BV16+BV17</f>
        <v>0</v>
      </c>
      <c r="BW55" s="272">
        <f t="shared" si="59"/>
        <v>0</v>
      </c>
      <c r="BX55" s="272">
        <f t="shared" si="59"/>
        <v>0</v>
      </c>
      <c r="BY55" s="272">
        <f t="shared" si="59"/>
        <v>0</v>
      </c>
      <c r="BZ55" s="272">
        <f t="shared" si="59"/>
        <v>0</v>
      </c>
      <c r="CA55" s="272">
        <f t="shared" si="59"/>
        <v>0</v>
      </c>
      <c r="CB55" s="272">
        <f t="shared" si="59"/>
        <v>0</v>
      </c>
      <c r="CC55" s="272">
        <f t="shared" si="59"/>
        <v>0</v>
      </c>
      <c r="CD55" s="272">
        <f t="shared" si="59"/>
        <v>0</v>
      </c>
      <c r="CE55" s="272">
        <f t="shared" si="59"/>
        <v>0</v>
      </c>
      <c r="CF55" s="272">
        <f t="shared" si="59"/>
        <v>0</v>
      </c>
      <c r="CG55" s="272">
        <f t="shared" si="59"/>
        <v>0</v>
      </c>
      <c r="CH55" s="272">
        <f t="shared" si="59"/>
        <v>0</v>
      </c>
      <c r="CI55" s="272">
        <f t="shared" si="59"/>
        <v>0</v>
      </c>
      <c r="CJ55" s="272">
        <f t="shared" si="59"/>
        <v>0</v>
      </c>
      <c r="CK55" s="272">
        <f t="shared" si="59"/>
        <v>0</v>
      </c>
      <c r="CL55" s="272">
        <f t="shared" si="59"/>
        <v>0</v>
      </c>
      <c r="CM55" s="272">
        <f t="shared" si="59"/>
        <v>0</v>
      </c>
      <c r="CN55" s="272">
        <f t="shared" si="59"/>
        <v>0</v>
      </c>
    </row>
    <row r="56" spans="1:92" ht="18">
      <c r="A56" s="204"/>
      <c r="B56" s="288" t="s">
        <v>174</v>
      </c>
      <c r="C56" s="289">
        <f ca="1">SUM(H56:CN56)</f>
        <v>2964628.8797143651</v>
      </c>
      <c r="D56" s="205"/>
      <c r="E56" s="222"/>
      <c r="F56" s="222"/>
      <c r="G56" s="222"/>
      <c r="H56" s="290"/>
      <c r="I56" s="290">
        <f ca="1">'Cont. Dist.'!D19</f>
        <v>0</v>
      </c>
      <c r="J56" s="290">
        <f ca="1">'Cont. Dist.'!E19</f>
        <v>0</v>
      </c>
      <c r="K56" s="290">
        <f ca="1">'Cont. Dist.'!F19</f>
        <v>0</v>
      </c>
      <c r="L56" s="290">
        <f ca="1">'Cont. Dist.'!G19</f>
        <v>0</v>
      </c>
      <c r="M56" s="290">
        <f ca="1">'Cont. Dist.'!H19</f>
        <v>0</v>
      </c>
      <c r="N56" s="290">
        <f ca="1">'Cont. Dist.'!I19</f>
        <v>0</v>
      </c>
      <c r="O56" s="290">
        <f ca="1">'Cont. Dist.'!J19</f>
        <v>0</v>
      </c>
      <c r="P56" s="290">
        <f ca="1">'Cont. Dist.'!K19</f>
        <v>0</v>
      </c>
      <c r="Q56" s="290">
        <f ca="1">'Cont. Dist.'!L19</f>
        <v>0</v>
      </c>
      <c r="R56" s="290">
        <f ca="1">'Cont. Dist.'!M19</f>
        <v>0</v>
      </c>
      <c r="S56" s="290">
        <f ca="1">'Cont. Dist.'!N19</f>
        <v>0</v>
      </c>
      <c r="T56" s="290">
        <f ca="1">'Cont. Dist.'!O19</f>
        <v>0</v>
      </c>
      <c r="U56" s="290">
        <f ca="1">'Cont. Dist.'!P19</f>
        <v>6240.1739668821674</v>
      </c>
      <c r="V56" s="290">
        <f ca="1">'Cont. Dist.'!Q19</f>
        <v>6240.1739668821674</v>
      </c>
      <c r="W56" s="290">
        <f ca="1">'Cont. Dist.'!R19</f>
        <v>6240.1739668821674</v>
      </c>
      <c r="X56" s="290">
        <f ca="1">'Cont. Dist.'!S19</f>
        <v>6240.1739668821674</v>
      </c>
      <c r="Y56" s="290">
        <f ca="1">'Cont. Dist.'!T19</f>
        <v>6240.1739668821674</v>
      </c>
      <c r="Z56" s="290">
        <f ca="1">'Cont. Dist.'!U19</f>
        <v>6240.1739668821674</v>
      </c>
      <c r="AA56" s="290">
        <f ca="1">'Cont. Dist.'!V19</f>
        <v>6240.1739668821674</v>
      </c>
      <c r="AB56" s="290">
        <f ca="1">'Cont. Dist.'!W19</f>
        <v>6240.1739668821674</v>
      </c>
      <c r="AC56" s="290">
        <f ca="1">'Cont. Dist.'!X19</f>
        <v>6240.1739668821674</v>
      </c>
      <c r="AD56" s="290">
        <f ca="1">'Cont. Dist.'!Y19</f>
        <v>6240.1739668821674</v>
      </c>
      <c r="AE56" s="290">
        <f ca="1">'Cont. Dist.'!Z19</f>
        <v>6240.1739668821674</v>
      </c>
      <c r="AF56" s="290">
        <f ca="1">'Cont. Dist.'!AA19</f>
        <v>6240.1739668821674</v>
      </c>
      <c r="AG56" s="290">
        <f ca="1">'Cont. Dist.'!AB19</f>
        <v>9360.2609503232488</v>
      </c>
      <c r="AH56" s="290">
        <f ca="1">'Cont. Dist.'!AC19</f>
        <v>9360.2609503232488</v>
      </c>
      <c r="AI56" s="290">
        <f ca="1">'Cont. Dist.'!AD19</f>
        <v>9360.2609503232488</v>
      </c>
      <c r="AJ56" s="290">
        <f ca="1">'Cont. Dist.'!AE19</f>
        <v>9360.2609503232488</v>
      </c>
      <c r="AK56" s="290">
        <f ca="1">'Cont. Dist.'!AF19</f>
        <v>9360.2609503232488</v>
      </c>
      <c r="AL56" s="290">
        <f ca="1">'Cont. Dist.'!AG19</f>
        <v>9360.2609503232488</v>
      </c>
      <c r="AM56" s="290">
        <f ca="1">'Cont. Dist.'!AH19</f>
        <v>9360.2609503232488</v>
      </c>
      <c r="AN56" s="290">
        <f ca="1">'Cont. Dist.'!AI19</f>
        <v>9360.2609503232488</v>
      </c>
      <c r="AO56" s="290">
        <f ca="1">'Cont. Dist.'!AJ19</f>
        <v>9360.2609503232488</v>
      </c>
      <c r="AP56" s="290">
        <f ca="1">'Cont. Dist.'!AK19</f>
        <v>9360.2609503232488</v>
      </c>
      <c r="AQ56" s="290">
        <f ca="1">'Cont. Dist.'!AL19</f>
        <v>946854.42086932901</v>
      </c>
      <c r="AR56" s="290">
        <f ca="1">'Cont. Dist.'!AM19</f>
        <v>3464.071265298056</v>
      </c>
      <c r="AS56" s="290">
        <f ca="1">'Cont. Dist.'!AN19</f>
        <v>5542.5140244768891</v>
      </c>
      <c r="AT56" s="290">
        <f ca="1">'Cont. Dist.'!AO19</f>
        <v>5542.5140244768891</v>
      </c>
      <c r="AU56" s="290">
        <f ca="1">'Cont. Dist.'!AP19</f>
        <v>5542.5140244768891</v>
      </c>
      <c r="AV56" s="290">
        <f ca="1">'Cont. Dist.'!AQ19</f>
        <v>5542.5140244768891</v>
      </c>
      <c r="AW56" s="290">
        <f ca="1">'Cont. Dist.'!AR19</f>
        <v>5542.5140244768891</v>
      </c>
      <c r="AX56" s="290">
        <f ca="1">'Cont. Dist.'!AS19</f>
        <v>5542.5140244768891</v>
      </c>
      <c r="AY56" s="290">
        <f ca="1">'Cont. Dist.'!AT19</f>
        <v>5542.5140244768891</v>
      </c>
      <c r="AZ56" s="290">
        <f ca="1">'Cont. Dist.'!AU19</f>
        <v>5542.5140244768891</v>
      </c>
      <c r="BA56" s="290">
        <f ca="1">'Cont. Dist.'!AV19</f>
        <v>5542.5140244768891</v>
      </c>
      <c r="BB56" s="290">
        <f ca="1">'Cont. Dist.'!AW19</f>
        <v>5542.5140244768891</v>
      </c>
      <c r="BC56" s="290">
        <f ca="1">'Cont. Dist.'!AX19</f>
        <v>5542.5140244768891</v>
      </c>
      <c r="BD56" s="290">
        <f ca="1">'Cont. Dist.'!AY19</f>
        <v>5542.5140244768891</v>
      </c>
      <c r="BE56" s="290">
        <f ca="1">'Cont. Dist.'!AZ19</f>
        <v>6004.3901931832979</v>
      </c>
      <c r="BF56" s="290">
        <f ca="1">'Cont. Dist.'!BA19</f>
        <v>6004.3901931832979</v>
      </c>
      <c r="BG56" s="290">
        <f ca="1">'Cont. Dist.'!BB19</f>
        <v>6004.3901931832979</v>
      </c>
      <c r="BH56" s="290">
        <f ca="1">'Cont. Dist.'!BC19</f>
        <v>6004.3901931832979</v>
      </c>
      <c r="BI56" s="290">
        <f ca="1">'Cont. Dist.'!BD19</f>
        <v>6004.3901931832979</v>
      </c>
      <c r="BJ56" s="290">
        <f ca="1">'Cont. Dist.'!BE19</f>
        <v>6004.3901931832979</v>
      </c>
      <c r="BK56" s="290">
        <f ca="1">'Cont. Dist.'!BF19</f>
        <v>6004.3901931832979</v>
      </c>
      <c r="BL56" s="290">
        <f ca="1">'Cont. Dist.'!BG19</f>
        <v>6004.3901931832979</v>
      </c>
      <c r="BM56" s="290">
        <f ca="1">'Cont. Dist.'!BH19</f>
        <v>6004.3901931832979</v>
      </c>
      <c r="BN56" s="290">
        <f ca="1">'Cont. Dist.'!BI19</f>
        <v>6004.3901931832979</v>
      </c>
      <c r="BO56" s="290">
        <f ca="1">'Cont. Dist.'!BJ19</f>
        <v>6004.3901931832979</v>
      </c>
      <c r="BP56" s="290">
        <f ca="1">'Cont. Dist.'!BK19</f>
        <v>6004.3901931832979</v>
      </c>
      <c r="BQ56" s="290">
        <f ca="1">'Cont. Dist.'!BL19</f>
        <v>6466.2663618897059</v>
      </c>
      <c r="BR56" s="290">
        <f ca="1">'Cont. Dist.'!BM19</f>
        <v>6466.2663618897059</v>
      </c>
      <c r="BS56" s="290">
        <f ca="1">'Cont. Dist.'!BN19</f>
        <v>6466.2663618897059</v>
      </c>
      <c r="BT56" s="290">
        <f ca="1">'Cont. Dist.'!BO19</f>
        <v>6466.2663618897059</v>
      </c>
      <c r="BU56" s="290">
        <f ca="1">'Cont. Dist.'!BP19</f>
        <v>6466.2663618897059</v>
      </c>
      <c r="BV56" s="290">
        <f ca="1">'Cont. Dist.'!BQ19</f>
        <v>6466.2663618897059</v>
      </c>
      <c r="BW56" s="290">
        <f ca="1">'Cont. Dist.'!BR19</f>
        <v>6466.2663618897059</v>
      </c>
      <c r="BX56" s="290">
        <f ca="1">'Cont. Dist.'!BS19</f>
        <v>6466.2663618897059</v>
      </c>
      <c r="BY56" s="290">
        <f ca="1">'Cont. Dist.'!BT19</f>
        <v>6466.2663618897059</v>
      </c>
      <c r="BZ56" s="290">
        <f ca="1">'Cont. Dist.'!BU19</f>
        <v>6466.2663618897059</v>
      </c>
      <c r="CA56" s="290">
        <f ca="1">'Cont. Dist.'!BV19</f>
        <v>6466.2663618897059</v>
      </c>
      <c r="CB56" s="290">
        <f ca="1">'Cont. Dist.'!BW19</f>
        <v>6466.2663618897059</v>
      </c>
      <c r="CC56" s="290">
        <f ca="1">'Cont. Dist.'!BX19</f>
        <v>6928.142530596112</v>
      </c>
      <c r="CD56" s="290">
        <f ca="1">'Cont. Dist.'!BY19</f>
        <v>6928.142530596112</v>
      </c>
      <c r="CE56" s="290">
        <f ca="1">'Cont. Dist.'!BZ19</f>
        <v>6928.142530596112</v>
      </c>
      <c r="CF56" s="290">
        <f ca="1">'Cont. Dist.'!CA19</f>
        <v>6928.142530596112</v>
      </c>
      <c r="CG56" s="290">
        <f ca="1">'Cont. Dist.'!CB19</f>
        <v>6928.142530596112</v>
      </c>
      <c r="CH56" s="290">
        <f ca="1">'Cont. Dist.'!CC19</f>
        <v>6928.142530596112</v>
      </c>
      <c r="CI56" s="290">
        <f ca="1">'Cont. Dist.'!CD19</f>
        <v>6928.142530596112</v>
      </c>
      <c r="CJ56" s="290">
        <f ca="1">'Cont. Dist.'!CE19</f>
        <v>6928.142530596112</v>
      </c>
      <c r="CK56" s="290">
        <f ca="1">'Cont. Dist.'!CF19</f>
        <v>6928.142530596112</v>
      </c>
      <c r="CL56" s="290">
        <f ca="1">'Cont. Dist.'!CG19</f>
        <v>6928.142530596112</v>
      </c>
      <c r="CM56" s="290">
        <f ca="1">'Cont. Dist.'!CH19</f>
        <v>1560386.2182133601</v>
      </c>
      <c r="CN56" s="290">
        <f>'Cont. Dist.'!CI19</f>
        <v>0</v>
      </c>
    </row>
    <row r="57" spans="1:92" ht="18">
      <c r="A57" s="204"/>
      <c r="B57" s="288" t="s">
        <v>175</v>
      </c>
      <c r="C57" s="289">
        <f ca="1">SUM(H57:CN57)</f>
        <v>1466987.1276626438</v>
      </c>
      <c r="D57" s="205"/>
      <c r="E57" s="222"/>
      <c r="F57" s="222"/>
      <c r="G57" s="222"/>
      <c r="H57" s="291">
        <f ca="1">SUM(H55:H56)</f>
        <v>-1497641.7520517199</v>
      </c>
      <c r="I57" s="291">
        <f ca="1">SUM(I55:I56)</f>
        <v>0</v>
      </c>
      <c r="J57" s="291">
        <f t="shared" ref="J57:BT57" ca="1" si="60">SUM(J55:J56)</f>
        <v>0</v>
      </c>
      <c r="K57" s="291">
        <f t="shared" ca="1" si="60"/>
        <v>0</v>
      </c>
      <c r="L57" s="291">
        <f t="shared" ca="1" si="60"/>
        <v>0</v>
      </c>
      <c r="M57" s="291">
        <f t="shared" ca="1" si="60"/>
        <v>0</v>
      </c>
      <c r="N57" s="291">
        <f t="shared" ca="1" si="60"/>
        <v>0</v>
      </c>
      <c r="O57" s="291">
        <f t="shared" ca="1" si="60"/>
        <v>0</v>
      </c>
      <c r="P57" s="291">
        <f t="shared" ca="1" si="60"/>
        <v>0</v>
      </c>
      <c r="Q57" s="291">
        <f t="shared" ca="1" si="60"/>
        <v>0</v>
      </c>
      <c r="R57" s="291">
        <f t="shared" ca="1" si="60"/>
        <v>0</v>
      </c>
      <c r="S57" s="291">
        <f t="shared" ca="1" si="60"/>
        <v>0</v>
      </c>
      <c r="T57" s="291">
        <f t="shared" ca="1" si="60"/>
        <v>0</v>
      </c>
      <c r="U57" s="291">
        <f t="shared" ca="1" si="60"/>
        <v>6240.1739668821674</v>
      </c>
      <c r="V57" s="291">
        <f t="shared" ca="1" si="60"/>
        <v>6240.1739668821674</v>
      </c>
      <c r="W57" s="291">
        <f t="shared" ca="1" si="60"/>
        <v>6240.1739668821674</v>
      </c>
      <c r="X57" s="291">
        <f t="shared" ca="1" si="60"/>
        <v>6240.1739668821674</v>
      </c>
      <c r="Y57" s="291">
        <f t="shared" ca="1" si="60"/>
        <v>6240.1739668821674</v>
      </c>
      <c r="Z57" s="291">
        <f t="shared" ca="1" si="60"/>
        <v>6240.1739668821674</v>
      </c>
      <c r="AA57" s="291">
        <f t="shared" ca="1" si="60"/>
        <v>6240.1739668821674</v>
      </c>
      <c r="AB57" s="291">
        <f t="shared" ca="1" si="60"/>
        <v>6240.1739668821674</v>
      </c>
      <c r="AC57" s="291">
        <f t="shared" ca="1" si="60"/>
        <v>6240.1739668821674</v>
      </c>
      <c r="AD57" s="291">
        <f t="shared" ca="1" si="60"/>
        <v>6240.1739668821674</v>
      </c>
      <c r="AE57" s="291">
        <f t="shared" ca="1" si="60"/>
        <v>6240.1739668821674</v>
      </c>
      <c r="AF57" s="291">
        <f t="shared" ca="1" si="60"/>
        <v>6240.1739668821674</v>
      </c>
      <c r="AG57" s="291">
        <f t="shared" ca="1" si="60"/>
        <v>9360.2609503232488</v>
      </c>
      <c r="AH57" s="291">
        <f t="shared" ca="1" si="60"/>
        <v>9360.2609503232488</v>
      </c>
      <c r="AI57" s="291">
        <f t="shared" ca="1" si="60"/>
        <v>9360.2609503232488</v>
      </c>
      <c r="AJ57" s="291">
        <f t="shared" ca="1" si="60"/>
        <v>9360.2609503232488</v>
      </c>
      <c r="AK57" s="291">
        <f t="shared" ca="1" si="60"/>
        <v>9360.2609503232488</v>
      </c>
      <c r="AL57" s="291">
        <f t="shared" ca="1" si="60"/>
        <v>9360.2609503232488</v>
      </c>
      <c r="AM57" s="291">
        <f t="shared" ca="1" si="60"/>
        <v>9360.2609503232488</v>
      </c>
      <c r="AN57" s="291">
        <f t="shared" ca="1" si="60"/>
        <v>9360.2609503232488</v>
      </c>
      <c r="AO57" s="291">
        <f t="shared" ca="1" si="60"/>
        <v>9360.2609503232488</v>
      </c>
      <c r="AP57" s="291">
        <f t="shared" ca="1" si="60"/>
        <v>9360.2609503232488</v>
      </c>
      <c r="AQ57" s="291">
        <f t="shared" ca="1" si="60"/>
        <v>946854.42086932901</v>
      </c>
      <c r="AR57" s="291">
        <f t="shared" ca="1" si="60"/>
        <v>3464.071265298056</v>
      </c>
      <c r="AS57" s="291">
        <f t="shared" ca="1" si="60"/>
        <v>5542.5140244768891</v>
      </c>
      <c r="AT57" s="291">
        <f t="shared" ca="1" si="60"/>
        <v>5542.5140244768891</v>
      </c>
      <c r="AU57" s="291">
        <f t="shared" ca="1" si="60"/>
        <v>5542.5140244768891</v>
      </c>
      <c r="AV57" s="291">
        <f t="shared" ca="1" si="60"/>
        <v>5542.5140244768891</v>
      </c>
      <c r="AW57" s="291">
        <f t="shared" ca="1" si="60"/>
        <v>5542.5140244768891</v>
      </c>
      <c r="AX57" s="291">
        <f t="shared" ca="1" si="60"/>
        <v>5542.5140244768891</v>
      </c>
      <c r="AY57" s="291">
        <f t="shared" ca="1" si="60"/>
        <v>5542.5140244768891</v>
      </c>
      <c r="AZ57" s="291">
        <f t="shared" ca="1" si="60"/>
        <v>5542.5140244768891</v>
      </c>
      <c r="BA57" s="291">
        <f t="shared" ca="1" si="60"/>
        <v>5542.5140244768891</v>
      </c>
      <c r="BB57" s="291">
        <f t="shared" ca="1" si="60"/>
        <v>5542.5140244768891</v>
      </c>
      <c r="BC57" s="291">
        <f t="shared" ca="1" si="60"/>
        <v>5542.5140244768891</v>
      </c>
      <c r="BD57" s="291">
        <f t="shared" ca="1" si="60"/>
        <v>5542.5140244768891</v>
      </c>
      <c r="BE57" s="291">
        <f t="shared" ca="1" si="60"/>
        <v>6004.3901931832979</v>
      </c>
      <c r="BF57" s="291">
        <f t="shared" ca="1" si="60"/>
        <v>6004.3901931832979</v>
      </c>
      <c r="BG57" s="291">
        <f t="shared" ca="1" si="60"/>
        <v>6004.3901931832979</v>
      </c>
      <c r="BH57" s="291">
        <f t="shared" ca="1" si="60"/>
        <v>6004.3901931832979</v>
      </c>
      <c r="BI57" s="291">
        <f t="shared" ca="1" si="60"/>
        <v>6004.3901931832979</v>
      </c>
      <c r="BJ57" s="291">
        <f t="shared" ca="1" si="60"/>
        <v>6004.3901931832979</v>
      </c>
      <c r="BK57" s="291">
        <f t="shared" ca="1" si="60"/>
        <v>6004.3901931832979</v>
      </c>
      <c r="BL57" s="291">
        <f t="shared" ca="1" si="60"/>
        <v>6004.3901931832979</v>
      </c>
      <c r="BM57" s="291">
        <f t="shared" ca="1" si="60"/>
        <v>6004.3901931832979</v>
      </c>
      <c r="BN57" s="291">
        <f t="shared" ca="1" si="60"/>
        <v>6004.3901931832979</v>
      </c>
      <c r="BO57" s="291">
        <f t="shared" ca="1" si="60"/>
        <v>6004.3901931832979</v>
      </c>
      <c r="BP57" s="291">
        <f t="shared" ca="1" si="60"/>
        <v>6004.3901931832979</v>
      </c>
      <c r="BQ57" s="291">
        <f t="shared" ca="1" si="60"/>
        <v>6466.2663618897059</v>
      </c>
      <c r="BR57" s="291">
        <f t="shared" ca="1" si="60"/>
        <v>6466.2663618897059</v>
      </c>
      <c r="BS57" s="291">
        <f t="shared" ca="1" si="60"/>
        <v>6466.2663618897059</v>
      </c>
      <c r="BT57" s="291">
        <f t="shared" ca="1" si="60"/>
        <v>6466.2663618897059</v>
      </c>
      <c r="BU57" s="291">
        <f t="shared" ref="BU57:CN57" ca="1" si="61">SUM(BU55:BU56)</f>
        <v>6466.2663618897059</v>
      </c>
      <c r="BV57" s="291">
        <f t="shared" ca="1" si="61"/>
        <v>6466.2663618897059</v>
      </c>
      <c r="BW57" s="291">
        <f t="shared" ca="1" si="61"/>
        <v>6466.2663618897059</v>
      </c>
      <c r="BX57" s="291">
        <f t="shared" ca="1" si="61"/>
        <v>6466.2663618897059</v>
      </c>
      <c r="BY57" s="291">
        <f t="shared" ca="1" si="61"/>
        <v>6466.2663618897059</v>
      </c>
      <c r="BZ57" s="291">
        <f t="shared" ca="1" si="61"/>
        <v>6466.2663618897059</v>
      </c>
      <c r="CA57" s="291">
        <f t="shared" ca="1" si="61"/>
        <v>6466.2663618897059</v>
      </c>
      <c r="CB57" s="291">
        <f t="shared" ca="1" si="61"/>
        <v>6466.2663618897059</v>
      </c>
      <c r="CC57" s="291">
        <f t="shared" ca="1" si="61"/>
        <v>6928.142530596112</v>
      </c>
      <c r="CD57" s="291">
        <f t="shared" ca="1" si="61"/>
        <v>6928.142530596112</v>
      </c>
      <c r="CE57" s="291">
        <f t="shared" ca="1" si="61"/>
        <v>6928.142530596112</v>
      </c>
      <c r="CF57" s="291">
        <f t="shared" ca="1" si="61"/>
        <v>6928.142530596112</v>
      </c>
      <c r="CG57" s="291">
        <f t="shared" ca="1" si="61"/>
        <v>6928.142530596112</v>
      </c>
      <c r="CH57" s="291">
        <f t="shared" ca="1" si="61"/>
        <v>6928.142530596112</v>
      </c>
      <c r="CI57" s="291">
        <f t="shared" ca="1" si="61"/>
        <v>6928.142530596112</v>
      </c>
      <c r="CJ57" s="291">
        <f t="shared" ca="1" si="61"/>
        <v>6928.142530596112</v>
      </c>
      <c r="CK57" s="291">
        <f t="shared" ca="1" si="61"/>
        <v>6928.142530596112</v>
      </c>
      <c r="CL57" s="291">
        <f t="shared" ca="1" si="61"/>
        <v>6928.142530596112</v>
      </c>
      <c r="CM57" s="291">
        <f t="shared" ca="1" si="61"/>
        <v>1560386.2182133601</v>
      </c>
      <c r="CN57" s="291">
        <f t="shared" si="61"/>
        <v>0</v>
      </c>
    </row>
    <row r="58" spans="1:92" ht="18">
      <c r="A58" s="204"/>
      <c r="B58" s="288" t="s">
        <v>20</v>
      </c>
      <c r="C58" s="292">
        <f ca="1">XIRR(H57:CN57,H10:CN10)</f>
        <v>0.15240297913551332</v>
      </c>
      <c r="D58" s="257"/>
      <c r="E58" s="244"/>
      <c r="F58" s="244"/>
      <c r="G58" s="244"/>
      <c r="H58" s="222"/>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7"/>
      <c r="BI58" s="207"/>
      <c r="BJ58" s="207"/>
      <c r="BK58" s="207"/>
      <c r="BL58" s="207"/>
      <c r="BM58" s="207"/>
      <c r="BN58" s="207"/>
      <c r="BO58" s="207"/>
      <c r="BP58" s="207"/>
      <c r="BQ58" s="207"/>
      <c r="BR58" s="207"/>
      <c r="BS58" s="207"/>
      <c r="BT58" s="207"/>
      <c r="BU58" s="207"/>
      <c r="BV58" s="207"/>
      <c r="BW58" s="207"/>
      <c r="BX58" s="207"/>
      <c r="BY58" s="207"/>
      <c r="BZ58" s="207"/>
      <c r="CA58" s="207"/>
      <c r="CB58" s="207"/>
      <c r="CC58" s="207"/>
      <c r="CD58" s="207"/>
      <c r="CE58" s="207"/>
      <c r="CF58" s="207"/>
      <c r="CG58" s="207"/>
      <c r="CH58" s="207"/>
      <c r="CI58" s="207"/>
      <c r="CJ58" s="207"/>
      <c r="CK58" s="207"/>
      <c r="CL58" s="207"/>
      <c r="CM58" s="207"/>
      <c r="CN58" s="207"/>
    </row>
    <row r="59" spans="1:92" ht="18">
      <c r="A59" s="204"/>
      <c r="B59" s="293" t="s">
        <v>176</v>
      </c>
      <c r="C59" s="294">
        <f ca="1">C57/-C55+1</f>
        <v>1.9795314037238343</v>
      </c>
      <c r="D59" s="295"/>
      <c r="E59" s="296"/>
      <c r="F59" s="296"/>
      <c r="G59" s="296"/>
      <c r="H59" s="205"/>
      <c r="I59" s="207"/>
      <c r="J59" s="207"/>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7"/>
      <c r="AH59" s="207"/>
      <c r="AI59" s="207"/>
      <c r="AJ59" s="207"/>
      <c r="AK59" s="207"/>
      <c r="AL59" s="207"/>
      <c r="AM59" s="207"/>
      <c r="AN59" s="207"/>
      <c r="AO59" s="207"/>
      <c r="AP59" s="207"/>
      <c r="AQ59" s="207"/>
      <c r="AR59" s="207"/>
      <c r="AS59" s="207"/>
      <c r="AT59" s="207"/>
      <c r="AU59" s="207"/>
      <c r="AV59" s="207"/>
      <c r="AW59" s="207"/>
      <c r="AX59" s="207"/>
      <c r="AY59" s="207"/>
      <c r="AZ59" s="207"/>
      <c r="BA59" s="207"/>
      <c r="BB59" s="207"/>
      <c r="BC59" s="207"/>
      <c r="BD59" s="207"/>
      <c r="BE59" s="207"/>
      <c r="BF59" s="207"/>
      <c r="BG59" s="207"/>
      <c r="BH59" s="207"/>
      <c r="BI59" s="207"/>
      <c r="BJ59" s="207"/>
      <c r="BK59" s="207"/>
      <c r="BL59" s="207"/>
      <c r="BM59" s="207"/>
      <c r="BN59" s="207"/>
      <c r="BO59" s="207"/>
      <c r="BP59" s="207"/>
      <c r="BQ59" s="207"/>
      <c r="BR59" s="207"/>
      <c r="BS59" s="207"/>
      <c r="BT59" s="207"/>
      <c r="BU59" s="207"/>
      <c r="BV59" s="207"/>
      <c r="BW59" s="207"/>
      <c r="BX59" s="207"/>
      <c r="BY59" s="207"/>
      <c r="BZ59" s="207"/>
      <c r="CA59" s="207"/>
      <c r="CB59" s="207"/>
      <c r="CC59" s="207"/>
      <c r="CD59" s="207"/>
      <c r="CE59" s="207"/>
      <c r="CF59" s="207"/>
      <c r="CG59" s="207"/>
      <c r="CH59" s="207"/>
      <c r="CI59" s="207"/>
      <c r="CJ59" s="207"/>
      <c r="CK59" s="207"/>
      <c r="CL59" s="207"/>
      <c r="CM59" s="207"/>
      <c r="CN59" s="207"/>
    </row>
    <row r="60" spans="1:92" ht="18">
      <c r="A60" s="204"/>
      <c r="B60" s="207"/>
      <c r="C60" s="297"/>
      <c r="D60" s="295"/>
      <c r="E60" s="296"/>
      <c r="F60" s="296"/>
      <c r="G60" s="296"/>
      <c r="H60" s="222"/>
      <c r="I60" s="207"/>
      <c r="J60" s="207"/>
      <c r="K60" s="207"/>
      <c r="L60" s="207"/>
      <c r="M60" s="207"/>
      <c r="N60" s="207"/>
      <c r="O60" s="207"/>
      <c r="P60" s="207"/>
      <c r="Q60" s="207"/>
      <c r="R60" s="207"/>
      <c r="S60" s="207"/>
      <c r="T60" s="207"/>
      <c r="U60" s="207"/>
      <c r="V60" s="207"/>
      <c r="W60" s="207"/>
      <c r="X60" s="207"/>
      <c r="Y60" s="207"/>
      <c r="Z60" s="207"/>
      <c r="AA60" s="207"/>
      <c r="AB60" s="207"/>
      <c r="AC60" s="207"/>
      <c r="AD60" s="207"/>
      <c r="AE60" s="207"/>
      <c r="AF60" s="207"/>
      <c r="AG60" s="207"/>
      <c r="AH60" s="207"/>
      <c r="AI60" s="207"/>
      <c r="AJ60" s="207"/>
      <c r="AK60" s="207"/>
      <c r="AL60" s="207"/>
      <c r="AM60" s="207"/>
      <c r="AN60" s="207"/>
      <c r="AO60" s="207"/>
      <c r="AP60" s="207"/>
      <c r="AQ60" s="207"/>
      <c r="AR60" s="207"/>
      <c r="AS60" s="207"/>
      <c r="AT60" s="207"/>
      <c r="AU60" s="207"/>
      <c r="AV60" s="207"/>
      <c r="AW60" s="207"/>
      <c r="AX60" s="207"/>
      <c r="AY60" s="207"/>
      <c r="AZ60" s="207"/>
      <c r="BA60" s="207"/>
      <c r="BB60" s="207"/>
      <c r="BC60" s="207"/>
      <c r="BD60" s="207"/>
      <c r="BE60" s="207"/>
      <c r="BF60" s="207"/>
      <c r="BG60" s="207"/>
      <c r="BH60" s="207"/>
      <c r="BI60" s="207"/>
      <c r="BJ60" s="207"/>
      <c r="BK60" s="207"/>
      <c r="BL60" s="207"/>
      <c r="BM60" s="207"/>
      <c r="BN60" s="207"/>
      <c r="BO60" s="207"/>
      <c r="BP60" s="207"/>
      <c r="BQ60" s="207"/>
      <c r="BR60" s="207"/>
      <c r="BS60" s="207"/>
      <c r="BT60" s="207"/>
      <c r="BU60" s="207"/>
      <c r="BV60" s="207"/>
      <c r="BW60" s="207"/>
      <c r="BX60" s="207"/>
      <c r="BY60" s="207"/>
      <c r="BZ60" s="207"/>
      <c r="CA60" s="207"/>
      <c r="CB60" s="207"/>
      <c r="CC60" s="207"/>
      <c r="CD60" s="207"/>
      <c r="CE60" s="207"/>
      <c r="CF60" s="207"/>
      <c r="CG60" s="207"/>
      <c r="CH60" s="207"/>
      <c r="CI60" s="207"/>
      <c r="CJ60" s="207"/>
      <c r="CK60" s="207"/>
      <c r="CL60" s="207"/>
      <c r="CM60" s="207"/>
      <c r="CN60" s="207"/>
    </row>
    <row r="61" spans="1:92" ht="18">
      <c r="A61" s="204"/>
      <c r="B61" s="298" t="s">
        <v>177</v>
      </c>
      <c r="C61" s="297"/>
      <c r="D61" s="299"/>
      <c r="E61" s="300"/>
      <c r="F61" s="300"/>
      <c r="G61" s="300"/>
      <c r="H61" s="222"/>
      <c r="I61" s="207"/>
      <c r="J61" s="207"/>
      <c r="K61" s="207"/>
      <c r="L61" s="207"/>
      <c r="M61" s="207"/>
      <c r="N61" s="207"/>
      <c r="O61" s="207"/>
      <c r="P61" s="207"/>
      <c r="Q61" s="207"/>
      <c r="R61" s="207"/>
      <c r="S61" s="207"/>
      <c r="T61" s="207"/>
      <c r="U61" s="207"/>
      <c r="V61" s="207"/>
      <c r="W61" s="207"/>
      <c r="X61" s="207"/>
      <c r="Y61" s="207"/>
      <c r="Z61" s="207"/>
      <c r="AA61" s="207"/>
      <c r="AB61" s="207"/>
      <c r="AC61" s="207"/>
      <c r="AD61" s="207"/>
      <c r="AE61" s="207"/>
      <c r="AF61" s="207"/>
      <c r="AG61" s="207"/>
      <c r="AH61" s="207"/>
      <c r="AI61" s="207"/>
      <c r="AJ61" s="207"/>
      <c r="AK61" s="207"/>
      <c r="AL61" s="207"/>
      <c r="AM61" s="207"/>
      <c r="AN61" s="207"/>
      <c r="AO61" s="207"/>
      <c r="AP61" s="207"/>
      <c r="AQ61" s="207"/>
      <c r="AR61" s="207"/>
      <c r="AS61" s="207"/>
      <c r="AT61" s="207"/>
      <c r="AU61" s="207"/>
      <c r="AV61" s="207"/>
      <c r="AW61" s="207"/>
      <c r="AX61" s="207"/>
      <c r="AY61" s="207"/>
      <c r="AZ61" s="207"/>
      <c r="BA61" s="207"/>
      <c r="BB61" s="207"/>
      <c r="BC61" s="207"/>
      <c r="BD61" s="207"/>
      <c r="BE61" s="207"/>
      <c r="BF61" s="207"/>
      <c r="BG61" s="207"/>
      <c r="BH61" s="207"/>
      <c r="BI61" s="207"/>
      <c r="BJ61" s="207"/>
      <c r="BK61" s="207"/>
      <c r="BL61" s="207"/>
      <c r="BM61" s="207"/>
      <c r="BN61" s="207"/>
      <c r="BO61" s="207"/>
      <c r="BP61" s="207"/>
      <c r="BQ61" s="207"/>
      <c r="BR61" s="207"/>
      <c r="BS61" s="207"/>
      <c r="BT61" s="207"/>
      <c r="BU61" s="207"/>
      <c r="BV61" s="207"/>
      <c r="BW61" s="207"/>
      <c r="BX61" s="207"/>
      <c r="BY61" s="207"/>
      <c r="BZ61" s="207"/>
      <c r="CA61" s="207"/>
      <c r="CB61" s="207"/>
      <c r="CC61" s="207"/>
      <c r="CD61" s="207"/>
      <c r="CE61" s="207"/>
      <c r="CF61" s="207"/>
      <c r="CG61" s="207"/>
      <c r="CH61" s="207"/>
      <c r="CI61" s="207"/>
      <c r="CJ61" s="207"/>
      <c r="CK61" s="207"/>
      <c r="CL61" s="207"/>
      <c r="CM61" s="207"/>
      <c r="CN61" s="207"/>
    </row>
    <row r="62" spans="1:92" ht="18">
      <c r="A62" s="204"/>
      <c r="B62" s="286" t="s">
        <v>178</v>
      </c>
      <c r="C62" s="287">
        <f ca="1">SUM(H62:CN62)</f>
        <v>-1422759.6644491339</v>
      </c>
      <c r="D62" s="205"/>
      <c r="E62" s="222"/>
      <c r="F62" s="222"/>
      <c r="G62" s="222"/>
      <c r="H62" s="272">
        <f ca="1">H17</f>
        <v>-1422759.6644491339</v>
      </c>
      <c r="I62" s="272">
        <f>I17</f>
        <v>0</v>
      </c>
      <c r="J62" s="272">
        <f t="shared" ref="J62:BU62" si="62">J17</f>
        <v>0</v>
      </c>
      <c r="K62" s="272">
        <f t="shared" si="62"/>
        <v>0</v>
      </c>
      <c r="L62" s="272">
        <f t="shared" si="62"/>
        <v>0</v>
      </c>
      <c r="M62" s="272">
        <f t="shared" si="62"/>
        <v>0</v>
      </c>
      <c r="N62" s="272">
        <f t="shared" si="62"/>
        <v>0</v>
      </c>
      <c r="O62" s="272">
        <f t="shared" si="62"/>
        <v>0</v>
      </c>
      <c r="P62" s="272">
        <f t="shared" si="62"/>
        <v>0</v>
      </c>
      <c r="Q62" s="272">
        <f t="shared" si="62"/>
        <v>0</v>
      </c>
      <c r="R62" s="272">
        <f t="shared" si="62"/>
        <v>0</v>
      </c>
      <c r="S62" s="272">
        <f t="shared" si="62"/>
        <v>0</v>
      </c>
      <c r="T62" s="272">
        <f t="shared" si="62"/>
        <v>0</v>
      </c>
      <c r="U62" s="272">
        <f t="shared" si="62"/>
        <v>0</v>
      </c>
      <c r="V62" s="272">
        <f t="shared" si="62"/>
        <v>0</v>
      </c>
      <c r="W62" s="272">
        <f t="shared" si="62"/>
        <v>0</v>
      </c>
      <c r="X62" s="272">
        <f t="shared" si="62"/>
        <v>0</v>
      </c>
      <c r="Y62" s="272">
        <f t="shared" si="62"/>
        <v>0</v>
      </c>
      <c r="Z62" s="272">
        <f t="shared" si="62"/>
        <v>0</v>
      </c>
      <c r="AA62" s="272">
        <f t="shared" si="62"/>
        <v>0</v>
      </c>
      <c r="AB62" s="272">
        <f t="shared" si="62"/>
        <v>0</v>
      </c>
      <c r="AC62" s="272">
        <f t="shared" si="62"/>
        <v>0</v>
      </c>
      <c r="AD62" s="272">
        <f t="shared" si="62"/>
        <v>0</v>
      </c>
      <c r="AE62" s="272">
        <f t="shared" si="62"/>
        <v>0</v>
      </c>
      <c r="AF62" s="272">
        <f t="shared" si="62"/>
        <v>0</v>
      </c>
      <c r="AG62" s="272">
        <f t="shared" si="62"/>
        <v>0</v>
      </c>
      <c r="AH62" s="272">
        <f t="shared" si="62"/>
        <v>0</v>
      </c>
      <c r="AI62" s="272">
        <f t="shared" si="62"/>
        <v>0</v>
      </c>
      <c r="AJ62" s="272">
        <f t="shared" si="62"/>
        <v>0</v>
      </c>
      <c r="AK62" s="272">
        <f t="shared" si="62"/>
        <v>0</v>
      </c>
      <c r="AL62" s="272">
        <f t="shared" si="62"/>
        <v>0</v>
      </c>
      <c r="AM62" s="272">
        <f t="shared" si="62"/>
        <v>0</v>
      </c>
      <c r="AN62" s="272">
        <f t="shared" si="62"/>
        <v>0</v>
      </c>
      <c r="AO62" s="272">
        <f t="shared" si="62"/>
        <v>0</v>
      </c>
      <c r="AP62" s="272">
        <f t="shared" si="62"/>
        <v>0</v>
      </c>
      <c r="AQ62" s="272">
        <f t="shared" si="62"/>
        <v>0</v>
      </c>
      <c r="AR62" s="272">
        <f t="shared" si="62"/>
        <v>0</v>
      </c>
      <c r="AS62" s="272">
        <f t="shared" si="62"/>
        <v>0</v>
      </c>
      <c r="AT62" s="272">
        <f t="shared" si="62"/>
        <v>0</v>
      </c>
      <c r="AU62" s="272">
        <f t="shared" si="62"/>
        <v>0</v>
      </c>
      <c r="AV62" s="272">
        <f t="shared" si="62"/>
        <v>0</v>
      </c>
      <c r="AW62" s="272">
        <f t="shared" si="62"/>
        <v>0</v>
      </c>
      <c r="AX62" s="272">
        <f t="shared" si="62"/>
        <v>0</v>
      </c>
      <c r="AY62" s="272">
        <f t="shared" si="62"/>
        <v>0</v>
      </c>
      <c r="AZ62" s="272">
        <f t="shared" si="62"/>
        <v>0</v>
      </c>
      <c r="BA62" s="272">
        <f t="shared" si="62"/>
        <v>0</v>
      </c>
      <c r="BB62" s="272">
        <f t="shared" si="62"/>
        <v>0</v>
      </c>
      <c r="BC62" s="272">
        <f t="shared" si="62"/>
        <v>0</v>
      </c>
      <c r="BD62" s="272">
        <f t="shared" si="62"/>
        <v>0</v>
      </c>
      <c r="BE62" s="272">
        <f t="shared" si="62"/>
        <v>0</v>
      </c>
      <c r="BF62" s="272">
        <f t="shared" si="62"/>
        <v>0</v>
      </c>
      <c r="BG62" s="272">
        <f t="shared" si="62"/>
        <v>0</v>
      </c>
      <c r="BH62" s="272">
        <f t="shared" si="62"/>
        <v>0</v>
      </c>
      <c r="BI62" s="272">
        <f t="shared" si="62"/>
        <v>0</v>
      </c>
      <c r="BJ62" s="272">
        <f t="shared" si="62"/>
        <v>0</v>
      </c>
      <c r="BK62" s="272">
        <f t="shared" si="62"/>
        <v>0</v>
      </c>
      <c r="BL62" s="272">
        <f t="shared" si="62"/>
        <v>0</v>
      </c>
      <c r="BM62" s="272">
        <f t="shared" si="62"/>
        <v>0</v>
      </c>
      <c r="BN62" s="272">
        <f t="shared" si="62"/>
        <v>0</v>
      </c>
      <c r="BO62" s="272">
        <f t="shared" si="62"/>
        <v>0</v>
      </c>
      <c r="BP62" s="272">
        <f t="shared" si="62"/>
        <v>0</v>
      </c>
      <c r="BQ62" s="272">
        <f t="shared" si="62"/>
        <v>0</v>
      </c>
      <c r="BR62" s="272">
        <f t="shared" si="62"/>
        <v>0</v>
      </c>
      <c r="BS62" s="272">
        <f t="shared" si="62"/>
        <v>0</v>
      </c>
      <c r="BT62" s="272">
        <f t="shared" si="62"/>
        <v>0</v>
      </c>
      <c r="BU62" s="272">
        <f t="shared" si="62"/>
        <v>0</v>
      </c>
      <c r="BV62" s="272">
        <f t="shared" ref="BV62:CN62" si="63">BV17</f>
        <v>0</v>
      </c>
      <c r="BW62" s="272">
        <f t="shared" si="63"/>
        <v>0</v>
      </c>
      <c r="BX62" s="272">
        <f t="shared" si="63"/>
        <v>0</v>
      </c>
      <c r="BY62" s="272">
        <f t="shared" si="63"/>
        <v>0</v>
      </c>
      <c r="BZ62" s="272">
        <f t="shared" si="63"/>
        <v>0</v>
      </c>
      <c r="CA62" s="272">
        <f t="shared" si="63"/>
        <v>0</v>
      </c>
      <c r="CB62" s="272">
        <f t="shared" si="63"/>
        <v>0</v>
      </c>
      <c r="CC62" s="272">
        <f t="shared" si="63"/>
        <v>0</v>
      </c>
      <c r="CD62" s="272">
        <f t="shared" si="63"/>
        <v>0</v>
      </c>
      <c r="CE62" s="272">
        <f t="shared" si="63"/>
        <v>0</v>
      </c>
      <c r="CF62" s="272">
        <f t="shared" si="63"/>
        <v>0</v>
      </c>
      <c r="CG62" s="272">
        <f t="shared" si="63"/>
        <v>0</v>
      </c>
      <c r="CH62" s="272">
        <f t="shared" si="63"/>
        <v>0</v>
      </c>
      <c r="CI62" s="272">
        <f t="shared" si="63"/>
        <v>0</v>
      </c>
      <c r="CJ62" s="272">
        <f t="shared" si="63"/>
        <v>0</v>
      </c>
      <c r="CK62" s="272">
        <f t="shared" si="63"/>
        <v>0</v>
      </c>
      <c r="CL62" s="272">
        <f t="shared" si="63"/>
        <v>0</v>
      </c>
      <c r="CM62" s="272">
        <f t="shared" si="63"/>
        <v>0</v>
      </c>
      <c r="CN62" s="272">
        <f t="shared" si="63"/>
        <v>0</v>
      </c>
    </row>
    <row r="63" spans="1:92" ht="18">
      <c r="A63" s="204"/>
      <c r="B63" s="288" t="s">
        <v>174</v>
      </c>
      <c r="C63" s="289">
        <f ca="1">SUM(H63:CN63)</f>
        <v>2544040.8778636204</v>
      </c>
      <c r="D63" s="205"/>
      <c r="E63" s="222"/>
      <c r="F63" s="222"/>
      <c r="G63" s="222"/>
      <c r="H63" s="248">
        <f ca="1">-H23-H37+H47</f>
        <v>0</v>
      </c>
      <c r="I63" s="248">
        <f ca="1">-I23-I37+I47</f>
        <v>0</v>
      </c>
      <c r="J63" s="248">
        <f t="shared" ref="J63:BU63" ca="1" si="64">-J23-J37+J47</f>
        <v>0</v>
      </c>
      <c r="K63" s="248">
        <f t="shared" ca="1" si="64"/>
        <v>0</v>
      </c>
      <c r="L63" s="248">
        <f t="shared" ca="1" si="64"/>
        <v>0</v>
      </c>
      <c r="M63" s="248">
        <f t="shared" ca="1" si="64"/>
        <v>0</v>
      </c>
      <c r="N63" s="248">
        <f t="shared" ca="1" si="64"/>
        <v>0</v>
      </c>
      <c r="O63" s="248">
        <f t="shared" ca="1" si="64"/>
        <v>0</v>
      </c>
      <c r="P63" s="248">
        <f t="shared" ca="1" si="64"/>
        <v>0</v>
      </c>
      <c r="Q63" s="248">
        <f t="shared" ca="1" si="64"/>
        <v>0</v>
      </c>
      <c r="R63" s="248">
        <f t="shared" ca="1" si="64"/>
        <v>0</v>
      </c>
      <c r="S63" s="248">
        <f t="shared" ca="1" si="64"/>
        <v>0</v>
      </c>
      <c r="T63" s="248">
        <f t="shared" ca="1" si="64"/>
        <v>0</v>
      </c>
      <c r="U63" s="248">
        <f t="shared" ca="1" si="64"/>
        <v>5928.1652685380586</v>
      </c>
      <c r="V63" s="248">
        <f t="shared" ca="1" si="64"/>
        <v>5928.1652685380586</v>
      </c>
      <c r="W63" s="248">
        <f t="shared" ca="1" si="64"/>
        <v>5928.1652685380586</v>
      </c>
      <c r="X63" s="248">
        <f t="shared" ca="1" si="64"/>
        <v>5928.1652685380586</v>
      </c>
      <c r="Y63" s="248">
        <f t="shared" ca="1" si="64"/>
        <v>5928.1652685380586</v>
      </c>
      <c r="Z63" s="248">
        <f t="shared" ca="1" si="64"/>
        <v>5928.1652685380586</v>
      </c>
      <c r="AA63" s="248">
        <f t="shared" ca="1" si="64"/>
        <v>5928.1652685380586</v>
      </c>
      <c r="AB63" s="248">
        <f t="shared" ca="1" si="64"/>
        <v>5928.1652685380586</v>
      </c>
      <c r="AC63" s="248">
        <f t="shared" ca="1" si="64"/>
        <v>5928.1652685380586</v>
      </c>
      <c r="AD63" s="248">
        <f t="shared" ca="1" si="64"/>
        <v>5928.1652685380586</v>
      </c>
      <c r="AE63" s="248">
        <f t="shared" ca="1" si="64"/>
        <v>5928.1652685380586</v>
      </c>
      <c r="AF63" s="248">
        <f t="shared" ca="1" si="64"/>
        <v>5928.1652685380586</v>
      </c>
      <c r="AG63" s="248">
        <f t="shared" ca="1" si="64"/>
        <v>8892.2479028070866</v>
      </c>
      <c r="AH63" s="248">
        <f t="shared" ca="1" si="64"/>
        <v>8892.2479028070866</v>
      </c>
      <c r="AI63" s="248">
        <f t="shared" ca="1" si="64"/>
        <v>8892.2479028070866</v>
      </c>
      <c r="AJ63" s="248">
        <f t="shared" ca="1" si="64"/>
        <v>8892.2479028070866</v>
      </c>
      <c r="AK63" s="248">
        <f t="shared" ca="1" si="64"/>
        <v>8892.2479028070866</v>
      </c>
      <c r="AL63" s="248">
        <f t="shared" ca="1" si="64"/>
        <v>8892.2479028070866</v>
      </c>
      <c r="AM63" s="248">
        <f t="shared" ca="1" si="64"/>
        <v>8892.2479028070866</v>
      </c>
      <c r="AN63" s="248">
        <f t="shared" ca="1" si="64"/>
        <v>8892.2479028070866</v>
      </c>
      <c r="AO63" s="248">
        <f t="shared" ca="1" si="64"/>
        <v>8892.2479028070866</v>
      </c>
      <c r="AP63" s="248">
        <f t="shared" ca="1" si="64"/>
        <v>8892.2479028070866</v>
      </c>
      <c r="AQ63" s="248">
        <f t="shared" ca="1" si="64"/>
        <v>899511.69982586254</v>
      </c>
      <c r="AR63" s="248">
        <f t="shared" ca="1" si="64"/>
        <v>3290.8677020331534</v>
      </c>
      <c r="AS63" s="248">
        <f t="shared" ca="1" si="64"/>
        <v>5265.3883232530443</v>
      </c>
      <c r="AT63" s="248">
        <f t="shared" ca="1" si="64"/>
        <v>5265.3883232530443</v>
      </c>
      <c r="AU63" s="248">
        <f t="shared" ca="1" si="64"/>
        <v>5265.3883232530443</v>
      </c>
      <c r="AV63" s="248">
        <f t="shared" ca="1" si="64"/>
        <v>5265.3883232530443</v>
      </c>
      <c r="AW63" s="248">
        <f t="shared" ca="1" si="64"/>
        <v>5265.3883232530443</v>
      </c>
      <c r="AX63" s="248">
        <f t="shared" ca="1" si="64"/>
        <v>5265.3883232530443</v>
      </c>
      <c r="AY63" s="248">
        <f t="shared" ca="1" si="64"/>
        <v>5265.3883232530443</v>
      </c>
      <c r="AZ63" s="248">
        <f t="shared" ca="1" si="64"/>
        <v>5265.3883232530443</v>
      </c>
      <c r="BA63" s="248">
        <f t="shared" ca="1" si="64"/>
        <v>5265.3883232530443</v>
      </c>
      <c r="BB63" s="248">
        <f t="shared" ca="1" si="64"/>
        <v>5265.3883232530443</v>
      </c>
      <c r="BC63" s="248">
        <f t="shared" ca="1" si="64"/>
        <v>5265.3883232530443</v>
      </c>
      <c r="BD63" s="248">
        <f t="shared" ca="1" si="64"/>
        <v>5265.3883232530443</v>
      </c>
      <c r="BE63" s="248">
        <f t="shared" ca="1" si="64"/>
        <v>5704.170683524133</v>
      </c>
      <c r="BF63" s="248">
        <f t="shared" ca="1" si="64"/>
        <v>5704.170683524133</v>
      </c>
      <c r="BG63" s="248">
        <f t="shared" ca="1" si="64"/>
        <v>5704.170683524133</v>
      </c>
      <c r="BH63" s="248">
        <f t="shared" ca="1" si="64"/>
        <v>5704.170683524133</v>
      </c>
      <c r="BI63" s="248">
        <f t="shared" ca="1" si="64"/>
        <v>5704.170683524133</v>
      </c>
      <c r="BJ63" s="248">
        <f t="shared" ca="1" si="64"/>
        <v>5704.170683524133</v>
      </c>
      <c r="BK63" s="248">
        <f t="shared" ca="1" si="64"/>
        <v>5704.170683524133</v>
      </c>
      <c r="BL63" s="248">
        <f t="shared" ca="1" si="64"/>
        <v>5704.170683524133</v>
      </c>
      <c r="BM63" s="248">
        <f t="shared" ca="1" si="64"/>
        <v>5704.170683524133</v>
      </c>
      <c r="BN63" s="248">
        <f t="shared" ca="1" si="64"/>
        <v>5704.170683524133</v>
      </c>
      <c r="BO63" s="248">
        <f t="shared" ca="1" si="64"/>
        <v>5704.170683524133</v>
      </c>
      <c r="BP63" s="248">
        <f t="shared" ca="1" si="64"/>
        <v>5704.170683524133</v>
      </c>
      <c r="BQ63" s="248">
        <f t="shared" ca="1" si="64"/>
        <v>6142.9530437952208</v>
      </c>
      <c r="BR63" s="248">
        <f t="shared" ca="1" si="64"/>
        <v>6142.9530437952208</v>
      </c>
      <c r="BS63" s="248">
        <f t="shared" ca="1" si="64"/>
        <v>6142.9530437952208</v>
      </c>
      <c r="BT63" s="248">
        <f t="shared" ca="1" si="64"/>
        <v>6142.9530437952208</v>
      </c>
      <c r="BU63" s="248">
        <f t="shared" ca="1" si="64"/>
        <v>6142.9530437952208</v>
      </c>
      <c r="BV63" s="248">
        <f t="shared" ref="BV63:CN63" ca="1" si="65">-BV23-BV37+BV47</f>
        <v>6142.9530437952208</v>
      </c>
      <c r="BW63" s="248">
        <f t="shared" ca="1" si="65"/>
        <v>6142.9530437952208</v>
      </c>
      <c r="BX63" s="248">
        <f t="shared" ca="1" si="65"/>
        <v>6142.9530437952208</v>
      </c>
      <c r="BY63" s="248">
        <f t="shared" ca="1" si="65"/>
        <v>6142.9530437952208</v>
      </c>
      <c r="BZ63" s="248">
        <f t="shared" ca="1" si="65"/>
        <v>6142.9530437952208</v>
      </c>
      <c r="CA63" s="248">
        <f t="shared" ca="1" si="65"/>
        <v>6142.9530437952208</v>
      </c>
      <c r="CB63" s="248">
        <f t="shared" ca="1" si="65"/>
        <v>6142.9530437952208</v>
      </c>
      <c r="CC63" s="248">
        <f t="shared" ca="1" si="65"/>
        <v>6581.7354040663067</v>
      </c>
      <c r="CD63" s="248">
        <f t="shared" ca="1" si="65"/>
        <v>6581.7354040663067</v>
      </c>
      <c r="CE63" s="248">
        <f t="shared" ca="1" si="65"/>
        <v>6581.7354040663067</v>
      </c>
      <c r="CF63" s="248">
        <f t="shared" ca="1" si="65"/>
        <v>6581.7354040663067</v>
      </c>
      <c r="CG63" s="248">
        <f t="shared" ca="1" si="65"/>
        <v>6581.7354040663067</v>
      </c>
      <c r="CH63" s="248">
        <f t="shared" ca="1" si="65"/>
        <v>6581.7354040663067</v>
      </c>
      <c r="CI63" s="248">
        <f t="shared" ca="1" si="65"/>
        <v>6581.7354040663067</v>
      </c>
      <c r="CJ63" s="248">
        <f t="shared" ca="1" si="65"/>
        <v>6581.7354040663067</v>
      </c>
      <c r="CK63" s="248">
        <f t="shared" ca="1" si="65"/>
        <v>6581.7354040663067</v>
      </c>
      <c r="CL63" s="248">
        <f t="shared" ca="1" si="65"/>
        <v>6581.7354040663067</v>
      </c>
      <c r="CM63" s="248">
        <f t="shared" ca="1" si="65"/>
        <v>1210010.3494376666</v>
      </c>
      <c r="CN63" s="248">
        <f t="shared" si="65"/>
        <v>0</v>
      </c>
    </row>
    <row r="64" spans="1:92" ht="18">
      <c r="A64" s="204"/>
      <c r="B64" s="288" t="s">
        <v>130</v>
      </c>
      <c r="C64" s="289">
        <f ca="1">SUM(H64:CN64)</f>
        <v>1121281.2134144872</v>
      </c>
      <c r="D64" s="295"/>
      <c r="E64" s="296"/>
      <c r="F64" s="296"/>
      <c r="G64" s="296"/>
      <c r="H64" s="291">
        <f ca="1">SUM(H62:H63)</f>
        <v>-1422759.6644491339</v>
      </c>
      <c r="I64" s="291">
        <f t="shared" ref="I64:BT64" ca="1" si="66">SUM(I62:I63)</f>
        <v>0</v>
      </c>
      <c r="J64" s="291">
        <f t="shared" ca="1" si="66"/>
        <v>0</v>
      </c>
      <c r="K64" s="291">
        <f t="shared" ca="1" si="66"/>
        <v>0</v>
      </c>
      <c r="L64" s="291">
        <f t="shared" ca="1" si="66"/>
        <v>0</v>
      </c>
      <c r="M64" s="291">
        <f t="shared" ca="1" si="66"/>
        <v>0</v>
      </c>
      <c r="N64" s="291">
        <f t="shared" ca="1" si="66"/>
        <v>0</v>
      </c>
      <c r="O64" s="291">
        <f t="shared" ca="1" si="66"/>
        <v>0</v>
      </c>
      <c r="P64" s="291">
        <f t="shared" ca="1" si="66"/>
        <v>0</v>
      </c>
      <c r="Q64" s="291">
        <f t="shared" ca="1" si="66"/>
        <v>0</v>
      </c>
      <c r="R64" s="291">
        <f t="shared" ca="1" si="66"/>
        <v>0</v>
      </c>
      <c r="S64" s="291">
        <f t="shared" ca="1" si="66"/>
        <v>0</v>
      </c>
      <c r="T64" s="291">
        <f t="shared" ca="1" si="66"/>
        <v>0</v>
      </c>
      <c r="U64" s="291">
        <f t="shared" ca="1" si="66"/>
        <v>5928.1652685380586</v>
      </c>
      <c r="V64" s="291">
        <f t="shared" ca="1" si="66"/>
        <v>5928.1652685380586</v>
      </c>
      <c r="W64" s="291">
        <f t="shared" ca="1" si="66"/>
        <v>5928.1652685380586</v>
      </c>
      <c r="X64" s="291">
        <f t="shared" ca="1" si="66"/>
        <v>5928.1652685380586</v>
      </c>
      <c r="Y64" s="291">
        <f t="shared" ca="1" si="66"/>
        <v>5928.1652685380586</v>
      </c>
      <c r="Z64" s="291">
        <f t="shared" ca="1" si="66"/>
        <v>5928.1652685380586</v>
      </c>
      <c r="AA64" s="291">
        <f t="shared" ca="1" si="66"/>
        <v>5928.1652685380586</v>
      </c>
      <c r="AB64" s="291">
        <f t="shared" ca="1" si="66"/>
        <v>5928.1652685380586</v>
      </c>
      <c r="AC64" s="291">
        <f t="shared" ca="1" si="66"/>
        <v>5928.1652685380586</v>
      </c>
      <c r="AD64" s="291">
        <f t="shared" ca="1" si="66"/>
        <v>5928.1652685380586</v>
      </c>
      <c r="AE64" s="291">
        <f t="shared" ca="1" si="66"/>
        <v>5928.1652685380586</v>
      </c>
      <c r="AF64" s="291">
        <f t="shared" ca="1" si="66"/>
        <v>5928.1652685380586</v>
      </c>
      <c r="AG64" s="291">
        <f t="shared" ca="1" si="66"/>
        <v>8892.2479028070866</v>
      </c>
      <c r="AH64" s="291">
        <f t="shared" ca="1" si="66"/>
        <v>8892.2479028070866</v>
      </c>
      <c r="AI64" s="291">
        <f t="shared" ca="1" si="66"/>
        <v>8892.2479028070866</v>
      </c>
      <c r="AJ64" s="291">
        <f t="shared" ca="1" si="66"/>
        <v>8892.2479028070866</v>
      </c>
      <c r="AK64" s="291">
        <f t="shared" ca="1" si="66"/>
        <v>8892.2479028070866</v>
      </c>
      <c r="AL64" s="291">
        <f t="shared" ca="1" si="66"/>
        <v>8892.2479028070866</v>
      </c>
      <c r="AM64" s="291">
        <f t="shared" ca="1" si="66"/>
        <v>8892.2479028070866</v>
      </c>
      <c r="AN64" s="291">
        <f t="shared" ca="1" si="66"/>
        <v>8892.2479028070866</v>
      </c>
      <c r="AO64" s="291">
        <f t="shared" ca="1" si="66"/>
        <v>8892.2479028070866</v>
      </c>
      <c r="AP64" s="291">
        <f t="shared" ca="1" si="66"/>
        <v>8892.2479028070866</v>
      </c>
      <c r="AQ64" s="291">
        <f t="shared" ca="1" si="66"/>
        <v>899511.69982586254</v>
      </c>
      <c r="AR64" s="291">
        <f t="shared" ca="1" si="66"/>
        <v>3290.8677020331534</v>
      </c>
      <c r="AS64" s="291">
        <f t="shared" ca="1" si="66"/>
        <v>5265.3883232530443</v>
      </c>
      <c r="AT64" s="291">
        <f t="shared" ca="1" si="66"/>
        <v>5265.3883232530443</v>
      </c>
      <c r="AU64" s="291">
        <f t="shared" ca="1" si="66"/>
        <v>5265.3883232530443</v>
      </c>
      <c r="AV64" s="291">
        <f t="shared" ca="1" si="66"/>
        <v>5265.3883232530443</v>
      </c>
      <c r="AW64" s="291">
        <f t="shared" ca="1" si="66"/>
        <v>5265.3883232530443</v>
      </c>
      <c r="AX64" s="291">
        <f t="shared" ca="1" si="66"/>
        <v>5265.3883232530443</v>
      </c>
      <c r="AY64" s="291">
        <f t="shared" ca="1" si="66"/>
        <v>5265.3883232530443</v>
      </c>
      <c r="AZ64" s="291">
        <f t="shared" ca="1" si="66"/>
        <v>5265.3883232530443</v>
      </c>
      <c r="BA64" s="291">
        <f t="shared" ca="1" si="66"/>
        <v>5265.3883232530443</v>
      </c>
      <c r="BB64" s="291">
        <f t="shared" ca="1" si="66"/>
        <v>5265.3883232530443</v>
      </c>
      <c r="BC64" s="291">
        <f t="shared" ca="1" si="66"/>
        <v>5265.3883232530443</v>
      </c>
      <c r="BD64" s="291">
        <f t="shared" ca="1" si="66"/>
        <v>5265.3883232530443</v>
      </c>
      <c r="BE64" s="291">
        <f t="shared" ca="1" si="66"/>
        <v>5704.170683524133</v>
      </c>
      <c r="BF64" s="291">
        <f t="shared" ca="1" si="66"/>
        <v>5704.170683524133</v>
      </c>
      <c r="BG64" s="291">
        <f t="shared" ca="1" si="66"/>
        <v>5704.170683524133</v>
      </c>
      <c r="BH64" s="291">
        <f t="shared" ca="1" si="66"/>
        <v>5704.170683524133</v>
      </c>
      <c r="BI64" s="291">
        <f t="shared" ca="1" si="66"/>
        <v>5704.170683524133</v>
      </c>
      <c r="BJ64" s="291">
        <f t="shared" ca="1" si="66"/>
        <v>5704.170683524133</v>
      </c>
      <c r="BK64" s="291">
        <f t="shared" ca="1" si="66"/>
        <v>5704.170683524133</v>
      </c>
      <c r="BL64" s="291">
        <f t="shared" ca="1" si="66"/>
        <v>5704.170683524133</v>
      </c>
      <c r="BM64" s="291">
        <f t="shared" ca="1" si="66"/>
        <v>5704.170683524133</v>
      </c>
      <c r="BN64" s="291">
        <f t="shared" ca="1" si="66"/>
        <v>5704.170683524133</v>
      </c>
      <c r="BO64" s="291">
        <f t="shared" ca="1" si="66"/>
        <v>5704.170683524133</v>
      </c>
      <c r="BP64" s="291">
        <f t="shared" ca="1" si="66"/>
        <v>5704.170683524133</v>
      </c>
      <c r="BQ64" s="291">
        <f t="shared" ca="1" si="66"/>
        <v>6142.9530437952208</v>
      </c>
      <c r="BR64" s="291">
        <f t="shared" ca="1" si="66"/>
        <v>6142.9530437952208</v>
      </c>
      <c r="BS64" s="291">
        <f t="shared" ca="1" si="66"/>
        <v>6142.9530437952208</v>
      </c>
      <c r="BT64" s="291">
        <f t="shared" ca="1" si="66"/>
        <v>6142.9530437952208</v>
      </c>
      <c r="BU64" s="291">
        <f t="shared" ref="BU64:CN64" ca="1" si="67">SUM(BU62:BU63)</f>
        <v>6142.9530437952208</v>
      </c>
      <c r="BV64" s="291">
        <f t="shared" ca="1" si="67"/>
        <v>6142.9530437952208</v>
      </c>
      <c r="BW64" s="291">
        <f t="shared" ca="1" si="67"/>
        <v>6142.9530437952208</v>
      </c>
      <c r="BX64" s="291">
        <f t="shared" ca="1" si="67"/>
        <v>6142.9530437952208</v>
      </c>
      <c r="BY64" s="291">
        <f t="shared" ca="1" si="67"/>
        <v>6142.9530437952208</v>
      </c>
      <c r="BZ64" s="291">
        <f t="shared" ca="1" si="67"/>
        <v>6142.9530437952208</v>
      </c>
      <c r="CA64" s="291">
        <f t="shared" ca="1" si="67"/>
        <v>6142.9530437952208</v>
      </c>
      <c r="CB64" s="291">
        <f t="shared" ca="1" si="67"/>
        <v>6142.9530437952208</v>
      </c>
      <c r="CC64" s="291">
        <f t="shared" ca="1" si="67"/>
        <v>6581.7354040663067</v>
      </c>
      <c r="CD64" s="291">
        <f t="shared" ca="1" si="67"/>
        <v>6581.7354040663067</v>
      </c>
      <c r="CE64" s="291">
        <f t="shared" ca="1" si="67"/>
        <v>6581.7354040663067</v>
      </c>
      <c r="CF64" s="291">
        <f t="shared" ca="1" si="67"/>
        <v>6581.7354040663067</v>
      </c>
      <c r="CG64" s="291">
        <f t="shared" ca="1" si="67"/>
        <v>6581.7354040663067</v>
      </c>
      <c r="CH64" s="291">
        <f t="shared" ca="1" si="67"/>
        <v>6581.7354040663067</v>
      </c>
      <c r="CI64" s="291">
        <f t="shared" ca="1" si="67"/>
        <v>6581.7354040663067</v>
      </c>
      <c r="CJ64" s="291">
        <f t="shared" ca="1" si="67"/>
        <v>6581.7354040663067</v>
      </c>
      <c r="CK64" s="291">
        <f t="shared" ca="1" si="67"/>
        <v>6581.7354040663067</v>
      </c>
      <c r="CL64" s="291">
        <f t="shared" ca="1" si="67"/>
        <v>6581.7354040663067</v>
      </c>
      <c r="CM64" s="291">
        <f t="shared" ca="1" si="67"/>
        <v>1210010.3494376666</v>
      </c>
      <c r="CN64" s="291">
        <f t="shared" si="67"/>
        <v>0</v>
      </c>
    </row>
    <row r="65" spans="1:92" ht="18">
      <c r="A65" s="204"/>
      <c r="B65" s="288" t="s">
        <v>20</v>
      </c>
      <c r="C65" s="292">
        <f ca="1">XIRR(H64:CN64,H10:CN10)</f>
        <v>0.1327483594417572</v>
      </c>
      <c r="D65" s="295"/>
      <c r="E65" s="296"/>
      <c r="F65" s="296"/>
      <c r="G65" s="296"/>
      <c r="H65" s="227"/>
      <c r="I65" s="207"/>
      <c r="J65" s="207"/>
      <c r="K65" s="207"/>
      <c r="L65" s="207"/>
      <c r="M65" s="207"/>
      <c r="N65" s="207"/>
      <c r="O65" s="207"/>
      <c r="P65" s="207"/>
      <c r="Q65" s="207"/>
      <c r="R65" s="207"/>
      <c r="S65" s="207"/>
      <c r="T65" s="207"/>
      <c r="U65" s="207"/>
      <c r="V65" s="207"/>
      <c r="W65" s="207"/>
      <c r="X65" s="207"/>
      <c r="Y65" s="207"/>
      <c r="Z65" s="207"/>
      <c r="AA65" s="207"/>
      <c r="AB65" s="207"/>
      <c r="AC65" s="207"/>
      <c r="AD65" s="207"/>
      <c r="AE65" s="207"/>
      <c r="AF65" s="207"/>
      <c r="AG65" s="207"/>
      <c r="AH65" s="207"/>
      <c r="AI65" s="207"/>
      <c r="AJ65" s="207"/>
      <c r="AK65" s="207"/>
      <c r="AL65" s="207"/>
      <c r="AM65" s="207"/>
      <c r="AN65" s="207"/>
      <c r="AO65" s="207"/>
      <c r="AP65" s="207"/>
      <c r="AQ65" s="207"/>
      <c r="AR65" s="207"/>
      <c r="AS65" s="207"/>
      <c r="AT65" s="207"/>
      <c r="AU65" s="207"/>
      <c r="AV65" s="207"/>
      <c r="AW65" s="207"/>
      <c r="AX65" s="207"/>
      <c r="AY65" s="207"/>
      <c r="AZ65" s="207"/>
      <c r="BA65" s="207"/>
      <c r="BB65" s="207"/>
      <c r="BC65" s="207"/>
      <c r="BD65" s="207"/>
      <c r="BE65" s="207"/>
      <c r="BF65" s="207"/>
      <c r="BG65" s="207"/>
      <c r="BH65" s="207"/>
      <c r="BI65" s="207"/>
      <c r="BJ65" s="207"/>
      <c r="BK65" s="207"/>
      <c r="BL65" s="207"/>
      <c r="BM65" s="207"/>
      <c r="BN65" s="207"/>
      <c r="BO65" s="207"/>
      <c r="BP65" s="207"/>
      <c r="BQ65" s="207"/>
      <c r="BR65" s="207"/>
      <c r="BS65" s="207"/>
      <c r="BT65" s="207"/>
      <c r="BU65" s="207"/>
      <c r="BV65" s="207"/>
      <c r="BW65" s="207"/>
      <c r="BX65" s="207"/>
      <c r="BY65" s="207"/>
      <c r="BZ65" s="207"/>
      <c r="CA65" s="207"/>
      <c r="CB65" s="207"/>
      <c r="CC65" s="207"/>
      <c r="CD65" s="207"/>
      <c r="CE65" s="207"/>
      <c r="CF65" s="207"/>
      <c r="CG65" s="207"/>
      <c r="CH65" s="207"/>
      <c r="CI65" s="207"/>
      <c r="CJ65" s="207"/>
      <c r="CK65" s="207"/>
      <c r="CL65" s="207"/>
      <c r="CM65" s="207"/>
      <c r="CN65" s="207"/>
    </row>
    <row r="66" spans="1:92" ht="18">
      <c r="A66" s="204"/>
      <c r="B66" s="293" t="s">
        <v>176</v>
      </c>
      <c r="C66" s="294">
        <f ca="1">C64/-C62+1</f>
        <v>1.7881030376614073</v>
      </c>
      <c r="D66" s="299"/>
      <c r="E66" s="300"/>
      <c r="F66" s="300"/>
      <c r="G66" s="300"/>
      <c r="H66" s="227"/>
      <c r="I66" s="207"/>
      <c r="J66" s="207"/>
      <c r="K66" s="207"/>
      <c r="L66" s="207"/>
      <c r="M66" s="207"/>
      <c r="N66" s="207"/>
      <c r="O66" s="207"/>
      <c r="P66" s="207"/>
      <c r="Q66" s="207"/>
      <c r="R66" s="207"/>
      <c r="S66" s="207"/>
      <c r="T66" s="207"/>
      <c r="U66" s="207"/>
      <c r="V66" s="207"/>
      <c r="W66" s="207"/>
      <c r="X66" s="207"/>
      <c r="Y66" s="207"/>
      <c r="Z66" s="207"/>
      <c r="AA66" s="207"/>
      <c r="AB66" s="207"/>
      <c r="AC66" s="207"/>
      <c r="AD66" s="207"/>
      <c r="AE66" s="207"/>
      <c r="AF66" s="207"/>
      <c r="AG66" s="207"/>
      <c r="AH66" s="207"/>
      <c r="AI66" s="207"/>
      <c r="AJ66" s="207"/>
      <c r="AK66" s="207"/>
      <c r="AL66" s="207"/>
      <c r="AM66" s="207"/>
      <c r="AN66" s="207"/>
      <c r="AO66" s="207"/>
      <c r="AP66" s="207"/>
      <c r="AQ66" s="207"/>
      <c r="AR66" s="207"/>
      <c r="AS66" s="207"/>
      <c r="AT66" s="207"/>
      <c r="AU66" s="207"/>
      <c r="AV66" s="207"/>
      <c r="AW66" s="207"/>
      <c r="AX66" s="207"/>
      <c r="AY66" s="207"/>
      <c r="AZ66" s="207"/>
      <c r="BA66" s="207"/>
      <c r="BB66" s="207"/>
      <c r="BC66" s="207"/>
      <c r="BD66" s="207"/>
      <c r="BE66" s="207"/>
      <c r="BF66" s="207"/>
      <c r="BG66" s="207"/>
      <c r="BH66" s="207"/>
      <c r="BI66" s="207"/>
      <c r="BJ66" s="207"/>
      <c r="BK66" s="207"/>
      <c r="BL66" s="207"/>
      <c r="BM66" s="207"/>
      <c r="BN66" s="207"/>
      <c r="BO66" s="207"/>
      <c r="BP66" s="207"/>
      <c r="BQ66" s="207"/>
      <c r="BR66" s="207"/>
      <c r="BS66" s="207"/>
      <c r="BT66" s="207"/>
      <c r="BU66" s="207"/>
      <c r="BV66" s="207"/>
      <c r="BW66" s="207"/>
      <c r="BX66" s="207"/>
      <c r="BY66" s="207"/>
      <c r="BZ66" s="207"/>
      <c r="CA66" s="207"/>
      <c r="CB66" s="207"/>
      <c r="CC66" s="207"/>
      <c r="CD66" s="207"/>
      <c r="CE66" s="207"/>
      <c r="CF66" s="207"/>
      <c r="CG66" s="207"/>
      <c r="CH66" s="207"/>
      <c r="CI66" s="207"/>
      <c r="CJ66" s="207"/>
      <c r="CK66" s="207"/>
      <c r="CL66" s="207"/>
      <c r="CM66" s="207"/>
      <c r="CN66" s="207"/>
    </row>
    <row r="67" spans="1:92" ht="18">
      <c r="A67" s="204"/>
      <c r="B67" s="205"/>
      <c r="C67" s="301"/>
      <c r="D67" s="205"/>
      <c r="E67" s="222"/>
      <c r="F67" s="222"/>
      <c r="G67" s="222"/>
      <c r="H67" s="227"/>
      <c r="I67" s="207"/>
      <c r="J67" s="207"/>
      <c r="K67" s="207"/>
      <c r="L67" s="207"/>
      <c r="M67" s="207"/>
      <c r="N67" s="207"/>
      <c r="O67" s="207"/>
      <c r="P67" s="207"/>
      <c r="Q67" s="207"/>
      <c r="R67" s="207"/>
      <c r="S67" s="207"/>
      <c r="T67" s="207"/>
      <c r="U67" s="207"/>
      <c r="V67" s="207"/>
      <c r="W67" s="207"/>
      <c r="X67" s="207"/>
      <c r="Y67" s="207"/>
      <c r="Z67" s="207"/>
      <c r="AA67" s="207"/>
      <c r="AB67" s="207"/>
      <c r="AC67" s="207"/>
      <c r="AD67" s="207"/>
      <c r="AE67" s="207"/>
      <c r="AF67" s="207"/>
      <c r="AG67" s="207"/>
      <c r="AH67" s="207"/>
      <c r="AI67" s="207"/>
      <c r="AJ67" s="207"/>
      <c r="AK67" s="207"/>
      <c r="AL67" s="207"/>
      <c r="AM67" s="207"/>
      <c r="AN67" s="207"/>
      <c r="AO67" s="207"/>
      <c r="AP67" s="207"/>
      <c r="AQ67" s="207"/>
      <c r="AR67" s="207"/>
      <c r="AS67" s="207"/>
      <c r="AT67" s="207"/>
      <c r="AU67" s="207"/>
      <c r="AV67" s="207"/>
      <c r="AW67" s="207"/>
      <c r="AX67" s="207"/>
      <c r="AY67" s="207"/>
      <c r="AZ67" s="207"/>
      <c r="BA67" s="207"/>
      <c r="BB67" s="207"/>
      <c r="BC67" s="207"/>
      <c r="BD67" s="207"/>
      <c r="BE67" s="207"/>
      <c r="BF67" s="207"/>
      <c r="BG67" s="207"/>
      <c r="BH67" s="207"/>
      <c r="BI67" s="207"/>
      <c r="BJ67" s="207"/>
      <c r="BK67" s="207"/>
      <c r="BL67" s="207"/>
      <c r="BM67" s="207"/>
      <c r="BN67" s="207"/>
      <c r="BO67" s="207"/>
      <c r="BP67" s="207"/>
      <c r="BQ67" s="207"/>
      <c r="BR67" s="207"/>
      <c r="BS67" s="207"/>
      <c r="BT67" s="207"/>
      <c r="BU67" s="207"/>
      <c r="BV67" s="207"/>
      <c r="BW67" s="207"/>
      <c r="BX67" s="207"/>
      <c r="BY67" s="207"/>
      <c r="BZ67" s="207"/>
      <c r="CA67" s="207"/>
      <c r="CB67" s="207"/>
      <c r="CC67" s="207"/>
      <c r="CD67" s="207"/>
      <c r="CE67" s="207"/>
      <c r="CF67" s="207"/>
      <c r="CG67" s="207"/>
      <c r="CH67" s="207"/>
      <c r="CI67" s="207"/>
      <c r="CJ67" s="207"/>
      <c r="CK67" s="207"/>
      <c r="CL67" s="207"/>
      <c r="CM67" s="207"/>
      <c r="CN67" s="207"/>
    </row>
    <row r="68" spans="1:92" ht="18">
      <c r="A68" s="204"/>
      <c r="B68" s="298" t="s">
        <v>179</v>
      </c>
      <c r="C68" s="301"/>
      <c r="D68" s="205"/>
      <c r="E68" s="244"/>
      <c r="F68" s="222"/>
      <c r="G68" s="222"/>
      <c r="H68" s="227"/>
      <c r="I68" s="207"/>
      <c r="J68" s="207"/>
      <c r="K68" s="207"/>
      <c r="L68" s="207"/>
      <c r="M68" s="207"/>
      <c r="N68" s="207"/>
      <c r="O68" s="207"/>
      <c r="P68" s="207"/>
      <c r="Q68" s="207"/>
      <c r="R68" s="207"/>
      <c r="S68" s="207"/>
      <c r="T68" s="207"/>
      <c r="U68" s="207"/>
      <c r="V68" s="207"/>
      <c r="W68" s="207"/>
      <c r="X68" s="207"/>
      <c r="Y68" s="207"/>
      <c r="Z68" s="207"/>
      <c r="AA68" s="207"/>
      <c r="AB68" s="207"/>
      <c r="AC68" s="207"/>
      <c r="AD68" s="207"/>
      <c r="AE68" s="207"/>
      <c r="AF68" s="207"/>
      <c r="AG68" s="207"/>
      <c r="AH68" s="207"/>
      <c r="AI68" s="207"/>
      <c r="AJ68" s="207"/>
      <c r="AK68" s="207"/>
      <c r="AL68" s="207"/>
      <c r="AM68" s="207"/>
      <c r="AN68" s="207"/>
      <c r="AO68" s="207"/>
      <c r="AP68" s="207"/>
      <c r="AQ68" s="207"/>
      <c r="AR68" s="207"/>
      <c r="AS68" s="207"/>
      <c r="AT68" s="207"/>
      <c r="AU68" s="207"/>
      <c r="AV68" s="207"/>
      <c r="AW68" s="207"/>
      <c r="AX68" s="207"/>
      <c r="AY68" s="207"/>
      <c r="AZ68" s="207"/>
      <c r="BA68" s="207"/>
      <c r="BB68" s="207"/>
      <c r="BC68" s="207"/>
      <c r="BD68" s="207"/>
      <c r="BE68" s="207"/>
      <c r="BF68" s="207"/>
      <c r="BG68" s="207"/>
      <c r="BH68" s="207"/>
      <c r="BI68" s="207"/>
      <c r="BJ68" s="207"/>
      <c r="BK68" s="207"/>
      <c r="BL68" s="207"/>
      <c r="BM68" s="207"/>
      <c r="BN68" s="207"/>
      <c r="BO68" s="207"/>
      <c r="BP68" s="207"/>
      <c r="BQ68" s="207"/>
      <c r="BR68" s="207"/>
      <c r="BS68" s="207"/>
      <c r="BT68" s="207"/>
      <c r="BU68" s="207"/>
      <c r="BV68" s="207"/>
      <c r="BW68" s="207"/>
      <c r="BX68" s="207"/>
      <c r="BY68" s="207"/>
      <c r="BZ68" s="207"/>
      <c r="CA68" s="207"/>
      <c r="CB68" s="207"/>
      <c r="CC68" s="207"/>
      <c r="CD68" s="207"/>
      <c r="CE68" s="207"/>
      <c r="CF68" s="207"/>
      <c r="CG68" s="207"/>
      <c r="CH68" s="207"/>
      <c r="CI68" s="207"/>
      <c r="CJ68" s="207"/>
      <c r="CK68" s="207"/>
      <c r="CL68" s="207"/>
      <c r="CM68" s="207"/>
      <c r="CN68" s="207"/>
    </row>
    <row r="69" spans="1:92" ht="18">
      <c r="A69" s="204"/>
      <c r="B69" s="286" t="s">
        <v>178</v>
      </c>
      <c r="C69" s="302">
        <f ca="1">SUM(H69:CN69)</f>
        <v>-74882.087602586005</v>
      </c>
      <c r="D69" s="205"/>
      <c r="E69" s="244"/>
      <c r="F69" s="222"/>
      <c r="G69" s="222"/>
      <c r="H69" s="303">
        <f ca="1">H16</f>
        <v>-74882.087602586005</v>
      </c>
      <c r="I69" s="303">
        <f>I16</f>
        <v>0</v>
      </c>
      <c r="J69" s="303">
        <f t="shared" ref="J69:BU69" si="68">J16</f>
        <v>0</v>
      </c>
      <c r="K69" s="303">
        <f t="shared" si="68"/>
        <v>0</v>
      </c>
      <c r="L69" s="303">
        <f t="shared" si="68"/>
        <v>0</v>
      </c>
      <c r="M69" s="303">
        <f t="shared" si="68"/>
        <v>0</v>
      </c>
      <c r="N69" s="303">
        <f t="shared" si="68"/>
        <v>0</v>
      </c>
      <c r="O69" s="303">
        <f t="shared" si="68"/>
        <v>0</v>
      </c>
      <c r="P69" s="303">
        <f t="shared" si="68"/>
        <v>0</v>
      </c>
      <c r="Q69" s="303">
        <f t="shared" si="68"/>
        <v>0</v>
      </c>
      <c r="R69" s="303">
        <f t="shared" si="68"/>
        <v>0</v>
      </c>
      <c r="S69" s="303">
        <f t="shared" si="68"/>
        <v>0</v>
      </c>
      <c r="T69" s="303">
        <f t="shared" si="68"/>
        <v>0</v>
      </c>
      <c r="U69" s="303">
        <f t="shared" si="68"/>
        <v>0</v>
      </c>
      <c r="V69" s="303">
        <f t="shared" si="68"/>
        <v>0</v>
      </c>
      <c r="W69" s="303">
        <f t="shared" si="68"/>
        <v>0</v>
      </c>
      <c r="X69" s="303">
        <f t="shared" si="68"/>
        <v>0</v>
      </c>
      <c r="Y69" s="303">
        <f t="shared" si="68"/>
        <v>0</v>
      </c>
      <c r="Z69" s="303">
        <f t="shared" si="68"/>
        <v>0</v>
      </c>
      <c r="AA69" s="303">
        <f t="shared" si="68"/>
        <v>0</v>
      </c>
      <c r="AB69" s="303">
        <f t="shared" si="68"/>
        <v>0</v>
      </c>
      <c r="AC69" s="303">
        <f t="shared" si="68"/>
        <v>0</v>
      </c>
      <c r="AD69" s="303">
        <f t="shared" si="68"/>
        <v>0</v>
      </c>
      <c r="AE69" s="303">
        <f t="shared" si="68"/>
        <v>0</v>
      </c>
      <c r="AF69" s="303">
        <f t="shared" si="68"/>
        <v>0</v>
      </c>
      <c r="AG69" s="303">
        <f t="shared" si="68"/>
        <v>0</v>
      </c>
      <c r="AH69" s="303">
        <f t="shared" si="68"/>
        <v>0</v>
      </c>
      <c r="AI69" s="303">
        <f t="shared" si="68"/>
        <v>0</v>
      </c>
      <c r="AJ69" s="303">
        <f t="shared" si="68"/>
        <v>0</v>
      </c>
      <c r="AK69" s="303">
        <f t="shared" si="68"/>
        <v>0</v>
      </c>
      <c r="AL69" s="303">
        <f t="shared" si="68"/>
        <v>0</v>
      </c>
      <c r="AM69" s="303">
        <f t="shared" si="68"/>
        <v>0</v>
      </c>
      <c r="AN69" s="303">
        <f t="shared" si="68"/>
        <v>0</v>
      </c>
      <c r="AO69" s="303">
        <f t="shared" si="68"/>
        <v>0</v>
      </c>
      <c r="AP69" s="303">
        <f t="shared" si="68"/>
        <v>0</v>
      </c>
      <c r="AQ69" s="303">
        <f t="shared" si="68"/>
        <v>0</v>
      </c>
      <c r="AR69" s="303">
        <f t="shared" si="68"/>
        <v>0</v>
      </c>
      <c r="AS69" s="303">
        <f t="shared" si="68"/>
        <v>0</v>
      </c>
      <c r="AT69" s="303">
        <f t="shared" si="68"/>
        <v>0</v>
      </c>
      <c r="AU69" s="303">
        <f t="shared" si="68"/>
        <v>0</v>
      </c>
      <c r="AV69" s="303">
        <f t="shared" si="68"/>
        <v>0</v>
      </c>
      <c r="AW69" s="303">
        <f t="shared" si="68"/>
        <v>0</v>
      </c>
      <c r="AX69" s="303">
        <f t="shared" si="68"/>
        <v>0</v>
      </c>
      <c r="AY69" s="303">
        <f t="shared" si="68"/>
        <v>0</v>
      </c>
      <c r="AZ69" s="303">
        <f t="shared" si="68"/>
        <v>0</v>
      </c>
      <c r="BA69" s="303">
        <f t="shared" si="68"/>
        <v>0</v>
      </c>
      <c r="BB69" s="303">
        <f t="shared" si="68"/>
        <v>0</v>
      </c>
      <c r="BC69" s="303">
        <f t="shared" si="68"/>
        <v>0</v>
      </c>
      <c r="BD69" s="303">
        <f t="shared" si="68"/>
        <v>0</v>
      </c>
      <c r="BE69" s="303">
        <f t="shared" si="68"/>
        <v>0</v>
      </c>
      <c r="BF69" s="303">
        <f t="shared" si="68"/>
        <v>0</v>
      </c>
      <c r="BG69" s="303">
        <f t="shared" si="68"/>
        <v>0</v>
      </c>
      <c r="BH69" s="303">
        <f t="shared" si="68"/>
        <v>0</v>
      </c>
      <c r="BI69" s="303">
        <f t="shared" si="68"/>
        <v>0</v>
      </c>
      <c r="BJ69" s="303">
        <f t="shared" si="68"/>
        <v>0</v>
      </c>
      <c r="BK69" s="303">
        <f t="shared" si="68"/>
        <v>0</v>
      </c>
      <c r="BL69" s="303">
        <f t="shared" si="68"/>
        <v>0</v>
      </c>
      <c r="BM69" s="303">
        <f t="shared" si="68"/>
        <v>0</v>
      </c>
      <c r="BN69" s="303">
        <f t="shared" si="68"/>
        <v>0</v>
      </c>
      <c r="BO69" s="303">
        <f t="shared" si="68"/>
        <v>0</v>
      </c>
      <c r="BP69" s="303">
        <f t="shared" si="68"/>
        <v>0</v>
      </c>
      <c r="BQ69" s="303">
        <f t="shared" si="68"/>
        <v>0</v>
      </c>
      <c r="BR69" s="303">
        <f t="shared" si="68"/>
        <v>0</v>
      </c>
      <c r="BS69" s="303">
        <f t="shared" si="68"/>
        <v>0</v>
      </c>
      <c r="BT69" s="303">
        <f t="shared" si="68"/>
        <v>0</v>
      </c>
      <c r="BU69" s="303">
        <f t="shared" si="68"/>
        <v>0</v>
      </c>
      <c r="BV69" s="303">
        <f t="shared" ref="BV69:CN69" si="69">BV16</f>
        <v>0</v>
      </c>
      <c r="BW69" s="303">
        <f t="shared" si="69"/>
        <v>0</v>
      </c>
      <c r="BX69" s="303">
        <f t="shared" si="69"/>
        <v>0</v>
      </c>
      <c r="BY69" s="303">
        <f t="shared" si="69"/>
        <v>0</v>
      </c>
      <c r="BZ69" s="303">
        <f t="shared" si="69"/>
        <v>0</v>
      </c>
      <c r="CA69" s="303">
        <f t="shared" si="69"/>
        <v>0</v>
      </c>
      <c r="CB69" s="303">
        <f t="shared" si="69"/>
        <v>0</v>
      </c>
      <c r="CC69" s="303">
        <f t="shared" si="69"/>
        <v>0</v>
      </c>
      <c r="CD69" s="303">
        <f t="shared" si="69"/>
        <v>0</v>
      </c>
      <c r="CE69" s="303">
        <f t="shared" si="69"/>
        <v>0</v>
      </c>
      <c r="CF69" s="303">
        <f t="shared" si="69"/>
        <v>0</v>
      </c>
      <c r="CG69" s="303">
        <f t="shared" si="69"/>
        <v>0</v>
      </c>
      <c r="CH69" s="303">
        <f t="shared" si="69"/>
        <v>0</v>
      </c>
      <c r="CI69" s="303">
        <f t="shared" si="69"/>
        <v>0</v>
      </c>
      <c r="CJ69" s="303">
        <f t="shared" si="69"/>
        <v>0</v>
      </c>
      <c r="CK69" s="303">
        <f t="shared" si="69"/>
        <v>0</v>
      </c>
      <c r="CL69" s="303">
        <f t="shared" si="69"/>
        <v>0</v>
      </c>
      <c r="CM69" s="303">
        <f t="shared" si="69"/>
        <v>0</v>
      </c>
      <c r="CN69" s="303">
        <f t="shared" si="69"/>
        <v>0</v>
      </c>
    </row>
    <row r="70" spans="1:92" ht="18">
      <c r="A70" s="204"/>
      <c r="B70" s="288" t="s">
        <v>180</v>
      </c>
      <c r="C70" s="304">
        <f ca="1">SUM(H70:CN70)</f>
        <v>133896.88830861176</v>
      </c>
      <c r="D70" s="205"/>
      <c r="E70" s="244"/>
      <c r="F70" s="222"/>
      <c r="G70" s="222"/>
      <c r="H70" s="303">
        <f ca="1">+H27+H41+H48</f>
        <v>0</v>
      </c>
      <c r="I70" s="303">
        <f ca="1">+I27+I41+I48</f>
        <v>0</v>
      </c>
      <c r="J70" s="303">
        <f t="shared" ref="J70:BU70" ca="1" si="70">+J27+J41+J48</f>
        <v>0</v>
      </c>
      <c r="K70" s="303">
        <f t="shared" ca="1" si="70"/>
        <v>0</v>
      </c>
      <c r="L70" s="303">
        <f t="shared" ca="1" si="70"/>
        <v>0</v>
      </c>
      <c r="M70" s="303">
        <f t="shared" ca="1" si="70"/>
        <v>0</v>
      </c>
      <c r="N70" s="303">
        <f t="shared" ca="1" si="70"/>
        <v>0</v>
      </c>
      <c r="O70" s="303">
        <f t="shared" ca="1" si="70"/>
        <v>0</v>
      </c>
      <c r="P70" s="303">
        <f t="shared" ca="1" si="70"/>
        <v>0</v>
      </c>
      <c r="Q70" s="303">
        <f t="shared" ca="1" si="70"/>
        <v>0</v>
      </c>
      <c r="R70" s="303">
        <f t="shared" ca="1" si="70"/>
        <v>0</v>
      </c>
      <c r="S70" s="303">
        <f t="shared" ca="1" si="70"/>
        <v>0</v>
      </c>
      <c r="T70" s="303">
        <f t="shared" ca="1" si="70"/>
        <v>0</v>
      </c>
      <c r="U70" s="303">
        <f t="shared" ca="1" si="70"/>
        <v>312.00869834410838</v>
      </c>
      <c r="V70" s="303">
        <f t="shared" ca="1" si="70"/>
        <v>312.00869834410838</v>
      </c>
      <c r="W70" s="303">
        <f t="shared" ca="1" si="70"/>
        <v>312.00869834410838</v>
      </c>
      <c r="X70" s="303">
        <f t="shared" ca="1" si="70"/>
        <v>312.00869834410838</v>
      </c>
      <c r="Y70" s="303">
        <f t="shared" ca="1" si="70"/>
        <v>312.00869834410838</v>
      </c>
      <c r="Z70" s="303">
        <f t="shared" ca="1" si="70"/>
        <v>312.00869834410838</v>
      </c>
      <c r="AA70" s="303">
        <f t="shared" ca="1" si="70"/>
        <v>312.00869834410838</v>
      </c>
      <c r="AB70" s="303">
        <f t="shared" ca="1" si="70"/>
        <v>312.00869834410838</v>
      </c>
      <c r="AC70" s="303">
        <f t="shared" ca="1" si="70"/>
        <v>312.00869834410838</v>
      </c>
      <c r="AD70" s="303">
        <f t="shared" ca="1" si="70"/>
        <v>312.00869834410838</v>
      </c>
      <c r="AE70" s="303">
        <f t="shared" ca="1" si="70"/>
        <v>312.00869834410838</v>
      </c>
      <c r="AF70" s="303">
        <f t="shared" ca="1" si="70"/>
        <v>312.00869834410838</v>
      </c>
      <c r="AG70" s="303">
        <f t="shared" ca="1" si="70"/>
        <v>468.01304751616249</v>
      </c>
      <c r="AH70" s="303">
        <f t="shared" ca="1" si="70"/>
        <v>468.01304751616249</v>
      </c>
      <c r="AI70" s="303">
        <f t="shared" ca="1" si="70"/>
        <v>468.01304751616249</v>
      </c>
      <c r="AJ70" s="303">
        <f t="shared" ca="1" si="70"/>
        <v>468.01304751616249</v>
      </c>
      <c r="AK70" s="303">
        <f t="shared" ca="1" si="70"/>
        <v>468.01304751616249</v>
      </c>
      <c r="AL70" s="303">
        <f t="shared" ca="1" si="70"/>
        <v>468.01304751616249</v>
      </c>
      <c r="AM70" s="303">
        <f t="shared" ca="1" si="70"/>
        <v>468.01304751616249</v>
      </c>
      <c r="AN70" s="303">
        <f t="shared" ca="1" si="70"/>
        <v>468.01304751616249</v>
      </c>
      <c r="AO70" s="303">
        <f t="shared" ca="1" si="70"/>
        <v>468.01304751616249</v>
      </c>
      <c r="AP70" s="303">
        <f t="shared" ca="1" si="70"/>
        <v>468.01304751616249</v>
      </c>
      <c r="AQ70" s="303">
        <f t="shared" ca="1" si="70"/>
        <v>47342.721043466452</v>
      </c>
      <c r="AR70" s="303">
        <f t="shared" ca="1" si="70"/>
        <v>173.20356326490284</v>
      </c>
      <c r="AS70" s="303">
        <f t="shared" ca="1" si="70"/>
        <v>277.12570122384449</v>
      </c>
      <c r="AT70" s="303">
        <f t="shared" ca="1" si="70"/>
        <v>277.12570122384449</v>
      </c>
      <c r="AU70" s="303">
        <f t="shared" ca="1" si="70"/>
        <v>277.12570122384449</v>
      </c>
      <c r="AV70" s="303">
        <f t="shared" ca="1" si="70"/>
        <v>277.12570122384449</v>
      </c>
      <c r="AW70" s="303">
        <f t="shared" ca="1" si="70"/>
        <v>277.12570122384449</v>
      </c>
      <c r="AX70" s="303">
        <f t="shared" ca="1" si="70"/>
        <v>277.12570122384449</v>
      </c>
      <c r="AY70" s="303">
        <f t="shared" ca="1" si="70"/>
        <v>277.12570122384449</v>
      </c>
      <c r="AZ70" s="303">
        <f t="shared" ca="1" si="70"/>
        <v>277.12570122384449</v>
      </c>
      <c r="BA70" s="303">
        <f t="shared" ca="1" si="70"/>
        <v>277.12570122384449</v>
      </c>
      <c r="BB70" s="303">
        <f t="shared" ca="1" si="70"/>
        <v>277.12570122384449</v>
      </c>
      <c r="BC70" s="303">
        <f t="shared" ca="1" si="70"/>
        <v>277.12570122384449</v>
      </c>
      <c r="BD70" s="303">
        <f t="shared" ca="1" si="70"/>
        <v>277.12570122384449</v>
      </c>
      <c r="BE70" s="303">
        <f t="shared" ca="1" si="70"/>
        <v>300.21950965916488</v>
      </c>
      <c r="BF70" s="303">
        <f t="shared" ca="1" si="70"/>
        <v>300.21950965916488</v>
      </c>
      <c r="BG70" s="303">
        <f t="shared" ca="1" si="70"/>
        <v>300.21950965916488</v>
      </c>
      <c r="BH70" s="303">
        <f t="shared" ca="1" si="70"/>
        <v>300.21950965916488</v>
      </c>
      <c r="BI70" s="303">
        <f t="shared" ca="1" si="70"/>
        <v>300.21950965916488</v>
      </c>
      <c r="BJ70" s="303">
        <f t="shared" ca="1" si="70"/>
        <v>300.21950965916488</v>
      </c>
      <c r="BK70" s="303">
        <f t="shared" ca="1" si="70"/>
        <v>300.21950965916488</v>
      </c>
      <c r="BL70" s="303">
        <f t="shared" ca="1" si="70"/>
        <v>300.21950965916488</v>
      </c>
      <c r="BM70" s="303">
        <f t="shared" ca="1" si="70"/>
        <v>300.21950965916488</v>
      </c>
      <c r="BN70" s="303">
        <f t="shared" ca="1" si="70"/>
        <v>300.21950965916488</v>
      </c>
      <c r="BO70" s="303">
        <f t="shared" ca="1" si="70"/>
        <v>300.21950965916488</v>
      </c>
      <c r="BP70" s="303">
        <f t="shared" ca="1" si="70"/>
        <v>300.21950965916488</v>
      </c>
      <c r="BQ70" s="303">
        <f t="shared" ca="1" si="70"/>
        <v>323.31331809448534</v>
      </c>
      <c r="BR70" s="303">
        <f t="shared" ca="1" si="70"/>
        <v>323.31331809448534</v>
      </c>
      <c r="BS70" s="303">
        <f t="shared" ca="1" si="70"/>
        <v>323.31331809448534</v>
      </c>
      <c r="BT70" s="303">
        <f t="shared" ca="1" si="70"/>
        <v>323.31331809448534</v>
      </c>
      <c r="BU70" s="303">
        <f t="shared" ca="1" si="70"/>
        <v>323.31331809448534</v>
      </c>
      <c r="BV70" s="303">
        <f t="shared" ref="BV70:CN70" ca="1" si="71">+BV27+BV41+BV48</f>
        <v>323.31331809448534</v>
      </c>
      <c r="BW70" s="303">
        <f t="shared" ca="1" si="71"/>
        <v>323.31331809448534</v>
      </c>
      <c r="BX70" s="303">
        <f t="shared" ca="1" si="71"/>
        <v>323.31331809448534</v>
      </c>
      <c r="BY70" s="303">
        <f t="shared" ca="1" si="71"/>
        <v>323.31331809448534</v>
      </c>
      <c r="BZ70" s="303">
        <f t="shared" ca="1" si="71"/>
        <v>323.31331809448534</v>
      </c>
      <c r="CA70" s="303">
        <f t="shared" ca="1" si="71"/>
        <v>323.31331809448534</v>
      </c>
      <c r="CB70" s="303">
        <f t="shared" ca="1" si="71"/>
        <v>323.31331809448534</v>
      </c>
      <c r="CC70" s="303">
        <f t="shared" ca="1" si="71"/>
        <v>346.40712652980568</v>
      </c>
      <c r="CD70" s="303">
        <f t="shared" ca="1" si="71"/>
        <v>346.40712652980568</v>
      </c>
      <c r="CE70" s="303">
        <f t="shared" ca="1" si="71"/>
        <v>346.40712652980568</v>
      </c>
      <c r="CF70" s="303">
        <f t="shared" ca="1" si="71"/>
        <v>346.40712652980568</v>
      </c>
      <c r="CG70" s="303">
        <f t="shared" ca="1" si="71"/>
        <v>346.40712652980568</v>
      </c>
      <c r="CH70" s="303">
        <f t="shared" ca="1" si="71"/>
        <v>346.40712652980568</v>
      </c>
      <c r="CI70" s="303">
        <f t="shared" ca="1" si="71"/>
        <v>346.40712652980568</v>
      </c>
      <c r="CJ70" s="303">
        <f t="shared" ca="1" si="71"/>
        <v>346.40712652980568</v>
      </c>
      <c r="CK70" s="303">
        <f t="shared" ca="1" si="71"/>
        <v>346.40712652980568</v>
      </c>
      <c r="CL70" s="303">
        <f t="shared" ca="1" si="71"/>
        <v>346.40712652980568</v>
      </c>
      <c r="CM70" s="303">
        <f t="shared" ca="1" si="71"/>
        <v>63684.755233561409</v>
      </c>
      <c r="CN70" s="303">
        <f t="shared" si="71"/>
        <v>0</v>
      </c>
    </row>
    <row r="71" spans="1:92" ht="19.5">
      <c r="A71" s="204"/>
      <c r="B71" s="288" t="s">
        <v>181</v>
      </c>
      <c r="C71" s="305">
        <f ca="1">SUM(H71:CN71)</f>
        <v>286691.11354213196</v>
      </c>
      <c r="D71" s="205"/>
      <c r="E71" s="244"/>
      <c r="F71" s="222"/>
      <c r="G71" s="306"/>
      <c r="H71" s="248">
        <f ca="1">H42+H49</f>
        <v>0</v>
      </c>
      <c r="I71" s="248">
        <f t="shared" ref="I71:BT71" ca="1" si="72">I42+I49</f>
        <v>0</v>
      </c>
      <c r="J71" s="248">
        <f t="shared" ca="1" si="72"/>
        <v>0</v>
      </c>
      <c r="K71" s="248">
        <f t="shared" ca="1" si="72"/>
        <v>0</v>
      </c>
      <c r="L71" s="248">
        <f t="shared" ca="1" si="72"/>
        <v>0</v>
      </c>
      <c r="M71" s="248">
        <f t="shared" ca="1" si="72"/>
        <v>0</v>
      </c>
      <c r="N71" s="248">
        <f t="shared" ca="1" si="72"/>
        <v>0</v>
      </c>
      <c r="O71" s="248">
        <f t="shared" ca="1" si="72"/>
        <v>0</v>
      </c>
      <c r="P71" s="248">
        <f t="shared" ca="1" si="72"/>
        <v>0</v>
      </c>
      <c r="Q71" s="248">
        <f t="shared" ca="1" si="72"/>
        <v>0</v>
      </c>
      <c r="R71" s="248">
        <f t="shared" ca="1" si="72"/>
        <v>0</v>
      </c>
      <c r="S71" s="248">
        <f t="shared" ca="1" si="72"/>
        <v>0</v>
      </c>
      <c r="T71" s="248">
        <f t="shared" ca="1" si="72"/>
        <v>0</v>
      </c>
      <c r="U71" s="248">
        <f t="shared" ca="1" si="72"/>
        <v>0</v>
      </c>
      <c r="V71" s="248">
        <f t="shared" ca="1" si="72"/>
        <v>0</v>
      </c>
      <c r="W71" s="248">
        <f t="shared" ca="1" si="72"/>
        <v>0</v>
      </c>
      <c r="X71" s="248">
        <f t="shared" ca="1" si="72"/>
        <v>0</v>
      </c>
      <c r="Y71" s="248">
        <f t="shared" ca="1" si="72"/>
        <v>0</v>
      </c>
      <c r="Z71" s="248">
        <f t="shared" ca="1" si="72"/>
        <v>0</v>
      </c>
      <c r="AA71" s="248">
        <f t="shared" ca="1" si="72"/>
        <v>0</v>
      </c>
      <c r="AB71" s="248">
        <f t="shared" ca="1" si="72"/>
        <v>0</v>
      </c>
      <c r="AC71" s="248">
        <f t="shared" ca="1" si="72"/>
        <v>0</v>
      </c>
      <c r="AD71" s="248">
        <f t="shared" ca="1" si="72"/>
        <v>0</v>
      </c>
      <c r="AE71" s="248">
        <f t="shared" ca="1" si="72"/>
        <v>0</v>
      </c>
      <c r="AF71" s="248">
        <f t="shared" ca="1" si="72"/>
        <v>0</v>
      </c>
      <c r="AG71" s="248">
        <f t="shared" ca="1" si="72"/>
        <v>0</v>
      </c>
      <c r="AH71" s="248">
        <f t="shared" ca="1" si="72"/>
        <v>0</v>
      </c>
      <c r="AI71" s="248">
        <f t="shared" ca="1" si="72"/>
        <v>0</v>
      </c>
      <c r="AJ71" s="248">
        <f t="shared" ca="1" si="72"/>
        <v>0</v>
      </c>
      <c r="AK71" s="248">
        <f t="shared" ca="1" si="72"/>
        <v>0</v>
      </c>
      <c r="AL71" s="248">
        <f t="shared" ca="1" si="72"/>
        <v>0</v>
      </c>
      <c r="AM71" s="248">
        <f t="shared" ca="1" si="72"/>
        <v>0</v>
      </c>
      <c r="AN71" s="248">
        <f t="shared" ca="1" si="72"/>
        <v>0</v>
      </c>
      <c r="AO71" s="248">
        <f t="shared" ca="1" si="72"/>
        <v>0</v>
      </c>
      <c r="AP71" s="248">
        <f t="shared" ca="1" si="72"/>
        <v>0</v>
      </c>
      <c r="AQ71" s="248">
        <f t="shared" ca="1" si="72"/>
        <v>0</v>
      </c>
      <c r="AR71" s="248">
        <f t="shared" ca="1" si="72"/>
        <v>1.3642420526593923E-13</v>
      </c>
      <c r="AS71" s="248">
        <f t="shared" ca="1" si="72"/>
        <v>0</v>
      </c>
      <c r="AT71" s="248">
        <f t="shared" ca="1" si="72"/>
        <v>0</v>
      </c>
      <c r="AU71" s="248">
        <f t="shared" ca="1" si="72"/>
        <v>0</v>
      </c>
      <c r="AV71" s="248">
        <f t="shared" ca="1" si="72"/>
        <v>0</v>
      </c>
      <c r="AW71" s="248">
        <f t="shared" ca="1" si="72"/>
        <v>0</v>
      </c>
      <c r="AX71" s="248">
        <f t="shared" ca="1" si="72"/>
        <v>0</v>
      </c>
      <c r="AY71" s="248">
        <f t="shared" ca="1" si="72"/>
        <v>0</v>
      </c>
      <c r="AZ71" s="248">
        <f t="shared" ca="1" si="72"/>
        <v>0</v>
      </c>
      <c r="BA71" s="248">
        <f t="shared" ca="1" si="72"/>
        <v>0</v>
      </c>
      <c r="BB71" s="248">
        <f t="shared" ca="1" si="72"/>
        <v>0</v>
      </c>
      <c r="BC71" s="248">
        <f t="shared" ca="1" si="72"/>
        <v>0</v>
      </c>
      <c r="BD71" s="248">
        <f t="shared" ca="1" si="72"/>
        <v>0</v>
      </c>
      <c r="BE71" s="248">
        <f t="shared" ca="1" si="72"/>
        <v>0</v>
      </c>
      <c r="BF71" s="248">
        <f t="shared" ca="1" si="72"/>
        <v>0</v>
      </c>
      <c r="BG71" s="248">
        <f t="shared" ca="1" si="72"/>
        <v>0</v>
      </c>
      <c r="BH71" s="248">
        <f t="shared" ca="1" si="72"/>
        <v>0</v>
      </c>
      <c r="BI71" s="248">
        <f t="shared" ca="1" si="72"/>
        <v>0</v>
      </c>
      <c r="BJ71" s="248">
        <f t="shared" ca="1" si="72"/>
        <v>0</v>
      </c>
      <c r="BK71" s="248">
        <f t="shared" ca="1" si="72"/>
        <v>0</v>
      </c>
      <c r="BL71" s="248">
        <f t="shared" ca="1" si="72"/>
        <v>0</v>
      </c>
      <c r="BM71" s="248">
        <f t="shared" ca="1" si="72"/>
        <v>0</v>
      </c>
      <c r="BN71" s="248">
        <f t="shared" ca="1" si="72"/>
        <v>0</v>
      </c>
      <c r="BO71" s="248">
        <f t="shared" ca="1" si="72"/>
        <v>0</v>
      </c>
      <c r="BP71" s="248">
        <f t="shared" ca="1" si="72"/>
        <v>0</v>
      </c>
      <c r="BQ71" s="248">
        <f t="shared" ca="1" si="72"/>
        <v>2.7284841053187846E-13</v>
      </c>
      <c r="BR71" s="248">
        <f t="shared" ca="1" si="72"/>
        <v>2.7284841053187846E-13</v>
      </c>
      <c r="BS71" s="248">
        <f t="shared" ca="1" si="72"/>
        <v>2.7284841053187846E-13</v>
      </c>
      <c r="BT71" s="248">
        <f t="shared" ca="1" si="72"/>
        <v>2.7284841053187846E-13</v>
      </c>
      <c r="BU71" s="248">
        <f t="shared" ref="BU71:CN71" ca="1" si="73">BU42+BU49</f>
        <v>2.7284841053187846E-13</v>
      </c>
      <c r="BV71" s="248">
        <f t="shared" ca="1" si="73"/>
        <v>2.7284841053187846E-13</v>
      </c>
      <c r="BW71" s="248">
        <f t="shared" ca="1" si="73"/>
        <v>2.7284841053187846E-13</v>
      </c>
      <c r="BX71" s="248">
        <f t="shared" ca="1" si="73"/>
        <v>2.7284841053187846E-13</v>
      </c>
      <c r="BY71" s="248">
        <f t="shared" ca="1" si="73"/>
        <v>2.7284841053187846E-13</v>
      </c>
      <c r="BZ71" s="248">
        <f t="shared" ca="1" si="73"/>
        <v>2.7284841053187846E-13</v>
      </c>
      <c r="CA71" s="248">
        <f t="shared" ca="1" si="73"/>
        <v>2.7284841053187846E-13</v>
      </c>
      <c r="CB71" s="248">
        <f t="shared" ca="1" si="73"/>
        <v>2.7284841053187846E-13</v>
      </c>
      <c r="CC71" s="248">
        <f t="shared" ca="1" si="73"/>
        <v>2.7284841053187846E-13</v>
      </c>
      <c r="CD71" s="248">
        <f t="shared" ca="1" si="73"/>
        <v>2.7284841053187846E-13</v>
      </c>
      <c r="CE71" s="248">
        <f t="shared" ca="1" si="73"/>
        <v>2.7284841053187846E-13</v>
      </c>
      <c r="CF71" s="248">
        <f t="shared" ca="1" si="73"/>
        <v>2.7284841053187846E-13</v>
      </c>
      <c r="CG71" s="248">
        <f t="shared" ca="1" si="73"/>
        <v>2.7284841053187846E-13</v>
      </c>
      <c r="CH71" s="248">
        <f t="shared" ca="1" si="73"/>
        <v>2.7284841053187846E-13</v>
      </c>
      <c r="CI71" s="248">
        <f t="shared" ca="1" si="73"/>
        <v>2.7284841053187846E-13</v>
      </c>
      <c r="CJ71" s="248">
        <f t="shared" ca="1" si="73"/>
        <v>2.7284841053187846E-13</v>
      </c>
      <c r="CK71" s="248">
        <f t="shared" ca="1" si="73"/>
        <v>2.7284841053187846E-13</v>
      </c>
      <c r="CL71" s="248">
        <f t="shared" ca="1" si="73"/>
        <v>2.7284841053187846E-13</v>
      </c>
      <c r="CM71" s="248">
        <f t="shared" ca="1" si="73"/>
        <v>286691.11354213196</v>
      </c>
      <c r="CN71" s="248">
        <f t="shared" si="73"/>
        <v>0</v>
      </c>
    </row>
    <row r="72" spans="1:92" ht="18">
      <c r="A72" s="204"/>
      <c r="B72" s="288" t="s">
        <v>130</v>
      </c>
      <c r="C72" s="304">
        <f ca="1">SUM(H72:CN72)</f>
        <v>345705.91424815764</v>
      </c>
      <c r="D72" s="222"/>
      <c r="E72" s="225"/>
      <c r="F72" s="244"/>
      <c r="G72" s="244"/>
      <c r="H72" s="307">
        <f ca="1">SUM(H69:H71)</f>
        <v>-74882.087602586005</v>
      </c>
      <c r="I72" s="307">
        <f ca="1">SUM(I69:I71)</f>
        <v>0</v>
      </c>
      <c r="J72" s="307">
        <f t="shared" ref="J72:BU72" ca="1" si="74">SUM(J69:J71)</f>
        <v>0</v>
      </c>
      <c r="K72" s="307">
        <f t="shared" ca="1" si="74"/>
        <v>0</v>
      </c>
      <c r="L72" s="307">
        <f t="shared" ca="1" si="74"/>
        <v>0</v>
      </c>
      <c r="M72" s="307">
        <f t="shared" ca="1" si="74"/>
        <v>0</v>
      </c>
      <c r="N72" s="307">
        <f t="shared" ca="1" si="74"/>
        <v>0</v>
      </c>
      <c r="O72" s="307">
        <f t="shared" ca="1" si="74"/>
        <v>0</v>
      </c>
      <c r="P72" s="307">
        <f t="shared" ca="1" si="74"/>
        <v>0</v>
      </c>
      <c r="Q72" s="307">
        <f t="shared" ca="1" si="74"/>
        <v>0</v>
      </c>
      <c r="R72" s="307">
        <f t="shared" ca="1" si="74"/>
        <v>0</v>
      </c>
      <c r="S72" s="307">
        <f t="shared" ca="1" si="74"/>
        <v>0</v>
      </c>
      <c r="T72" s="307">
        <f t="shared" ca="1" si="74"/>
        <v>0</v>
      </c>
      <c r="U72" s="307">
        <f t="shared" ca="1" si="74"/>
        <v>312.00869834410838</v>
      </c>
      <c r="V72" s="307">
        <f t="shared" ca="1" si="74"/>
        <v>312.00869834410838</v>
      </c>
      <c r="W72" s="307">
        <f t="shared" ca="1" si="74"/>
        <v>312.00869834410838</v>
      </c>
      <c r="X72" s="307">
        <f t="shared" ca="1" si="74"/>
        <v>312.00869834410838</v>
      </c>
      <c r="Y72" s="307">
        <f t="shared" ca="1" si="74"/>
        <v>312.00869834410838</v>
      </c>
      <c r="Z72" s="307">
        <f t="shared" ca="1" si="74"/>
        <v>312.00869834410838</v>
      </c>
      <c r="AA72" s="307">
        <f t="shared" ca="1" si="74"/>
        <v>312.00869834410838</v>
      </c>
      <c r="AB72" s="307">
        <f t="shared" ca="1" si="74"/>
        <v>312.00869834410838</v>
      </c>
      <c r="AC72" s="307">
        <f t="shared" ca="1" si="74"/>
        <v>312.00869834410838</v>
      </c>
      <c r="AD72" s="307">
        <f t="shared" ca="1" si="74"/>
        <v>312.00869834410838</v>
      </c>
      <c r="AE72" s="307">
        <f t="shared" ca="1" si="74"/>
        <v>312.00869834410838</v>
      </c>
      <c r="AF72" s="307">
        <f t="shared" ca="1" si="74"/>
        <v>312.00869834410838</v>
      </c>
      <c r="AG72" s="307">
        <f t="shared" ca="1" si="74"/>
        <v>468.01304751616249</v>
      </c>
      <c r="AH72" s="307">
        <f t="shared" ca="1" si="74"/>
        <v>468.01304751616249</v>
      </c>
      <c r="AI72" s="307">
        <f t="shared" ca="1" si="74"/>
        <v>468.01304751616249</v>
      </c>
      <c r="AJ72" s="307">
        <f t="shared" ca="1" si="74"/>
        <v>468.01304751616249</v>
      </c>
      <c r="AK72" s="307">
        <f t="shared" ca="1" si="74"/>
        <v>468.01304751616249</v>
      </c>
      <c r="AL72" s="307">
        <f t="shared" ca="1" si="74"/>
        <v>468.01304751616249</v>
      </c>
      <c r="AM72" s="307">
        <f t="shared" ca="1" si="74"/>
        <v>468.01304751616249</v>
      </c>
      <c r="AN72" s="307">
        <f t="shared" ca="1" si="74"/>
        <v>468.01304751616249</v>
      </c>
      <c r="AO72" s="307">
        <f t="shared" ca="1" si="74"/>
        <v>468.01304751616249</v>
      </c>
      <c r="AP72" s="307">
        <f t="shared" ca="1" si="74"/>
        <v>468.01304751616249</v>
      </c>
      <c r="AQ72" s="307">
        <f t="shared" ca="1" si="74"/>
        <v>47342.721043466452</v>
      </c>
      <c r="AR72" s="307">
        <f t="shared" ca="1" si="74"/>
        <v>173.20356326490298</v>
      </c>
      <c r="AS72" s="307">
        <f t="shared" ca="1" si="74"/>
        <v>277.12570122384449</v>
      </c>
      <c r="AT72" s="307">
        <f t="shared" ca="1" si="74"/>
        <v>277.12570122384449</v>
      </c>
      <c r="AU72" s="307">
        <f t="shared" ca="1" si="74"/>
        <v>277.12570122384449</v>
      </c>
      <c r="AV72" s="307">
        <f t="shared" ca="1" si="74"/>
        <v>277.12570122384449</v>
      </c>
      <c r="AW72" s="307">
        <f t="shared" ca="1" si="74"/>
        <v>277.12570122384449</v>
      </c>
      <c r="AX72" s="307">
        <f t="shared" ca="1" si="74"/>
        <v>277.12570122384449</v>
      </c>
      <c r="AY72" s="307">
        <f t="shared" ca="1" si="74"/>
        <v>277.12570122384449</v>
      </c>
      <c r="AZ72" s="307">
        <f t="shared" ca="1" si="74"/>
        <v>277.12570122384449</v>
      </c>
      <c r="BA72" s="307">
        <f t="shared" ca="1" si="74"/>
        <v>277.12570122384449</v>
      </c>
      <c r="BB72" s="307">
        <f t="shared" ca="1" si="74"/>
        <v>277.12570122384449</v>
      </c>
      <c r="BC72" s="307">
        <f t="shared" ca="1" si="74"/>
        <v>277.12570122384449</v>
      </c>
      <c r="BD72" s="307">
        <f t="shared" ca="1" si="74"/>
        <v>277.12570122384449</v>
      </c>
      <c r="BE72" s="307">
        <f t="shared" ca="1" si="74"/>
        <v>300.21950965916488</v>
      </c>
      <c r="BF72" s="307">
        <f t="shared" ca="1" si="74"/>
        <v>300.21950965916488</v>
      </c>
      <c r="BG72" s="307">
        <f t="shared" ca="1" si="74"/>
        <v>300.21950965916488</v>
      </c>
      <c r="BH72" s="307">
        <f t="shared" ca="1" si="74"/>
        <v>300.21950965916488</v>
      </c>
      <c r="BI72" s="307">
        <f t="shared" ca="1" si="74"/>
        <v>300.21950965916488</v>
      </c>
      <c r="BJ72" s="307">
        <f t="shared" ca="1" si="74"/>
        <v>300.21950965916488</v>
      </c>
      <c r="BK72" s="307">
        <f t="shared" ca="1" si="74"/>
        <v>300.21950965916488</v>
      </c>
      <c r="BL72" s="307">
        <f t="shared" ca="1" si="74"/>
        <v>300.21950965916488</v>
      </c>
      <c r="BM72" s="307">
        <f t="shared" ca="1" si="74"/>
        <v>300.21950965916488</v>
      </c>
      <c r="BN72" s="307">
        <f t="shared" ca="1" si="74"/>
        <v>300.21950965916488</v>
      </c>
      <c r="BO72" s="307">
        <f t="shared" ca="1" si="74"/>
        <v>300.21950965916488</v>
      </c>
      <c r="BP72" s="307">
        <f t="shared" ca="1" si="74"/>
        <v>300.21950965916488</v>
      </c>
      <c r="BQ72" s="307">
        <f t="shared" ca="1" si="74"/>
        <v>323.31331809448562</v>
      </c>
      <c r="BR72" s="307">
        <f t="shared" ca="1" si="74"/>
        <v>323.31331809448562</v>
      </c>
      <c r="BS72" s="307">
        <f t="shared" ca="1" si="74"/>
        <v>323.31331809448562</v>
      </c>
      <c r="BT72" s="307">
        <f t="shared" ca="1" si="74"/>
        <v>323.31331809448562</v>
      </c>
      <c r="BU72" s="307">
        <f t="shared" ca="1" si="74"/>
        <v>323.31331809448562</v>
      </c>
      <c r="BV72" s="307">
        <f t="shared" ref="BV72:CN72" ca="1" si="75">SUM(BV69:BV71)</f>
        <v>323.31331809448562</v>
      </c>
      <c r="BW72" s="307">
        <f t="shared" ca="1" si="75"/>
        <v>323.31331809448562</v>
      </c>
      <c r="BX72" s="307">
        <f t="shared" ca="1" si="75"/>
        <v>323.31331809448562</v>
      </c>
      <c r="BY72" s="307">
        <f t="shared" ca="1" si="75"/>
        <v>323.31331809448562</v>
      </c>
      <c r="BZ72" s="307">
        <f t="shared" ca="1" si="75"/>
        <v>323.31331809448562</v>
      </c>
      <c r="CA72" s="307">
        <f t="shared" ca="1" si="75"/>
        <v>323.31331809448562</v>
      </c>
      <c r="CB72" s="307">
        <f t="shared" ca="1" si="75"/>
        <v>323.31331809448562</v>
      </c>
      <c r="CC72" s="307">
        <f t="shared" ca="1" si="75"/>
        <v>346.40712652980596</v>
      </c>
      <c r="CD72" s="307">
        <f t="shared" ca="1" si="75"/>
        <v>346.40712652980596</v>
      </c>
      <c r="CE72" s="307">
        <f t="shared" ca="1" si="75"/>
        <v>346.40712652980596</v>
      </c>
      <c r="CF72" s="307">
        <f t="shared" ca="1" si="75"/>
        <v>346.40712652980596</v>
      </c>
      <c r="CG72" s="307">
        <f t="shared" ca="1" si="75"/>
        <v>346.40712652980596</v>
      </c>
      <c r="CH72" s="307">
        <f t="shared" ca="1" si="75"/>
        <v>346.40712652980596</v>
      </c>
      <c r="CI72" s="307">
        <f t="shared" ca="1" si="75"/>
        <v>346.40712652980596</v>
      </c>
      <c r="CJ72" s="307">
        <f t="shared" ca="1" si="75"/>
        <v>346.40712652980596</v>
      </c>
      <c r="CK72" s="307">
        <f t="shared" ca="1" si="75"/>
        <v>346.40712652980596</v>
      </c>
      <c r="CL72" s="307">
        <f t="shared" ca="1" si="75"/>
        <v>346.40712652980596</v>
      </c>
      <c r="CM72" s="307">
        <f t="shared" ca="1" si="75"/>
        <v>350375.86877569335</v>
      </c>
      <c r="CN72" s="307">
        <f t="shared" si="75"/>
        <v>0</v>
      </c>
    </row>
    <row r="73" spans="1:92" ht="18">
      <c r="A73" s="204"/>
      <c r="B73" s="288" t="s">
        <v>20</v>
      </c>
      <c r="C73" s="292">
        <f ca="1">XIRR(H72:CN72,H10:CN10)</f>
        <v>0.34496570229530343</v>
      </c>
      <c r="D73" s="268"/>
      <c r="E73" s="244"/>
      <c r="F73" s="244"/>
      <c r="G73" s="244"/>
      <c r="H73" s="227"/>
      <c r="I73" s="207"/>
      <c r="J73" s="207"/>
      <c r="K73" s="207"/>
      <c r="L73" s="207"/>
      <c r="M73" s="207"/>
      <c r="N73" s="207"/>
      <c r="O73" s="207"/>
      <c r="P73" s="207"/>
      <c r="Q73" s="207"/>
      <c r="R73" s="207"/>
      <c r="S73" s="207"/>
      <c r="T73" s="207"/>
      <c r="U73" s="207"/>
      <c r="V73" s="207"/>
      <c r="W73" s="207"/>
      <c r="X73" s="207"/>
      <c r="Y73" s="207"/>
      <c r="Z73" s="207"/>
      <c r="AA73" s="207"/>
      <c r="AB73" s="207"/>
      <c r="AC73" s="207"/>
      <c r="AD73" s="207"/>
      <c r="AE73" s="207"/>
      <c r="AF73" s="207"/>
      <c r="AG73" s="207"/>
      <c r="AH73" s="207"/>
      <c r="AI73" s="207"/>
      <c r="AJ73" s="207"/>
      <c r="AK73" s="207"/>
      <c r="AL73" s="207"/>
      <c r="AM73" s="207"/>
      <c r="AN73" s="207"/>
      <c r="AO73" s="207"/>
      <c r="AP73" s="207"/>
      <c r="AQ73" s="207"/>
      <c r="AR73" s="207"/>
      <c r="AS73" s="207"/>
      <c r="AT73" s="207"/>
      <c r="AU73" s="207"/>
      <c r="AV73" s="207"/>
      <c r="AW73" s="207"/>
      <c r="AX73" s="207"/>
      <c r="AY73" s="207"/>
      <c r="AZ73" s="207"/>
      <c r="BA73" s="207"/>
      <c r="BB73" s="207"/>
      <c r="BC73" s="207"/>
      <c r="BD73" s="207"/>
      <c r="BE73" s="207"/>
      <c r="BF73" s="207"/>
      <c r="BG73" s="207"/>
      <c r="BH73" s="207"/>
      <c r="BI73" s="207"/>
      <c r="BJ73" s="207"/>
      <c r="BK73" s="207"/>
      <c r="BL73" s="207"/>
      <c r="BM73" s="207"/>
      <c r="BN73" s="207"/>
      <c r="BO73" s="207"/>
      <c r="BP73" s="207"/>
      <c r="BQ73" s="207"/>
      <c r="BR73" s="207"/>
      <c r="BS73" s="207"/>
      <c r="BT73" s="207"/>
      <c r="BU73" s="207"/>
      <c r="BV73" s="207"/>
      <c r="BW73" s="207"/>
      <c r="BX73" s="207"/>
      <c r="BY73" s="207"/>
      <c r="BZ73" s="207"/>
      <c r="CA73" s="207"/>
      <c r="CB73" s="207"/>
      <c r="CC73" s="207"/>
      <c r="CD73" s="207"/>
      <c r="CE73" s="207"/>
      <c r="CF73" s="207"/>
      <c r="CG73" s="207"/>
      <c r="CH73" s="207"/>
      <c r="CI73" s="207"/>
      <c r="CJ73" s="207"/>
      <c r="CK73" s="207"/>
      <c r="CL73" s="207"/>
      <c r="CM73" s="207"/>
      <c r="CN73" s="207"/>
    </row>
    <row r="74" spans="1:92" ht="18">
      <c r="A74" s="204"/>
      <c r="B74" s="293" t="s">
        <v>176</v>
      </c>
      <c r="C74" s="294">
        <f ca="1">C72/-C69+1</f>
        <v>5.6166703589099578</v>
      </c>
      <c r="D74" s="299"/>
      <c r="E74" s="300"/>
      <c r="F74" s="300"/>
      <c r="G74" s="300"/>
      <c r="H74" s="227"/>
      <c r="I74" s="207"/>
      <c r="J74" s="207"/>
      <c r="K74" s="207"/>
      <c r="L74" s="207"/>
      <c r="M74" s="207"/>
      <c r="N74" s="207"/>
      <c r="O74" s="207"/>
      <c r="P74" s="207"/>
      <c r="Q74" s="207"/>
      <c r="R74" s="207"/>
      <c r="S74" s="207"/>
      <c r="T74" s="207"/>
      <c r="U74" s="207"/>
      <c r="V74" s="207"/>
      <c r="W74" s="207"/>
      <c r="X74" s="207"/>
      <c r="Y74" s="207"/>
      <c r="Z74" s="207"/>
      <c r="AA74" s="207"/>
      <c r="AB74" s="207"/>
      <c r="AC74" s="207"/>
      <c r="AD74" s="207"/>
      <c r="AE74" s="207"/>
      <c r="AF74" s="207"/>
      <c r="AG74" s="207"/>
      <c r="AH74" s="207"/>
      <c r="AI74" s="207"/>
      <c r="AJ74" s="207"/>
      <c r="AK74" s="207"/>
      <c r="AL74" s="207"/>
      <c r="AM74" s="207"/>
      <c r="AN74" s="207"/>
      <c r="AO74" s="207"/>
      <c r="AP74" s="207"/>
      <c r="AQ74" s="207"/>
      <c r="AR74" s="207"/>
      <c r="AS74" s="207"/>
      <c r="AT74" s="207"/>
      <c r="AU74" s="207"/>
      <c r="AV74" s="207"/>
      <c r="AW74" s="207"/>
      <c r="AX74" s="207"/>
      <c r="AY74" s="207"/>
      <c r="AZ74" s="207"/>
      <c r="BA74" s="207"/>
      <c r="BB74" s="207"/>
      <c r="BC74" s="207"/>
      <c r="BD74" s="207"/>
      <c r="BE74" s="207"/>
      <c r="BF74" s="207"/>
      <c r="BG74" s="207"/>
      <c r="BH74" s="207"/>
      <c r="BI74" s="207"/>
      <c r="BJ74" s="207"/>
      <c r="BK74" s="207"/>
      <c r="BL74" s="207"/>
      <c r="BM74" s="207"/>
      <c r="BN74" s="207"/>
      <c r="BO74" s="207"/>
      <c r="BP74" s="207"/>
      <c r="BQ74" s="207"/>
      <c r="BR74" s="207"/>
      <c r="BS74" s="207"/>
      <c r="BT74" s="207"/>
      <c r="BU74" s="207"/>
      <c r="BV74" s="207"/>
      <c r="BW74" s="207"/>
      <c r="BX74" s="207"/>
      <c r="BY74" s="207"/>
      <c r="BZ74" s="207"/>
      <c r="CA74" s="207"/>
      <c r="CB74" s="207"/>
      <c r="CC74" s="207"/>
      <c r="CD74" s="207"/>
      <c r="CE74" s="207"/>
      <c r="CF74" s="207"/>
      <c r="CG74" s="207"/>
      <c r="CH74" s="207"/>
      <c r="CI74" s="207"/>
      <c r="CJ74" s="207"/>
      <c r="CK74" s="207"/>
      <c r="CL74" s="207"/>
      <c r="CM74" s="207"/>
      <c r="CN74" s="207"/>
    </row>
    <row r="75" spans="1:92" ht="18">
      <c r="A75" s="204"/>
      <c r="B75" s="205"/>
      <c r="C75" s="301"/>
      <c r="D75" s="205"/>
      <c r="E75" s="205"/>
      <c r="F75" s="205"/>
      <c r="G75" s="205"/>
      <c r="H75" s="308"/>
      <c r="I75" s="207"/>
      <c r="J75" s="207"/>
      <c r="K75" s="207"/>
      <c r="L75" s="207"/>
      <c r="M75" s="207"/>
      <c r="N75" s="207"/>
      <c r="O75" s="207"/>
      <c r="P75" s="207"/>
      <c r="Q75" s="207"/>
      <c r="R75" s="207"/>
      <c r="S75" s="207"/>
      <c r="T75" s="207"/>
      <c r="U75" s="207"/>
      <c r="V75" s="207"/>
      <c r="W75" s="207"/>
      <c r="X75" s="207"/>
      <c r="Y75" s="207"/>
      <c r="Z75" s="207"/>
      <c r="AA75" s="207"/>
      <c r="AB75" s="207"/>
      <c r="AC75" s="207"/>
      <c r="AD75" s="207"/>
      <c r="AE75" s="207"/>
      <c r="AF75" s="207"/>
      <c r="AG75" s="207"/>
      <c r="AH75" s="207"/>
      <c r="AI75" s="207"/>
      <c r="AJ75" s="207"/>
      <c r="AK75" s="207"/>
      <c r="AL75" s="207"/>
      <c r="AM75" s="207"/>
      <c r="AN75" s="207"/>
      <c r="AO75" s="207"/>
      <c r="AP75" s="207"/>
      <c r="AQ75" s="207"/>
      <c r="AR75" s="207"/>
      <c r="AS75" s="207"/>
      <c r="AT75" s="207"/>
      <c r="AU75" s="207"/>
      <c r="AV75" s="207"/>
      <c r="AW75" s="207"/>
      <c r="AX75" s="207"/>
      <c r="AY75" s="207"/>
      <c r="AZ75" s="207"/>
      <c r="BA75" s="207"/>
      <c r="BB75" s="207"/>
      <c r="BC75" s="207"/>
      <c r="BD75" s="207"/>
      <c r="BE75" s="207"/>
      <c r="BF75" s="207"/>
      <c r="BG75" s="207"/>
      <c r="BH75" s="207"/>
      <c r="BI75" s="207"/>
      <c r="BJ75" s="207"/>
      <c r="BK75" s="207"/>
      <c r="BL75" s="207"/>
      <c r="BM75" s="207"/>
      <c r="BN75" s="207"/>
      <c r="BO75" s="207"/>
      <c r="BP75" s="207"/>
      <c r="BQ75" s="207"/>
      <c r="BR75" s="207"/>
      <c r="BS75" s="207"/>
      <c r="BT75" s="207"/>
      <c r="BU75" s="207"/>
      <c r="BV75" s="207"/>
      <c r="BW75" s="207"/>
      <c r="BX75" s="207"/>
      <c r="BY75" s="207"/>
      <c r="BZ75" s="207"/>
      <c r="CA75" s="207"/>
      <c r="CB75" s="207"/>
      <c r="CC75" s="207"/>
      <c r="CD75" s="207"/>
      <c r="CE75" s="207"/>
      <c r="CF75" s="207"/>
      <c r="CG75" s="207"/>
      <c r="CH75" s="207"/>
      <c r="CI75" s="207"/>
      <c r="CJ75" s="207"/>
      <c r="CK75" s="207"/>
      <c r="CL75" s="207"/>
      <c r="CM75" s="207"/>
      <c r="CN75" s="207"/>
    </row>
    <row r="76" spans="1:92" ht="18">
      <c r="A76" s="204"/>
      <c r="B76" s="234" t="s">
        <v>182</v>
      </c>
      <c r="C76" s="309">
        <f ca="1">ROUND(C57-C64-C72,0)</f>
        <v>0</v>
      </c>
      <c r="D76" s="310" t="str">
        <f ca="1">IF(ROUND(C76,0)=0,"OK","Fix")</f>
        <v>OK</v>
      </c>
      <c r="E76" s="222"/>
      <c r="F76" s="311"/>
      <c r="G76" s="312"/>
      <c r="H76" s="313">
        <f ca="1">H57-H64-H72</f>
        <v>0</v>
      </c>
      <c r="I76" s="313">
        <f ca="1">I57-I64-I72</f>
        <v>0</v>
      </c>
      <c r="J76" s="313">
        <f t="shared" ref="J76:BU76" ca="1" si="76">J57-J64-J72</f>
        <v>0</v>
      </c>
      <c r="K76" s="313">
        <f t="shared" ca="1" si="76"/>
        <v>0</v>
      </c>
      <c r="L76" s="313">
        <f t="shared" ca="1" si="76"/>
        <v>0</v>
      </c>
      <c r="M76" s="313">
        <f t="shared" ca="1" si="76"/>
        <v>0</v>
      </c>
      <c r="N76" s="313">
        <f t="shared" ca="1" si="76"/>
        <v>0</v>
      </c>
      <c r="O76" s="313">
        <f t="shared" ca="1" si="76"/>
        <v>0</v>
      </c>
      <c r="P76" s="313">
        <f t="shared" ca="1" si="76"/>
        <v>0</v>
      </c>
      <c r="Q76" s="313">
        <f t="shared" ca="1" si="76"/>
        <v>0</v>
      </c>
      <c r="R76" s="313">
        <f t="shared" ca="1" si="76"/>
        <v>0</v>
      </c>
      <c r="S76" s="313">
        <f t="shared" ca="1" si="76"/>
        <v>0</v>
      </c>
      <c r="T76" s="313">
        <f t="shared" ca="1" si="76"/>
        <v>0</v>
      </c>
      <c r="U76" s="313">
        <f t="shared" ca="1" si="76"/>
        <v>0</v>
      </c>
      <c r="V76" s="313">
        <f t="shared" ca="1" si="76"/>
        <v>0</v>
      </c>
      <c r="W76" s="313">
        <f t="shared" ca="1" si="76"/>
        <v>0</v>
      </c>
      <c r="X76" s="313">
        <f t="shared" ca="1" si="76"/>
        <v>0</v>
      </c>
      <c r="Y76" s="313">
        <f t="shared" ca="1" si="76"/>
        <v>0</v>
      </c>
      <c r="Z76" s="313">
        <f t="shared" ca="1" si="76"/>
        <v>0</v>
      </c>
      <c r="AA76" s="313">
        <f t="shared" ca="1" si="76"/>
        <v>0</v>
      </c>
      <c r="AB76" s="313">
        <f t="shared" ca="1" si="76"/>
        <v>0</v>
      </c>
      <c r="AC76" s="313">
        <f t="shared" ca="1" si="76"/>
        <v>0</v>
      </c>
      <c r="AD76" s="313">
        <f t="shared" ca="1" si="76"/>
        <v>0</v>
      </c>
      <c r="AE76" s="313">
        <f t="shared" ca="1" si="76"/>
        <v>0</v>
      </c>
      <c r="AF76" s="313">
        <f t="shared" ca="1" si="76"/>
        <v>0</v>
      </c>
      <c r="AG76" s="313">
        <f t="shared" ca="1" si="76"/>
        <v>0</v>
      </c>
      <c r="AH76" s="313">
        <f t="shared" ca="1" si="76"/>
        <v>0</v>
      </c>
      <c r="AI76" s="313">
        <f t="shared" ca="1" si="76"/>
        <v>0</v>
      </c>
      <c r="AJ76" s="313">
        <f t="shared" ca="1" si="76"/>
        <v>0</v>
      </c>
      <c r="AK76" s="313">
        <f t="shared" ca="1" si="76"/>
        <v>0</v>
      </c>
      <c r="AL76" s="313">
        <f t="shared" ca="1" si="76"/>
        <v>0</v>
      </c>
      <c r="AM76" s="313">
        <f t="shared" ca="1" si="76"/>
        <v>0</v>
      </c>
      <c r="AN76" s="313">
        <f t="shared" ca="1" si="76"/>
        <v>0</v>
      </c>
      <c r="AO76" s="313">
        <f t="shared" ca="1" si="76"/>
        <v>0</v>
      </c>
      <c r="AP76" s="313">
        <f t="shared" ca="1" si="76"/>
        <v>0</v>
      </c>
      <c r="AQ76" s="313">
        <f t="shared" ca="1" si="76"/>
        <v>0</v>
      </c>
      <c r="AR76" s="313">
        <f t="shared" ca="1" si="76"/>
        <v>-3.4106051316484809E-13</v>
      </c>
      <c r="AS76" s="313">
        <f t="shared" ca="1" si="76"/>
        <v>0</v>
      </c>
      <c r="AT76" s="313">
        <f t="shared" ca="1" si="76"/>
        <v>0</v>
      </c>
      <c r="AU76" s="313">
        <f t="shared" ca="1" si="76"/>
        <v>0</v>
      </c>
      <c r="AV76" s="313">
        <f t="shared" ca="1" si="76"/>
        <v>0</v>
      </c>
      <c r="AW76" s="313">
        <f t="shared" ca="1" si="76"/>
        <v>0</v>
      </c>
      <c r="AX76" s="313">
        <f t="shared" ca="1" si="76"/>
        <v>0</v>
      </c>
      <c r="AY76" s="313">
        <f t="shared" ca="1" si="76"/>
        <v>0</v>
      </c>
      <c r="AZ76" s="313">
        <f t="shared" ca="1" si="76"/>
        <v>0</v>
      </c>
      <c r="BA76" s="313">
        <f t="shared" ca="1" si="76"/>
        <v>0</v>
      </c>
      <c r="BB76" s="313">
        <f t="shared" ca="1" si="76"/>
        <v>0</v>
      </c>
      <c r="BC76" s="313">
        <f t="shared" ca="1" si="76"/>
        <v>0</v>
      </c>
      <c r="BD76" s="313">
        <f t="shared" ca="1" si="76"/>
        <v>0</v>
      </c>
      <c r="BE76" s="313">
        <f t="shared" ca="1" si="76"/>
        <v>0</v>
      </c>
      <c r="BF76" s="313">
        <f t="shared" ca="1" si="76"/>
        <v>0</v>
      </c>
      <c r="BG76" s="313">
        <f t="shared" ca="1" si="76"/>
        <v>0</v>
      </c>
      <c r="BH76" s="313">
        <f t="shared" ca="1" si="76"/>
        <v>0</v>
      </c>
      <c r="BI76" s="313">
        <f t="shared" ca="1" si="76"/>
        <v>0</v>
      </c>
      <c r="BJ76" s="313">
        <f t="shared" ca="1" si="76"/>
        <v>0</v>
      </c>
      <c r="BK76" s="313">
        <f t="shared" ca="1" si="76"/>
        <v>0</v>
      </c>
      <c r="BL76" s="313">
        <f t="shared" ca="1" si="76"/>
        <v>0</v>
      </c>
      <c r="BM76" s="313">
        <f t="shared" ca="1" si="76"/>
        <v>0</v>
      </c>
      <c r="BN76" s="313">
        <f t="shared" ca="1" si="76"/>
        <v>0</v>
      </c>
      <c r="BO76" s="313">
        <f t="shared" ca="1" si="76"/>
        <v>0</v>
      </c>
      <c r="BP76" s="313">
        <f t="shared" ca="1" si="76"/>
        <v>0</v>
      </c>
      <c r="BQ76" s="313">
        <f t="shared" ca="1" si="76"/>
        <v>-5.1159076974727213E-13</v>
      </c>
      <c r="BR76" s="313">
        <f t="shared" ca="1" si="76"/>
        <v>-5.1159076974727213E-13</v>
      </c>
      <c r="BS76" s="313">
        <f t="shared" ca="1" si="76"/>
        <v>-5.1159076974727213E-13</v>
      </c>
      <c r="BT76" s="313">
        <f t="shared" ca="1" si="76"/>
        <v>-5.1159076974727213E-13</v>
      </c>
      <c r="BU76" s="313">
        <f t="shared" ca="1" si="76"/>
        <v>-5.1159076974727213E-13</v>
      </c>
      <c r="BV76" s="313">
        <f t="shared" ref="BV76:CN76" ca="1" si="77">BV57-BV64-BV72</f>
        <v>-5.1159076974727213E-13</v>
      </c>
      <c r="BW76" s="313">
        <f t="shared" ca="1" si="77"/>
        <v>-5.1159076974727213E-13</v>
      </c>
      <c r="BX76" s="313">
        <f t="shared" ca="1" si="77"/>
        <v>-5.1159076974727213E-13</v>
      </c>
      <c r="BY76" s="313">
        <f t="shared" ca="1" si="77"/>
        <v>-5.1159076974727213E-13</v>
      </c>
      <c r="BZ76" s="313">
        <f t="shared" ca="1" si="77"/>
        <v>-5.1159076974727213E-13</v>
      </c>
      <c r="CA76" s="313">
        <f t="shared" ca="1" si="77"/>
        <v>-5.1159076974727213E-13</v>
      </c>
      <c r="CB76" s="313">
        <f t="shared" ca="1" si="77"/>
        <v>-5.1159076974727213E-13</v>
      </c>
      <c r="CC76" s="313">
        <f t="shared" ca="1" si="77"/>
        <v>-6.8212102632969618E-13</v>
      </c>
      <c r="CD76" s="313">
        <f t="shared" ca="1" si="77"/>
        <v>-6.8212102632969618E-13</v>
      </c>
      <c r="CE76" s="313">
        <f t="shared" ca="1" si="77"/>
        <v>-6.8212102632969618E-13</v>
      </c>
      <c r="CF76" s="313">
        <f t="shared" ca="1" si="77"/>
        <v>-6.8212102632969618E-13</v>
      </c>
      <c r="CG76" s="313">
        <f t="shared" ca="1" si="77"/>
        <v>-6.8212102632969618E-13</v>
      </c>
      <c r="CH76" s="313">
        <f t="shared" ca="1" si="77"/>
        <v>-6.8212102632969618E-13</v>
      </c>
      <c r="CI76" s="313">
        <f t="shared" ca="1" si="77"/>
        <v>-6.8212102632969618E-13</v>
      </c>
      <c r="CJ76" s="313">
        <f t="shared" ca="1" si="77"/>
        <v>-6.8212102632969618E-13</v>
      </c>
      <c r="CK76" s="313">
        <f t="shared" ca="1" si="77"/>
        <v>-6.8212102632969618E-13</v>
      </c>
      <c r="CL76" s="313">
        <f t="shared" ca="1" si="77"/>
        <v>-6.8212102632969618E-13</v>
      </c>
      <c r="CM76" s="313">
        <f t="shared" ca="1" si="77"/>
        <v>0</v>
      </c>
      <c r="CN76" s="313">
        <f t="shared" si="77"/>
        <v>0</v>
      </c>
    </row>
    <row r="77" spans="1:92" ht="18">
      <c r="A77" s="204"/>
      <c r="B77" s="314" t="s">
        <v>183</v>
      </c>
      <c r="C77" s="315"/>
      <c r="D77" s="316"/>
      <c r="E77" s="316"/>
      <c r="F77" s="316"/>
      <c r="G77" s="316"/>
      <c r="H77" s="205"/>
      <c r="I77" s="207"/>
      <c r="J77" s="207"/>
      <c r="K77" s="207"/>
      <c r="L77" s="207"/>
      <c r="M77" s="207"/>
      <c r="N77" s="207"/>
      <c r="O77" s="207"/>
      <c r="P77" s="207"/>
      <c r="Q77" s="207"/>
      <c r="R77" s="207"/>
      <c r="S77" s="207"/>
      <c r="T77" s="207"/>
      <c r="U77" s="207"/>
      <c r="V77" s="207"/>
      <c r="W77" s="207"/>
      <c r="X77" s="207"/>
      <c r="Y77" s="207"/>
      <c r="Z77" s="207"/>
      <c r="AA77" s="207"/>
      <c r="AB77" s="207"/>
      <c r="AC77" s="207"/>
      <c r="AD77" s="207"/>
      <c r="AE77" s="207"/>
      <c r="AF77" s="207"/>
      <c r="AG77" s="207"/>
      <c r="AH77" s="207"/>
      <c r="AI77" s="207"/>
      <c r="AJ77" s="207"/>
      <c r="AK77" s="207"/>
      <c r="AL77" s="207"/>
      <c r="AM77" s="207"/>
      <c r="AN77" s="207"/>
      <c r="AO77" s="207"/>
      <c r="AP77" s="207"/>
      <c r="AQ77" s="207"/>
      <c r="AR77" s="207"/>
      <c r="AS77" s="207"/>
      <c r="AT77" s="207"/>
      <c r="AU77" s="207"/>
      <c r="AV77" s="207"/>
      <c r="AW77" s="207"/>
      <c r="AX77" s="207"/>
      <c r="AY77" s="207"/>
      <c r="AZ77" s="207"/>
      <c r="BA77" s="207"/>
      <c r="BB77" s="207"/>
      <c r="BC77" s="207"/>
      <c r="BD77" s="207"/>
      <c r="BE77" s="207"/>
      <c r="BF77" s="207"/>
      <c r="BG77" s="207"/>
      <c r="BH77" s="207"/>
      <c r="BI77" s="207"/>
      <c r="BJ77" s="207"/>
      <c r="BK77" s="207"/>
      <c r="BL77" s="207"/>
      <c r="BM77" s="207"/>
      <c r="BN77" s="207"/>
      <c r="BO77" s="207"/>
      <c r="BP77" s="207"/>
      <c r="BQ77" s="207"/>
      <c r="BR77" s="207"/>
      <c r="BS77" s="207"/>
      <c r="BT77" s="207"/>
      <c r="BU77" s="207"/>
      <c r="BV77" s="207"/>
      <c r="BW77" s="207"/>
      <c r="BX77" s="207"/>
      <c r="BY77" s="207"/>
      <c r="BZ77" s="207"/>
      <c r="CA77" s="207"/>
      <c r="CB77" s="207"/>
      <c r="CC77" s="207"/>
      <c r="CD77" s="207"/>
      <c r="CE77" s="207"/>
      <c r="CF77" s="207"/>
      <c r="CG77" s="207"/>
      <c r="CH77" s="207"/>
      <c r="CI77" s="207"/>
      <c r="CJ77" s="207"/>
      <c r="CK77" s="207"/>
      <c r="CL77" s="207"/>
      <c r="CM77" s="207"/>
      <c r="CN77" s="207"/>
    </row>
    <row r="78" spans="1:92" ht="18">
      <c r="A78" s="204"/>
      <c r="B78" s="317"/>
      <c r="C78" s="316"/>
      <c r="D78" s="316"/>
      <c r="E78" s="316"/>
      <c r="F78" s="316"/>
      <c r="G78" s="316"/>
      <c r="H78" s="205"/>
      <c r="I78" s="207"/>
      <c r="J78" s="207"/>
      <c r="K78" s="207"/>
      <c r="L78" s="207"/>
      <c r="M78" s="207"/>
      <c r="N78" s="207"/>
      <c r="O78" s="207"/>
      <c r="P78" s="207"/>
      <c r="Q78" s="207"/>
      <c r="R78" s="207"/>
      <c r="S78" s="207"/>
      <c r="T78" s="207"/>
      <c r="U78" s="207"/>
      <c r="V78" s="207"/>
      <c r="W78" s="207"/>
      <c r="X78" s="207"/>
      <c r="Y78" s="207"/>
      <c r="Z78" s="207"/>
      <c r="AA78" s="207"/>
      <c r="AB78" s="207"/>
      <c r="AC78" s="207"/>
      <c r="AD78" s="207"/>
      <c r="AE78" s="207"/>
      <c r="AF78" s="207"/>
      <c r="AG78" s="207"/>
      <c r="AH78" s="207"/>
      <c r="AI78" s="207"/>
      <c r="AJ78" s="207"/>
      <c r="AK78" s="207"/>
      <c r="AL78" s="207"/>
      <c r="AM78" s="207"/>
      <c r="AN78" s="207"/>
      <c r="AO78" s="207"/>
      <c r="AP78" s="207"/>
      <c r="AQ78" s="207"/>
      <c r="AR78" s="207"/>
      <c r="AS78" s="207"/>
      <c r="AT78" s="207"/>
      <c r="AU78" s="207"/>
      <c r="AV78" s="207"/>
      <c r="AW78" s="207"/>
      <c r="AX78" s="207"/>
      <c r="AY78" s="207"/>
      <c r="AZ78" s="207"/>
      <c r="BA78" s="207"/>
      <c r="BB78" s="207"/>
      <c r="BC78" s="207"/>
      <c r="BD78" s="207"/>
      <c r="BE78" s="207"/>
      <c r="BF78" s="207"/>
      <c r="BG78" s="207"/>
      <c r="BH78" s="207"/>
      <c r="BI78" s="207"/>
      <c r="BJ78" s="207"/>
      <c r="BK78" s="207"/>
      <c r="BL78" s="207"/>
      <c r="BM78" s="207"/>
      <c r="BN78" s="207"/>
      <c r="BO78" s="207"/>
      <c r="BP78" s="207"/>
      <c r="BQ78" s="207"/>
      <c r="BR78" s="207"/>
      <c r="BS78" s="207"/>
      <c r="BT78" s="207"/>
      <c r="BU78" s="207"/>
      <c r="BV78" s="207"/>
      <c r="BW78" s="207"/>
      <c r="BX78" s="207"/>
      <c r="BY78" s="207"/>
      <c r="BZ78" s="207"/>
      <c r="CA78" s="207"/>
      <c r="CB78" s="207"/>
      <c r="CC78" s="207"/>
      <c r="CD78" s="207"/>
      <c r="CE78" s="207"/>
      <c r="CF78" s="207"/>
      <c r="CG78" s="207"/>
      <c r="CH78" s="207"/>
      <c r="CI78" s="207"/>
      <c r="CJ78" s="207"/>
      <c r="CK78" s="207"/>
      <c r="CL78" s="207"/>
      <c r="CM78" s="207"/>
      <c r="CN78" s="207"/>
    </row>
    <row r="79" spans="1:92" ht="18">
      <c r="A79" s="204"/>
      <c r="B79" s="211" t="s">
        <v>184</v>
      </c>
      <c r="C79" s="205"/>
      <c r="D79" s="205"/>
      <c r="E79" s="205"/>
      <c r="F79" s="318"/>
      <c r="G79" s="318"/>
      <c r="H79" s="205"/>
      <c r="I79" s="207"/>
      <c r="J79" s="207"/>
      <c r="K79" s="207"/>
      <c r="L79" s="207"/>
      <c r="M79" s="207"/>
      <c r="N79" s="207"/>
      <c r="O79" s="207"/>
      <c r="P79" s="207"/>
      <c r="Q79" s="207"/>
      <c r="R79" s="207"/>
      <c r="S79" s="207"/>
      <c r="T79" s="207"/>
      <c r="U79" s="207"/>
      <c r="V79" s="207"/>
      <c r="W79" s="207"/>
      <c r="X79" s="207"/>
      <c r="Y79" s="207"/>
      <c r="Z79" s="207"/>
      <c r="AA79" s="207"/>
      <c r="AB79" s="207"/>
      <c r="AC79" s="207"/>
      <c r="AD79" s="207"/>
      <c r="AE79" s="207"/>
      <c r="AF79" s="207"/>
      <c r="AG79" s="207"/>
      <c r="AH79" s="207"/>
      <c r="AI79" s="207"/>
      <c r="AJ79" s="207"/>
      <c r="AK79" s="207"/>
      <c r="AL79" s="207"/>
      <c r="AM79" s="207"/>
      <c r="AN79" s="207"/>
      <c r="AO79" s="207"/>
      <c r="AP79" s="207"/>
      <c r="AQ79" s="207"/>
      <c r="AR79" s="207"/>
      <c r="AS79" s="207"/>
      <c r="AT79" s="207"/>
      <c r="AU79" s="207"/>
      <c r="AV79" s="207"/>
      <c r="AW79" s="207"/>
      <c r="AX79" s="207"/>
      <c r="AY79" s="207"/>
      <c r="AZ79" s="207"/>
      <c r="BA79" s="207"/>
      <c r="BB79" s="207"/>
      <c r="BC79" s="207"/>
      <c r="BD79" s="207"/>
      <c r="BE79" s="207"/>
      <c r="BF79" s="207"/>
      <c r="BG79" s="207"/>
      <c r="BH79" s="207"/>
      <c r="BI79" s="207"/>
      <c r="BJ79" s="207"/>
      <c r="BK79" s="207"/>
      <c r="BL79" s="207"/>
      <c r="BM79" s="207"/>
      <c r="BN79" s="207"/>
      <c r="BO79" s="207"/>
      <c r="BP79" s="207"/>
      <c r="BQ79" s="207"/>
      <c r="BR79" s="207"/>
      <c r="BS79" s="207"/>
      <c r="BT79" s="207"/>
      <c r="BU79" s="207"/>
      <c r="BV79" s="207"/>
      <c r="BW79" s="207"/>
      <c r="BX79" s="207"/>
      <c r="BY79" s="207"/>
      <c r="BZ79" s="207"/>
      <c r="CA79" s="207"/>
      <c r="CB79" s="207"/>
      <c r="CC79" s="207"/>
      <c r="CD79" s="207"/>
      <c r="CE79" s="207"/>
      <c r="CF79" s="207"/>
      <c r="CG79" s="207"/>
      <c r="CH79" s="207"/>
      <c r="CI79" s="207"/>
      <c r="CJ79" s="207"/>
      <c r="CK79" s="207"/>
      <c r="CL79" s="207"/>
      <c r="CM79" s="207"/>
      <c r="CN79" s="207"/>
    </row>
    <row r="80" spans="1:92" ht="27.5" customHeight="1">
      <c r="A80" s="204"/>
      <c r="B80" s="211"/>
      <c r="C80" s="301" t="s">
        <v>185</v>
      </c>
      <c r="D80" s="301"/>
      <c r="E80" s="301" t="s">
        <v>186</v>
      </c>
      <c r="F80" s="318"/>
      <c r="G80" s="318"/>
      <c r="H80" s="205"/>
      <c r="I80" s="207"/>
      <c r="J80" s="207"/>
      <c r="K80" s="207"/>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207"/>
      <c r="AJ80" s="207"/>
      <c r="AK80" s="207"/>
      <c r="AL80" s="207"/>
      <c r="AM80" s="207"/>
      <c r="AN80" s="207"/>
      <c r="AO80" s="207"/>
      <c r="AP80" s="207"/>
      <c r="AQ80" s="207"/>
      <c r="AR80" s="207"/>
      <c r="AS80" s="207"/>
      <c r="AT80" s="207"/>
      <c r="AU80" s="207"/>
      <c r="AV80" s="207"/>
      <c r="AW80" s="207"/>
      <c r="AX80" s="207"/>
      <c r="AY80" s="207"/>
      <c r="AZ80" s="207"/>
      <c r="BA80" s="207"/>
      <c r="BB80" s="207"/>
      <c r="BC80" s="207"/>
      <c r="BD80" s="207"/>
      <c r="BE80" s="207"/>
      <c r="BF80" s="207"/>
      <c r="BG80" s="207"/>
      <c r="BH80" s="207"/>
      <c r="BI80" s="207"/>
      <c r="BJ80" s="207"/>
      <c r="BK80" s="207"/>
      <c r="BL80" s="207"/>
      <c r="BM80" s="207"/>
      <c r="BN80" s="207"/>
      <c r="BO80" s="207"/>
      <c r="BP80" s="207"/>
      <c r="BQ80" s="207"/>
      <c r="BR80" s="207"/>
      <c r="BS80" s="207"/>
      <c r="BT80" s="207"/>
      <c r="BU80" s="207"/>
      <c r="BV80" s="207"/>
      <c r="BW80" s="207"/>
      <c r="BX80" s="207"/>
      <c r="BY80" s="207"/>
      <c r="BZ80" s="207"/>
      <c r="CA80" s="207"/>
      <c r="CB80" s="207"/>
      <c r="CC80" s="207"/>
      <c r="CD80" s="207"/>
      <c r="CE80" s="207"/>
      <c r="CF80" s="207"/>
      <c r="CG80" s="207"/>
      <c r="CH80" s="207"/>
      <c r="CI80" s="207"/>
      <c r="CJ80" s="207"/>
      <c r="CK80" s="207"/>
      <c r="CL80" s="207"/>
      <c r="CM80" s="207"/>
      <c r="CN80" s="207"/>
    </row>
    <row r="81" spans="1:92" ht="18">
      <c r="A81" s="204"/>
      <c r="B81" s="318" t="s">
        <v>144</v>
      </c>
      <c r="C81" s="319">
        <f>D19</f>
        <v>0.08</v>
      </c>
      <c r="D81" s="319"/>
      <c r="E81" s="319">
        <f ca="1">(IRR(H81:CC81)+1)^12-1</f>
        <v>-3.472087353666975E-2</v>
      </c>
      <c r="F81" s="243"/>
      <c r="G81" s="243"/>
      <c r="H81" s="320">
        <f ca="1">-(H21+H23)</f>
        <v>-1422759.6644491339</v>
      </c>
      <c r="I81" s="320">
        <f ca="1">-(I21+I23)</f>
        <v>0</v>
      </c>
      <c r="J81" s="320">
        <f t="shared" ref="J81:BU81" ca="1" si="78">-(J21+J23)</f>
        <v>0</v>
      </c>
      <c r="K81" s="320">
        <f t="shared" ca="1" si="78"/>
        <v>0</v>
      </c>
      <c r="L81" s="320">
        <f t="shared" ca="1" si="78"/>
        <v>0</v>
      </c>
      <c r="M81" s="320">
        <f t="shared" ca="1" si="78"/>
        <v>0</v>
      </c>
      <c r="N81" s="320">
        <f t="shared" ca="1" si="78"/>
        <v>0</v>
      </c>
      <c r="O81" s="320">
        <f t="shared" ca="1" si="78"/>
        <v>0</v>
      </c>
      <c r="P81" s="320">
        <f t="shared" ca="1" si="78"/>
        <v>0</v>
      </c>
      <c r="Q81" s="320">
        <f t="shared" ca="1" si="78"/>
        <v>0</v>
      </c>
      <c r="R81" s="320">
        <f t="shared" ca="1" si="78"/>
        <v>0</v>
      </c>
      <c r="S81" s="320">
        <f t="shared" ca="1" si="78"/>
        <v>0</v>
      </c>
      <c r="T81" s="320">
        <f t="shared" ca="1" si="78"/>
        <v>0</v>
      </c>
      <c r="U81" s="320">
        <f t="shared" ca="1" si="78"/>
        <v>5928.1652685380586</v>
      </c>
      <c r="V81" s="320">
        <f t="shared" ca="1" si="78"/>
        <v>5928.1652685380586</v>
      </c>
      <c r="W81" s="320">
        <f t="shared" ca="1" si="78"/>
        <v>5928.1652685380586</v>
      </c>
      <c r="X81" s="320">
        <f t="shared" ca="1" si="78"/>
        <v>5928.1652685380586</v>
      </c>
      <c r="Y81" s="320">
        <f t="shared" ca="1" si="78"/>
        <v>5928.1652685380586</v>
      </c>
      <c r="Z81" s="320">
        <f t="shared" ca="1" si="78"/>
        <v>5928.1652685380586</v>
      </c>
      <c r="AA81" s="320">
        <f t="shared" ca="1" si="78"/>
        <v>5928.1652685380586</v>
      </c>
      <c r="AB81" s="320">
        <f t="shared" ca="1" si="78"/>
        <v>5928.1652685380586</v>
      </c>
      <c r="AC81" s="320">
        <f t="shared" ca="1" si="78"/>
        <v>5928.1652685380586</v>
      </c>
      <c r="AD81" s="320">
        <f t="shared" ca="1" si="78"/>
        <v>5928.1652685380586</v>
      </c>
      <c r="AE81" s="320">
        <f t="shared" ca="1" si="78"/>
        <v>5928.1652685380586</v>
      </c>
      <c r="AF81" s="320">
        <f t="shared" ca="1" si="78"/>
        <v>5928.1652685380586</v>
      </c>
      <c r="AG81" s="320">
        <f t="shared" ca="1" si="78"/>
        <v>8892.2479028070866</v>
      </c>
      <c r="AH81" s="320">
        <f t="shared" ca="1" si="78"/>
        <v>8892.2479028070866</v>
      </c>
      <c r="AI81" s="320">
        <f t="shared" ca="1" si="78"/>
        <v>8892.2479028070866</v>
      </c>
      <c r="AJ81" s="320">
        <f t="shared" ca="1" si="78"/>
        <v>8892.2479028070866</v>
      </c>
      <c r="AK81" s="320">
        <f t="shared" ca="1" si="78"/>
        <v>8892.2479028070866</v>
      </c>
      <c r="AL81" s="320">
        <f t="shared" ca="1" si="78"/>
        <v>8892.2479028070866</v>
      </c>
      <c r="AM81" s="320">
        <f t="shared" ca="1" si="78"/>
        <v>8892.2479028070866</v>
      </c>
      <c r="AN81" s="320">
        <f t="shared" ca="1" si="78"/>
        <v>8892.2479028070866</v>
      </c>
      <c r="AO81" s="320">
        <f t="shared" ca="1" si="78"/>
        <v>8892.2479028070866</v>
      </c>
      <c r="AP81" s="320">
        <f t="shared" ca="1" si="78"/>
        <v>8892.2479028070866</v>
      </c>
      <c r="AQ81" s="320">
        <f t="shared" ca="1" si="78"/>
        <v>899511.69982586254</v>
      </c>
      <c r="AR81" s="320">
        <f t="shared" ca="1" si="78"/>
        <v>3290.8677020331529</v>
      </c>
      <c r="AS81" s="320">
        <f t="shared" ca="1" si="78"/>
        <v>5265.3883232530443</v>
      </c>
      <c r="AT81" s="320">
        <f t="shared" ca="1" si="78"/>
        <v>5265.3883232530443</v>
      </c>
      <c r="AU81" s="320">
        <f t="shared" ca="1" si="78"/>
        <v>5265.3883232530443</v>
      </c>
      <c r="AV81" s="320">
        <f t="shared" ca="1" si="78"/>
        <v>5265.3883232530443</v>
      </c>
      <c r="AW81" s="320">
        <f t="shared" ca="1" si="78"/>
        <v>5265.3883232530443</v>
      </c>
      <c r="AX81" s="320">
        <f t="shared" ca="1" si="78"/>
        <v>5265.3883232530443</v>
      </c>
      <c r="AY81" s="320">
        <f t="shared" ca="1" si="78"/>
        <v>5265.3883232530443</v>
      </c>
      <c r="AZ81" s="320">
        <f t="shared" ca="1" si="78"/>
        <v>5265.3883232530443</v>
      </c>
      <c r="BA81" s="320">
        <f t="shared" ca="1" si="78"/>
        <v>5265.3883232530443</v>
      </c>
      <c r="BB81" s="320">
        <f t="shared" ca="1" si="78"/>
        <v>5265.3883232530443</v>
      </c>
      <c r="BC81" s="320">
        <f t="shared" ca="1" si="78"/>
        <v>5265.3883232530443</v>
      </c>
      <c r="BD81" s="320">
        <f t="shared" ca="1" si="78"/>
        <v>5265.3883232530443</v>
      </c>
      <c r="BE81" s="320">
        <f t="shared" ca="1" si="78"/>
        <v>5704.170683524133</v>
      </c>
      <c r="BF81" s="320">
        <f t="shared" ca="1" si="78"/>
        <v>5704.170683524133</v>
      </c>
      <c r="BG81" s="320">
        <f t="shared" ca="1" si="78"/>
        <v>5704.170683524133</v>
      </c>
      <c r="BH81" s="320">
        <f t="shared" ca="1" si="78"/>
        <v>5704.170683524133</v>
      </c>
      <c r="BI81" s="320">
        <f t="shared" ca="1" si="78"/>
        <v>5704.170683524133</v>
      </c>
      <c r="BJ81" s="320">
        <f t="shared" ca="1" si="78"/>
        <v>5704.170683524133</v>
      </c>
      <c r="BK81" s="320">
        <f t="shared" ca="1" si="78"/>
        <v>5704.170683524133</v>
      </c>
      <c r="BL81" s="320">
        <f t="shared" ca="1" si="78"/>
        <v>5704.170683524133</v>
      </c>
      <c r="BM81" s="320">
        <f t="shared" ca="1" si="78"/>
        <v>5704.170683524133</v>
      </c>
      <c r="BN81" s="320">
        <f t="shared" ca="1" si="78"/>
        <v>5704.170683524133</v>
      </c>
      <c r="BO81" s="320">
        <f t="shared" ca="1" si="78"/>
        <v>5704.170683524133</v>
      </c>
      <c r="BP81" s="320">
        <f t="shared" ca="1" si="78"/>
        <v>5704.170683524133</v>
      </c>
      <c r="BQ81" s="320">
        <f t="shared" ca="1" si="78"/>
        <v>6142.9530437952199</v>
      </c>
      <c r="BR81" s="320">
        <f t="shared" ca="1" si="78"/>
        <v>6142.9530437952199</v>
      </c>
      <c r="BS81" s="320">
        <f t="shared" ca="1" si="78"/>
        <v>6142.9530437952199</v>
      </c>
      <c r="BT81" s="320">
        <f t="shared" ca="1" si="78"/>
        <v>6142.9530437952199</v>
      </c>
      <c r="BU81" s="320">
        <f t="shared" ca="1" si="78"/>
        <v>6142.9530437952199</v>
      </c>
      <c r="BV81" s="320">
        <f t="shared" ref="BV81:CN81" ca="1" si="79">-(BV21+BV23)</f>
        <v>6142.9530437952199</v>
      </c>
      <c r="BW81" s="320">
        <f t="shared" ca="1" si="79"/>
        <v>6142.9530437952199</v>
      </c>
      <c r="BX81" s="320">
        <f t="shared" ca="1" si="79"/>
        <v>6142.9530437952199</v>
      </c>
      <c r="BY81" s="320">
        <f t="shared" ca="1" si="79"/>
        <v>6142.9530437952199</v>
      </c>
      <c r="BZ81" s="320">
        <f t="shared" ca="1" si="79"/>
        <v>6142.9530437952199</v>
      </c>
      <c r="CA81" s="320">
        <f t="shared" ca="1" si="79"/>
        <v>6142.9530437952199</v>
      </c>
      <c r="CB81" s="320">
        <f t="shared" ca="1" si="79"/>
        <v>6142.9530437952199</v>
      </c>
      <c r="CC81" s="320">
        <f t="shared" ca="1" si="79"/>
        <v>6581.7354040663058</v>
      </c>
      <c r="CD81" s="320">
        <f t="shared" ca="1" si="79"/>
        <v>6581.7354040663058</v>
      </c>
      <c r="CE81" s="320">
        <f t="shared" ca="1" si="79"/>
        <v>6581.7354040663058</v>
      </c>
      <c r="CF81" s="320">
        <f t="shared" ca="1" si="79"/>
        <v>6581.7354040663058</v>
      </c>
      <c r="CG81" s="320">
        <f t="shared" ca="1" si="79"/>
        <v>6581.7354040663058</v>
      </c>
      <c r="CH81" s="320">
        <f t="shared" ca="1" si="79"/>
        <v>6581.7354040663058</v>
      </c>
      <c r="CI81" s="320">
        <f t="shared" ca="1" si="79"/>
        <v>6581.7354040663058</v>
      </c>
      <c r="CJ81" s="320">
        <f t="shared" ca="1" si="79"/>
        <v>6581.7354040663058</v>
      </c>
      <c r="CK81" s="320">
        <f t="shared" ca="1" si="79"/>
        <v>6581.7354040663058</v>
      </c>
      <c r="CL81" s="320">
        <f t="shared" ca="1" si="79"/>
        <v>6581.7354040663058</v>
      </c>
      <c r="CM81" s="320">
        <f t="shared" ca="1" si="79"/>
        <v>647293.64490140229</v>
      </c>
      <c r="CN81" s="320">
        <f t="shared" si="79"/>
        <v>0</v>
      </c>
    </row>
    <row r="82" spans="1:92" ht="18">
      <c r="A82" s="204"/>
      <c r="B82" s="318" t="s">
        <v>146</v>
      </c>
      <c r="C82" s="319">
        <f>D32</f>
        <v>0.12</v>
      </c>
      <c r="D82" s="319"/>
      <c r="E82" s="319">
        <f ca="1">(IRR(H82:CC82)+1)^12-1</f>
        <v>-3.4720873536672414E-2</v>
      </c>
      <c r="F82" s="243"/>
      <c r="G82" s="243"/>
      <c r="H82" s="320">
        <f ca="1">-(H34+H36+H37)</f>
        <v>-1422759.6644491339</v>
      </c>
      <c r="I82" s="320">
        <f ca="1">-(I34+I36+I37)</f>
        <v>0</v>
      </c>
      <c r="J82" s="320">
        <f t="shared" ref="J82:BU82" ca="1" si="80">-(J34+J36+J37)</f>
        <v>0</v>
      </c>
      <c r="K82" s="320">
        <f t="shared" ca="1" si="80"/>
        <v>0</v>
      </c>
      <c r="L82" s="320">
        <f t="shared" ca="1" si="80"/>
        <v>0</v>
      </c>
      <c r="M82" s="320">
        <f t="shared" ca="1" si="80"/>
        <v>0</v>
      </c>
      <c r="N82" s="320">
        <f t="shared" ca="1" si="80"/>
        <v>0</v>
      </c>
      <c r="O82" s="320">
        <f t="shared" ca="1" si="80"/>
        <v>0</v>
      </c>
      <c r="P82" s="320">
        <f t="shared" ca="1" si="80"/>
        <v>0</v>
      </c>
      <c r="Q82" s="320">
        <f t="shared" ca="1" si="80"/>
        <v>0</v>
      </c>
      <c r="R82" s="320">
        <f t="shared" ca="1" si="80"/>
        <v>0</v>
      </c>
      <c r="S82" s="320">
        <f t="shared" ca="1" si="80"/>
        <v>0</v>
      </c>
      <c r="T82" s="320">
        <f t="shared" ca="1" si="80"/>
        <v>0</v>
      </c>
      <c r="U82" s="320">
        <f t="shared" ca="1" si="80"/>
        <v>5928.1652685380586</v>
      </c>
      <c r="V82" s="320">
        <f t="shared" ca="1" si="80"/>
        <v>5928.1652685380586</v>
      </c>
      <c r="W82" s="320">
        <f t="shared" ca="1" si="80"/>
        <v>5928.1652685380586</v>
      </c>
      <c r="X82" s="320">
        <f t="shared" ca="1" si="80"/>
        <v>5928.1652685380586</v>
      </c>
      <c r="Y82" s="320">
        <f t="shared" ca="1" si="80"/>
        <v>5928.1652685380586</v>
      </c>
      <c r="Z82" s="320">
        <f t="shared" ca="1" si="80"/>
        <v>5928.1652685380586</v>
      </c>
      <c r="AA82" s="320">
        <f t="shared" ca="1" si="80"/>
        <v>5928.1652685380586</v>
      </c>
      <c r="AB82" s="320">
        <f t="shared" ca="1" si="80"/>
        <v>5928.1652685380586</v>
      </c>
      <c r="AC82" s="320">
        <f t="shared" ca="1" si="80"/>
        <v>5928.1652685380586</v>
      </c>
      <c r="AD82" s="320">
        <f t="shared" ca="1" si="80"/>
        <v>5928.1652685380586</v>
      </c>
      <c r="AE82" s="320">
        <f t="shared" ca="1" si="80"/>
        <v>5928.1652685380586</v>
      </c>
      <c r="AF82" s="320">
        <f t="shared" ca="1" si="80"/>
        <v>5928.1652685380586</v>
      </c>
      <c r="AG82" s="320">
        <f t="shared" ca="1" si="80"/>
        <v>8892.2479028070866</v>
      </c>
      <c r="AH82" s="320">
        <f t="shared" ca="1" si="80"/>
        <v>8892.2479028070866</v>
      </c>
      <c r="AI82" s="320">
        <f t="shared" ca="1" si="80"/>
        <v>8892.2479028070866</v>
      </c>
      <c r="AJ82" s="320">
        <f t="shared" ca="1" si="80"/>
        <v>8892.2479028070866</v>
      </c>
      <c r="AK82" s="320">
        <f t="shared" ca="1" si="80"/>
        <v>8892.2479028070866</v>
      </c>
      <c r="AL82" s="320">
        <f t="shared" ca="1" si="80"/>
        <v>8892.2479028070866</v>
      </c>
      <c r="AM82" s="320">
        <f t="shared" ca="1" si="80"/>
        <v>8892.2479028070866</v>
      </c>
      <c r="AN82" s="320">
        <f t="shared" ca="1" si="80"/>
        <v>8892.2479028070866</v>
      </c>
      <c r="AO82" s="320">
        <f t="shared" ca="1" si="80"/>
        <v>8892.2479028070866</v>
      </c>
      <c r="AP82" s="320">
        <f t="shared" ca="1" si="80"/>
        <v>8892.2479028070866</v>
      </c>
      <c r="AQ82" s="320">
        <f t="shared" ca="1" si="80"/>
        <v>899511.69982586254</v>
      </c>
      <c r="AR82" s="320">
        <f t="shared" ca="1" si="80"/>
        <v>3290.8677020331534</v>
      </c>
      <c r="AS82" s="320">
        <f t="shared" ca="1" si="80"/>
        <v>5265.3883232530443</v>
      </c>
      <c r="AT82" s="320">
        <f t="shared" ca="1" si="80"/>
        <v>5265.3883232530443</v>
      </c>
      <c r="AU82" s="320">
        <f t="shared" ca="1" si="80"/>
        <v>5265.3883232530443</v>
      </c>
      <c r="AV82" s="320">
        <f t="shared" ca="1" si="80"/>
        <v>5265.3883232530443</v>
      </c>
      <c r="AW82" s="320">
        <f t="shared" ca="1" si="80"/>
        <v>5265.3883232530443</v>
      </c>
      <c r="AX82" s="320">
        <f t="shared" ca="1" si="80"/>
        <v>5265.3883232530443</v>
      </c>
      <c r="AY82" s="320">
        <f t="shared" ca="1" si="80"/>
        <v>5265.3883232530443</v>
      </c>
      <c r="AZ82" s="320">
        <f t="shared" ca="1" si="80"/>
        <v>5265.3883232530443</v>
      </c>
      <c r="BA82" s="320">
        <f t="shared" ca="1" si="80"/>
        <v>5265.3883232530443</v>
      </c>
      <c r="BB82" s="320">
        <f t="shared" ca="1" si="80"/>
        <v>5265.3883232530443</v>
      </c>
      <c r="BC82" s="320">
        <f t="shared" ca="1" si="80"/>
        <v>5265.3883232530443</v>
      </c>
      <c r="BD82" s="320">
        <f t="shared" ca="1" si="80"/>
        <v>5265.3883232530443</v>
      </c>
      <c r="BE82" s="320">
        <f t="shared" ca="1" si="80"/>
        <v>5704.170683524133</v>
      </c>
      <c r="BF82" s="320">
        <f t="shared" ca="1" si="80"/>
        <v>5704.170683524133</v>
      </c>
      <c r="BG82" s="320">
        <f t="shared" ca="1" si="80"/>
        <v>5704.170683524133</v>
      </c>
      <c r="BH82" s="320">
        <f t="shared" ca="1" si="80"/>
        <v>5704.170683524133</v>
      </c>
      <c r="BI82" s="320">
        <f t="shared" ca="1" si="80"/>
        <v>5704.170683524133</v>
      </c>
      <c r="BJ82" s="320">
        <f t="shared" ca="1" si="80"/>
        <v>5704.170683524133</v>
      </c>
      <c r="BK82" s="320">
        <f t="shared" ca="1" si="80"/>
        <v>5704.170683524133</v>
      </c>
      <c r="BL82" s="320">
        <f t="shared" ca="1" si="80"/>
        <v>5704.170683524133</v>
      </c>
      <c r="BM82" s="320">
        <f t="shared" ca="1" si="80"/>
        <v>5704.170683524133</v>
      </c>
      <c r="BN82" s="320">
        <f t="shared" ca="1" si="80"/>
        <v>5704.170683524133</v>
      </c>
      <c r="BO82" s="320">
        <f t="shared" ca="1" si="80"/>
        <v>5704.170683524133</v>
      </c>
      <c r="BP82" s="320">
        <f t="shared" ca="1" si="80"/>
        <v>5704.170683524133</v>
      </c>
      <c r="BQ82" s="320">
        <f t="shared" ca="1" si="80"/>
        <v>6142.9530437952208</v>
      </c>
      <c r="BR82" s="320">
        <f t="shared" ca="1" si="80"/>
        <v>6142.9530437952208</v>
      </c>
      <c r="BS82" s="320">
        <f t="shared" ca="1" si="80"/>
        <v>6142.9530437952208</v>
      </c>
      <c r="BT82" s="320">
        <f t="shared" ca="1" si="80"/>
        <v>6142.9530437952208</v>
      </c>
      <c r="BU82" s="320">
        <f t="shared" ca="1" si="80"/>
        <v>6142.9530437952208</v>
      </c>
      <c r="BV82" s="320">
        <f t="shared" ref="BV82:CN82" ca="1" si="81">-(BV34+BV36+BV37)</f>
        <v>6142.9530437952208</v>
      </c>
      <c r="BW82" s="320">
        <f t="shared" ca="1" si="81"/>
        <v>6142.9530437952208</v>
      </c>
      <c r="BX82" s="320">
        <f t="shared" ca="1" si="81"/>
        <v>6142.9530437952208</v>
      </c>
      <c r="BY82" s="320">
        <f t="shared" ca="1" si="81"/>
        <v>6142.9530437952208</v>
      </c>
      <c r="BZ82" s="320">
        <f t="shared" ca="1" si="81"/>
        <v>6142.9530437952208</v>
      </c>
      <c r="CA82" s="320">
        <f t="shared" ca="1" si="81"/>
        <v>6142.9530437952208</v>
      </c>
      <c r="CB82" s="320">
        <f t="shared" ca="1" si="81"/>
        <v>6142.9530437952208</v>
      </c>
      <c r="CC82" s="320">
        <f t="shared" ca="1" si="81"/>
        <v>6581.7354040663067</v>
      </c>
      <c r="CD82" s="320">
        <f t="shared" ca="1" si="81"/>
        <v>6581.7354040663067</v>
      </c>
      <c r="CE82" s="320">
        <f t="shared" ca="1" si="81"/>
        <v>6581.7354040663067</v>
      </c>
      <c r="CF82" s="320">
        <f t="shared" ca="1" si="81"/>
        <v>6581.7354040663067</v>
      </c>
      <c r="CG82" s="320">
        <f t="shared" ca="1" si="81"/>
        <v>6581.7354040663067</v>
      </c>
      <c r="CH82" s="320">
        <f t="shared" ca="1" si="81"/>
        <v>6581.7354040663067</v>
      </c>
      <c r="CI82" s="320">
        <f t="shared" ca="1" si="81"/>
        <v>6581.7354040663067</v>
      </c>
      <c r="CJ82" s="320">
        <f t="shared" ca="1" si="81"/>
        <v>6581.7354040663067</v>
      </c>
      <c r="CK82" s="320">
        <f t="shared" ca="1" si="81"/>
        <v>6581.7354040663067</v>
      </c>
      <c r="CL82" s="320">
        <f t="shared" ca="1" si="81"/>
        <v>6581.7354040663067</v>
      </c>
      <c r="CM82" s="320">
        <f t="shared" ca="1" si="81"/>
        <v>1079002.8745698361</v>
      </c>
      <c r="CN82" s="320">
        <f t="shared" si="81"/>
        <v>0</v>
      </c>
    </row>
    <row r="83" spans="1:92">
      <c r="E83" s="321"/>
      <c r="F83" s="321"/>
      <c r="G83" s="321"/>
      <c r="H83" s="321"/>
      <c r="U83" s="193"/>
    </row>
    <row r="84" spans="1:92">
      <c r="E84" s="321"/>
      <c r="F84" s="321"/>
      <c r="G84" s="321"/>
      <c r="H84" s="321"/>
    </row>
    <row r="85" spans="1:92" ht="18">
      <c r="B85" s="273" t="s">
        <v>187</v>
      </c>
      <c r="C85" s="322"/>
      <c r="D85" s="322"/>
      <c r="E85" s="322"/>
      <c r="F85" s="322"/>
    </row>
    <row r="86" spans="1:92" ht="18">
      <c r="B86" s="205"/>
      <c r="C86" s="301" t="s">
        <v>188</v>
      </c>
      <c r="D86" s="205" t="s">
        <v>189</v>
      </c>
      <c r="E86" s="322"/>
      <c r="F86" s="205" t="s">
        <v>190</v>
      </c>
    </row>
    <row r="87" spans="1:92" ht="18">
      <c r="B87" s="318" t="s">
        <v>141</v>
      </c>
      <c r="C87" s="323">
        <f>C16</f>
        <v>0.05</v>
      </c>
      <c r="D87" s="323">
        <f ca="1">1-D88</f>
        <v>0.23565708773394023</v>
      </c>
      <c r="E87" s="322"/>
      <c r="F87" s="205"/>
      <c r="T87" s="193"/>
    </row>
    <row r="88" spans="1:92" ht="18">
      <c r="B88" s="318" t="s">
        <v>142</v>
      </c>
      <c r="C88" s="323">
        <f>C17</f>
        <v>0.95</v>
      </c>
      <c r="D88" s="323">
        <f ca="1">C64/C57</f>
        <v>0.76434291226605977</v>
      </c>
      <c r="E88" s="322"/>
      <c r="F88" s="205"/>
      <c r="T88" s="193"/>
    </row>
    <row r="89" spans="1:92" ht="18">
      <c r="B89" s="273" t="s">
        <v>20</v>
      </c>
      <c r="C89" s="322"/>
      <c r="D89" s="322"/>
      <c r="E89" s="322"/>
      <c r="F89" s="322"/>
      <c r="T89" s="193"/>
    </row>
    <row r="90" spans="1:92" ht="18">
      <c r="B90" s="318" t="s">
        <v>191</v>
      </c>
      <c r="C90" s="324">
        <f ca="1">C58</f>
        <v>0.15240297913551332</v>
      </c>
      <c r="D90" s="322"/>
      <c r="E90" s="322"/>
      <c r="F90" s="322"/>
    </row>
    <row r="91" spans="1:92" ht="18">
      <c r="B91" s="318" t="s">
        <v>142</v>
      </c>
      <c r="C91" s="324">
        <f ca="1">C65</f>
        <v>0.1327483594417572</v>
      </c>
      <c r="D91" s="322"/>
      <c r="E91" s="322"/>
      <c r="F91" s="322"/>
    </row>
    <row r="92" spans="1:92" ht="18">
      <c r="B92" s="318" t="s">
        <v>141</v>
      </c>
      <c r="C92" s="324">
        <f ca="1">C73</f>
        <v>0.34496570229530343</v>
      </c>
      <c r="D92" s="322"/>
      <c r="E92" s="322"/>
      <c r="F92" s="322"/>
    </row>
    <row r="93" spans="1:92" ht="18">
      <c r="B93" s="273" t="s">
        <v>176</v>
      </c>
      <c r="C93" s="322"/>
      <c r="D93" s="322"/>
      <c r="E93" s="322"/>
      <c r="F93" s="322"/>
    </row>
    <row r="94" spans="1:92" ht="18">
      <c r="B94" s="318" t="s">
        <v>191</v>
      </c>
      <c r="C94" s="325">
        <f ca="1">C59</f>
        <v>1.9795314037238343</v>
      </c>
      <c r="D94" s="322"/>
      <c r="E94" s="322"/>
      <c r="F94" s="322"/>
    </row>
    <row r="95" spans="1:92" ht="18">
      <c r="B95" s="318" t="s">
        <v>142</v>
      </c>
      <c r="C95" s="325">
        <f ca="1">C66</f>
        <v>1.7881030376614073</v>
      </c>
      <c r="D95" s="322"/>
      <c r="E95" s="322"/>
      <c r="F95" s="322"/>
    </row>
    <row r="96" spans="1:92" ht="18">
      <c r="B96" s="318" t="s">
        <v>141</v>
      </c>
      <c r="C96" s="325">
        <f ca="1">C74</f>
        <v>5.6166703589099578</v>
      </c>
      <c r="D96" s="322"/>
      <c r="E96" s="322"/>
      <c r="F96" s="322"/>
    </row>
    <row r="97" spans="2:6" s="194" customFormat="1" ht="18">
      <c r="B97" s="273" t="s">
        <v>192</v>
      </c>
      <c r="C97" s="205"/>
      <c r="D97" s="205"/>
      <c r="E97" s="322"/>
      <c r="F97" s="322"/>
    </row>
    <row r="98" spans="2:6" s="194" customFormat="1" ht="18">
      <c r="B98" s="205"/>
      <c r="C98" s="210" t="s">
        <v>193</v>
      </c>
      <c r="D98" s="210" t="s">
        <v>194</v>
      </c>
      <c r="E98" s="322"/>
      <c r="F98" s="322"/>
    </row>
    <row r="99" spans="2:6" s="194" customFormat="1" ht="18">
      <c r="B99" s="318" t="s">
        <v>144</v>
      </c>
      <c r="C99" s="326">
        <f ca="1">SUM(E26:E27)</f>
        <v>-165393.62459676669</v>
      </c>
      <c r="D99" s="323">
        <f ca="1">C99/C102</f>
        <v>1</v>
      </c>
      <c r="E99" s="322"/>
      <c r="F99" s="322"/>
    </row>
    <row r="100" spans="2:6" s="194" customFormat="1" ht="18">
      <c r="B100" s="318" t="s">
        <v>146</v>
      </c>
      <c r="C100" s="326">
        <f ca="1">SUM(E40:E42)</f>
        <v>4.5474735088646412E-13</v>
      </c>
      <c r="D100" s="323">
        <f ca="1">C100/C102</f>
        <v>-2.7494853685875025E-18</v>
      </c>
      <c r="E100" s="322"/>
      <c r="F100" s="322"/>
    </row>
    <row r="101" spans="2:6" s="194" customFormat="1" ht="18">
      <c r="B101" s="327" t="s">
        <v>148</v>
      </c>
      <c r="C101" s="328">
        <f ca="1">SUM(E47:E49)</f>
        <v>0</v>
      </c>
      <c r="D101" s="329">
        <f ca="1">C101/C102</f>
        <v>0</v>
      </c>
      <c r="E101" s="322"/>
      <c r="F101" s="322"/>
    </row>
    <row r="102" spans="2:6" s="194" customFormat="1" ht="18">
      <c r="B102" s="273" t="s">
        <v>61</v>
      </c>
      <c r="C102" s="330">
        <f ca="1">SUM(C99:C101)</f>
        <v>-165393.62459676669</v>
      </c>
      <c r="D102" s="331">
        <f ca="1">SUM(D99:D101)</f>
        <v>1</v>
      </c>
      <c r="E102" s="322"/>
      <c r="F102" s="322"/>
    </row>
    <row r="103" spans="2:6" s="194" customFormat="1" ht="18">
      <c r="B103" s="332" t="s">
        <v>195</v>
      </c>
      <c r="C103" s="328">
        <f ca="1">C69</f>
        <v>-74882.087602586005</v>
      </c>
      <c r="D103" s="205"/>
      <c r="E103" s="322"/>
      <c r="F103" s="322"/>
    </row>
    <row r="104" spans="2:6" s="194" customFormat="1" ht="18">
      <c r="B104" s="273" t="s">
        <v>130</v>
      </c>
      <c r="C104" s="330">
        <f ca="1">SUM(C102:C103)</f>
        <v>-240275.71219935268</v>
      </c>
      <c r="D104" s="205"/>
      <c r="E104" s="322"/>
      <c r="F104" s="322"/>
    </row>
    <row r="119" spans="1:21" s="193" customFormat="1" ht="15.5">
      <c r="A119" s="195"/>
      <c r="I119" s="194"/>
      <c r="J119" s="194"/>
      <c r="K119" s="194"/>
      <c r="L119" s="194"/>
      <c r="M119" s="194"/>
      <c r="N119" s="194"/>
      <c r="O119" s="194"/>
      <c r="P119" s="333" t="s">
        <v>190</v>
      </c>
      <c r="Q119" s="194"/>
      <c r="R119" s="194"/>
      <c r="S119" s="194"/>
      <c r="T119" s="194"/>
      <c r="U119" s="194"/>
    </row>
  </sheetData>
  <mergeCells count="2">
    <mergeCell ref="C18:D18"/>
    <mergeCell ref="C45:D45"/>
  </mergeCells>
  <conditionalFormatting sqref="D76">
    <cfRule type="containsText" dxfId="19" priority="1" operator="containsText" text="OK">
      <formula>NOT(ISERROR(SEARCH("OK",D76)))</formula>
    </cfRule>
    <cfRule type="containsText" dxfId="18" priority="2" operator="containsText" text="Fix">
      <formula>NOT(ISERROR(SEARCH("Fix",D76)))</formula>
    </cfRule>
  </conditionalFormatting>
  <pageMargins left="0.75" right="0.75" top="1" bottom="1" header="0.5" footer="0.5"/>
  <drawing r:id="rId1"/>
  <legacyDrawing r:id="rId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499984740745262"/>
  </sheetPr>
  <dimension ref="A1:CW94"/>
  <sheetViews>
    <sheetView showGridLines="0" zoomScale="90" zoomScaleNormal="90" zoomScalePageLayoutView="90" workbookViewId="0">
      <pane xSplit="2" ySplit="7" topLeftCell="C71" activePane="bottomRight" state="frozen"/>
      <selection pane="topRight" activeCell="C1" sqref="C1"/>
      <selection pane="bottomLeft" activeCell="A6" sqref="A6"/>
      <selection pane="bottomRight" activeCell="E28" sqref="E28"/>
    </sheetView>
  </sheetViews>
  <sheetFormatPr defaultColWidth="8.6328125" defaultRowHeight="14.5"/>
  <cols>
    <col min="1" max="1" width="15.08984375" bestFit="1" customWidth="1"/>
    <col min="2" max="2" width="32.6328125" style="2" customWidth="1"/>
    <col min="3" max="3" width="17.6328125" style="111" bestFit="1" customWidth="1"/>
    <col min="4" max="4" width="10.6328125" bestFit="1" customWidth="1"/>
    <col min="5" max="5" width="10.08984375" bestFit="1" customWidth="1"/>
    <col min="6" max="6" width="9.453125" bestFit="1" customWidth="1"/>
    <col min="7" max="8" width="9.6328125" bestFit="1" customWidth="1"/>
    <col min="9" max="9" width="9.453125" bestFit="1" customWidth="1"/>
    <col min="10" max="12" width="9.6328125" bestFit="1" customWidth="1"/>
    <col min="13" max="15" width="10" bestFit="1" customWidth="1"/>
    <col min="16" max="16" width="11.453125" customWidth="1"/>
    <col min="17" max="17" width="9.6328125" bestFit="1" customWidth="1"/>
    <col min="18" max="18" width="10" bestFit="1" customWidth="1"/>
    <col min="19" max="25" width="9.6328125" bestFit="1" customWidth="1"/>
    <col min="26" max="28" width="10.6328125" bestFit="1" customWidth="1"/>
    <col min="29" max="29" width="10.6328125" customWidth="1"/>
    <col min="30" max="38" width="9.6328125" bestFit="1" customWidth="1"/>
    <col min="39" max="41" width="10.6328125" bestFit="1" customWidth="1"/>
    <col min="42" max="42" width="10.6328125" customWidth="1"/>
    <col min="43" max="51" width="9.6328125" bestFit="1" customWidth="1"/>
    <col min="52" max="54" width="10.6328125" bestFit="1" customWidth="1"/>
    <col min="55" max="55" width="10.6328125" customWidth="1"/>
    <col min="56" max="56" width="10.08984375" bestFit="1" customWidth="1"/>
    <col min="57" max="65" width="9.6328125" bestFit="1" customWidth="1"/>
    <col min="66" max="66" width="10" bestFit="1" customWidth="1"/>
    <col min="67" max="67" width="9.6328125" bestFit="1" customWidth="1"/>
    <col min="68" max="68" width="10.6328125" bestFit="1" customWidth="1"/>
    <col min="69" max="80" width="9.6328125" bestFit="1" customWidth="1"/>
    <col min="81" max="81" width="10.6328125" bestFit="1" customWidth="1"/>
    <col min="82" max="82" width="9.6328125" bestFit="1" customWidth="1"/>
    <col min="83" max="83" width="9.36328125" bestFit="1" customWidth="1"/>
    <col min="84" max="93" width="9.6328125" bestFit="1" customWidth="1"/>
    <col min="94" max="94" width="10.6328125" bestFit="1" customWidth="1"/>
  </cols>
  <sheetData>
    <row r="1" spans="2:94">
      <c r="B1" s="2" t="s">
        <v>225</v>
      </c>
      <c r="C1" s="48">
        <v>0</v>
      </c>
      <c r="D1">
        <f>MIN((D2+$C$1),Assumptions!$C$10)</f>
        <v>0</v>
      </c>
      <c r="E1">
        <f>MIN((E2+$C$1),Assumptions!$C$10)</f>
        <v>0</v>
      </c>
      <c r="F1">
        <f>MIN((F2+$C$1),Assumptions!$C$10)</f>
        <v>1</v>
      </c>
      <c r="G1">
        <f>MIN((G2+$C$1),Assumptions!$C$10)</f>
        <v>2</v>
      </c>
      <c r="H1">
        <f>MIN((H2+$C$1),Assumptions!$C$10)</f>
        <v>3</v>
      </c>
      <c r="I1">
        <f>MIN((I2+$C$1),Assumptions!$C$10)</f>
        <v>4</v>
      </c>
      <c r="J1">
        <f>MIN((J2+$C$1),Assumptions!$C$10)</f>
        <v>5</v>
      </c>
      <c r="K1">
        <f>MIN((K2+$C$1),Assumptions!$C$10)</f>
        <v>6</v>
      </c>
      <c r="L1">
        <f>MIN((L2+$C$1),Assumptions!$C$10)</f>
        <v>7</v>
      </c>
      <c r="M1">
        <f>MIN((M2+$C$1),Assumptions!$C$10)</f>
        <v>8</v>
      </c>
      <c r="N1">
        <f>MIN((N2+$C$1),Assumptions!$C$10)</f>
        <v>9</v>
      </c>
      <c r="O1">
        <f>MIN((O2+$C$1),Assumptions!$C$10)</f>
        <v>10</v>
      </c>
      <c r="Q1">
        <f>MIN((Q2+$C$1),Assumptions!$C$10)</f>
        <v>11</v>
      </c>
      <c r="R1">
        <f>MIN((R2+$C$1),Assumptions!$C$10)</f>
        <v>12</v>
      </c>
      <c r="S1">
        <f>MIN((S2+$C$1),Assumptions!$C$10)</f>
        <v>13</v>
      </c>
      <c r="T1">
        <f>MIN((T2+$C$1),Assumptions!$C$10)</f>
        <v>14</v>
      </c>
      <c r="U1">
        <f>MIN((U2+$C$1),Assumptions!$C$10)</f>
        <v>15</v>
      </c>
      <c r="V1">
        <f>MIN((V2+$C$1),Assumptions!$C$10)</f>
        <v>16</v>
      </c>
      <c r="W1">
        <f>MIN((W2+$C$1),Assumptions!$C$10)</f>
        <v>17</v>
      </c>
      <c r="X1">
        <f>MIN((X2+$C$1),Assumptions!$C$10)</f>
        <v>17</v>
      </c>
      <c r="Y1">
        <f>MIN((Y2+$C$1),Assumptions!$C$10)</f>
        <v>17</v>
      </c>
      <c r="Z1">
        <f>MIN((Z2+$C$1),Assumptions!$C$10)</f>
        <v>17</v>
      </c>
      <c r="AA1">
        <f>MIN((AA2+$C$1),Assumptions!$C$10)</f>
        <v>17</v>
      </c>
      <c r="AB1">
        <f>MIN((AB2+$C$1),Assumptions!$C$10)</f>
        <v>17</v>
      </c>
      <c r="AD1">
        <f>MIN((AD2+$C$1),Assumptions!$C$10)</f>
        <v>17</v>
      </c>
      <c r="AE1">
        <f>MIN((AE2+$C$1),Assumptions!$C$10)</f>
        <v>17</v>
      </c>
      <c r="AF1">
        <f>MIN((AF2+$C$1),Assumptions!$C$10)</f>
        <v>17</v>
      </c>
      <c r="AG1">
        <f>MIN((AG2+$C$1),Assumptions!$C$10)</f>
        <v>17</v>
      </c>
      <c r="AH1">
        <f>MIN((AH2+$C$1),Assumptions!$C$10)</f>
        <v>17</v>
      </c>
      <c r="AI1">
        <f>MIN((AI2+$C$1),Assumptions!$C$10)</f>
        <v>17</v>
      </c>
      <c r="AJ1">
        <f>MIN((AJ2+$C$1),Assumptions!$C$10)</f>
        <v>17</v>
      </c>
      <c r="AK1">
        <f>MIN((AK2+$C$1),Assumptions!$C$10)</f>
        <v>17</v>
      </c>
      <c r="AL1">
        <f>MIN((AL2+$C$1),Assumptions!$C$10)</f>
        <v>17</v>
      </c>
      <c r="AM1">
        <f>MIN((AM2+$C$1),Assumptions!$C$10)</f>
        <v>17</v>
      </c>
      <c r="AN1">
        <f>MIN((AN2+$C$1),Assumptions!$C$10)</f>
        <v>17</v>
      </c>
      <c r="AO1">
        <f>MIN((AO2+$C$1),Assumptions!$C$10)</f>
        <v>17</v>
      </c>
      <c r="AQ1">
        <f>MIN((AQ2+$C$1),Assumptions!$C$10)</f>
        <v>17</v>
      </c>
      <c r="AR1">
        <f>MIN((AR2+$C$1),Assumptions!$C$10)</f>
        <v>17</v>
      </c>
      <c r="AS1">
        <f>MIN((AS2+$C$1),Assumptions!$C$10)</f>
        <v>17</v>
      </c>
      <c r="AT1">
        <f>MIN((AT2+$C$1),Assumptions!$C$10)</f>
        <v>17</v>
      </c>
      <c r="AU1">
        <f>MIN((AU2+$C$1),Assumptions!$C$10)</f>
        <v>17</v>
      </c>
      <c r="AV1">
        <f>MIN((AV2+$C$1),Assumptions!$C$10)</f>
        <v>17</v>
      </c>
      <c r="AW1">
        <f>MIN((AW2+$C$1),Assumptions!$C$10)</f>
        <v>17</v>
      </c>
      <c r="AX1">
        <f>MIN((AX2+$C$1),Assumptions!$C$10)</f>
        <v>17</v>
      </c>
      <c r="AY1">
        <f>MIN((AY2+$C$1),Assumptions!$C$10)</f>
        <v>17</v>
      </c>
      <c r="AZ1">
        <f>MIN((AZ2+$C$1),Assumptions!$C$10)</f>
        <v>17</v>
      </c>
      <c r="BA1">
        <f>MIN((BA2+$C$1),Assumptions!$C$10)</f>
        <v>17</v>
      </c>
      <c r="BB1">
        <f>MIN((BB2+$C$1),Assumptions!$C$10)</f>
        <v>17</v>
      </c>
      <c r="BD1">
        <f>MIN((BD2+$C$1),Assumptions!$C$10)</f>
        <v>17</v>
      </c>
      <c r="BE1">
        <f>MIN((BE2+$C$1),Assumptions!$C$10)</f>
        <v>17</v>
      </c>
      <c r="BF1">
        <f>MIN((BF2+$C$1),Assumptions!$C$10)</f>
        <v>17</v>
      </c>
      <c r="BG1">
        <f>MIN((BG2+$C$1),Assumptions!$C$10)</f>
        <v>17</v>
      </c>
      <c r="BH1">
        <f>MIN((BH2+$C$1),Assumptions!$C$10)</f>
        <v>17</v>
      </c>
      <c r="BI1">
        <f>MIN((BI2+$C$1),Assumptions!$C$10)</f>
        <v>17</v>
      </c>
      <c r="BJ1">
        <f>MIN((BJ2+$C$1),Assumptions!$C$10)</f>
        <v>17</v>
      </c>
      <c r="BK1">
        <f>MIN((BK2+$C$1),Assumptions!$C$10)</f>
        <v>17</v>
      </c>
      <c r="BL1">
        <f>MIN((BL2+$C$1),Assumptions!$C$10)</f>
        <v>17</v>
      </c>
      <c r="BM1">
        <f>MIN((BM2+$C$1),Assumptions!$C$10)</f>
        <v>17</v>
      </c>
      <c r="BN1">
        <f>MIN((BN2+$C$1),Assumptions!$C$10)</f>
        <v>17</v>
      </c>
      <c r="BO1">
        <f>MIN((BO2+$C$1),Assumptions!$C$10)</f>
        <v>17</v>
      </c>
      <c r="BQ1">
        <f>MIN((BQ2+$C$1),Assumptions!$C$10)</f>
        <v>17</v>
      </c>
      <c r="BR1">
        <f>MIN((BR2+$C$1),Assumptions!$C$10)</f>
        <v>17</v>
      </c>
      <c r="BS1">
        <f>MIN((BS2+$C$1),Assumptions!$C$10)</f>
        <v>17</v>
      </c>
      <c r="BT1">
        <f>MIN((BT2+$C$1),Assumptions!$C$10)</f>
        <v>17</v>
      </c>
      <c r="BU1">
        <f>MIN((BU2+$C$1),Assumptions!$C$10)</f>
        <v>17</v>
      </c>
      <c r="BV1">
        <f>MIN((BV2+$C$1),Assumptions!$C$10)</f>
        <v>17</v>
      </c>
      <c r="BW1">
        <f>MIN((BW2+$C$1),Assumptions!$C$10)</f>
        <v>17</v>
      </c>
      <c r="BX1">
        <f>MIN((BX2+$C$1),Assumptions!$C$10)</f>
        <v>17</v>
      </c>
      <c r="BY1">
        <f>MIN((BY2+$C$1),Assumptions!$C$10)</f>
        <v>17</v>
      </c>
      <c r="BZ1">
        <f>MIN((BZ2+$C$1),Assumptions!$C$10)</f>
        <v>17</v>
      </c>
      <c r="CA1">
        <f>MIN((CA2+$C$1),Assumptions!$C$10)</f>
        <v>17</v>
      </c>
      <c r="CB1">
        <f>MIN((CB2+$C$1),Assumptions!$C$10)</f>
        <v>17</v>
      </c>
      <c r="CD1">
        <f>MIN((CD2+$C$1),Assumptions!$C$10)</f>
        <v>17</v>
      </c>
      <c r="CE1">
        <f>MIN((CE2+$C$1),Assumptions!$C$10)</f>
        <v>17</v>
      </c>
      <c r="CF1">
        <f>MIN((CF2+$C$1),Assumptions!$C$10)</f>
        <v>17</v>
      </c>
      <c r="CG1">
        <f>MIN((CG2+$C$1),Assumptions!$C$10)</f>
        <v>17</v>
      </c>
      <c r="CH1">
        <f>MIN((CH2+$C$1),Assumptions!$C$10)</f>
        <v>17</v>
      </c>
      <c r="CI1">
        <f>MIN((CI2+$C$1),Assumptions!$C$10)</f>
        <v>17</v>
      </c>
      <c r="CJ1">
        <f>MIN((CJ2+$C$1),Assumptions!$C$10)</f>
        <v>17</v>
      </c>
      <c r="CK1">
        <f>MIN((CK2+$C$1),Assumptions!$C$10)</f>
        <v>17</v>
      </c>
      <c r="CL1">
        <f>MIN((CL2+$C$1),Assumptions!$C$10)</f>
        <v>17</v>
      </c>
      <c r="CM1">
        <f>MIN((CM2+$C$1),Assumptions!$C$10)</f>
        <v>17</v>
      </c>
      <c r="CN1">
        <f>MIN((CN2+$C$1),Assumptions!$C$10)</f>
        <v>17</v>
      </c>
      <c r="CO1">
        <f>MIN((CO2+$C$1),Assumptions!$C$10)</f>
        <v>17</v>
      </c>
    </row>
    <row r="2" spans="2:94">
      <c r="B2" s="2" t="s">
        <v>222</v>
      </c>
      <c r="D2">
        <f>IF(D6&gt;Assumptions!$C$56,Assumptions!$C$53,IF(D6&gt;=Assumptions!$C$55,MIN(ROUNDDOWN(Assumptions!$C$52*'Monthly Cash Flow'!D$4,0),Assumptions!$C$53),0))</f>
        <v>0</v>
      </c>
      <c r="E2">
        <f>IF(E6&gt;Assumptions!$C$56,Assumptions!$C$53,IF(E6&gt;=Assumptions!$C$55,MIN(ROUNDDOWN(Assumptions!$C$52*'Monthly Cash Flow'!E$4,0),Assumptions!$C$53),0))</f>
        <v>0</v>
      </c>
      <c r="F2">
        <f>IF(F6&gt;Assumptions!$C$56,Assumptions!$C$53,IF(F6&gt;=Assumptions!$C$55,MIN(ROUNDDOWN(Assumptions!$C$52*'Monthly Cash Flow'!F$4,0),Assumptions!$C$53),0))</f>
        <v>1</v>
      </c>
      <c r="G2">
        <f>IF(G6&gt;Assumptions!$C$56,Assumptions!$C$53,IF(G6&gt;=Assumptions!$C$55,MIN(ROUNDDOWN(Assumptions!$C$52*'Monthly Cash Flow'!G$4,0),Assumptions!$C$53),0))</f>
        <v>2</v>
      </c>
      <c r="H2">
        <f>IF(H6&gt;Assumptions!$C$56,Assumptions!$C$53,IF(H6&gt;=Assumptions!$C$55,MIN(ROUNDDOWN(Assumptions!$C$52*'Monthly Cash Flow'!H$4,0),Assumptions!$C$53),0))</f>
        <v>3</v>
      </c>
      <c r="I2">
        <f>IF(I6&gt;Assumptions!$C$56,Assumptions!$C$53,IF(I6&gt;=Assumptions!$C$55,MIN(ROUNDDOWN(Assumptions!$C$52*'Monthly Cash Flow'!I$4,0),Assumptions!$C$53),0))</f>
        <v>4</v>
      </c>
      <c r="J2">
        <f>IF(J6&gt;Assumptions!$C$56,Assumptions!$C$53,IF(J6&gt;=Assumptions!$C$55,MIN(ROUNDDOWN(Assumptions!$C$52*'Monthly Cash Flow'!J$4,0),Assumptions!$C$53),0))</f>
        <v>5</v>
      </c>
      <c r="K2">
        <f>IF(K6&gt;Assumptions!$C$56,Assumptions!$C$53,IF(K6&gt;=Assumptions!$C$55,MIN(ROUNDDOWN(Assumptions!$C$52*'Monthly Cash Flow'!K$4,0),Assumptions!$C$53),0))</f>
        <v>6</v>
      </c>
      <c r="L2">
        <f>IF(L6&gt;Assumptions!$C$56,Assumptions!$C$53,IF(L6&gt;=Assumptions!$C$55,MIN(ROUNDDOWN(Assumptions!$C$52*'Monthly Cash Flow'!L$4,0),Assumptions!$C$53),0))</f>
        <v>7</v>
      </c>
      <c r="M2">
        <f>IF(M6&gt;Assumptions!$C$56,Assumptions!$C$53,IF(M6&gt;=Assumptions!$C$55,MIN(ROUNDDOWN(Assumptions!$C$52*'Monthly Cash Flow'!M$4,0),Assumptions!$C$53),0))</f>
        <v>8</v>
      </c>
      <c r="N2">
        <f>IF(N6&gt;Assumptions!$C$56,Assumptions!$C$53,IF(N6&gt;=Assumptions!$C$55,MIN(ROUNDDOWN(Assumptions!$C$52*'Monthly Cash Flow'!N$4,0),Assumptions!$C$53),0))</f>
        <v>9</v>
      </c>
      <c r="O2">
        <f>IF(O6&gt;Assumptions!$C$56,Assumptions!$C$53,IF(O6&gt;=Assumptions!$C$55,MIN(ROUNDDOWN(Assumptions!$C$52*'Monthly Cash Flow'!O$4,0),Assumptions!$C$53),0))</f>
        <v>10</v>
      </c>
      <c r="Q2">
        <f>IF(Q6&gt;Assumptions!$C$56,Assumptions!$C$53,IF(Q6&gt;=Assumptions!$C$55,MIN(ROUNDDOWN(Assumptions!$C$52*'Monthly Cash Flow'!Q$4,0),Assumptions!$C$53),0))</f>
        <v>11</v>
      </c>
      <c r="R2">
        <f>IF(R6&gt;Assumptions!$C$56,Assumptions!$C$53,IF(R6&gt;=Assumptions!$C$55,MIN(ROUNDDOWN(Assumptions!$C$52*'Monthly Cash Flow'!R$4,0),Assumptions!$C$53),0))</f>
        <v>12</v>
      </c>
      <c r="S2">
        <f>IF(S6&gt;Assumptions!$C$56,Assumptions!$C$53,IF(S6&gt;=Assumptions!$C$55,MIN(ROUNDDOWN(Assumptions!$C$52*'Monthly Cash Flow'!S$4,0),Assumptions!$C$53),0))</f>
        <v>13</v>
      </c>
      <c r="T2">
        <f>IF(T6&gt;Assumptions!$C$56,Assumptions!$C$53,IF(T6&gt;=Assumptions!$C$55,MIN(ROUNDDOWN(Assumptions!$C$52*'Monthly Cash Flow'!T$4,0),Assumptions!$C$53),0))</f>
        <v>14</v>
      </c>
      <c r="U2">
        <f>IF(U6&gt;Assumptions!$C$56,Assumptions!$C$53,IF(U6&gt;=Assumptions!$C$55,MIN(ROUNDDOWN(Assumptions!$C$52*'Monthly Cash Flow'!U$4,0),Assumptions!$C$53),0))</f>
        <v>15</v>
      </c>
      <c r="V2">
        <f>IF(V6&gt;Assumptions!$C$56,Assumptions!$C$53,IF(V6&gt;=Assumptions!$C$55,MIN(ROUNDDOWN(Assumptions!$C$52*'Monthly Cash Flow'!V$4,0),Assumptions!$C$53),0))</f>
        <v>16</v>
      </c>
      <c r="W2">
        <f>IF(W6&gt;Assumptions!$C$56,Assumptions!$C$53,IF(W6&gt;=Assumptions!$C$55,MIN(ROUNDDOWN(Assumptions!$C$52*'Monthly Cash Flow'!W$4,0),Assumptions!$C$53),0))</f>
        <v>17</v>
      </c>
      <c r="X2">
        <f>IF(X6&gt;Assumptions!$C$56,Assumptions!$C$53,IF(X6&gt;=Assumptions!$C$55,MIN(ROUNDDOWN(Assumptions!$C$52*'Monthly Cash Flow'!X$4,0),Assumptions!$C$53),0))</f>
        <v>17</v>
      </c>
      <c r="Y2">
        <f>IF(Y6&gt;Assumptions!$C$56,Assumptions!$C$53,IF(Y6&gt;=Assumptions!$C$55,MIN(ROUNDDOWN(Assumptions!$C$52*'Monthly Cash Flow'!Y$4,0),Assumptions!$C$53),0))</f>
        <v>17</v>
      </c>
      <c r="Z2">
        <f>IF(Z6&gt;Assumptions!$C$56,Assumptions!$C$53,IF(Z6&gt;=Assumptions!$C$55,MIN(ROUNDDOWN(Assumptions!$C$52*'Monthly Cash Flow'!Z$4,0),Assumptions!$C$53),0))</f>
        <v>17</v>
      </c>
      <c r="AA2">
        <f>IF(AA6&gt;Assumptions!$C$56,Assumptions!$C$53,IF(AA6&gt;=Assumptions!$C$55,MIN(ROUNDDOWN(Assumptions!$C$52*'Monthly Cash Flow'!AA$4,0),Assumptions!$C$53),0))</f>
        <v>17</v>
      </c>
      <c r="AB2">
        <f>IF(AB6&gt;Assumptions!$C$56,Assumptions!$C$53,IF(AB6&gt;=Assumptions!$C$55,MIN(ROUNDDOWN(Assumptions!$C$52*'Monthly Cash Flow'!AB$4,0),Assumptions!$C$53),0))</f>
        <v>17</v>
      </c>
      <c r="AD2">
        <f>IF(AD6&gt;Assumptions!$C$56,Assumptions!$C$53,IF(AD6&gt;=Assumptions!$C$55,MIN(ROUNDDOWN(Assumptions!$C$52*'Monthly Cash Flow'!AD$4,0),Assumptions!$C$53),0))</f>
        <v>17</v>
      </c>
      <c r="AE2">
        <f>IF(AE6&gt;Assumptions!$C$56,Assumptions!$C$53,IF(AE6&gt;=Assumptions!$C$55,MIN(ROUNDDOWN(Assumptions!$C$52*'Monthly Cash Flow'!AE$4,0),Assumptions!$C$53),0))</f>
        <v>17</v>
      </c>
      <c r="AF2">
        <f>IF(AF6&gt;Assumptions!$C$56,Assumptions!$C$53,IF(AF6&gt;=Assumptions!$C$55,MIN(ROUNDDOWN(Assumptions!$C$52*'Monthly Cash Flow'!AF$4,0),Assumptions!$C$53),0))</f>
        <v>17</v>
      </c>
      <c r="AG2">
        <f>IF(AG6&gt;Assumptions!$C$56,Assumptions!$C$53,IF(AG6&gt;=Assumptions!$C$55,MIN(ROUNDDOWN(Assumptions!$C$52*'Monthly Cash Flow'!AG$4,0),Assumptions!$C$53),0))</f>
        <v>17</v>
      </c>
      <c r="AH2">
        <f>IF(AH6&gt;Assumptions!$C$56,Assumptions!$C$53,IF(AH6&gt;=Assumptions!$C$55,MIN(ROUNDDOWN(Assumptions!$C$52*'Monthly Cash Flow'!AH$4,0),Assumptions!$C$53),0))</f>
        <v>17</v>
      </c>
      <c r="AI2">
        <f>IF(AI6&gt;Assumptions!$C$56,Assumptions!$C$53,IF(AI6&gt;=Assumptions!$C$55,MIN(ROUNDDOWN(Assumptions!$C$52*'Monthly Cash Flow'!AI$4,0),Assumptions!$C$53),0))</f>
        <v>17</v>
      </c>
      <c r="AJ2">
        <f>IF(AJ6&gt;Assumptions!$C$56,Assumptions!$C$53,IF(AJ6&gt;=Assumptions!$C$55,MIN(ROUNDDOWN(Assumptions!$C$52*'Monthly Cash Flow'!AJ$4,0),Assumptions!$C$53),0))</f>
        <v>17</v>
      </c>
      <c r="AK2">
        <f>IF(AK6&gt;Assumptions!$C$56,Assumptions!$C$53,IF(AK6&gt;=Assumptions!$C$55,MIN(ROUNDDOWN(Assumptions!$C$52*'Monthly Cash Flow'!AK$4,0),Assumptions!$C$53),0))</f>
        <v>17</v>
      </c>
      <c r="AL2">
        <f>IF(AL6&gt;Assumptions!$C$56,Assumptions!$C$53,IF(AL6&gt;=Assumptions!$C$55,MIN(ROUNDDOWN(Assumptions!$C$52*'Monthly Cash Flow'!AL$4,0),Assumptions!$C$53),0))</f>
        <v>17</v>
      </c>
      <c r="AM2">
        <f>IF(AM6&gt;Assumptions!$C$56,Assumptions!$C$53,IF(AM6&gt;=Assumptions!$C$55,MIN(ROUNDDOWN(Assumptions!$C$52*'Monthly Cash Flow'!AM$4,0),Assumptions!$C$53),0))</f>
        <v>17</v>
      </c>
      <c r="AN2">
        <f>IF(AN6&gt;Assumptions!$C$56,Assumptions!$C$53,IF(AN6&gt;=Assumptions!$C$55,MIN(ROUNDDOWN(Assumptions!$C$52*'Monthly Cash Flow'!AN$4,0),Assumptions!$C$53),0))</f>
        <v>17</v>
      </c>
      <c r="AO2">
        <f>IF(AO6&gt;Assumptions!$C$56,Assumptions!$C$53,IF(AO6&gt;=Assumptions!$C$55,MIN(ROUNDDOWN(Assumptions!$C$52*'Monthly Cash Flow'!AO$4,0),Assumptions!$C$53),0))</f>
        <v>17</v>
      </c>
      <c r="AQ2">
        <f>IF(AQ6&gt;Assumptions!$C$56,Assumptions!$C$53,IF(AQ6&gt;=Assumptions!$C$55,MIN(ROUNDDOWN(Assumptions!$C$52*'Monthly Cash Flow'!AQ$4,0),Assumptions!$C$53),0))</f>
        <v>17</v>
      </c>
      <c r="AR2">
        <f>IF(AR6&gt;Assumptions!$C$56,Assumptions!$C$53,IF(AR6&gt;=Assumptions!$C$55,MIN(ROUNDDOWN(Assumptions!$C$52*'Monthly Cash Flow'!AR$4,0),Assumptions!$C$53),0))</f>
        <v>17</v>
      </c>
      <c r="AS2">
        <f>IF(AS6&gt;Assumptions!$C$56,Assumptions!$C$53,IF(AS6&gt;=Assumptions!$C$55,MIN(ROUNDDOWN(Assumptions!$C$52*'Monthly Cash Flow'!AS$4,0),Assumptions!$C$53),0))</f>
        <v>17</v>
      </c>
      <c r="AT2">
        <f>IF(AT6&gt;Assumptions!$C$56,Assumptions!$C$53,IF(AT6&gt;=Assumptions!$C$55,MIN(ROUNDDOWN(Assumptions!$C$52*'Monthly Cash Flow'!AT$4,0),Assumptions!$C$53),0))</f>
        <v>17</v>
      </c>
      <c r="AU2">
        <f>IF(AU6&gt;Assumptions!$C$56,Assumptions!$C$53,IF(AU6&gt;=Assumptions!$C$55,MIN(ROUNDDOWN(Assumptions!$C$52*'Monthly Cash Flow'!AU$4,0),Assumptions!$C$53),0))</f>
        <v>17</v>
      </c>
      <c r="AV2">
        <f>IF(AV6&gt;Assumptions!$C$56,Assumptions!$C$53,IF(AV6&gt;=Assumptions!$C$55,MIN(ROUNDDOWN(Assumptions!$C$52*'Monthly Cash Flow'!AV$4,0),Assumptions!$C$53),0))</f>
        <v>17</v>
      </c>
      <c r="AW2">
        <f>IF(AW6&gt;Assumptions!$C$56,Assumptions!$C$53,IF(AW6&gt;=Assumptions!$C$55,MIN(ROUNDDOWN(Assumptions!$C$52*'Monthly Cash Flow'!AW$4,0),Assumptions!$C$53),0))</f>
        <v>17</v>
      </c>
      <c r="AX2">
        <f>IF(AX6&gt;Assumptions!$C$56,Assumptions!$C$53,IF(AX6&gt;=Assumptions!$C$55,MIN(ROUNDDOWN(Assumptions!$C$52*'Monthly Cash Flow'!AX$4,0),Assumptions!$C$53),0))</f>
        <v>17</v>
      </c>
      <c r="AY2">
        <f>IF(AY6&gt;Assumptions!$C$56,Assumptions!$C$53,IF(AY6&gt;=Assumptions!$C$55,MIN(ROUNDDOWN(Assumptions!$C$52*'Monthly Cash Flow'!AY$4,0),Assumptions!$C$53),0))</f>
        <v>17</v>
      </c>
      <c r="AZ2">
        <f>IF(AZ6&gt;Assumptions!$C$56,Assumptions!$C$53,IF(AZ6&gt;=Assumptions!$C$55,MIN(ROUNDDOWN(Assumptions!$C$52*'Monthly Cash Flow'!AZ$4,0),Assumptions!$C$53),0))</f>
        <v>17</v>
      </c>
      <c r="BA2">
        <f>IF(BA6&gt;Assumptions!$C$56,Assumptions!$C$53,IF(BA6&gt;=Assumptions!$C$55,MIN(ROUNDDOWN(Assumptions!$C$52*'Monthly Cash Flow'!BA$4,0),Assumptions!$C$53),0))</f>
        <v>17</v>
      </c>
      <c r="BB2">
        <f>IF(BB6&gt;Assumptions!$C$56,Assumptions!$C$53,IF(BB6&gt;=Assumptions!$C$55,MIN(ROUNDDOWN(Assumptions!$C$52*'Monthly Cash Flow'!BB$4,0),Assumptions!$C$53),0))</f>
        <v>17</v>
      </c>
      <c r="BD2">
        <f>IF(BD6&gt;Assumptions!$C$56,Assumptions!$C$53,IF(BD6&gt;=Assumptions!$C$55,MIN(ROUNDDOWN(Assumptions!$C$52*'Monthly Cash Flow'!BD$4,0),Assumptions!$C$53),0))</f>
        <v>17</v>
      </c>
      <c r="BE2">
        <f>IF(BE6&gt;Assumptions!$C$56,Assumptions!$C$53,IF(BE6&gt;=Assumptions!$C$55,MIN(ROUNDDOWN(Assumptions!$C$52*'Monthly Cash Flow'!BE$4,0),Assumptions!$C$53),0))</f>
        <v>17</v>
      </c>
      <c r="BF2">
        <f>IF(BF6&gt;Assumptions!$C$56,Assumptions!$C$53,IF(BF6&gt;=Assumptions!$C$55,MIN(ROUNDDOWN(Assumptions!$C$52*'Monthly Cash Flow'!BF$4,0),Assumptions!$C$53),0))</f>
        <v>17</v>
      </c>
      <c r="BG2">
        <f>IF(BG6&gt;Assumptions!$C$56,Assumptions!$C$53,IF(BG6&gt;=Assumptions!$C$55,MIN(ROUNDDOWN(Assumptions!$C$52*'Monthly Cash Flow'!BG$4,0),Assumptions!$C$53),0))</f>
        <v>17</v>
      </c>
      <c r="BH2">
        <f>IF(BH6&gt;Assumptions!$C$56,Assumptions!$C$53,IF(BH6&gt;=Assumptions!$C$55,MIN(ROUNDDOWN(Assumptions!$C$52*'Monthly Cash Flow'!BH$4,0),Assumptions!$C$53),0))</f>
        <v>17</v>
      </c>
      <c r="BI2">
        <f>IF(BI6&gt;Assumptions!$C$56,Assumptions!$C$53,IF(BI6&gt;=Assumptions!$C$55,MIN(ROUNDDOWN(Assumptions!$C$52*'Monthly Cash Flow'!BI$4,0),Assumptions!$C$53),0))</f>
        <v>17</v>
      </c>
      <c r="BJ2">
        <f>IF(BJ6&gt;Assumptions!$C$56,Assumptions!$C$53,IF(BJ6&gt;=Assumptions!$C$55,MIN(ROUNDDOWN(Assumptions!$C$52*'Monthly Cash Flow'!BJ$4,0),Assumptions!$C$53),0))</f>
        <v>17</v>
      </c>
      <c r="BK2">
        <f>IF(BK6&gt;Assumptions!$C$56,Assumptions!$C$53,IF(BK6&gt;=Assumptions!$C$55,MIN(ROUNDDOWN(Assumptions!$C$52*'Monthly Cash Flow'!BK$4,0),Assumptions!$C$53),0))</f>
        <v>17</v>
      </c>
      <c r="BL2">
        <f>IF(BL6&gt;Assumptions!$C$56,Assumptions!$C$53,IF(BL6&gt;=Assumptions!$C$55,MIN(ROUNDDOWN(Assumptions!$C$52*'Monthly Cash Flow'!BL$4,0),Assumptions!$C$53),0))</f>
        <v>17</v>
      </c>
      <c r="BM2">
        <f>IF(BM6&gt;Assumptions!$C$56,Assumptions!$C$53,IF(BM6&gt;=Assumptions!$C$55,MIN(ROUNDDOWN(Assumptions!$C$52*'Monthly Cash Flow'!BM$4,0),Assumptions!$C$53),0))</f>
        <v>17</v>
      </c>
      <c r="BN2">
        <f>IF(BN6&gt;Assumptions!$C$56,Assumptions!$C$53,IF(BN6&gt;=Assumptions!$C$55,MIN(ROUNDDOWN(Assumptions!$C$52*'Monthly Cash Flow'!BN$4,0),Assumptions!$C$53),0))</f>
        <v>17</v>
      </c>
      <c r="BO2">
        <f>IF(BO6&gt;Assumptions!$C$56,Assumptions!$C$53,IF(BO6&gt;=Assumptions!$C$55,MIN(ROUNDDOWN(Assumptions!$C$52*'Monthly Cash Flow'!BO$4,0),Assumptions!$C$53),0))</f>
        <v>17</v>
      </c>
      <c r="BQ2">
        <f>IF(BQ6&gt;Assumptions!$C$56,Assumptions!$C$53,IF(BQ6&gt;=Assumptions!$C$55,MIN(ROUNDDOWN(Assumptions!$C$52*'Monthly Cash Flow'!BQ$4,0),Assumptions!$C$53),0))</f>
        <v>17</v>
      </c>
      <c r="BR2">
        <f>IF(BR6&gt;Assumptions!$C$56,Assumptions!$C$53,IF(BR6&gt;=Assumptions!$C$55,MIN(ROUNDDOWN(Assumptions!$C$52*'Monthly Cash Flow'!BR$4,0),Assumptions!$C$53),0))</f>
        <v>17</v>
      </c>
      <c r="BS2">
        <f>IF(BS6&gt;Assumptions!$C$56,Assumptions!$C$53,IF(BS6&gt;=Assumptions!$C$55,MIN(ROUNDDOWN(Assumptions!$C$52*'Monthly Cash Flow'!BS$4,0),Assumptions!$C$53),0))</f>
        <v>17</v>
      </c>
      <c r="BT2">
        <f>IF(BT6&gt;Assumptions!$C$56,Assumptions!$C$53,IF(BT6&gt;=Assumptions!$C$55,MIN(ROUNDDOWN(Assumptions!$C$52*'Monthly Cash Flow'!BT$4,0),Assumptions!$C$53),0))</f>
        <v>17</v>
      </c>
      <c r="BU2">
        <f>IF(BU6&gt;Assumptions!$C$56,Assumptions!$C$53,IF(BU6&gt;=Assumptions!$C$55,MIN(ROUNDDOWN(Assumptions!$C$52*'Monthly Cash Flow'!BU$4,0),Assumptions!$C$53),0))</f>
        <v>17</v>
      </c>
      <c r="BV2">
        <f>IF(BV6&gt;Assumptions!$C$56,Assumptions!$C$53,IF(BV6&gt;=Assumptions!$C$55,MIN(ROUNDDOWN(Assumptions!$C$52*'Monthly Cash Flow'!BV$4,0),Assumptions!$C$53),0))</f>
        <v>17</v>
      </c>
      <c r="BW2">
        <f>IF(BW6&gt;Assumptions!$C$56,Assumptions!$C$53,IF(BW6&gt;=Assumptions!$C$55,MIN(ROUNDDOWN(Assumptions!$C$52*'Monthly Cash Flow'!BW$4,0),Assumptions!$C$53),0))</f>
        <v>17</v>
      </c>
      <c r="BX2">
        <f>IF(BX6&gt;Assumptions!$C$56,Assumptions!$C$53,IF(BX6&gt;=Assumptions!$C$55,MIN(ROUNDDOWN(Assumptions!$C$52*'Monthly Cash Flow'!BX$4,0),Assumptions!$C$53),0))</f>
        <v>17</v>
      </c>
      <c r="BY2">
        <f>IF(BY6&gt;Assumptions!$C$56,Assumptions!$C$53,IF(BY6&gt;=Assumptions!$C$55,MIN(ROUNDDOWN(Assumptions!$C$52*'Monthly Cash Flow'!BY$4,0),Assumptions!$C$53),0))</f>
        <v>17</v>
      </c>
      <c r="BZ2">
        <f>IF(BZ6&gt;Assumptions!$C$56,Assumptions!$C$53,IF(BZ6&gt;=Assumptions!$C$55,MIN(ROUNDDOWN(Assumptions!$C$52*'Monthly Cash Flow'!BZ$4,0),Assumptions!$C$53),0))</f>
        <v>17</v>
      </c>
      <c r="CA2">
        <f>IF(CA6&gt;Assumptions!$C$56,Assumptions!$C$53,IF(CA6&gt;=Assumptions!$C$55,MIN(ROUNDDOWN(Assumptions!$C$52*'Monthly Cash Flow'!CA$4,0),Assumptions!$C$53),0))</f>
        <v>17</v>
      </c>
      <c r="CB2">
        <f>IF(CB6&gt;Assumptions!$C$56,Assumptions!$C$53,IF(CB6&gt;=Assumptions!$C$55,MIN(ROUNDDOWN(Assumptions!$C$52*'Monthly Cash Flow'!CB$4,0),Assumptions!$C$53),0))</f>
        <v>17</v>
      </c>
      <c r="CD2">
        <f>IF(CD6&gt;Assumptions!$C$56,Assumptions!$C$53,IF(CD6&gt;=Assumptions!$C$55,MIN(ROUNDDOWN(Assumptions!$C$52*'Monthly Cash Flow'!CD$4,0),Assumptions!$C$53),0))</f>
        <v>17</v>
      </c>
      <c r="CE2">
        <f>IF(CE6&gt;Assumptions!$C$56,Assumptions!$C$53,IF(CE6&gt;=Assumptions!$C$55,MIN(ROUNDDOWN(Assumptions!$C$52*'Monthly Cash Flow'!CE$4,0),Assumptions!$C$53),0))</f>
        <v>17</v>
      </c>
      <c r="CF2">
        <f>IF(CF6&gt;Assumptions!$C$56,Assumptions!$C$53,IF(CF6&gt;=Assumptions!$C$55,MIN(ROUNDDOWN(Assumptions!$C$52*'Monthly Cash Flow'!CF$4,0),Assumptions!$C$53),0))</f>
        <v>17</v>
      </c>
      <c r="CG2">
        <f>IF(CG6&gt;Assumptions!$C$56,Assumptions!$C$53,IF(CG6&gt;=Assumptions!$C$55,MIN(ROUNDDOWN(Assumptions!$C$52*'Monthly Cash Flow'!CG$4,0),Assumptions!$C$53),0))</f>
        <v>17</v>
      </c>
      <c r="CH2">
        <f>IF(CH6&gt;Assumptions!$C$56,Assumptions!$C$53,IF(CH6&gt;=Assumptions!$C$55,MIN(ROUNDDOWN(Assumptions!$C$52*'Monthly Cash Flow'!CH$4,0),Assumptions!$C$53),0))</f>
        <v>17</v>
      </c>
      <c r="CI2">
        <f>IF(CI6&gt;Assumptions!$C$56,Assumptions!$C$53,IF(CI6&gt;=Assumptions!$C$55,MIN(ROUNDDOWN(Assumptions!$C$52*'Monthly Cash Flow'!CI$4,0),Assumptions!$C$53),0))</f>
        <v>17</v>
      </c>
      <c r="CJ2">
        <f>IF(CJ6&gt;Assumptions!$C$56,Assumptions!$C$53,IF(CJ6&gt;=Assumptions!$C$55,MIN(ROUNDDOWN(Assumptions!$C$52*'Monthly Cash Flow'!CJ$4,0),Assumptions!$C$53),0))</f>
        <v>17</v>
      </c>
      <c r="CK2">
        <f>IF(CK6&gt;Assumptions!$C$56,Assumptions!$C$53,IF(CK6&gt;=Assumptions!$C$55,MIN(ROUNDDOWN(Assumptions!$C$52*'Monthly Cash Flow'!CK$4,0),Assumptions!$C$53),0))</f>
        <v>17</v>
      </c>
      <c r="CL2">
        <f>IF(CL6&gt;Assumptions!$C$56,Assumptions!$C$53,IF(CL6&gt;=Assumptions!$C$55,MIN(ROUNDDOWN(Assumptions!$C$52*'Monthly Cash Flow'!CL$4,0),Assumptions!$C$53),0))</f>
        <v>17</v>
      </c>
      <c r="CM2">
        <f>IF(CM6&gt;Assumptions!$C$56,Assumptions!$C$53,IF(CM6&gt;=Assumptions!$C$55,MIN(ROUNDDOWN(Assumptions!$C$52*'Monthly Cash Flow'!CM$4,0),Assumptions!$C$53),0))</f>
        <v>17</v>
      </c>
      <c r="CN2">
        <f>IF(CN6&gt;Assumptions!$C$56,Assumptions!$C$53,IF(CN6&gt;=Assumptions!$C$55,MIN(ROUNDDOWN(Assumptions!$C$52*'Monthly Cash Flow'!CN$4,0),Assumptions!$C$53),0))</f>
        <v>17</v>
      </c>
      <c r="CO2">
        <f>IF(CO6&gt;Assumptions!$C$56,Assumptions!$C$53,IF(CO6&gt;=Assumptions!$C$55,MIN(ROUNDDOWN(Assumptions!$C$52*'Monthly Cash Flow'!CO$4,0),Assumptions!$C$53),0))</f>
        <v>17</v>
      </c>
    </row>
    <row r="3" spans="2:94">
      <c r="B3" s="2" t="s">
        <v>251</v>
      </c>
      <c r="D3" s="416">
        <f>IF(D6&gt;=Assumptions!$C$63,100%,IF(D6&lt;Assumptions!$C$62,0%,(D6-Assumptions!$C$62+1)/Assumptions!$C$61))</f>
        <v>0.25</v>
      </c>
      <c r="E3" s="416">
        <f>IF(E6&gt;=Assumptions!$C$63,100%,IF(E6&lt;Assumptions!$C$62,0%,(E6-Assumptions!$C$62+1)/Assumptions!$C$61))</f>
        <v>0.5</v>
      </c>
      <c r="F3" s="416">
        <f>IF(F6&gt;=Assumptions!$C$63,100%,IF(F6&lt;Assumptions!$C$62,0%,(F6-Assumptions!$C$62+1)/Assumptions!$C$61))</f>
        <v>0.75</v>
      </c>
      <c r="G3" s="416">
        <f>IF(G6&gt;=Assumptions!$C$63,100%,IF(G6&lt;Assumptions!$C$62,0%,(G6-Assumptions!$C$62+1)/Assumptions!$C$61))</f>
        <v>1</v>
      </c>
      <c r="H3" s="416">
        <f>IF(H6&gt;=Assumptions!$C$63,100%,IF(H6&lt;Assumptions!$C$62,0%,(H6-Assumptions!$C$62+1)/Assumptions!$C$61))</f>
        <v>1</v>
      </c>
      <c r="I3" s="416">
        <f>IF(I6&gt;=Assumptions!$C$63,100%,IF(I6&lt;Assumptions!$C$62,0%,(I6-Assumptions!$C$62+1)/Assumptions!$C$61))</f>
        <v>1</v>
      </c>
      <c r="J3" s="416">
        <f>IF(J6&gt;=Assumptions!$C$63,100%,IF(J6&lt;Assumptions!$C$62,0%,(J6-Assumptions!$C$62+1)/Assumptions!$C$61))</f>
        <v>1</v>
      </c>
      <c r="K3" s="416">
        <f>IF(K6&gt;=Assumptions!$C$63,100%,IF(K6&lt;Assumptions!$C$62,0%,(K6-Assumptions!$C$62+1)/Assumptions!$C$61))</f>
        <v>1</v>
      </c>
      <c r="L3" s="416">
        <f>IF(L6&gt;=Assumptions!$C$63,100%,IF(L6&lt;Assumptions!$C$62,0%,(L6-Assumptions!$C$62+1)/Assumptions!$C$61))</f>
        <v>1</v>
      </c>
      <c r="M3" s="416">
        <f>IF(M6&gt;=Assumptions!$C$63,100%,IF(M6&lt;Assumptions!$C$62,0%,(M6-Assumptions!$C$62+1)/Assumptions!$C$61))</f>
        <v>1</v>
      </c>
      <c r="N3" s="416">
        <f>IF(N6&gt;=Assumptions!$C$63,100%,IF(N6&lt;Assumptions!$C$62,0%,(N6-Assumptions!$C$62+1)/Assumptions!$C$61))</f>
        <v>1</v>
      </c>
      <c r="O3" s="416">
        <f>IF(O6&gt;=Assumptions!$C$63,100%,IF(O6&lt;Assumptions!$C$62,0%,(O6-Assumptions!$C$62+1)/Assumptions!$C$61))</f>
        <v>1</v>
      </c>
      <c r="P3" s="416"/>
      <c r="Q3" s="416">
        <f>IF(Q6&gt;=Assumptions!$C$63,100%,IF(Q6&lt;Assumptions!$C$62,0%,(Q6-Assumptions!$C$62+1)/Assumptions!$C$61))</f>
        <v>1</v>
      </c>
      <c r="R3" s="416">
        <f>IF(R6&gt;=Assumptions!$C$63,100%,IF(R6&lt;Assumptions!$C$62,0%,(R6-Assumptions!$C$62+1)/Assumptions!$C$61))</f>
        <v>1</v>
      </c>
      <c r="S3" s="416">
        <f>IF(S6&gt;=Assumptions!$C$63,100%,IF(S6&lt;Assumptions!$C$62,0%,(S6-Assumptions!$C$62+1)/Assumptions!$C$61))</f>
        <v>1</v>
      </c>
      <c r="T3" s="416">
        <f>IF(T6&gt;=Assumptions!$C$63,100%,IF(T6&lt;Assumptions!$C$62,0%,(T6-Assumptions!$C$62+1)/Assumptions!$C$61))</f>
        <v>1</v>
      </c>
      <c r="U3" s="416">
        <f>IF(U6&gt;=Assumptions!$C$63,100%,IF(U6&lt;Assumptions!$C$62,0%,(U6-Assumptions!$C$62+1)/Assumptions!$C$61))</f>
        <v>1</v>
      </c>
      <c r="V3" s="416">
        <f>IF(V6&gt;=Assumptions!$C$63,100%,IF(V6&lt;Assumptions!$C$62,0%,(V6-Assumptions!$C$62+1)/Assumptions!$C$61))</f>
        <v>1</v>
      </c>
      <c r="W3" s="416">
        <f>IF(W6&gt;=Assumptions!$C$63,100%,IF(W6&lt;Assumptions!$C$62,0%,(W6-Assumptions!$C$62+1)/Assumptions!$C$61))</f>
        <v>1</v>
      </c>
      <c r="X3" s="416">
        <f>IF(X6&gt;=Assumptions!$C$63,100%,IF(X6&lt;Assumptions!$C$62,0%,(X6-Assumptions!$C$62+1)/Assumptions!$C$61))</f>
        <v>1</v>
      </c>
      <c r="Y3" s="416">
        <f>IF(Y6&gt;=Assumptions!$C$63,100%,IF(Y6&lt;Assumptions!$C$62,0%,(Y6-Assumptions!$C$62+1)/Assumptions!$C$61))</f>
        <v>1</v>
      </c>
      <c r="Z3" s="416">
        <f>IF(Z6&gt;=Assumptions!$C$63,100%,IF(Z6&lt;Assumptions!$C$62,0%,(Z6-Assumptions!$C$62+1)/Assumptions!$C$61))</f>
        <v>1</v>
      </c>
      <c r="AA3" s="416">
        <f>IF(AA6&gt;=Assumptions!$C$63,100%,IF(AA6&lt;Assumptions!$C$62,0%,(AA6-Assumptions!$C$62+1)/Assumptions!$C$61))</f>
        <v>1</v>
      </c>
      <c r="AB3" s="416">
        <f>IF(AB6&gt;=Assumptions!$C$63,100%,IF(AB6&lt;Assumptions!$C$62,0%,(AB6-Assumptions!$C$62+1)/Assumptions!$C$61))</f>
        <v>1</v>
      </c>
      <c r="AC3" s="416"/>
      <c r="AD3" s="416">
        <f>IF(AD6&gt;=Assumptions!$C$63,100%,IF(AD6&lt;Assumptions!$C$62,0%,(AD6-Assumptions!$C$62+1)/Assumptions!$C$61))</f>
        <v>1</v>
      </c>
      <c r="AE3" s="416">
        <f>IF(AE6&gt;=Assumptions!$C$63,100%,IF(AE6&lt;Assumptions!$C$62,0%,(AE6-Assumptions!$C$62+1)/Assumptions!$C$61))</f>
        <v>1</v>
      </c>
      <c r="AF3" s="416">
        <f>IF(AF6&gt;=Assumptions!$C$63,100%,IF(AF6&lt;Assumptions!$C$62,0%,(AF6-Assumptions!$C$62+1)/Assumptions!$C$61))</f>
        <v>1</v>
      </c>
      <c r="AG3" s="416">
        <f>IF(AG6&gt;=Assumptions!$C$63,100%,IF(AG6&lt;Assumptions!$C$62,0%,(AG6-Assumptions!$C$62+1)/Assumptions!$C$61))</f>
        <v>1</v>
      </c>
      <c r="AH3" s="416">
        <f>IF(AH6&gt;=Assumptions!$C$63,100%,IF(AH6&lt;Assumptions!$C$62,0%,(AH6-Assumptions!$C$62+1)/Assumptions!$C$61))</f>
        <v>1</v>
      </c>
      <c r="AI3" s="416">
        <f>IF(AI6&gt;=Assumptions!$C$63,100%,IF(AI6&lt;Assumptions!$C$62,0%,(AI6-Assumptions!$C$62+1)/Assumptions!$C$61))</f>
        <v>1</v>
      </c>
      <c r="AJ3" s="416">
        <f>IF(AJ6&gt;=Assumptions!$C$63,100%,IF(AJ6&lt;Assumptions!$C$62,0%,(AJ6-Assumptions!$C$62+1)/Assumptions!$C$61))</f>
        <v>1</v>
      </c>
      <c r="AK3" s="416">
        <f>IF(AK6&gt;=Assumptions!$C$63,100%,IF(AK6&lt;Assumptions!$C$62,0%,(AK6-Assumptions!$C$62+1)/Assumptions!$C$61))</f>
        <v>1</v>
      </c>
      <c r="AL3" s="416">
        <f>IF(AL6&gt;=Assumptions!$C$63,100%,IF(AL6&lt;Assumptions!$C$62,0%,(AL6-Assumptions!$C$62+1)/Assumptions!$C$61))</f>
        <v>1</v>
      </c>
      <c r="AM3" s="416">
        <f>IF(AM6&gt;=Assumptions!$C$63,100%,IF(AM6&lt;Assumptions!$C$62,0%,(AM6-Assumptions!$C$62+1)/Assumptions!$C$61))</f>
        <v>1</v>
      </c>
      <c r="AN3" s="416">
        <f>IF(AN6&gt;=Assumptions!$C$63,100%,IF(AN6&lt;Assumptions!$C$62,0%,(AN6-Assumptions!$C$62+1)/Assumptions!$C$61))</f>
        <v>1</v>
      </c>
      <c r="AO3" s="416">
        <f>IF(AO6&gt;=Assumptions!$C$63,100%,IF(AO6&lt;Assumptions!$C$62,0%,(AO6-Assumptions!$C$62+1)/Assumptions!$C$61))</f>
        <v>1</v>
      </c>
      <c r="AP3" s="416"/>
      <c r="AQ3" s="416">
        <f>IF(AQ6&gt;=Assumptions!$C$63,100%,IF(AQ6&lt;Assumptions!$C$62,0%,(AQ6-Assumptions!$C$62+1)/Assumptions!$C$61))</f>
        <v>1</v>
      </c>
      <c r="AR3" s="416">
        <f>IF(AR6&gt;=Assumptions!$C$63,100%,IF(AR6&lt;Assumptions!$C$62,0%,(AR6-Assumptions!$C$62+1)/Assumptions!$C$61))</f>
        <v>1</v>
      </c>
      <c r="AS3" s="416">
        <f>IF(AS6&gt;=Assumptions!$C$63,100%,IF(AS6&lt;Assumptions!$C$62,0%,(AS6-Assumptions!$C$62+1)/Assumptions!$C$61))</f>
        <v>1</v>
      </c>
      <c r="AT3" s="416">
        <f>IF(AT6&gt;=Assumptions!$C$63,100%,IF(AT6&lt;Assumptions!$C$62,0%,(AT6-Assumptions!$C$62+1)/Assumptions!$C$61))</f>
        <v>1</v>
      </c>
      <c r="AU3" s="416">
        <f>IF(AU6&gt;=Assumptions!$C$63,100%,IF(AU6&lt;Assumptions!$C$62,0%,(AU6-Assumptions!$C$62+1)/Assumptions!$C$61))</f>
        <v>1</v>
      </c>
      <c r="AV3" s="416">
        <f>IF(AV6&gt;=Assumptions!$C$63,100%,IF(AV6&lt;Assumptions!$C$62,0%,(AV6-Assumptions!$C$62+1)/Assumptions!$C$61))</f>
        <v>1</v>
      </c>
      <c r="AW3" s="416">
        <f>IF(AW6&gt;=Assumptions!$C$63,100%,IF(AW6&lt;Assumptions!$C$62,0%,(AW6-Assumptions!$C$62+1)/Assumptions!$C$61))</f>
        <v>1</v>
      </c>
      <c r="AX3" s="416">
        <f>IF(AX6&gt;=Assumptions!$C$63,100%,IF(AX6&lt;Assumptions!$C$62,0%,(AX6-Assumptions!$C$62+1)/Assumptions!$C$61))</f>
        <v>1</v>
      </c>
      <c r="AY3" s="416">
        <f>IF(AY6&gt;=Assumptions!$C$63,100%,IF(AY6&lt;Assumptions!$C$62,0%,(AY6-Assumptions!$C$62+1)/Assumptions!$C$61))</f>
        <v>1</v>
      </c>
      <c r="AZ3" s="416">
        <f>IF(AZ6&gt;=Assumptions!$C$63,100%,IF(AZ6&lt;Assumptions!$C$62,0%,(AZ6-Assumptions!$C$62+1)/Assumptions!$C$61))</f>
        <v>1</v>
      </c>
      <c r="BA3" s="416">
        <f>IF(BA6&gt;=Assumptions!$C$63,100%,IF(BA6&lt;Assumptions!$C$62,0%,(BA6-Assumptions!$C$62+1)/Assumptions!$C$61))</f>
        <v>1</v>
      </c>
      <c r="BB3" s="416">
        <f>IF(BB6&gt;=Assumptions!$C$63,100%,IF(BB6&lt;Assumptions!$C$62,0%,(BB6-Assumptions!$C$62+1)/Assumptions!$C$61))</f>
        <v>1</v>
      </c>
      <c r="BC3" s="416"/>
      <c r="BD3" s="416">
        <f>IF(BD6&gt;=Assumptions!$C$63,100%,IF(BD6&lt;Assumptions!$C$62,0%,(BD6-Assumptions!$C$62+1)/Assumptions!$C$61))</f>
        <v>1</v>
      </c>
      <c r="BE3" s="416">
        <f>IF(BE6&gt;=Assumptions!$C$63,100%,IF(BE6&lt;Assumptions!$C$62,0%,(BE6-Assumptions!$C$62+1)/Assumptions!$C$61))</f>
        <v>1</v>
      </c>
      <c r="BF3" s="416">
        <f>IF(BF6&gt;=Assumptions!$C$63,100%,IF(BF6&lt;Assumptions!$C$62,0%,(BF6-Assumptions!$C$62+1)/Assumptions!$C$61))</f>
        <v>1</v>
      </c>
      <c r="BG3" s="416">
        <f>IF(BG6&gt;=Assumptions!$C$63,100%,IF(BG6&lt;Assumptions!$C$62,0%,(BG6-Assumptions!$C$62+1)/Assumptions!$C$61))</f>
        <v>1</v>
      </c>
      <c r="BH3" s="416">
        <f>IF(BH6&gt;=Assumptions!$C$63,100%,IF(BH6&lt;Assumptions!$C$62,0%,(BH6-Assumptions!$C$62+1)/Assumptions!$C$61))</f>
        <v>1</v>
      </c>
      <c r="BI3" s="416">
        <f>IF(BI6&gt;=Assumptions!$C$63,100%,IF(BI6&lt;Assumptions!$C$62,0%,(BI6-Assumptions!$C$62+1)/Assumptions!$C$61))</f>
        <v>1</v>
      </c>
      <c r="BJ3" s="416">
        <f>IF(BJ6&gt;=Assumptions!$C$63,100%,IF(BJ6&lt;Assumptions!$C$62,0%,(BJ6-Assumptions!$C$62+1)/Assumptions!$C$61))</f>
        <v>1</v>
      </c>
      <c r="BK3" s="416">
        <f>IF(BK6&gt;=Assumptions!$C$63,100%,IF(BK6&lt;Assumptions!$C$62,0%,(BK6-Assumptions!$C$62+1)/Assumptions!$C$61))</f>
        <v>1</v>
      </c>
      <c r="BL3" s="416">
        <f>IF(BL6&gt;=Assumptions!$C$63,100%,IF(BL6&lt;Assumptions!$C$62,0%,(BL6-Assumptions!$C$62+1)/Assumptions!$C$61))</f>
        <v>1</v>
      </c>
      <c r="BM3" s="416">
        <f>IF(BM6&gt;=Assumptions!$C$63,100%,IF(BM6&lt;Assumptions!$C$62,0%,(BM6-Assumptions!$C$62+1)/Assumptions!$C$61))</f>
        <v>1</v>
      </c>
      <c r="BN3" s="416">
        <f>IF(BN6&gt;=Assumptions!$C$63,100%,IF(BN6&lt;Assumptions!$C$62,0%,(BN6-Assumptions!$C$62+1)/Assumptions!$C$61))</f>
        <v>1</v>
      </c>
      <c r="BO3" s="416">
        <f>IF(BO6&gt;=Assumptions!$C$63,100%,IF(BO6&lt;Assumptions!$C$62,0%,(BO6-Assumptions!$C$62+1)/Assumptions!$C$61))</f>
        <v>1</v>
      </c>
      <c r="BP3" s="416"/>
      <c r="BQ3" s="416">
        <f>IF(BQ6&gt;=Assumptions!$C$63,100%,IF(BQ6&lt;Assumptions!$C$62,0%,(BQ6-Assumptions!$C$62+1)/Assumptions!$C$61))</f>
        <v>1</v>
      </c>
      <c r="BR3" s="416">
        <f>IF(BR6&gt;=Assumptions!$C$63,100%,IF(BR6&lt;Assumptions!$C$62,0%,(BR6-Assumptions!$C$62+1)/Assumptions!$C$61))</f>
        <v>1</v>
      </c>
      <c r="BS3" s="416">
        <f>IF(BS6&gt;=Assumptions!$C$63,100%,IF(BS6&lt;Assumptions!$C$62,0%,(BS6-Assumptions!$C$62+1)/Assumptions!$C$61))</f>
        <v>1</v>
      </c>
      <c r="BT3" s="416">
        <f>IF(BT6&gt;=Assumptions!$C$63,100%,IF(BT6&lt;Assumptions!$C$62,0%,(BT6-Assumptions!$C$62+1)/Assumptions!$C$61))</f>
        <v>1</v>
      </c>
      <c r="BU3" s="416">
        <f>IF(BU6&gt;=Assumptions!$C$63,100%,IF(BU6&lt;Assumptions!$C$62,0%,(BU6-Assumptions!$C$62+1)/Assumptions!$C$61))</f>
        <v>1</v>
      </c>
      <c r="BV3" s="416">
        <f>IF(BV6&gt;=Assumptions!$C$63,100%,IF(BV6&lt;Assumptions!$C$62,0%,(BV6-Assumptions!$C$62+1)/Assumptions!$C$61))</f>
        <v>1</v>
      </c>
      <c r="BW3" s="416">
        <f>IF(BW6&gt;=Assumptions!$C$63,100%,IF(BW6&lt;Assumptions!$C$62,0%,(BW6-Assumptions!$C$62+1)/Assumptions!$C$61))</f>
        <v>1</v>
      </c>
      <c r="BX3" s="416">
        <f>IF(BX6&gt;=Assumptions!$C$63,100%,IF(BX6&lt;Assumptions!$C$62,0%,(BX6-Assumptions!$C$62+1)/Assumptions!$C$61))</f>
        <v>1</v>
      </c>
      <c r="BY3" s="416">
        <f>IF(BY6&gt;=Assumptions!$C$63,100%,IF(BY6&lt;Assumptions!$C$62,0%,(BY6-Assumptions!$C$62+1)/Assumptions!$C$61))</f>
        <v>1</v>
      </c>
      <c r="BZ3" s="416">
        <f>IF(BZ6&gt;=Assumptions!$C$63,100%,IF(BZ6&lt;Assumptions!$C$62,0%,(BZ6-Assumptions!$C$62+1)/Assumptions!$C$61))</f>
        <v>1</v>
      </c>
      <c r="CA3" s="416">
        <f>IF(CA6&gt;=Assumptions!$C$63,100%,IF(CA6&lt;Assumptions!$C$62,0%,(CA6-Assumptions!$C$62+1)/Assumptions!$C$61))</f>
        <v>1</v>
      </c>
      <c r="CB3" s="416">
        <f>IF(CB6&gt;=Assumptions!$C$63,100%,IF(CB6&lt;Assumptions!$C$62,0%,(CB6-Assumptions!$C$62+1)/Assumptions!$C$61))</f>
        <v>1</v>
      </c>
      <c r="CC3" s="416"/>
      <c r="CD3" s="416">
        <f>IF(CD6&gt;=Assumptions!$C$63,100%,IF(CD6&lt;Assumptions!$C$62,0%,(CD6-Assumptions!$C$62+1)/Assumptions!$C$61))</f>
        <v>1</v>
      </c>
      <c r="CE3" s="416">
        <f>IF(CE6&gt;=Assumptions!$C$63,100%,IF(CE6&lt;Assumptions!$C$62,0%,(CE6-Assumptions!$C$62+1)/Assumptions!$C$61))</f>
        <v>1</v>
      </c>
      <c r="CF3" s="416">
        <f>IF(CF6&gt;=Assumptions!$C$63,100%,IF(CF6&lt;Assumptions!$C$62,0%,(CF6-Assumptions!$C$62+1)/Assumptions!$C$61))</f>
        <v>1</v>
      </c>
      <c r="CG3" s="416">
        <f>IF(CG6&gt;=Assumptions!$C$63,100%,IF(CG6&lt;Assumptions!$C$62,0%,(CG6-Assumptions!$C$62+1)/Assumptions!$C$61))</f>
        <v>1</v>
      </c>
      <c r="CH3" s="416">
        <f>IF(CH6&gt;=Assumptions!$C$63,100%,IF(CH6&lt;Assumptions!$C$62,0%,(CH6-Assumptions!$C$62+1)/Assumptions!$C$61))</f>
        <v>1</v>
      </c>
      <c r="CI3" s="416">
        <f>IF(CI6&gt;=Assumptions!$C$63,100%,IF(CI6&lt;Assumptions!$C$62,0%,(CI6-Assumptions!$C$62+1)/Assumptions!$C$61))</f>
        <v>1</v>
      </c>
      <c r="CJ3" s="416">
        <f>IF(CJ6&gt;=Assumptions!$C$63,100%,IF(CJ6&lt;Assumptions!$C$62,0%,(CJ6-Assumptions!$C$62+1)/Assumptions!$C$61))</f>
        <v>1</v>
      </c>
      <c r="CK3" s="416">
        <f>IF(CK6&gt;=Assumptions!$C$63,100%,IF(CK6&lt;Assumptions!$C$62,0%,(CK6-Assumptions!$C$62+1)/Assumptions!$C$61))</f>
        <v>1</v>
      </c>
      <c r="CL3" s="416">
        <f>IF(CL6&gt;=Assumptions!$C$63,100%,IF(CL6&lt;Assumptions!$C$62,0%,(CL6-Assumptions!$C$62+1)/Assumptions!$C$61))</f>
        <v>1</v>
      </c>
      <c r="CM3" s="416">
        <f>IF(CM6&gt;=Assumptions!$C$63,100%,IF(CM6&lt;Assumptions!$C$62,0%,(CM6-Assumptions!$C$62+1)/Assumptions!$C$61))</f>
        <v>1</v>
      </c>
      <c r="CN3" s="416">
        <f>IF(CN6&gt;=Assumptions!$C$63,100%,IF(CN6&lt;Assumptions!$C$62,0%,(CN6-Assumptions!$C$62+1)/Assumptions!$C$61))</f>
        <v>1</v>
      </c>
      <c r="CO3" s="416">
        <f>IF(CO6&gt;=Assumptions!$C$63,100%,IF(CO6&lt;Assumptions!$C$62,0%,(CO6-Assumptions!$C$62+1)/Assumptions!$C$61))</f>
        <v>1</v>
      </c>
      <c r="CP3" s="416"/>
    </row>
    <row r="4" spans="2:94">
      <c r="B4" s="2" t="s">
        <v>218</v>
      </c>
      <c r="D4">
        <f>IF(AND(D6&gt;Assumptions!$C$55,D6&lt;=Assumptions!$C$56),'Monthly Cash Flow'!C4+1,IF('Monthly Cash Flow'!D6=Assumptions!$C$55,1,0))</f>
        <v>0</v>
      </c>
      <c r="E4">
        <f>IF(AND(E6&gt;Assumptions!$C$55,E6&lt;=Assumptions!$C$56),'Monthly Cash Flow'!D4+1,IF('Monthly Cash Flow'!E6=Assumptions!$C$55,1,0))</f>
        <v>1</v>
      </c>
      <c r="F4">
        <f>IF(AND(F6&gt;Assumptions!$C$55,F6&lt;=Assumptions!$C$56),'Monthly Cash Flow'!E4+1,IF('Monthly Cash Flow'!F6=Assumptions!$C$55,1,0))</f>
        <v>2</v>
      </c>
      <c r="G4">
        <f>IF(AND(G6&gt;Assumptions!$C$55,G6&lt;=Assumptions!$C$56),'Monthly Cash Flow'!F4+1,IF('Monthly Cash Flow'!G6=Assumptions!$C$55,1,0))</f>
        <v>3</v>
      </c>
      <c r="H4">
        <f>IF(AND(H6&gt;Assumptions!$C$55,H6&lt;=Assumptions!$C$56),'Monthly Cash Flow'!G4+1,IF('Monthly Cash Flow'!H6=Assumptions!$C$55,1,0))</f>
        <v>4</v>
      </c>
      <c r="I4">
        <f>IF(AND(I6&gt;Assumptions!$C$55,I6&lt;=Assumptions!$C$56),'Monthly Cash Flow'!H4+1,IF('Monthly Cash Flow'!I6=Assumptions!$C$55,1,0))</f>
        <v>5</v>
      </c>
      <c r="J4">
        <f>IF(AND(J6&gt;Assumptions!$C$55,J6&lt;=Assumptions!$C$56),'Monthly Cash Flow'!I4+1,IF('Monthly Cash Flow'!J6=Assumptions!$C$55,1,0))</f>
        <v>6</v>
      </c>
      <c r="K4">
        <f>IF(AND(K6&gt;Assumptions!$C$55,K6&lt;=Assumptions!$C$56),'Monthly Cash Flow'!J4+1,IF('Monthly Cash Flow'!K6=Assumptions!$C$55,1,0))</f>
        <v>7</v>
      </c>
      <c r="L4">
        <f>IF(AND(L6&gt;Assumptions!$C$55,L6&lt;=Assumptions!$C$56),'Monthly Cash Flow'!K4+1,IF('Monthly Cash Flow'!L6=Assumptions!$C$55,1,0))</f>
        <v>8</v>
      </c>
      <c r="M4">
        <f>IF(AND(M6&gt;Assumptions!$C$55,M6&lt;=Assumptions!$C$56),'Monthly Cash Flow'!L4+1,IF('Monthly Cash Flow'!M6=Assumptions!$C$55,1,0))</f>
        <v>9</v>
      </c>
      <c r="N4">
        <f>IF(AND(N6&gt;Assumptions!$C$55,N6&lt;=Assumptions!$C$56),'Monthly Cash Flow'!M4+1,IF('Monthly Cash Flow'!N6=Assumptions!$C$55,1,0))</f>
        <v>10</v>
      </c>
      <c r="O4">
        <f>IF(AND(O6&gt;Assumptions!$C$55,O6&lt;=Assumptions!$C$56),'Monthly Cash Flow'!N4+1,IF('Monthly Cash Flow'!O6=Assumptions!$C$55,1,0))</f>
        <v>11</v>
      </c>
      <c r="Q4">
        <f>IF(AND(Q6&gt;Assumptions!$C$55,Q6&lt;=Assumptions!$C$56),'Monthly Cash Flow'!O4+1,IF('Monthly Cash Flow'!Q6=Assumptions!$C$55,1,0))</f>
        <v>12</v>
      </c>
      <c r="R4">
        <f>IF(AND(R6&gt;Assumptions!$C$55,R6&lt;=Assumptions!$C$56),'Monthly Cash Flow'!Q4+1,IF('Monthly Cash Flow'!R6=Assumptions!$C$55,1,0))</f>
        <v>13</v>
      </c>
      <c r="S4">
        <f>IF(AND(S6&gt;Assumptions!$C$55,S6&lt;=Assumptions!$C$56),'Monthly Cash Flow'!R4+1,IF('Monthly Cash Flow'!S6=Assumptions!$C$55,1,0))</f>
        <v>14</v>
      </c>
      <c r="T4">
        <f>IF(AND(T6&gt;Assumptions!$C$55,T6&lt;=Assumptions!$C$56),'Monthly Cash Flow'!S4+1,IF('Monthly Cash Flow'!T6=Assumptions!$C$55,1,0))</f>
        <v>15</v>
      </c>
      <c r="U4">
        <f>IF(AND(U6&gt;Assumptions!$C$55,U6&lt;=Assumptions!$C$56),'Monthly Cash Flow'!T4+1,IF('Monthly Cash Flow'!U6=Assumptions!$C$55,1,0))</f>
        <v>16</v>
      </c>
      <c r="V4">
        <f>IF(AND(V6&gt;Assumptions!$C$55,V6&lt;=Assumptions!$C$56),'Monthly Cash Flow'!U4+1,IF('Monthly Cash Flow'!V6=Assumptions!$C$55,1,0))</f>
        <v>17</v>
      </c>
      <c r="W4">
        <f>IF(AND(W6&gt;Assumptions!$C$55,W6&lt;=Assumptions!$C$56),'Monthly Cash Flow'!V4+1,IF('Monthly Cash Flow'!W6=Assumptions!$C$55,1,0))</f>
        <v>18</v>
      </c>
      <c r="X4">
        <f>IF(AND(X6&gt;Assumptions!$C$55,X6&lt;=Assumptions!$C$56),'Monthly Cash Flow'!W4+1,IF('Monthly Cash Flow'!X6=Assumptions!$C$55,1,0))</f>
        <v>0</v>
      </c>
      <c r="Y4">
        <f>IF(AND(Y6&gt;Assumptions!$C$55,Y6&lt;=Assumptions!$C$56),'Monthly Cash Flow'!X4+1,IF('Monthly Cash Flow'!Y6=Assumptions!$C$55,1,0))</f>
        <v>0</v>
      </c>
      <c r="Z4">
        <f>IF(AND(Z6&gt;Assumptions!$C$55,Z6&lt;=Assumptions!$C$56),'Monthly Cash Flow'!Y4+1,IF('Monthly Cash Flow'!Z6=Assumptions!$C$55,1,0))</f>
        <v>0</v>
      </c>
      <c r="AA4">
        <f>IF(AND(AA6&gt;Assumptions!$C$55,AA6&lt;=Assumptions!$C$56),'Monthly Cash Flow'!Z4+1,IF('Monthly Cash Flow'!AA6=Assumptions!$C$55,1,0))</f>
        <v>0</v>
      </c>
      <c r="AB4">
        <f>IF(AND(AB6&gt;Assumptions!$C$55,AB6&lt;=Assumptions!$C$56),'Monthly Cash Flow'!AA4+1,IF('Monthly Cash Flow'!AB6=Assumptions!$C$55,1,0))</f>
        <v>0</v>
      </c>
      <c r="AD4">
        <f>IF(AND(AD6&gt;Assumptions!$C$55,AD6&lt;=Assumptions!$C$56),'Monthly Cash Flow'!AB4+1,IF('Monthly Cash Flow'!AD6=Assumptions!$C$55,1,0))</f>
        <v>0</v>
      </c>
      <c r="AE4">
        <f>IF(AND(AE6&gt;Assumptions!$C$55,AE6&lt;=Assumptions!$C$56),'Monthly Cash Flow'!AD4+1,IF('Monthly Cash Flow'!AE6=Assumptions!$C$55,1,0))</f>
        <v>0</v>
      </c>
      <c r="AF4">
        <f>IF(AND(AF6&gt;Assumptions!$C$55,AF6&lt;=Assumptions!$C$56),'Monthly Cash Flow'!AE4+1,IF('Monthly Cash Flow'!AF6=Assumptions!$C$55,1,0))</f>
        <v>0</v>
      </c>
      <c r="AG4">
        <f>IF(AND(AG6&gt;Assumptions!$C$55,AG6&lt;=Assumptions!$C$56),'Monthly Cash Flow'!AF4+1,IF('Monthly Cash Flow'!AG6=Assumptions!$C$55,1,0))</f>
        <v>0</v>
      </c>
      <c r="AH4">
        <f>IF(AND(AH6&gt;Assumptions!$C$55,AH6&lt;=Assumptions!$C$56),'Monthly Cash Flow'!AG4+1,IF('Monthly Cash Flow'!AH6=Assumptions!$C$55,1,0))</f>
        <v>0</v>
      </c>
      <c r="AI4">
        <f>IF(AND(AI6&gt;Assumptions!$C$55,AI6&lt;=Assumptions!$C$56),'Monthly Cash Flow'!AH4+1,IF('Monthly Cash Flow'!AI6=Assumptions!$C$55,1,0))</f>
        <v>0</v>
      </c>
      <c r="AJ4">
        <f>IF(AND(AJ6&gt;Assumptions!$C$55,AJ6&lt;=Assumptions!$C$56),'Monthly Cash Flow'!AI4+1,IF('Monthly Cash Flow'!AJ6=Assumptions!$C$55,1,0))</f>
        <v>0</v>
      </c>
      <c r="AK4">
        <f>IF(AND(AK6&gt;Assumptions!$C$55,AK6&lt;=Assumptions!$C$56),'Monthly Cash Flow'!AJ4+1,IF('Monthly Cash Flow'!AK6=Assumptions!$C$55,1,0))</f>
        <v>0</v>
      </c>
      <c r="AL4">
        <f>IF(AND(AL6&gt;Assumptions!$C$55,AL6&lt;=Assumptions!$C$56),'Monthly Cash Flow'!AK4+1,IF('Monthly Cash Flow'!AL6=Assumptions!$C$55,1,0))</f>
        <v>0</v>
      </c>
      <c r="AM4">
        <f>IF(AND(AM6&gt;Assumptions!$C$55,AM6&lt;=Assumptions!$C$56),'Monthly Cash Flow'!AL4+1,IF('Monthly Cash Flow'!AM6=Assumptions!$C$55,1,0))</f>
        <v>0</v>
      </c>
      <c r="AN4">
        <f>IF(AND(AN6&gt;Assumptions!$C$55,AN6&lt;=Assumptions!$C$56),'Monthly Cash Flow'!AM4+1,IF('Monthly Cash Flow'!AN6=Assumptions!$C$55,1,0))</f>
        <v>0</v>
      </c>
      <c r="AO4">
        <f>IF(AND(AO6&gt;Assumptions!$C$55,AO6&lt;=Assumptions!$C$56),'Monthly Cash Flow'!AN4+1,IF('Monthly Cash Flow'!AO6=Assumptions!$C$55,1,0))</f>
        <v>0</v>
      </c>
      <c r="AQ4">
        <f>IF(AND(AQ6&gt;Assumptions!$C$55,AQ6&lt;=Assumptions!$C$56),'Monthly Cash Flow'!AO4+1,IF('Monthly Cash Flow'!AQ6=Assumptions!$C$55,1,0))</f>
        <v>0</v>
      </c>
      <c r="AR4">
        <f>IF(AND(AR6&gt;Assumptions!$C$55,AR6&lt;=Assumptions!$C$56),'Monthly Cash Flow'!AQ4+1,IF('Monthly Cash Flow'!AR6=Assumptions!$C$55,1,0))</f>
        <v>0</v>
      </c>
      <c r="AS4">
        <f>IF(AND(AS6&gt;Assumptions!$C$55,AS6&lt;=Assumptions!$C$56),'Monthly Cash Flow'!AR4+1,IF('Monthly Cash Flow'!AS6=Assumptions!$C$55,1,0))</f>
        <v>0</v>
      </c>
      <c r="AT4">
        <f>IF(AND(AT6&gt;Assumptions!$C$55,AT6&lt;=Assumptions!$C$56),'Monthly Cash Flow'!AS4+1,IF('Monthly Cash Flow'!AT6=Assumptions!$C$55,1,0))</f>
        <v>0</v>
      </c>
      <c r="AU4">
        <f>IF(AND(AU6&gt;Assumptions!$C$55,AU6&lt;=Assumptions!$C$56),'Monthly Cash Flow'!AT4+1,IF('Monthly Cash Flow'!AU6=Assumptions!$C$55,1,0))</f>
        <v>0</v>
      </c>
      <c r="AV4">
        <f>IF(AND(AV6&gt;Assumptions!$C$55,AV6&lt;=Assumptions!$C$56),'Monthly Cash Flow'!AU4+1,IF('Monthly Cash Flow'!AV6=Assumptions!$C$55,1,0))</f>
        <v>0</v>
      </c>
      <c r="AW4">
        <f>IF(AND(AW6&gt;Assumptions!$C$55,AW6&lt;=Assumptions!$C$56),'Monthly Cash Flow'!AV4+1,IF('Monthly Cash Flow'!AW6=Assumptions!$C$55,1,0))</f>
        <v>0</v>
      </c>
      <c r="AX4">
        <f>IF(AND(AX6&gt;Assumptions!$C$55,AX6&lt;=Assumptions!$C$56),'Monthly Cash Flow'!AW4+1,IF('Monthly Cash Flow'!AX6=Assumptions!$C$55,1,0))</f>
        <v>0</v>
      </c>
      <c r="AY4">
        <f>IF(AND(AY6&gt;Assumptions!$C$55,AY6&lt;=Assumptions!$C$56),'Monthly Cash Flow'!AX4+1,IF('Monthly Cash Flow'!AY6=Assumptions!$C$55,1,0))</f>
        <v>0</v>
      </c>
      <c r="AZ4">
        <f>IF(AND(AZ6&gt;Assumptions!$C$55,AZ6&lt;=Assumptions!$C$56),'Monthly Cash Flow'!AY4+1,IF('Monthly Cash Flow'!AZ6=Assumptions!$C$55,1,0))</f>
        <v>0</v>
      </c>
      <c r="BA4">
        <f>IF(AND(BA6&gt;Assumptions!$C$55,BA6&lt;=Assumptions!$C$56),'Monthly Cash Flow'!AZ4+1,IF('Monthly Cash Flow'!BA6=Assumptions!$C$55,1,0))</f>
        <v>0</v>
      </c>
      <c r="BB4">
        <f>IF(AND(BB6&gt;Assumptions!$C$55,BB6&lt;=Assumptions!$C$56),'Monthly Cash Flow'!BA4+1,IF('Monthly Cash Flow'!BB6=Assumptions!$C$55,1,0))</f>
        <v>0</v>
      </c>
      <c r="BD4">
        <f>IF(AND(BD6&gt;Assumptions!$C$55,BD6&lt;=Assumptions!$C$56),'Monthly Cash Flow'!BB4+1,IF('Monthly Cash Flow'!BD6=Assumptions!$C$55,1,0))</f>
        <v>0</v>
      </c>
      <c r="BE4">
        <f>IF(AND(BE6&gt;Assumptions!$C$55,BE6&lt;=Assumptions!$C$56),'Monthly Cash Flow'!BD4+1,IF('Monthly Cash Flow'!BE6=Assumptions!$C$55,1,0))</f>
        <v>0</v>
      </c>
      <c r="BF4">
        <f>IF(AND(BF6&gt;Assumptions!$C$55,BF6&lt;=Assumptions!$C$56),'Monthly Cash Flow'!BE4+1,IF('Monthly Cash Flow'!BF6=Assumptions!$C$55,1,0))</f>
        <v>0</v>
      </c>
      <c r="BG4">
        <f>IF(AND(BG6&gt;Assumptions!$C$55,BG6&lt;=Assumptions!$C$56),'Monthly Cash Flow'!BF4+1,IF('Monthly Cash Flow'!BG6=Assumptions!$C$55,1,0))</f>
        <v>0</v>
      </c>
      <c r="BH4">
        <f>IF(AND(BH6&gt;Assumptions!$C$55,BH6&lt;=Assumptions!$C$56),'Monthly Cash Flow'!BG4+1,IF('Monthly Cash Flow'!BH6=Assumptions!$C$55,1,0))</f>
        <v>0</v>
      </c>
      <c r="BI4">
        <f>IF(AND(BI6&gt;Assumptions!$C$55,BI6&lt;=Assumptions!$C$56),'Monthly Cash Flow'!BH4+1,IF('Monthly Cash Flow'!BI6=Assumptions!$C$55,1,0))</f>
        <v>0</v>
      </c>
      <c r="BJ4">
        <f>IF(AND(BJ6&gt;Assumptions!$C$55,BJ6&lt;=Assumptions!$C$56),'Monthly Cash Flow'!BI4+1,IF('Monthly Cash Flow'!BJ6=Assumptions!$C$55,1,0))</f>
        <v>0</v>
      </c>
      <c r="BK4">
        <f>IF(AND(BK6&gt;Assumptions!$C$55,BK6&lt;=Assumptions!$C$56),'Monthly Cash Flow'!BJ4+1,IF('Monthly Cash Flow'!BK6=Assumptions!$C$55,1,0))</f>
        <v>0</v>
      </c>
      <c r="BL4">
        <f>IF(AND(BL6&gt;Assumptions!$C$55,BL6&lt;=Assumptions!$C$56),'Monthly Cash Flow'!BK4+1,IF('Monthly Cash Flow'!BL6=Assumptions!$C$55,1,0))</f>
        <v>0</v>
      </c>
      <c r="BM4">
        <f>IF(AND(BM6&gt;Assumptions!$C$55,BM6&lt;=Assumptions!$C$56),'Monthly Cash Flow'!BL4+1,IF('Monthly Cash Flow'!BM6=Assumptions!$C$55,1,0))</f>
        <v>0</v>
      </c>
      <c r="BN4">
        <f>IF(AND(BN6&gt;Assumptions!$C$55,BN6&lt;=Assumptions!$C$56),'Monthly Cash Flow'!BM4+1,IF('Monthly Cash Flow'!BN6=Assumptions!$C$55,1,0))</f>
        <v>0</v>
      </c>
      <c r="BO4">
        <f>IF(AND(BO6&gt;Assumptions!$C$55,BO6&lt;=Assumptions!$C$56),'Monthly Cash Flow'!BN4+1,IF('Monthly Cash Flow'!BO6=Assumptions!$C$55,1,0))</f>
        <v>0</v>
      </c>
      <c r="BQ4">
        <f>IF(AND(BQ6&gt;Assumptions!$C$55,BQ6&lt;=Assumptions!$C$56),'Monthly Cash Flow'!BO4+1,IF('Monthly Cash Flow'!BQ6=Assumptions!$C$55,1,0))</f>
        <v>0</v>
      </c>
      <c r="BR4">
        <f>IF(AND(BR6&gt;Assumptions!$C$55,BR6&lt;=Assumptions!$C$56),'Monthly Cash Flow'!BQ4+1,IF('Monthly Cash Flow'!BR6=Assumptions!$C$55,1,0))</f>
        <v>0</v>
      </c>
      <c r="BS4">
        <f>IF(AND(BS6&gt;Assumptions!$C$55,BS6&lt;=Assumptions!$C$56),'Monthly Cash Flow'!BR4+1,IF('Monthly Cash Flow'!BS6=Assumptions!$C$55,1,0))</f>
        <v>0</v>
      </c>
      <c r="BT4">
        <f>IF(AND(BT6&gt;Assumptions!$C$55,BT6&lt;=Assumptions!$C$56),'Monthly Cash Flow'!BS4+1,IF('Monthly Cash Flow'!BT6=Assumptions!$C$55,1,0))</f>
        <v>0</v>
      </c>
      <c r="BU4">
        <f>IF(AND(BU6&gt;Assumptions!$C$55,BU6&lt;=Assumptions!$C$56),'Monthly Cash Flow'!BT4+1,IF('Monthly Cash Flow'!BU6=Assumptions!$C$55,1,0))</f>
        <v>0</v>
      </c>
      <c r="BV4">
        <f>IF(AND(BV6&gt;Assumptions!$C$55,BV6&lt;=Assumptions!$C$56),'Monthly Cash Flow'!BU4+1,IF('Monthly Cash Flow'!BV6=Assumptions!$C$55,1,0))</f>
        <v>0</v>
      </c>
      <c r="BW4">
        <f>IF(AND(BW6&gt;Assumptions!$C$55,BW6&lt;=Assumptions!$C$56),'Monthly Cash Flow'!BV4+1,IF('Monthly Cash Flow'!BW6=Assumptions!$C$55,1,0))</f>
        <v>0</v>
      </c>
      <c r="BX4">
        <f>IF(AND(BX6&gt;Assumptions!$C$55,BX6&lt;=Assumptions!$C$56),'Monthly Cash Flow'!BW4+1,IF('Monthly Cash Flow'!BX6=Assumptions!$C$55,1,0))</f>
        <v>0</v>
      </c>
      <c r="BY4">
        <f>IF(AND(BY6&gt;Assumptions!$C$55,BY6&lt;=Assumptions!$C$56),'Monthly Cash Flow'!BX4+1,IF('Monthly Cash Flow'!BY6=Assumptions!$C$55,1,0))</f>
        <v>0</v>
      </c>
      <c r="BZ4">
        <f>IF(AND(BZ6&gt;Assumptions!$C$55,BZ6&lt;=Assumptions!$C$56),'Monthly Cash Flow'!BY4+1,IF('Monthly Cash Flow'!BZ6=Assumptions!$C$55,1,0))</f>
        <v>0</v>
      </c>
      <c r="CA4">
        <f>IF(AND(CA6&gt;Assumptions!$C$55,CA6&lt;=Assumptions!$C$56),'Monthly Cash Flow'!BZ4+1,IF('Monthly Cash Flow'!CA6=Assumptions!$C$55,1,0))</f>
        <v>0</v>
      </c>
      <c r="CB4">
        <f>IF(AND(CB6&gt;Assumptions!$C$55,CB6&lt;=Assumptions!$C$56),'Monthly Cash Flow'!CA4+1,IF('Monthly Cash Flow'!CB6=Assumptions!$C$55,1,0))</f>
        <v>0</v>
      </c>
      <c r="CD4">
        <f>IF(AND(CD6&gt;Assumptions!$C$55,CD6&lt;=Assumptions!$C$56),'Monthly Cash Flow'!CB4+1,IF('Monthly Cash Flow'!CD6=Assumptions!$C$55,1,0))</f>
        <v>0</v>
      </c>
      <c r="CE4">
        <f>IF(AND(CE6&gt;Assumptions!$C$55,CE6&lt;=Assumptions!$C$56),'Monthly Cash Flow'!CD4+1,IF('Monthly Cash Flow'!CE6=Assumptions!$C$55,1,0))</f>
        <v>0</v>
      </c>
      <c r="CF4">
        <f>IF(AND(CF6&gt;Assumptions!$C$55,CF6&lt;=Assumptions!$C$56),'Monthly Cash Flow'!CE4+1,IF('Monthly Cash Flow'!CF6=Assumptions!$C$55,1,0))</f>
        <v>0</v>
      </c>
      <c r="CG4">
        <f>IF(AND(CG6&gt;Assumptions!$C$55,CG6&lt;=Assumptions!$C$56),'Monthly Cash Flow'!CF4+1,IF('Monthly Cash Flow'!CG6=Assumptions!$C$55,1,0))</f>
        <v>0</v>
      </c>
      <c r="CH4">
        <f>IF(AND(CH6&gt;Assumptions!$C$55,CH6&lt;=Assumptions!$C$56),'Monthly Cash Flow'!CG4+1,IF('Monthly Cash Flow'!CH6=Assumptions!$C$55,1,0))</f>
        <v>0</v>
      </c>
      <c r="CI4">
        <f>IF(AND(CI6&gt;Assumptions!$C$55,CI6&lt;=Assumptions!$C$56),'Monthly Cash Flow'!CH4+1,IF('Monthly Cash Flow'!CI6=Assumptions!$C$55,1,0))</f>
        <v>0</v>
      </c>
      <c r="CJ4">
        <f>IF(AND(CJ6&gt;Assumptions!$C$55,CJ6&lt;=Assumptions!$C$56),'Monthly Cash Flow'!CI4+1,IF('Monthly Cash Flow'!CJ6=Assumptions!$C$55,1,0))</f>
        <v>0</v>
      </c>
      <c r="CK4">
        <f>IF(AND(CK6&gt;Assumptions!$C$55,CK6&lt;=Assumptions!$C$56),'Monthly Cash Flow'!CJ4+1,IF('Monthly Cash Flow'!CK6=Assumptions!$C$55,1,0))</f>
        <v>0</v>
      </c>
      <c r="CL4">
        <f>IF(AND(CL6&gt;Assumptions!$C$55,CL6&lt;=Assumptions!$C$56),'Monthly Cash Flow'!CK4+1,IF('Monthly Cash Flow'!CL6=Assumptions!$C$55,1,0))</f>
        <v>0</v>
      </c>
      <c r="CM4">
        <f>IF(AND(CM6&gt;Assumptions!$C$55,CM6&lt;=Assumptions!$C$56),'Monthly Cash Flow'!CL4+1,IF('Monthly Cash Flow'!CM6=Assumptions!$C$55,1,0))</f>
        <v>0</v>
      </c>
      <c r="CN4">
        <f>IF(AND(CN6&gt;Assumptions!$C$55,CN6&lt;=Assumptions!$C$56),'Monthly Cash Flow'!CM4+1,IF('Monthly Cash Flow'!CN6=Assumptions!$C$55,1,0))</f>
        <v>0</v>
      </c>
      <c r="CO4">
        <f>IF(AND(CO6&gt;Assumptions!$C$55,CO6&lt;=Assumptions!$C$56),'Monthly Cash Flow'!CN4+1,IF('Monthly Cash Flow'!CO6=Assumptions!$C$55,1,0))</f>
        <v>0</v>
      </c>
    </row>
    <row r="5" spans="2:94" ht="15" thickBot="1">
      <c r="D5" s="391"/>
      <c r="E5" s="391"/>
      <c r="F5" s="391"/>
      <c r="G5" s="391"/>
      <c r="H5" s="391"/>
      <c r="I5" s="391"/>
      <c r="J5" s="391"/>
      <c r="K5" s="391"/>
      <c r="L5" s="391"/>
      <c r="P5" s="180">
        <v>1</v>
      </c>
      <c r="AB5">
        <f>AB10/Q10</f>
        <v>1.0228930078821956</v>
      </c>
      <c r="AC5" s="180">
        <v>2</v>
      </c>
      <c r="AP5" s="180">
        <v>3</v>
      </c>
      <c r="BC5" s="181">
        <v>4</v>
      </c>
      <c r="BP5" s="181">
        <v>5</v>
      </c>
      <c r="CC5" s="181">
        <v>6</v>
      </c>
      <c r="CP5" s="181">
        <v>7</v>
      </c>
    </row>
    <row r="6" spans="2:94">
      <c r="B6" s="138"/>
      <c r="C6" s="140">
        <v>0</v>
      </c>
      <c r="D6" s="140">
        <v>1</v>
      </c>
      <c r="E6" s="137">
        <v>2</v>
      </c>
      <c r="F6" s="141">
        <v>3</v>
      </c>
      <c r="G6" s="141">
        <v>4</v>
      </c>
      <c r="H6" s="141">
        <v>5</v>
      </c>
      <c r="I6" s="140">
        <v>6</v>
      </c>
      <c r="J6" s="141">
        <v>7</v>
      </c>
      <c r="K6" s="141">
        <v>8</v>
      </c>
      <c r="L6" s="141">
        <v>9</v>
      </c>
      <c r="M6" s="140">
        <v>10</v>
      </c>
      <c r="N6" s="141">
        <v>11</v>
      </c>
      <c r="O6" s="141">
        <v>12</v>
      </c>
      <c r="P6" s="185"/>
      <c r="Q6" s="137">
        <v>13</v>
      </c>
      <c r="R6" s="142">
        <v>14</v>
      </c>
      <c r="S6" s="140">
        <v>15</v>
      </c>
      <c r="T6" s="140">
        <v>16</v>
      </c>
      <c r="U6" s="140">
        <v>17</v>
      </c>
      <c r="V6" s="140">
        <v>18</v>
      </c>
      <c r="W6" s="140">
        <v>19</v>
      </c>
      <c r="X6" s="140">
        <v>20</v>
      </c>
      <c r="Y6" s="140">
        <v>21</v>
      </c>
      <c r="Z6" s="140">
        <v>22</v>
      </c>
      <c r="AA6" s="141">
        <v>23</v>
      </c>
      <c r="AB6" s="137">
        <v>24</v>
      </c>
      <c r="AC6" s="182"/>
      <c r="AD6" s="137">
        <v>25</v>
      </c>
      <c r="AE6" s="140">
        <v>26</v>
      </c>
      <c r="AF6" s="140">
        <v>27</v>
      </c>
      <c r="AG6" s="140">
        <v>28</v>
      </c>
      <c r="AH6" s="140">
        <v>29</v>
      </c>
      <c r="AI6" s="140">
        <v>30</v>
      </c>
      <c r="AJ6" s="140">
        <v>31</v>
      </c>
      <c r="AK6" s="140">
        <v>32</v>
      </c>
      <c r="AL6" s="140">
        <v>33</v>
      </c>
      <c r="AM6" s="140">
        <v>34</v>
      </c>
      <c r="AN6" s="141">
        <v>35</v>
      </c>
      <c r="AO6" s="143">
        <v>36</v>
      </c>
      <c r="AP6" s="182"/>
      <c r="AQ6" s="137">
        <v>37</v>
      </c>
      <c r="AR6" s="140">
        <v>38</v>
      </c>
      <c r="AS6" s="140">
        <v>39</v>
      </c>
      <c r="AT6" s="140">
        <v>40</v>
      </c>
      <c r="AU6" s="140">
        <v>41</v>
      </c>
      <c r="AV6" s="140">
        <v>42</v>
      </c>
      <c r="AW6" s="140">
        <v>43</v>
      </c>
      <c r="AX6" s="140">
        <v>44</v>
      </c>
      <c r="AY6" s="140">
        <v>45</v>
      </c>
      <c r="AZ6" s="140">
        <v>46</v>
      </c>
      <c r="BA6" s="141">
        <v>47</v>
      </c>
      <c r="BB6" s="143">
        <v>48</v>
      </c>
      <c r="BC6" s="182"/>
      <c r="BD6" s="137">
        <v>49</v>
      </c>
      <c r="BE6" s="142">
        <v>50</v>
      </c>
      <c r="BF6" s="140">
        <v>51</v>
      </c>
      <c r="BG6" s="140">
        <v>52</v>
      </c>
      <c r="BH6" s="140">
        <v>53</v>
      </c>
      <c r="BI6" s="140">
        <v>54</v>
      </c>
      <c r="BJ6" s="140">
        <v>55</v>
      </c>
      <c r="BK6" s="140">
        <v>56</v>
      </c>
      <c r="BL6" s="140">
        <v>57</v>
      </c>
      <c r="BM6" s="140">
        <v>58</v>
      </c>
      <c r="BN6" s="141">
        <v>59</v>
      </c>
      <c r="BO6" s="143">
        <v>60</v>
      </c>
      <c r="BP6" s="182"/>
      <c r="BQ6" s="137">
        <v>61</v>
      </c>
      <c r="BR6" s="140">
        <v>62</v>
      </c>
      <c r="BS6" s="140">
        <v>63</v>
      </c>
      <c r="BT6" s="140">
        <v>64</v>
      </c>
      <c r="BU6" s="140">
        <v>65</v>
      </c>
      <c r="BV6" s="140">
        <v>66</v>
      </c>
      <c r="BW6" s="140">
        <v>67</v>
      </c>
      <c r="BX6" s="140">
        <v>68</v>
      </c>
      <c r="BY6" s="140">
        <v>69</v>
      </c>
      <c r="BZ6" s="140">
        <v>70</v>
      </c>
      <c r="CA6" s="141">
        <v>71</v>
      </c>
      <c r="CB6" s="143">
        <v>72</v>
      </c>
      <c r="CC6" s="182"/>
      <c r="CD6" s="137">
        <v>73</v>
      </c>
      <c r="CE6" s="141">
        <v>74</v>
      </c>
      <c r="CF6" s="141">
        <v>75</v>
      </c>
      <c r="CG6" s="141">
        <v>76</v>
      </c>
      <c r="CH6" s="140">
        <v>77</v>
      </c>
      <c r="CI6" s="140">
        <v>78</v>
      </c>
      <c r="CJ6" s="140">
        <v>79</v>
      </c>
      <c r="CK6" s="140">
        <v>80</v>
      </c>
      <c r="CL6" s="140">
        <v>81</v>
      </c>
      <c r="CM6" s="140">
        <v>82</v>
      </c>
      <c r="CN6" s="141">
        <v>83</v>
      </c>
      <c r="CO6" s="143">
        <v>84</v>
      </c>
      <c r="CP6" s="182"/>
    </row>
    <row r="7" spans="2:94" s="40" customFormat="1">
      <c r="B7" s="177"/>
      <c r="C7" s="170" t="s">
        <v>139</v>
      </c>
      <c r="D7" s="171">
        <f>Assumptions!C7</f>
        <v>46204</v>
      </c>
      <c r="E7" s="172">
        <f>EDATE(D7,1)</f>
        <v>46235</v>
      </c>
      <c r="F7" s="173">
        <f t="shared" ref="F7:O7" si="0">EDATE(E7,1)</f>
        <v>46266</v>
      </c>
      <c r="G7" s="173">
        <f t="shared" si="0"/>
        <v>46296</v>
      </c>
      <c r="H7" s="173">
        <f t="shared" si="0"/>
        <v>46327</v>
      </c>
      <c r="I7" s="171">
        <f t="shared" si="0"/>
        <v>46357</v>
      </c>
      <c r="J7" s="173">
        <f t="shared" si="0"/>
        <v>46388</v>
      </c>
      <c r="K7" s="173">
        <f t="shared" si="0"/>
        <v>46419</v>
      </c>
      <c r="L7" s="173">
        <f t="shared" si="0"/>
        <v>46447</v>
      </c>
      <c r="M7" s="171">
        <f t="shared" si="0"/>
        <v>46478</v>
      </c>
      <c r="N7" s="173">
        <f t="shared" si="0"/>
        <v>46508</v>
      </c>
      <c r="O7" s="173">
        <f t="shared" si="0"/>
        <v>46539</v>
      </c>
      <c r="P7" s="183" t="s">
        <v>61</v>
      </c>
      <c r="Q7" s="172">
        <f>EDATE(O7,1)</f>
        <v>46569</v>
      </c>
      <c r="R7" s="175">
        <f t="shared" ref="R7:AB7" si="1">EDATE(Q7,1)</f>
        <v>46600</v>
      </c>
      <c r="S7" s="171">
        <f t="shared" si="1"/>
        <v>46631</v>
      </c>
      <c r="T7" s="171">
        <f t="shared" si="1"/>
        <v>46661</v>
      </c>
      <c r="U7" s="171">
        <f t="shared" si="1"/>
        <v>46692</v>
      </c>
      <c r="V7" s="171">
        <f t="shared" si="1"/>
        <v>46722</v>
      </c>
      <c r="W7" s="171">
        <f t="shared" si="1"/>
        <v>46753</v>
      </c>
      <c r="X7" s="171">
        <f t="shared" si="1"/>
        <v>46784</v>
      </c>
      <c r="Y7" s="171">
        <f t="shared" si="1"/>
        <v>46813</v>
      </c>
      <c r="Z7" s="171">
        <f t="shared" si="1"/>
        <v>46844</v>
      </c>
      <c r="AA7" s="173">
        <f t="shared" si="1"/>
        <v>46874</v>
      </c>
      <c r="AB7" s="176">
        <f t="shared" si="1"/>
        <v>46905</v>
      </c>
      <c r="AC7" s="183" t="s">
        <v>61</v>
      </c>
      <c r="AD7" s="172">
        <f>EDATE(AB7,1)</f>
        <v>46935</v>
      </c>
      <c r="AE7" s="171">
        <f t="shared" ref="AE7:AO7" si="2">EDATE(AD7,1)</f>
        <v>46966</v>
      </c>
      <c r="AF7" s="171">
        <f t="shared" si="2"/>
        <v>46997</v>
      </c>
      <c r="AG7" s="171">
        <f t="shared" si="2"/>
        <v>47027</v>
      </c>
      <c r="AH7" s="171">
        <f t="shared" si="2"/>
        <v>47058</v>
      </c>
      <c r="AI7" s="171">
        <f t="shared" si="2"/>
        <v>47088</v>
      </c>
      <c r="AJ7" s="171">
        <f t="shared" si="2"/>
        <v>47119</v>
      </c>
      <c r="AK7" s="171">
        <f t="shared" si="2"/>
        <v>47150</v>
      </c>
      <c r="AL7" s="171">
        <f t="shared" si="2"/>
        <v>47178</v>
      </c>
      <c r="AM7" s="171">
        <f t="shared" si="2"/>
        <v>47209</v>
      </c>
      <c r="AN7" s="173">
        <f t="shared" si="2"/>
        <v>47239</v>
      </c>
      <c r="AO7" s="176">
        <f t="shared" si="2"/>
        <v>47270</v>
      </c>
      <c r="AP7" s="183" t="s">
        <v>61</v>
      </c>
      <c r="AQ7" s="172">
        <f>EDATE(AO7,1)</f>
        <v>47300</v>
      </c>
      <c r="AR7" s="171">
        <f t="shared" ref="AR7:BB7" si="3">EDATE(AQ7,1)</f>
        <v>47331</v>
      </c>
      <c r="AS7" s="171">
        <f t="shared" si="3"/>
        <v>47362</v>
      </c>
      <c r="AT7" s="171">
        <f t="shared" si="3"/>
        <v>47392</v>
      </c>
      <c r="AU7" s="171">
        <f t="shared" si="3"/>
        <v>47423</v>
      </c>
      <c r="AV7" s="171">
        <f t="shared" si="3"/>
        <v>47453</v>
      </c>
      <c r="AW7" s="171">
        <f t="shared" si="3"/>
        <v>47484</v>
      </c>
      <c r="AX7" s="171">
        <f t="shared" si="3"/>
        <v>47515</v>
      </c>
      <c r="AY7" s="171">
        <f t="shared" si="3"/>
        <v>47543</v>
      </c>
      <c r="AZ7" s="171">
        <f t="shared" si="3"/>
        <v>47574</v>
      </c>
      <c r="BA7" s="173">
        <f t="shared" si="3"/>
        <v>47604</v>
      </c>
      <c r="BB7" s="176">
        <f t="shared" si="3"/>
        <v>47635</v>
      </c>
      <c r="BC7" s="183" t="s">
        <v>61</v>
      </c>
      <c r="BD7" s="172">
        <f>EDATE(BB7,1)</f>
        <v>47665</v>
      </c>
      <c r="BE7" s="171">
        <f t="shared" ref="BE7:BO7" si="4">EDATE(BD7,1)</f>
        <v>47696</v>
      </c>
      <c r="BF7" s="171">
        <f t="shared" si="4"/>
        <v>47727</v>
      </c>
      <c r="BG7" s="171">
        <f t="shared" si="4"/>
        <v>47757</v>
      </c>
      <c r="BH7" s="171">
        <f t="shared" si="4"/>
        <v>47788</v>
      </c>
      <c r="BI7" s="171">
        <f t="shared" si="4"/>
        <v>47818</v>
      </c>
      <c r="BJ7" s="171">
        <f t="shared" si="4"/>
        <v>47849</v>
      </c>
      <c r="BK7" s="171">
        <f t="shared" si="4"/>
        <v>47880</v>
      </c>
      <c r="BL7" s="171">
        <f t="shared" si="4"/>
        <v>47908</v>
      </c>
      <c r="BM7" s="171">
        <f t="shared" si="4"/>
        <v>47939</v>
      </c>
      <c r="BN7" s="173">
        <f t="shared" si="4"/>
        <v>47969</v>
      </c>
      <c r="BO7" s="176">
        <f t="shared" si="4"/>
        <v>48000</v>
      </c>
      <c r="BP7" s="183" t="s">
        <v>61</v>
      </c>
      <c r="BQ7" s="172">
        <f>EDATE(BO7,1)</f>
        <v>48030</v>
      </c>
      <c r="BR7" s="171">
        <f t="shared" ref="BR7:CB7" si="5">EDATE(BQ7,1)</f>
        <v>48061</v>
      </c>
      <c r="BS7" s="171">
        <f t="shared" si="5"/>
        <v>48092</v>
      </c>
      <c r="BT7" s="171">
        <f t="shared" si="5"/>
        <v>48122</v>
      </c>
      <c r="BU7" s="171">
        <f t="shared" si="5"/>
        <v>48153</v>
      </c>
      <c r="BV7" s="171">
        <f t="shared" si="5"/>
        <v>48183</v>
      </c>
      <c r="BW7" s="171">
        <f t="shared" si="5"/>
        <v>48214</v>
      </c>
      <c r="BX7" s="171">
        <f t="shared" si="5"/>
        <v>48245</v>
      </c>
      <c r="BY7" s="171">
        <f t="shared" si="5"/>
        <v>48274</v>
      </c>
      <c r="BZ7" s="171">
        <f t="shared" si="5"/>
        <v>48305</v>
      </c>
      <c r="CA7" s="173">
        <f t="shared" si="5"/>
        <v>48335</v>
      </c>
      <c r="CB7" s="176">
        <f t="shared" si="5"/>
        <v>48366</v>
      </c>
      <c r="CC7" s="183" t="s">
        <v>61</v>
      </c>
      <c r="CD7" s="172">
        <f>EDATE(CB7,1)</f>
        <v>48396</v>
      </c>
      <c r="CE7" s="173">
        <f t="shared" ref="CE7:CO7" si="6">EDATE(CD7,1)</f>
        <v>48427</v>
      </c>
      <c r="CF7" s="173">
        <f t="shared" si="6"/>
        <v>48458</v>
      </c>
      <c r="CG7" s="173">
        <f t="shared" si="6"/>
        <v>48488</v>
      </c>
      <c r="CH7" s="171">
        <f t="shared" si="6"/>
        <v>48519</v>
      </c>
      <c r="CI7" s="171">
        <f t="shared" si="6"/>
        <v>48549</v>
      </c>
      <c r="CJ7" s="171">
        <f t="shared" si="6"/>
        <v>48580</v>
      </c>
      <c r="CK7" s="171">
        <f t="shared" si="6"/>
        <v>48611</v>
      </c>
      <c r="CL7" s="171">
        <f t="shared" si="6"/>
        <v>48639</v>
      </c>
      <c r="CM7" s="171">
        <f t="shared" si="6"/>
        <v>48670</v>
      </c>
      <c r="CN7" s="173">
        <f t="shared" si="6"/>
        <v>48700</v>
      </c>
      <c r="CO7" s="176">
        <f t="shared" si="6"/>
        <v>48731</v>
      </c>
      <c r="CP7" s="183" t="s">
        <v>61</v>
      </c>
    </row>
    <row r="8" spans="2:94">
      <c r="B8" s="157" t="s">
        <v>127</v>
      </c>
      <c r="C8" s="169"/>
      <c r="D8" s="164"/>
      <c r="E8" s="151"/>
      <c r="F8" s="165"/>
      <c r="G8" s="165"/>
      <c r="H8" s="165"/>
      <c r="I8" s="164"/>
      <c r="J8" s="165"/>
      <c r="K8" s="165"/>
      <c r="L8" s="165"/>
      <c r="M8" s="164"/>
      <c r="N8" s="165"/>
      <c r="O8" s="165"/>
      <c r="P8" s="184"/>
      <c r="Q8" s="151"/>
      <c r="R8" s="166"/>
      <c r="S8" s="164"/>
      <c r="T8" s="164"/>
      <c r="U8" s="164"/>
      <c r="V8" s="164"/>
      <c r="W8" s="164"/>
      <c r="X8" s="164"/>
      <c r="Y8" s="164"/>
      <c r="Z8" s="164"/>
      <c r="AA8" s="165"/>
      <c r="AB8" s="167"/>
      <c r="AC8" s="184"/>
      <c r="AD8" s="151"/>
      <c r="AE8" s="164"/>
      <c r="AF8" s="164"/>
      <c r="AG8" s="164"/>
      <c r="AH8" s="164"/>
      <c r="AI8" s="164"/>
      <c r="AJ8" s="164"/>
      <c r="AK8" s="164"/>
      <c r="AL8" s="164"/>
      <c r="AM8" s="164"/>
      <c r="AN8" s="165"/>
      <c r="AO8" s="167"/>
      <c r="AP8" s="184"/>
      <c r="AQ8" s="151"/>
      <c r="AR8" s="164"/>
      <c r="AS8" s="164"/>
      <c r="AT8" s="164"/>
      <c r="AU8" s="164"/>
      <c r="AV8" s="164"/>
      <c r="AW8" s="164"/>
      <c r="AX8" s="164"/>
      <c r="AY8" s="164"/>
      <c r="AZ8" s="164"/>
      <c r="BA8" s="165"/>
      <c r="BB8" s="167"/>
      <c r="BC8" s="184"/>
      <c r="BD8" s="151"/>
      <c r="BE8" s="164"/>
      <c r="BF8" s="164"/>
      <c r="BG8" s="164"/>
      <c r="BH8" s="164"/>
      <c r="BI8" s="164"/>
      <c r="BJ8" s="164"/>
      <c r="BK8" s="164"/>
      <c r="BL8" s="164"/>
      <c r="BM8" s="164"/>
      <c r="BN8" s="165"/>
      <c r="BO8" s="167"/>
      <c r="BP8" s="184"/>
      <c r="BQ8" s="151"/>
      <c r="BR8" s="164"/>
      <c r="BS8" s="164"/>
      <c r="BT8" s="164"/>
      <c r="BU8" s="164"/>
      <c r="BV8" s="164"/>
      <c r="BW8" s="164"/>
      <c r="BX8" s="164"/>
      <c r="BY8" s="164"/>
      <c r="BZ8" s="164"/>
      <c r="CA8" s="165"/>
      <c r="CB8" s="167"/>
      <c r="CC8" s="184"/>
      <c r="CD8" s="151"/>
      <c r="CE8" s="165"/>
      <c r="CF8" s="165"/>
      <c r="CG8" s="165"/>
      <c r="CH8" s="164"/>
      <c r="CI8" s="164"/>
      <c r="CJ8" s="164"/>
      <c r="CK8" s="164"/>
      <c r="CL8" s="164"/>
      <c r="CM8" s="164"/>
      <c r="CN8" s="165"/>
      <c r="CO8" s="167"/>
      <c r="CP8" s="184"/>
    </row>
    <row r="9" spans="2:94" ht="5" customHeight="1">
      <c r="B9" s="139"/>
      <c r="C9" s="168"/>
      <c r="D9" s="164"/>
      <c r="E9" s="151"/>
      <c r="F9" s="165"/>
      <c r="G9" s="165"/>
      <c r="H9" s="165"/>
      <c r="I9" s="164"/>
      <c r="J9" s="165"/>
      <c r="K9" s="165"/>
      <c r="L9" s="165"/>
      <c r="M9" s="164"/>
      <c r="N9" s="165"/>
      <c r="O9" s="165"/>
      <c r="P9" s="184"/>
      <c r="Q9" s="151"/>
      <c r="R9" s="166"/>
      <c r="S9" s="164"/>
      <c r="T9" s="164"/>
      <c r="U9" s="164"/>
      <c r="V9" s="164"/>
      <c r="W9" s="164"/>
      <c r="X9" s="164"/>
      <c r="Y9" s="164"/>
      <c r="Z9" s="164"/>
      <c r="AA9" s="165"/>
      <c r="AB9" s="167"/>
      <c r="AC9" s="184"/>
      <c r="AD9" s="151"/>
      <c r="AE9" s="164"/>
      <c r="AF9" s="164"/>
      <c r="AG9" s="164"/>
      <c r="AH9" s="164"/>
      <c r="AI9" s="164"/>
      <c r="AJ9" s="164"/>
      <c r="AK9" s="164"/>
      <c r="AL9" s="164"/>
      <c r="AM9" s="164"/>
      <c r="AN9" s="165"/>
      <c r="AO9" s="167"/>
      <c r="AP9" s="184"/>
      <c r="AQ9" s="151"/>
      <c r="AR9" s="164"/>
      <c r="AS9" s="164"/>
      <c r="AT9" s="164"/>
      <c r="AU9" s="164"/>
      <c r="AV9" s="164"/>
      <c r="AW9" s="164"/>
      <c r="AX9" s="164"/>
      <c r="AY9" s="164"/>
      <c r="AZ9" s="164"/>
      <c r="BA9" s="165"/>
      <c r="BB9" s="167"/>
      <c r="BC9" s="184"/>
      <c r="BD9" s="151"/>
      <c r="BE9" s="164"/>
      <c r="BF9" s="164"/>
      <c r="BG9" s="164"/>
      <c r="BH9" s="164"/>
      <c r="BI9" s="164"/>
      <c r="BJ9" s="164"/>
      <c r="BK9" s="164"/>
      <c r="BL9" s="164"/>
      <c r="BM9" s="164"/>
      <c r="BN9" s="165"/>
      <c r="BO9" s="167"/>
      <c r="BP9" s="184"/>
      <c r="BQ9" s="151"/>
      <c r="BR9" s="164"/>
      <c r="BS9" s="164"/>
      <c r="BT9" s="164"/>
      <c r="BU9" s="164"/>
      <c r="BV9" s="164"/>
      <c r="BW9" s="164"/>
      <c r="BX9" s="164"/>
      <c r="BY9" s="164"/>
      <c r="BZ9" s="164"/>
      <c r="CA9" s="165"/>
      <c r="CB9" s="167"/>
      <c r="CC9" s="184"/>
      <c r="CD9" s="151"/>
      <c r="CE9" s="165"/>
      <c r="CF9" s="165"/>
      <c r="CG9" s="165"/>
      <c r="CH9" s="164"/>
      <c r="CI9" s="164"/>
      <c r="CJ9" s="164"/>
      <c r="CK9" s="164"/>
      <c r="CL9" s="164"/>
      <c r="CM9" s="164"/>
      <c r="CN9" s="165"/>
      <c r="CO9" s="167"/>
      <c r="CP9" s="184"/>
    </row>
    <row r="10" spans="2:94" ht="14.4" customHeight="1">
      <c r="B10" s="114" t="s">
        <v>348</v>
      </c>
      <c r="C10" s="382"/>
      <c r="D10" s="98">
        <f>'Unit Mix'!$I$19*(1+Assumptions!$H$3)^('Monthly Cash Flow'!D6/12)</f>
        <v>34753.805711020672</v>
      </c>
      <c r="E10" s="98">
        <f>'Unit Mix'!$I$19*(1+Assumptions!$H$3)^('Monthly Cash Flow'!E6/12)</f>
        <v>34782.635317476546</v>
      </c>
      <c r="F10" s="98">
        <f>'Unit Mix'!$I$19*(1+Assumptions!$H$3)^('Monthly Cash Flow'!F6/12)</f>
        <v>34811.488839189798</v>
      </c>
      <c r="G10" s="98">
        <f>'Unit Mix'!$I$19*(1+Assumptions!$H$3)^('Monthly Cash Flow'!G6/12)</f>
        <v>34840.366295999047</v>
      </c>
      <c r="H10" s="98">
        <f>'Unit Mix'!$I$19*(1+Assumptions!$H$3)^('Monthly Cash Flow'!H6/12)</f>
        <v>34869.267707759362</v>
      </c>
      <c r="I10" s="98">
        <f>'Unit Mix'!$I$19*(1+Assumptions!$H$3)^('Monthly Cash Flow'!I6/12)</f>
        <v>34898.193094342292</v>
      </c>
      <c r="J10" s="98">
        <f>'Unit Mix'!$I$19*(1+Assumptions!$H$3)^('Monthly Cash Flow'!J6/12)</f>
        <v>34927.142475635868</v>
      </c>
      <c r="K10" s="98">
        <f>'Unit Mix'!$I$19*(1+Assumptions!$H$3)^('Monthly Cash Flow'!K6/12)</f>
        <v>34956.115871544607</v>
      </c>
      <c r="L10" s="98">
        <f>'Unit Mix'!$I$19*(1+Assumptions!$H$3)^('Monthly Cash Flow'!L6/12)</f>
        <v>34985.113301989557</v>
      </c>
      <c r="M10" s="98">
        <f>'Unit Mix'!$I$19*(1+Assumptions!$H$3)^('Monthly Cash Flow'!M6/12)</f>
        <v>35014.134786908275</v>
      </c>
      <c r="N10" s="98">
        <f>'Unit Mix'!$I$19*(1+Assumptions!$H$3)^('Monthly Cash Flow'!N6/12)</f>
        <v>35043.180346254871</v>
      </c>
      <c r="O10" s="98">
        <f>'Unit Mix'!$I$19*(1+Assumptions!$H$3)^('Monthly Cash Flow'!O6/12)</f>
        <v>35072.25</v>
      </c>
      <c r="P10" s="102">
        <f>SUM(D10:O10)</f>
        <v>418953.69374812092</v>
      </c>
      <c r="Q10" s="98">
        <f>$O$10*(1+Assumptions!$I$3)^(('Monthly Cash Flow'!Q6-12)/12)</f>
        <v>35144.49309261499</v>
      </c>
      <c r="R10" s="98">
        <f>$O$10*(1+Assumptions!$I$3)^(('Monthly Cash Flow'!R6-12)/12)</f>
        <v>35216.884994172404</v>
      </c>
      <c r="S10" s="98">
        <f>$O$10*(1+Assumptions!$I$3)^(('Monthly Cash Flow'!S6-12)/12)</f>
        <v>35289.426011194293</v>
      </c>
      <c r="T10" s="98">
        <f>$O$10*(1+Assumptions!$I$3)^(('Monthly Cash Flow'!T6-12)/12)</f>
        <v>35362.116450834081</v>
      </c>
      <c r="U10" s="98">
        <f>$O$10*(1+Assumptions!$I$3)^(('Monthly Cash Flow'!U6-12)/12)</f>
        <v>35434.956620877914</v>
      </c>
      <c r="V10" s="98">
        <f>$O$10*(1+Assumptions!$I$3)^(('Monthly Cash Flow'!V6-12)/12)</f>
        <v>35507.946829745903</v>
      </c>
      <c r="W10" s="98">
        <f>$O$10*(1+Assumptions!$I$3)^(('Monthly Cash Flow'!W6-12)/12)</f>
        <v>35581.087386493469</v>
      </c>
      <c r="X10" s="98">
        <f>$O$10*(1+Assumptions!$I$3)^(('Monthly Cash Flow'!X6-12)/12)</f>
        <v>35654.378600812612</v>
      </c>
      <c r="Y10" s="98">
        <f>$O$10*(1+Assumptions!$I$3)^(('Monthly Cash Flow'!Y6-12)/12)</f>
        <v>35727.820783033276</v>
      </c>
      <c r="Z10" s="98">
        <f>$O$10*(1+Assumptions!$I$3)^(('Monthly Cash Flow'!Z6-12)/12)</f>
        <v>35801.414244124615</v>
      </c>
      <c r="AA10" s="98">
        <f>$O$10*(1+Assumptions!$I$3)^(('Monthly Cash Flow'!AA6-12)/12)</f>
        <v>35875.159295696336</v>
      </c>
      <c r="AB10" s="98">
        <f>$O$10*(1+Assumptions!$I$3)^(('Monthly Cash Flow'!AB6-12)/12)</f>
        <v>35949.056249999994</v>
      </c>
      <c r="AC10" s="102">
        <f>SUM(Q10:AB10)</f>
        <v>426544.74055959994</v>
      </c>
      <c r="AD10" s="98">
        <f>$AB$10*(1+Assumptions!$J$3)^(('Monthly Cash Flow'!AD6-24)/12)</f>
        <v>36023.105419930362</v>
      </c>
      <c r="AE10" s="98">
        <f>$AB$10*(1+Assumptions!$J$3)^(('Monthly Cash Flow'!AE6-24)/12)</f>
        <v>36097.307119026707</v>
      </c>
      <c r="AF10" s="98">
        <f>$AB$10*(1+Assumptions!$J$3)^(('Monthly Cash Flow'!AF6-24)/12)</f>
        <v>36171.661661474143</v>
      </c>
      <c r="AG10" s="98">
        <f>$AB$10*(1+Assumptions!$J$3)^(('Monthly Cash Flow'!AG6-24)/12)</f>
        <v>36246.169362104927</v>
      </c>
      <c r="AH10" s="98">
        <f>$AB$10*(1+Assumptions!$J$3)^(('Monthly Cash Flow'!AH6-24)/12)</f>
        <v>36320.830536399859</v>
      </c>
      <c r="AI10" s="98">
        <f>$AB$10*(1+Assumptions!$J$3)^(('Monthly Cash Flow'!AI6-24)/12)</f>
        <v>36395.645500489547</v>
      </c>
      <c r="AJ10" s="98">
        <f>$AB$10*(1+Assumptions!$J$3)^(('Monthly Cash Flow'!AJ6-24)/12)</f>
        <v>36470.614571155798</v>
      </c>
      <c r="AK10" s="98">
        <f>$AB$10*(1+Assumptions!$J$3)^(('Monthly Cash Flow'!AK6-24)/12)</f>
        <v>36545.738065832928</v>
      </c>
      <c r="AL10" s="98">
        <f>$AB$10*(1+Assumptions!$J$3)^(('Monthly Cash Flow'!AL6-24)/12)</f>
        <v>36621.016302609103</v>
      </c>
      <c r="AM10" s="98">
        <f>$AB$10*(1+Assumptions!$J$3)^(('Monthly Cash Flow'!AM6-24)/12)</f>
        <v>36696.449600227723</v>
      </c>
      <c r="AN10" s="98">
        <f>$AB$10*(1+Assumptions!$J$3)^(('Monthly Cash Flow'!AN6-24)/12)</f>
        <v>36772.038278088738</v>
      </c>
      <c r="AO10" s="98">
        <f>$AB$10*(1+Assumptions!$J$3)^(('Monthly Cash Flow'!AO6-24)/12)</f>
        <v>36847.78265624999</v>
      </c>
      <c r="AP10" s="102">
        <f>SUM(AD10:AO10)</f>
        <v>437208.35907358979</v>
      </c>
      <c r="AQ10" s="98">
        <f>$AO$10*(1+Assumptions!$K$3)^(('Monthly Cash Flow'!AQ6-36)/12)</f>
        <v>36923.683055428613</v>
      </c>
      <c r="AR10" s="98">
        <f>$AO$10*(1+Assumptions!$K$3)^(('Monthly Cash Flow'!AR6-36)/12)</f>
        <v>36999.739797002374</v>
      </c>
      <c r="AS10" s="98">
        <f>$AO$10*(1+Assumptions!$K$3)^(('Monthly Cash Flow'!AS6-36)/12)</f>
        <v>37075.953203010991</v>
      </c>
      <c r="AT10" s="98">
        <f>$AO$10*(1+Assumptions!$K$3)^(('Monthly Cash Flow'!AT6-36)/12)</f>
        <v>37152.323596157548</v>
      </c>
      <c r="AU10" s="98">
        <f>$AO$10*(1+Assumptions!$K$3)^(('Monthly Cash Flow'!AU6-36)/12)</f>
        <v>37228.851299809852</v>
      </c>
      <c r="AV10" s="98">
        <f>$AO$10*(1+Assumptions!$K$3)^(('Monthly Cash Flow'!AV6-36)/12)</f>
        <v>37305.53663800178</v>
      </c>
      <c r="AW10" s="98">
        <f>$AO$10*(1+Assumptions!$K$3)^(('Monthly Cash Flow'!AW6-36)/12)</f>
        <v>37382.379935434692</v>
      </c>
      <c r="AX10" s="98">
        <f>$AO$10*(1+Assumptions!$K$3)^(('Monthly Cash Flow'!AX6-36)/12)</f>
        <v>37459.381517478745</v>
      </c>
      <c r="AY10" s="98">
        <f>$AO$10*(1+Assumptions!$K$3)^(('Monthly Cash Flow'!AY6-36)/12)</f>
        <v>37536.54171017433</v>
      </c>
      <c r="AZ10" s="98">
        <f>$AO$10*(1+Assumptions!$K$3)^(('Monthly Cash Flow'!AZ6-36)/12)</f>
        <v>37613.860840233414</v>
      </c>
      <c r="BA10" s="98">
        <f>$AO$10*(1+Assumptions!$K$3)^(('Monthly Cash Flow'!BA6-36)/12)</f>
        <v>37691.339235040956</v>
      </c>
      <c r="BB10" s="98">
        <f>$AO$10*(1+Assumptions!$K$3)^(('Monthly Cash Flow'!BB6-36)/12)</f>
        <v>37768.977222656235</v>
      </c>
      <c r="BC10" s="102">
        <f>SUM(AQ10:BB10)</f>
        <v>448138.56805042952</v>
      </c>
      <c r="BD10" s="98">
        <f>$BB$10*(1+Assumptions!$L$3)^(('Monthly Cash Flow'!BD6-48)/12)</f>
        <v>37831.355759229824</v>
      </c>
      <c r="BE10" s="98">
        <f>$BB$10*(1+Assumptions!$L$3)^(('Monthly Cash Flow'!BE6-48)/12)</f>
        <v>37893.837319028054</v>
      </c>
      <c r="BF10" s="98">
        <f>$BB$10*(1+Assumptions!$L$3)^(('Monthly Cash Flow'!BF6-48)/12)</f>
        <v>37956.422072202171</v>
      </c>
      <c r="BG10" s="98">
        <f>$BB$10*(1+Assumptions!$L$3)^(('Monthly Cash Flow'!BG6-48)/12)</f>
        <v>38019.110189184408</v>
      </c>
      <c r="BH10" s="98">
        <f>$BB$10*(1+Assumptions!$L$3)^(('Monthly Cash Flow'!BH6-48)/12)</f>
        <v>38081.901840688508</v>
      </c>
      <c r="BI10" s="98">
        <f>$BB$10*(1+Assumptions!$L$3)^(('Monthly Cash Flow'!BI6-48)/12)</f>
        <v>38144.797197710148</v>
      </c>
      <c r="BJ10" s="98">
        <f>$BB$10*(1+Assumptions!$L$3)^(('Monthly Cash Flow'!BJ6-48)/12)</f>
        <v>38207.796431527429</v>
      </c>
      <c r="BK10" s="98">
        <f>$BB$10*(1+Assumptions!$L$3)^(('Monthly Cash Flow'!BK6-48)/12)</f>
        <v>38270.899713701307</v>
      </c>
      <c r="BL10" s="98">
        <f>$BB$10*(1+Assumptions!$L$3)^(('Monthly Cash Flow'!BL6-48)/12)</f>
        <v>38334.107216076118</v>
      </c>
      <c r="BM10" s="98">
        <f>$BB$10*(1+Assumptions!$L$3)^(('Monthly Cash Flow'!BM6-48)/12)</f>
        <v>38397.419110779992</v>
      </c>
      <c r="BN10" s="98">
        <f>$BB$10*(1+Assumptions!$L$3)^(('Monthly Cash Flow'!BN6-48)/12)</f>
        <v>38460.835570225354</v>
      </c>
      <c r="BO10" s="98">
        <f>$BB$10*(1+Assumptions!$L$3)^(('Monthly Cash Flow'!BO6-48)/12)</f>
        <v>38524.356767109362</v>
      </c>
      <c r="BP10" s="102">
        <f>SUM(BD10:BO10)</f>
        <v>458122.8391874627</v>
      </c>
      <c r="BQ10" s="98">
        <f>$BO$10*(1+Assumptions!$M$3)^(('Monthly Cash Flow'!BQ6-60)/12)</f>
        <v>38587.982874414425</v>
      </c>
      <c r="BR10" s="98">
        <f>$BO$10*(1+Assumptions!$M$3)^(('Monthly Cash Flow'!BR6-60)/12)</f>
        <v>38651.714065408625</v>
      </c>
      <c r="BS10" s="98">
        <f>$BO$10*(1+Assumptions!$M$3)^(('Monthly Cash Flow'!BS6-60)/12)</f>
        <v>38715.550513646216</v>
      </c>
      <c r="BT10" s="98">
        <f>$BO$10*(1+Assumptions!$M$3)^(('Monthly Cash Flow'!BT6-60)/12)</f>
        <v>38779.492392968103</v>
      </c>
      <c r="BU10" s="98">
        <f>$BO$10*(1+Assumptions!$M$3)^(('Monthly Cash Flow'!BU6-60)/12)</f>
        <v>38843.539877502277</v>
      </c>
      <c r="BV10" s="98">
        <f>$BO$10*(1+Assumptions!$M$3)^(('Monthly Cash Flow'!BV6-60)/12)</f>
        <v>38907.693141664357</v>
      </c>
      <c r="BW10" s="98">
        <f>$BO$10*(1+Assumptions!$M$3)^(('Monthly Cash Flow'!BW6-60)/12)</f>
        <v>38971.952360157979</v>
      </c>
      <c r="BX10" s="98">
        <f>$BO$10*(1+Assumptions!$M$3)^(('Monthly Cash Flow'!BX6-60)/12)</f>
        <v>39036.317707975337</v>
      </c>
      <c r="BY10" s="98">
        <f>$BO$10*(1+Assumptions!$M$3)^(('Monthly Cash Flow'!BY6-60)/12)</f>
        <v>39100.789360397641</v>
      </c>
      <c r="BZ10" s="98">
        <f>$BO$10*(1+Assumptions!$M$3)^(('Monthly Cash Flow'!BZ6-60)/12)</f>
        <v>39165.367492995596</v>
      </c>
      <c r="CA10" s="98">
        <f>$BO$10*(1+Assumptions!$M$3)^(('Monthly Cash Flow'!CA6-60)/12)</f>
        <v>39230.052281629862</v>
      </c>
      <c r="CB10" s="98">
        <f>$BO$10*(1+Assumptions!$M$3)^(('Monthly Cash Flow'!CB6-60)/12)</f>
        <v>39294.843902451554</v>
      </c>
      <c r="CC10" s="102">
        <f>SUM(BQ10:CB10)</f>
        <v>467285.29597121198</v>
      </c>
      <c r="CD10" s="98">
        <f>$CB$10*(1+Assumptions!$N$3)^(('Monthly Cash Flow'!CD6-72)/12)</f>
        <v>39359.742531902717</v>
      </c>
      <c r="CE10" s="98">
        <f>$CB$10*(1+Assumptions!$N$3)^(('Monthly Cash Flow'!CE6-72)/12)</f>
        <v>39424.748346716799</v>
      </c>
      <c r="CF10" s="98">
        <f>$CB$10*(1+Assumptions!$N$3)^(('Monthly Cash Flow'!CF6-72)/12)</f>
        <v>39489.861523919149</v>
      </c>
      <c r="CG10" s="98">
        <f>$CB$10*(1+Assumptions!$N$3)^(('Monthly Cash Flow'!CG6-72)/12)</f>
        <v>39555.082240827469</v>
      </c>
      <c r="CH10" s="98">
        <f>$CB$10*(1+Assumptions!$N$3)^(('Monthly Cash Flow'!CH6-72)/12)</f>
        <v>39620.410675052328</v>
      </c>
      <c r="CI10" s="98">
        <f>$CB$10*(1+Assumptions!$N$3)^(('Monthly Cash Flow'!CI6-72)/12)</f>
        <v>39685.847004497649</v>
      </c>
      <c r="CJ10" s="98">
        <f>$CB$10*(1+Assumptions!$N$3)^(('Monthly Cash Flow'!CJ6-72)/12)</f>
        <v>39751.391407361145</v>
      </c>
      <c r="CK10" s="98">
        <f>$CB$10*(1+Assumptions!$N$3)^(('Monthly Cash Flow'!CK6-72)/12)</f>
        <v>39817.044062134846</v>
      </c>
      <c r="CL10" s="98">
        <f>$CB$10*(1+Assumptions!$N$3)^(('Monthly Cash Flow'!CL6-72)/12)</f>
        <v>39882.805147605599</v>
      </c>
      <c r="CM10" s="98">
        <f>$CB$10*(1+Assumptions!$N$3)^(('Monthly Cash Flow'!CM6-72)/12)</f>
        <v>39948.674842855515</v>
      </c>
      <c r="CN10" s="98">
        <f>$CB$10*(1+Assumptions!$N$3)^(('Monthly Cash Flow'!CN6-72)/12)</f>
        <v>40014.653327262458</v>
      </c>
      <c r="CO10" s="98">
        <f>$CB$10*(1+Assumptions!$N$3)^(('Monthly Cash Flow'!CO6-72)/12)</f>
        <v>40080.740780500586</v>
      </c>
      <c r="CP10" s="102">
        <f>SUM(CD10:CO10)</f>
        <v>476631.00189063622</v>
      </c>
    </row>
    <row r="11" spans="2:94">
      <c r="B11" s="113" t="s">
        <v>347</v>
      </c>
      <c r="C11" s="383"/>
      <c r="D11" s="99">
        <f>D10-D12</f>
        <v>8838.8057110206719</v>
      </c>
      <c r="E11" s="95">
        <f t="shared" ref="E11:O11" si="7">E10-E12</f>
        <v>8846.1378372432664</v>
      </c>
      <c r="F11" s="95">
        <f t="shared" si="7"/>
        <v>8334.3806031539716</v>
      </c>
      <c r="G11" s="95">
        <f t="shared" si="7"/>
        <v>7821.7682374791002</v>
      </c>
      <c r="H11" s="95">
        <f t="shared" si="7"/>
        <v>7308.2996736474488</v>
      </c>
      <c r="I11" s="95">
        <f t="shared" si="7"/>
        <v>6793.9738439067442</v>
      </c>
      <c r="J11" s="95">
        <f t="shared" si="7"/>
        <v>6278.7896793224063</v>
      </c>
      <c r="K11" s="95">
        <f t="shared" si="7"/>
        <v>5762.7461097763116</v>
      </c>
      <c r="L11" s="95">
        <f t="shared" si="7"/>
        <v>5245.8420639656033</v>
      </c>
      <c r="M11" s="95">
        <f t="shared" si="7"/>
        <v>4728.0764694014251</v>
      </c>
      <c r="N11" s="95">
        <f t="shared" si="7"/>
        <v>4209.4482524076993</v>
      </c>
      <c r="O11" s="95">
        <f t="shared" si="7"/>
        <v>3689.9563381199041</v>
      </c>
      <c r="P11" s="103">
        <f>SUM(D11:O11)</f>
        <v>77858.224819444556</v>
      </c>
      <c r="Q11" s="464">
        <f>Q10-Q12</f>
        <v>3269.7548573208696</v>
      </c>
      <c r="R11" s="91">
        <f t="shared" ref="R11" si="8">R10-R12</f>
        <v>2757.187242996697</v>
      </c>
      <c r="S11" s="99">
        <f t="shared" ref="S11" si="9">S10-S12</f>
        <v>2310.4254860458022</v>
      </c>
      <c r="T11" s="99">
        <f t="shared" ref="T11" si="10">T10-T12</f>
        <v>1794.8121315990866</v>
      </c>
      <c r="U11" s="99">
        <f t="shared" ref="U11" si="11">U10-U12</f>
        <v>1277.0648160118362</v>
      </c>
      <c r="V11" s="99">
        <f t="shared" ref="V11" si="12">V10-V12</f>
        <v>757.17693577198224</v>
      </c>
      <c r="W11" s="99">
        <f t="shared" ref="W11" si="13">W10-W12</f>
        <v>235.14186921738292</v>
      </c>
      <c r="X11" s="99">
        <f t="shared" ref="X11" si="14">X10-X12</f>
        <v>235.62622296815971</v>
      </c>
      <c r="Y11" s="99">
        <f t="shared" ref="Y11" si="15">Y10-Y12</f>
        <v>236.11157440835086</v>
      </c>
      <c r="Z11" s="99">
        <f t="shared" ref="Z11" si="16">Z10-Z12</f>
        <v>236.5979255930506</v>
      </c>
      <c r="AA11" s="95">
        <f t="shared" ref="AA11" si="17">AA10-AA12</f>
        <v>237.08527858155867</v>
      </c>
      <c r="AB11" s="107">
        <f t="shared" ref="AB11" si="18">AB10-AB12</f>
        <v>237.57363543741667</v>
      </c>
      <c r="AC11" s="103">
        <f>SUM(Q11:AB11)</f>
        <v>13584.557975952193</v>
      </c>
      <c r="AD11" s="464">
        <f>AD10-AD12</f>
        <v>384.60166993035818</v>
      </c>
      <c r="AE11" s="91">
        <f t="shared" ref="AE11" si="19">AE10-AE12</f>
        <v>385.39388639952813</v>
      </c>
      <c r="AF11" s="99">
        <f t="shared" ref="AF11" si="20">AF10-AF12</f>
        <v>459.74842884696409</v>
      </c>
      <c r="AG11" s="99">
        <f t="shared" ref="AG11" si="21">AG10-AG12</f>
        <v>460.69543533569959</v>
      </c>
      <c r="AH11" s="99">
        <f t="shared" ref="AH11" si="22">AH10-AH12</f>
        <v>461.64439250274881</v>
      </c>
      <c r="AI11" s="99">
        <f t="shared" ref="AI11" si="23">AI10-AI12</f>
        <v>462.59530436619389</v>
      </c>
      <c r="AJ11" s="99">
        <f t="shared" ref="AJ11" si="24">AJ10-AJ12</f>
        <v>463.54817495238967</v>
      </c>
      <c r="AK11" s="99">
        <f t="shared" ref="AK11" si="25">AK10-AK12</f>
        <v>464.50300829598564</v>
      </c>
      <c r="AL11" s="99">
        <f t="shared" ref="AL11" si="26">AL10-AL12</f>
        <v>465.45980843991856</v>
      </c>
      <c r="AM11" s="99">
        <f t="shared" ref="AM11" si="27">AM10-AM12</f>
        <v>466.41857943549257</v>
      </c>
      <c r="AN11" s="95">
        <f t="shared" ref="AN11" si="28">AN10-AN12</f>
        <v>467.37932534235006</v>
      </c>
      <c r="AO11" s="107">
        <f t="shared" ref="AO11" si="29">AO10-AO12</f>
        <v>468.34205022845708</v>
      </c>
      <c r="AP11" s="103">
        <f>SUM(AD11:AO11)</f>
        <v>5410.3300640760863</v>
      </c>
      <c r="AQ11" s="464">
        <f>AQ10-AQ12</f>
        <v>614.46671167861496</v>
      </c>
      <c r="AR11" s="91">
        <f t="shared" ref="AR11" si="30">AR10-AR12</f>
        <v>615.73241249794955</v>
      </c>
      <c r="AS11" s="99">
        <f t="shared" ref="AS11" si="31">AS10-AS12</f>
        <v>691.94581850656687</v>
      </c>
      <c r="AT11" s="99">
        <f t="shared" ref="AT11" si="32">AT10-AT12</f>
        <v>693.37111360028939</v>
      </c>
      <c r="AU11" s="99">
        <f t="shared" ref="AU11" si="33">AU10-AU12</f>
        <v>694.79934456854244</v>
      </c>
      <c r="AV11" s="99">
        <f t="shared" ref="AV11" si="34">AV10-AV12</f>
        <v>696.23051745874545</v>
      </c>
      <c r="AW11" s="99">
        <f t="shared" ref="AW11" si="35">AW10-AW12</f>
        <v>697.6646383307816</v>
      </c>
      <c r="AX11" s="99">
        <f t="shared" ref="AX11" si="36">AX10-AX12</f>
        <v>699.10171325700503</v>
      </c>
      <c r="AY11" s="99">
        <f t="shared" ref="AY11" si="37">AY10-AY12</f>
        <v>700.54174832227727</v>
      </c>
      <c r="AZ11" s="99">
        <f t="shared" ref="AZ11" si="38">AZ10-AZ12</f>
        <v>701.98474962401087</v>
      </c>
      <c r="BA11" s="95">
        <f t="shared" ref="BA11" si="39">BA10-BA12</f>
        <v>703.43072327216942</v>
      </c>
      <c r="BB11" s="107">
        <f t="shared" ref="BB11" si="40">BB10-BB12</f>
        <v>704.87967538927478</v>
      </c>
      <c r="BC11" s="103">
        <f>SUM(AQ11:BB11)</f>
        <v>8214.1491665062276</v>
      </c>
      <c r="BD11" s="464">
        <f>BD10-BD12</f>
        <v>834.65900688607508</v>
      </c>
      <c r="BE11" s="91">
        <f t="shared" ref="BE11" si="41">BE10-BE12</f>
        <v>836.03751409532561</v>
      </c>
      <c r="BF11" s="99">
        <f t="shared" ref="BF11" si="42">BF10-BF12</f>
        <v>898.62226726944209</v>
      </c>
      <c r="BG11" s="99">
        <f t="shared" ref="BG11" si="43">BG10-BG12</f>
        <v>900.10641500354541</v>
      </c>
      <c r="BH11" s="99">
        <f t="shared" ref="BH11" si="44">BH10-BH12</f>
        <v>901.59301392830821</v>
      </c>
      <c r="BI11" s="99">
        <f t="shared" ref="BI11" si="45">BI10-BI12</f>
        <v>903.08206809205149</v>
      </c>
      <c r="BJ11" s="99">
        <f t="shared" ref="BJ11" si="46">BJ10-BJ12</f>
        <v>904.57358154981921</v>
      </c>
      <c r="BK11" s="99">
        <f t="shared" ref="BK11" si="47">BK10-BK12</f>
        <v>906.06755836331286</v>
      </c>
      <c r="BL11" s="99">
        <f t="shared" ref="BL11" si="48">BL10-BL12</f>
        <v>907.56400260097871</v>
      </c>
      <c r="BM11" s="99">
        <f t="shared" ref="BM11" si="49">BM10-BM12</f>
        <v>909.0629183379715</v>
      </c>
      <c r="BN11" s="95">
        <f t="shared" ref="BN11" si="50">BN10-BN12</f>
        <v>910.56430965617619</v>
      </c>
      <c r="BO11" s="107">
        <f t="shared" ref="BO11" si="51">BO10-BO12</f>
        <v>912.06818064419349</v>
      </c>
      <c r="BP11" s="103">
        <f>SUM(BD11:BO11)</f>
        <v>10724.0008364272</v>
      </c>
      <c r="BQ11" s="464">
        <f>BQ10-BQ12</f>
        <v>1027.5521870238008</v>
      </c>
      <c r="BR11" s="91">
        <f t="shared" ref="BR11" si="52">BR10-BR12</f>
        <v>1029.2492730026352</v>
      </c>
      <c r="BS11" s="99">
        <f t="shared" ref="BS11" si="53">BS10-BS12</f>
        <v>1093.0857212402261</v>
      </c>
      <c r="BT11" s="99">
        <f t="shared" ref="BT11" si="54">BT10-BT12</f>
        <v>1094.8910411788238</v>
      </c>
      <c r="BU11" s="99">
        <f t="shared" ref="BU11" si="55">BU10-BU12</f>
        <v>1096.6993427500711</v>
      </c>
      <c r="BV11" s="99">
        <f t="shared" ref="BV11" si="56">BV10-BV12</f>
        <v>1098.510630878387</v>
      </c>
      <c r="BW11" s="99">
        <f t="shared" ref="BW11" si="57">BW10-BW12</f>
        <v>1100.3249104963106</v>
      </c>
      <c r="BX11" s="99">
        <f t="shared" ref="BX11" si="58">BX10-BX12</f>
        <v>1102.1421865445227</v>
      </c>
      <c r="BY11" s="99">
        <f t="shared" ref="BY11" si="59">BY10-BY12</f>
        <v>1103.9624639718677</v>
      </c>
      <c r="BZ11" s="99">
        <f t="shared" ref="BZ11" si="60">BZ10-BZ12</f>
        <v>1105.78574773539</v>
      </c>
      <c r="CA11" s="95">
        <f t="shared" ref="CA11" si="61">CA10-CA12</f>
        <v>1107.6120428002832</v>
      </c>
      <c r="CB11" s="107">
        <f t="shared" ref="CB11" si="62">CB10-CB12</f>
        <v>1109.4413541399554</v>
      </c>
      <c r="CC11" s="103">
        <f>SUM(BQ11:CB11)</f>
        <v>13069.256901762274</v>
      </c>
      <c r="CD11" s="464">
        <f>CD10-CD12</f>
        <v>1224.3032307642789</v>
      </c>
      <c r="CE11" s="91">
        <f t="shared" ref="CE11" si="63">CE10-CE12</f>
        <v>1226.3252670880829</v>
      </c>
      <c r="CF11" s="99">
        <f t="shared" ref="CF11" si="64">CF10-CF12</f>
        <v>1291.4384442904338</v>
      </c>
      <c r="CG11" s="99">
        <f t="shared" ref="CG11" si="65">CG10-CG12</f>
        <v>1293.5713598776056</v>
      </c>
      <c r="CH11" s="99">
        <f t="shared" ref="CH11" si="66">CH10-CH12</f>
        <v>1295.7077981482726</v>
      </c>
      <c r="CI11" s="99">
        <f t="shared" ref="CI11" si="67">CI10-CI12</f>
        <v>1297.8477649204506</v>
      </c>
      <c r="CJ11" s="99">
        <f t="shared" ref="CJ11" si="68">CJ10-CJ12</f>
        <v>1299.9912660217451</v>
      </c>
      <c r="CK11" s="99">
        <f t="shared" ref="CK11" si="69">CK10-CK12</f>
        <v>1302.1383072893514</v>
      </c>
      <c r="CL11" s="99">
        <f t="shared" ref="CL11" si="70">CL10-CL12</f>
        <v>1304.2888945701852</v>
      </c>
      <c r="CM11" s="99">
        <f t="shared" ref="CM11" si="71">CM10-CM12</f>
        <v>1306.4430337207596</v>
      </c>
      <c r="CN11" s="95">
        <f t="shared" ref="CN11" si="72">CN10-CN12</f>
        <v>1308.6007306072788</v>
      </c>
      <c r="CO11" s="107">
        <f t="shared" ref="CO11" si="73">CO10-CO12</f>
        <v>1310.7619911056318</v>
      </c>
      <c r="CP11" s="103">
        <f>SUM(CD11:CO11)</f>
        <v>15461.418088404076</v>
      </c>
    </row>
    <row r="12" spans="2:94" ht="14.4" customHeight="1">
      <c r="B12" s="114" t="s">
        <v>45</v>
      </c>
      <c r="C12" s="382">
        <f>'Unit Mix'!E19</f>
        <v>25915</v>
      </c>
      <c r="D12" s="98">
        <f>(('Unit Mix'!$C$18*'Unit Mix'!$E$18)+('Monthly Cash Flow'!D$2*('Unit Mix'!$H$18-'Unit Mix'!$E$18)))*(1+Assumptions!$H$3)^('Monthly Cash Flow'!C6/12)</f>
        <v>25915</v>
      </c>
      <c r="E12" s="98">
        <f>(('Unit Mix'!$C$18*'Unit Mix'!$E$18)+('Monthly Cash Flow'!E$2*('Unit Mix'!$H$18-'Unit Mix'!$E$18)))*(1+Assumptions!$H$3)^('Monthly Cash Flow'!D6/12)</f>
        <v>25936.49748023328</v>
      </c>
      <c r="F12" s="98">
        <f>(('Unit Mix'!$C$18*'Unit Mix'!$E$18)+('Monthly Cash Flow'!F$2*('Unit Mix'!$H$18-'Unit Mix'!$E$18)))*(1+Assumptions!$H$3)^('Monthly Cash Flow'!E6/12)</f>
        <v>26477.108236035827</v>
      </c>
      <c r="G12" s="98">
        <f>(('Unit Mix'!$C$18*'Unit Mix'!$E$18)+('Monthly Cash Flow'!G$2*('Unit Mix'!$H$18-'Unit Mix'!$E$18)))*(1+Assumptions!$H$3)^('Monthly Cash Flow'!F6/12)</f>
        <v>27018.598058519947</v>
      </c>
      <c r="H12" s="98">
        <f>(('Unit Mix'!$C$18*'Unit Mix'!$E$18)+('Monthly Cash Flow'!H$2*('Unit Mix'!$H$18-'Unit Mix'!$E$18)))*(1+Assumptions!$H$3)^('Monthly Cash Flow'!G6/12)</f>
        <v>27560.968034111913</v>
      </c>
      <c r="I12" s="98">
        <f>(('Unit Mix'!$C$18*'Unit Mix'!$E$18)+('Monthly Cash Flow'!I$2*('Unit Mix'!$H$18-'Unit Mix'!$E$18)))*(1+Assumptions!$H$3)^('Monthly Cash Flow'!H6/12)</f>
        <v>28104.219250435548</v>
      </c>
      <c r="J12" s="98">
        <f>(('Unit Mix'!$C$18*'Unit Mix'!$E$18)+('Monthly Cash Flow'!J$2*('Unit Mix'!$H$18-'Unit Mix'!$E$18)))*(1+Assumptions!$H$3)^('Monthly Cash Flow'!I6/12)</f>
        <v>28648.352796313462</v>
      </c>
      <c r="K12" s="98">
        <f>(('Unit Mix'!$C$18*'Unit Mix'!$E$18)+('Monthly Cash Flow'!K$2*('Unit Mix'!$H$18-'Unit Mix'!$E$18)))*(1+Assumptions!$H$3)^('Monthly Cash Flow'!J6/12)</f>
        <v>29193.369761768296</v>
      </c>
      <c r="L12" s="98">
        <f>(('Unit Mix'!$C$18*'Unit Mix'!$E$18)+('Monthly Cash Flow'!L$2*('Unit Mix'!$H$18-'Unit Mix'!$E$18)))*(1+Assumptions!$H$3)^('Monthly Cash Flow'!K6/12)</f>
        <v>29739.271238023954</v>
      </c>
      <c r="M12" s="98">
        <f>(('Unit Mix'!$C$18*'Unit Mix'!$E$18)+('Monthly Cash Flow'!M$2*('Unit Mix'!$H$18-'Unit Mix'!$E$18)))*(1+Assumptions!$H$3)^('Monthly Cash Flow'!L6/12)</f>
        <v>30286.05831750685</v>
      </c>
      <c r="N12" s="98">
        <f>(('Unit Mix'!$C$18*'Unit Mix'!$E$18)+('Monthly Cash Flow'!N$2*('Unit Mix'!$H$18-'Unit Mix'!$E$18)))*(1+Assumptions!$H$3)^('Monthly Cash Flow'!M6/12)</f>
        <v>30833.732093847171</v>
      </c>
      <c r="O12" s="98">
        <f>(('Unit Mix'!$C$18*'Unit Mix'!$E$18)+('Monthly Cash Flow'!O$2*('Unit Mix'!$H$18-'Unit Mix'!$E$18)))*(1+Assumptions!$H$3)^('Monthly Cash Flow'!N6/12)</f>
        <v>31382.293661880096</v>
      </c>
      <c r="P12" s="102">
        <f>SUM(D12:O12)</f>
        <v>341095.46892867639</v>
      </c>
      <c r="Q12" s="45">
        <f>((('Unit Mix'!$C$18*('Unit Mix'!$E$18*(1+Assumptions!$H$3)))+('Monthly Cash Flow'!Q$2*('Unit Mix'!$H$18-'Unit Mix'!$E$18))))*(1+Assumptions!$I$3)^((('Monthly Cash Flow'!O6-12))/12)</f>
        <v>31874.73823529412</v>
      </c>
      <c r="R12" s="98">
        <f>((('Unit Mix'!$C$18*('Unit Mix'!$E$18*(1+Assumptions!$H$3)))+('Monthly Cash Flow'!R$2*('Unit Mix'!$H$18-'Unit Mix'!$E$18))))*(1+Assumptions!$I$3)^((('Monthly Cash Flow'!Q6-12))/12)</f>
        <v>32459.697751175707</v>
      </c>
      <c r="S12" s="98">
        <f>((('Unit Mix'!$C$18*('Unit Mix'!$E$18*(1+Assumptions!$H$3)))+('Monthly Cash Flow'!S$2*('Unit Mix'!$H$18-'Unit Mix'!$E$18))))*(1+Assumptions!$I$3)^((('Monthly Cash Flow'!Q6-12))/12)</f>
        <v>32979.000525148491</v>
      </c>
      <c r="T12" s="98">
        <f>((('Unit Mix'!$C$18*('Unit Mix'!$E$18*(1+Assumptions!$H$3)))+('Monthly Cash Flow'!T$2*('Unit Mix'!$H$18-'Unit Mix'!$E$18))))*(1+Assumptions!$I$3)^((('Monthly Cash Flow'!R6-12))/12)</f>
        <v>33567.304319234994</v>
      </c>
      <c r="U12" s="98">
        <f>((('Unit Mix'!$C$18*('Unit Mix'!$E$18*(1+Assumptions!$H$3)))+('Monthly Cash Flow'!U$2*('Unit Mix'!$H$18-'Unit Mix'!$E$18))))*(1+Assumptions!$I$3)^((('Monthly Cash Flow'!S6-12))/12)</f>
        <v>34157.891804866078</v>
      </c>
      <c r="V12" s="98">
        <f>((('Unit Mix'!$C$18*('Unit Mix'!$E$18*(1+Assumptions!$H$3)))+('Monthly Cash Flow'!V$2*('Unit Mix'!$H$18-'Unit Mix'!$E$18))))*(1+Assumptions!$I$3)^((('Monthly Cash Flow'!T6-12))/12)</f>
        <v>34750.76989397392</v>
      </c>
      <c r="W12" s="98">
        <f>((('Unit Mix'!$C$18*('Unit Mix'!$E$18*(1+Assumptions!$H$3)))+('Monthly Cash Flow'!W$2*('Unit Mix'!$H$18-'Unit Mix'!$E$18))))*(1+Assumptions!$I$3)^((('Monthly Cash Flow'!U6-12))/12)</f>
        <v>35345.945517276086</v>
      </c>
      <c r="X12" s="98">
        <f>((('Unit Mix'!$C$18*('Unit Mix'!$E$18*(1+Assumptions!$H$3)))+('Monthly Cash Flow'!X$2*('Unit Mix'!$H$18-'Unit Mix'!$E$18))))*(1+Assumptions!$I$3)^((('Monthly Cash Flow'!V6-12))/12)</f>
        <v>35418.752377844452</v>
      </c>
      <c r="Y12" s="98">
        <f>((('Unit Mix'!$C$18*('Unit Mix'!$E$18*(1+Assumptions!$H$3)))+('Monthly Cash Flow'!Y$2*('Unit Mix'!$H$18-'Unit Mix'!$E$18))))*(1+Assumptions!$I$3)^((('Monthly Cash Flow'!W6-12))/12)</f>
        <v>35491.709208624925</v>
      </c>
      <c r="Z12" s="98">
        <f>((('Unit Mix'!$C$18*('Unit Mix'!$E$18*(1+Assumptions!$H$3)))+('Monthly Cash Flow'!Z$2*('Unit Mix'!$H$18-'Unit Mix'!$E$18))))*(1+Assumptions!$I$3)^((('Monthly Cash Flow'!X6-12))/12)</f>
        <v>35564.816318531564</v>
      </c>
      <c r="AA12" s="94">
        <f>((('Unit Mix'!$C$18*('Unit Mix'!$E$18*(1+Assumptions!$H$3)))+('Monthly Cash Flow'!AA$2*('Unit Mix'!$H$18-'Unit Mix'!$E$18))))*(1+Assumptions!$I$3)^((('Monthly Cash Flow'!Y6-12))/12)</f>
        <v>35638.074017114777</v>
      </c>
      <c r="AB12" s="106">
        <f>((('Unit Mix'!$C$18*('Unit Mix'!$E$18*(1+Assumptions!$H$3)))+('Monthly Cash Flow'!AB$2*('Unit Mix'!$H$18-'Unit Mix'!$E$18))))*(1+Assumptions!$I$3)^((('Monthly Cash Flow'!Z6-12))/12)</f>
        <v>35711.482614562578</v>
      </c>
      <c r="AC12" s="102">
        <f>SUM(Q12:AB12)</f>
        <v>412960.18258364766</v>
      </c>
      <c r="AD12" s="45">
        <f>((('Unit Mix'!$C$18*('Unit Mix'!$E$18*(1+Assumptions!$H$3)*(1+Assumptions!$I$3))+('Monthly Cash Flow'!AD$2*('Unit Mix'!$H$18-'Unit Mix'!$E$18))))*(1+Assumptions!$J$3)^((('Monthly Cash Flow'!AB6-24))/12))</f>
        <v>35638.503750000003</v>
      </c>
      <c r="AE12" s="45">
        <f>((('Unit Mix'!$C$18*('Unit Mix'!$E$18*(1+Assumptions!$H$3)*(1+Assumptions!$I$3))+('Monthly Cash Flow'!AE$2*('Unit Mix'!$H$18-'Unit Mix'!$E$18))))*(1+Assumptions!$J$3)^((('Monthly Cash Flow'!AD6-24))/12))</f>
        <v>35711.913232627179</v>
      </c>
      <c r="AF12" s="45">
        <f>((('Unit Mix'!$C$18*('Unit Mix'!$E$18*(1+Assumptions!$H$3)*(1+Assumptions!$I$3))+('Monthly Cash Flow'!AF$2*('Unit Mix'!$H$18-'Unit Mix'!$E$18))))*(1+Assumptions!$J$3)^((('Monthly Cash Flow'!AD6-24))/12))</f>
        <v>35711.913232627179</v>
      </c>
      <c r="AG12" s="45">
        <f>((('Unit Mix'!$C$18*('Unit Mix'!$E$18*(1+Assumptions!$H$3)*(1+Assumptions!$I$3))+('Monthly Cash Flow'!AG$2*('Unit Mix'!$H$18-'Unit Mix'!$E$18))))*(1+Assumptions!$J$3)^((('Monthly Cash Flow'!AE6-24))/12))</f>
        <v>35785.473926769228</v>
      </c>
      <c r="AH12" s="45">
        <f>((('Unit Mix'!$C$18*('Unit Mix'!$E$18*(1+Assumptions!$H$3)*(1+Assumptions!$I$3))+('Monthly Cash Flow'!AH$2*('Unit Mix'!$H$18-'Unit Mix'!$E$18))))*(1+Assumptions!$J$3)^((('Monthly Cash Flow'!AF6-24))/12))</f>
        <v>35859.18614389711</v>
      </c>
      <c r="AI12" s="45">
        <f>((('Unit Mix'!$C$18*('Unit Mix'!$E$18*(1+Assumptions!$H$3)*(1+Assumptions!$I$3))+('Monthly Cash Flow'!AI$2*('Unit Mix'!$H$18-'Unit Mix'!$E$18))))*(1+Assumptions!$J$3)^((('Monthly Cash Flow'!AG6-24))/12))</f>
        <v>35933.050196123353</v>
      </c>
      <c r="AJ12" s="45">
        <f>((('Unit Mix'!$C$18*('Unit Mix'!$E$18*(1+Assumptions!$H$3)*(1+Assumptions!$I$3))+('Monthly Cash Flow'!AJ$2*('Unit Mix'!$H$18-'Unit Mix'!$E$18))))*(1+Assumptions!$J$3)^((('Monthly Cash Flow'!AH6-24))/12))</f>
        <v>36007.066396203409</v>
      </c>
      <c r="AK12" s="45">
        <f>((('Unit Mix'!$C$18*('Unit Mix'!$E$18*(1+Assumptions!$H$3)*(1+Assumptions!$I$3))+('Monthly Cash Flow'!AK$2*('Unit Mix'!$H$18-'Unit Mix'!$E$18))))*(1+Assumptions!$J$3)^((('Monthly Cash Flow'!AI6-24))/12))</f>
        <v>36081.235057536942</v>
      </c>
      <c r="AL12" s="45">
        <f>((('Unit Mix'!$C$18*('Unit Mix'!$E$18*(1+Assumptions!$H$3)*(1+Assumptions!$I$3))+('Monthly Cash Flow'!AL$2*('Unit Mix'!$H$18-'Unit Mix'!$E$18))))*(1+Assumptions!$J$3)^((('Monthly Cash Flow'!AJ6-24))/12))</f>
        <v>36155.556494169185</v>
      </c>
      <c r="AM12" s="45">
        <f>((('Unit Mix'!$C$18*('Unit Mix'!$E$18*(1+Assumptions!$H$3)*(1+Assumptions!$I$3))+('Monthly Cash Flow'!AM$2*('Unit Mix'!$H$18-'Unit Mix'!$E$18))))*(1+Assumptions!$J$3)^((('Monthly Cash Flow'!AK6-24))/12))</f>
        <v>36230.03102079223</v>
      </c>
      <c r="AN12" s="45">
        <f>((('Unit Mix'!$C$18*('Unit Mix'!$E$18*(1+Assumptions!$H$3)*(1+Assumptions!$I$3))+('Monthly Cash Flow'!AN$2*('Unit Mix'!$H$18-'Unit Mix'!$E$18))))*(1+Assumptions!$J$3)^((('Monthly Cash Flow'!AL6-24))/12))</f>
        <v>36304.658952746388</v>
      </c>
      <c r="AO12" s="45">
        <f>((('Unit Mix'!$C$18*('Unit Mix'!$E$18*(1+Assumptions!$H$3)*(1+Assumptions!$I$3))+('Monthly Cash Flow'!AO$2*('Unit Mix'!$H$18-'Unit Mix'!$E$18))))*(1+Assumptions!$J$3)^((('Monthly Cash Flow'!AM6-24))/12))</f>
        <v>36379.440606021533</v>
      </c>
      <c r="AP12" s="102">
        <f>SUM(AD12:AO12)</f>
        <v>431798.02900951373</v>
      </c>
      <c r="AQ12" s="45">
        <f>((('Unit Mix'!$C$18*('Unit Mix'!$E$18*(1+Assumptions!$H$3)*(1+Assumptions!$I$3)*(1+Assumptions!$J$3))+('Monthly Cash Flow'!AQ$2*('Unit Mix'!$H$18-'Unit Mix'!$E$18))))*(1+Assumptions!$K$3)^((('Monthly Cash Flow'!AO6-36))/12))</f>
        <v>36309.216343749998</v>
      </c>
      <c r="AR12" s="45">
        <f>((('Unit Mix'!$C$18*('Unit Mix'!$E$18*(1+Assumptions!$H$3)*(1+Assumptions!$I$3)*(1+Assumptions!$J$3))+('Monthly Cash Flow'!AR$2*('Unit Mix'!$H$18-'Unit Mix'!$E$18))))*(1+Assumptions!$K$3)^((('Monthly Cash Flow'!AQ6-36))/12))</f>
        <v>36384.007384504424</v>
      </c>
      <c r="AS12" s="45">
        <f>((('Unit Mix'!$C$18*('Unit Mix'!$E$18*(1+Assumptions!$H$3)*(1+Assumptions!$I$3)*(1+Assumptions!$J$3))+('Monthly Cash Flow'!AS$2*('Unit Mix'!$H$18-'Unit Mix'!$E$18))))*(1+Assumptions!$K$3)^((('Monthly Cash Flow'!AQ6-36))/12))</f>
        <v>36384.007384504424</v>
      </c>
      <c r="AT12" s="45">
        <f>((('Unit Mix'!$C$18*('Unit Mix'!$E$18*(1+Assumptions!$H$3)*(1+Assumptions!$I$3)*(1+Assumptions!$J$3))+('Monthly Cash Flow'!AT$2*('Unit Mix'!$H$18-'Unit Mix'!$E$18))))*(1+Assumptions!$K$3)^((('Monthly Cash Flow'!AR6-36))/12))</f>
        <v>36458.952482557259</v>
      </c>
      <c r="AU12" s="45">
        <f>((('Unit Mix'!$C$18*('Unit Mix'!$E$18*(1+Assumptions!$H$3)*(1+Assumptions!$I$3)*(1+Assumptions!$J$3))+('Monthly Cash Flow'!AU$2*('Unit Mix'!$H$18-'Unit Mix'!$E$18))))*(1+Assumptions!$K$3)^((('Monthly Cash Flow'!AS6-36))/12))</f>
        <v>36534.05195524131</v>
      </c>
      <c r="AV12" s="45">
        <f>((('Unit Mix'!$C$18*('Unit Mix'!$E$18*(1+Assumptions!$H$3)*(1+Assumptions!$I$3)*(1+Assumptions!$J$3))+('Monthly Cash Flow'!AV$2*('Unit Mix'!$H$18-'Unit Mix'!$E$18))))*(1+Assumptions!$K$3)^((('Monthly Cash Flow'!AT6-36))/12))</f>
        <v>36609.306120543035</v>
      </c>
      <c r="AW12" s="45">
        <f>((('Unit Mix'!$C$18*('Unit Mix'!$E$18*(1+Assumptions!$H$3)*(1+Assumptions!$I$3)*(1+Assumptions!$J$3))+('Monthly Cash Flow'!AW$2*('Unit Mix'!$H$18-'Unit Mix'!$E$18))))*(1+Assumptions!$K$3)^((('Monthly Cash Flow'!AU6-36))/12))</f>
        <v>36684.71529710391</v>
      </c>
      <c r="AX12" s="45">
        <f>((('Unit Mix'!$C$18*('Unit Mix'!$E$18*(1+Assumptions!$H$3)*(1+Assumptions!$I$3)*(1+Assumptions!$J$3))+('Monthly Cash Flow'!AX$2*('Unit Mix'!$H$18-'Unit Mix'!$E$18))))*(1+Assumptions!$K$3)^((('Monthly Cash Flow'!AV6-36))/12))</f>
        <v>36760.27980422174</v>
      </c>
      <c r="AY12" s="45">
        <f>((('Unit Mix'!$C$18*('Unit Mix'!$E$18*(1+Assumptions!$H$3)*(1+Assumptions!$I$3)*(1+Assumptions!$J$3))+('Monthly Cash Flow'!AY$2*('Unit Mix'!$H$18-'Unit Mix'!$E$18))))*(1+Assumptions!$K$3)^((('Monthly Cash Flow'!AW6-36))/12))</f>
        <v>36835.999961852052</v>
      </c>
      <c r="AZ12" s="45">
        <f>((('Unit Mix'!$C$18*('Unit Mix'!$E$18*(1+Assumptions!$H$3)*(1+Assumptions!$I$3)*(1+Assumptions!$J$3))+('Monthly Cash Flow'!AZ$2*('Unit Mix'!$H$18-'Unit Mix'!$E$18))))*(1+Assumptions!$K$3)^((('Monthly Cash Flow'!AX6-36))/12))</f>
        <v>36911.876090609403</v>
      </c>
      <c r="BA12" s="45">
        <f>((('Unit Mix'!$C$18*('Unit Mix'!$E$18*(1+Assumptions!$H$3)*(1+Assumptions!$I$3)*(1+Assumptions!$J$3))+('Monthly Cash Flow'!BA$2*('Unit Mix'!$H$18-'Unit Mix'!$E$18))))*(1+Assumptions!$K$3)^((('Monthly Cash Flow'!AY6-36))/12))</f>
        <v>36987.908511768786</v>
      </c>
      <c r="BB12" s="45">
        <f>((('Unit Mix'!$C$18*('Unit Mix'!$E$18*(1+Assumptions!$H$3)*(1+Assumptions!$I$3)*(1+Assumptions!$J$3))+('Monthly Cash Flow'!BB$2*('Unit Mix'!$H$18-'Unit Mix'!$E$18))))*(1+Assumptions!$K$3)^((('Monthly Cash Flow'!AZ6-36))/12))</f>
        <v>37064.09754726696</v>
      </c>
      <c r="BC12" s="102">
        <f>SUM(AQ12:BB12)</f>
        <v>439924.41888392332</v>
      </c>
      <c r="BD12" s="45">
        <f>((('Unit Mix'!$C$18*('Unit Mix'!$E$18*(1+Assumptions!$H$3)*(1+Assumptions!$I$3)*(1+Assumptions!$J$3)*(1+Assumptions!$K$3))+('Monthly Cash Flow'!BD$2*('Unit Mix'!$H$18-'Unit Mix'!$E$18))))*(1+Assumptions!$L$3)^((('Monthly Cash Flow'!BB6-48))/12))</f>
        <v>36996.696752343749</v>
      </c>
      <c r="BE12" s="45">
        <f>((('Unit Mix'!$C$18*('Unit Mix'!$E$18*(1+Assumptions!$H$3)*(1+Assumptions!$I$3)*(1+Assumptions!$J$3)*(1+Assumptions!$K$3))+('Monthly Cash Flow'!BE$2*('Unit Mix'!$H$18-'Unit Mix'!$E$18))))*(1+Assumptions!$L$3)^((('Monthly Cash Flow'!BD6-48))/12))</f>
        <v>37057.799804932729</v>
      </c>
      <c r="BF12" s="45">
        <f>((('Unit Mix'!$C$18*('Unit Mix'!$E$18*(1+Assumptions!$H$3)*(1+Assumptions!$I$3)*(1+Assumptions!$J$3)*(1+Assumptions!$K$3))+('Monthly Cash Flow'!BF$2*('Unit Mix'!$H$18-'Unit Mix'!$E$18))))*(1+Assumptions!$L$3)^((('Monthly Cash Flow'!BD6-48))/12))</f>
        <v>37057.799804932729</v>
      </c>
      <c r="BG12" s="45">
        <f>((('Unit Mix'!$C$18*('Unit Mix'!$E$18*(1+Assumptions!$H$3)*(1+Assumptions!$I$3)*(1+Assumptions!$J$3)*(1+Assumptions!$K$3))+('Monthly Cash Flow'!BG$2*('Unit Mix'!$H$18-'Unit Mix'!$E$18))))*(1+Assumptions!$L$3)^((('Monthly Cash Flow'!BE6-48))/12))</f>
        <v>37119.003774180863</v>
      </c>
      <c r="BH12" s="45">
        <f>((('Unit Mix'!$C$18*('Unit Mix'!$E$18*(1+Assumptions!$H$3)*(1+Assumptions!$I$3)*(1+Assumptions!$J$3)*(1+Assumptions!$K$3))+('Monthly Cash Flow'!BH$2*('Unit Mix'!$H$18-'Unit Mix'!$E$18))))*(1+Assumptions!$L$3)^((('Monthly Cash Flow'!BF6-48))/12))</f>
        <v>37180.3088267602</v>
      </c>
      <c r="BI12" s="45">
        <f>((('Unit Mix'!$C$18*('Unit Mix'!$E$18*(1+Assumptions!$H$3)*(1+Assumptions!$I$3)*(1+Assumptions!$J$3)*(1+Assumptions!$K$3))+('Monthly Cash Flow'!BI$2*('Unit Mix'!$H$18-'Unit Mix'!$E$18))))*(1+Assumptions!$L$3)^((('Monthly Cash Flow'!BG6-48))/12))</f>
        <v>37241.715129618096</v>
      </c>
      <c r="BJ12" s="45">
        <f>((('Unit Mix'!$C$18*('Unit Mix'!$E$18*(1+Assumptions!$H$3)*(1+Assumptions!$I$3)*(1+Assumptions!$J$3)*(1+Assumptions!$K$3))+('Monthly Cash Flow'!BJ$2*('Unit Mix'!$H$18-'Unit Mix'!$E$18))))*(1+Assumptions!$L$3)^((('Monthly Cash Flow'!BH6-48))/12))</f>
        <v>37303.22284997761</v>
      </c>
      <c r="BK12" s="45">
        <f>((('Unit Mix'!$C$18*('Unit Mix'!$E$18*(1+Assumptions!$H$3)*(1+Assumptions!$I$3)*(1+Assumptions!$J$3)*(1+Assumptions!$K$3))+('Monthly Cash Flow'!BK$2*('Unit Mix'!$H$18-'Unit Mix'!$E$18))))*(1+Assumptions!$L$3)^((('Monthly Cash Flow'!BI6-48))/12))</f>
        <v>37364.832155337994</v>
      </c>
      <c r="BL12" s="45">
        <f>((('Unit Mix'!$C$18*('Unit Mix'!$E$18*(1+Assumptions!$H$3)*(1+Assumptions!$I$3)*(1+Assumptions!$J$3)*(1+Assumptions!$K$3))+('Monthly Cash Flow'!BL$2*('Unit Mix'!$H$18-'Unit Mix'!$E$18))))*(1+Assumptions!$L$3)^((('Monthly Cash Flow'!BJ6-48))/12))</f>
        <v>37426.543213475139</v>
      </c>
      <c r="BM12" s="45">
        <f>((('Unit Mix'!$C$18*('Unit Mix'!$E$18*(1+Assumptions!$H$3)*(1+Assumptions!$I$3)*(1+Assumptions!$J$3)*(1+Assumptions!$K$3))+('Monthly Cash Flow'!BM$2*('Unit Mix'!$H$18-'Unit Mix'!$E$18))))*(1+Assumptions!$L$3)^((('Monthly Cash Flow'!BK6-48))/12))</f>
        <v>37488.356192442021</v>
      </c>
      <c r="BN12" s="45">
        <f>((('Unit Mix'!$C$18*('Unit Mix'!$E$18*(1+Assumptions!$H$3)*(1+Assumptions!$I$3)*(1+Assumptions!$J$3)*(1+Assumptions!$K$3))+('Monthly Cash Flow'!BN$2*('Unit Mix'!$H$18-'Unit Mix'!$E$18))))*(1+Assumptions!$L$3)^((('Monthly Cash Flow'!BL6-48))/12))</f>
        <v>37550.271260569178</v>
      </c>
      <c r="BO12" s="45">
        <f>((('Unit Mix'!$C$18*('Unit Mix'!$E$18*(1+Assumptions!$H$3)*(1+Assumptions!$I$3)*(1+Assumptions!$J$3)*(1+Assumptions!$K$3))+('Monthly Cash Flow'!BO$2*('Unit Mix'!$H$18-'Unit Mix'!$E$18))))*(1+Assumptions!$L$3)^((('Monthly Cash Flow'!BM6-48))/12))</f>
        <v>37612.288586465169</v>
      </c>
      <c r="BP12" s="102">
        <f>SUM(BD12:BO12)</f>
        <v>447398.83835103549</v>
      </c>
      <c r="BQ12" s="45">
        <f>((('Unit Mix'!$C$18*('Unit Mix'!$E$18*(1+Assumptions!$H$3)*(1+Assumptions!$I$3)*(1+Assumptions!$J$3)*(1+Assumptions!$K$3)*(1+Assumptions!$L$3))+('Monthly Cash Flow'!BQ$2*('Unit Mix'!$H$18-'Unit Mix'!$E$18))))*(1+Assumptions!$M$3)^((('Monthly Cash Flow'!BO6-60))/12))</f>
        <v>37560.430687390624</v>
      </c>
      <c r="BR12" s="45">
        <f>((('Unit Mix'!$C$18*('Unit Mix'!$E$18*(1+Assumptions!$H$3)*(1+Assumptions!$I$3)*(1+Assumptions!$J$3)*(1+Assumptions!$K$3)*(1+Assumptions!$L$3))+('Monthly Cash Flow'!BR$2*('Unit Mix'!$H$18-'Unit Mix'!$E$18))))*(1+Assumptions!$M$3)^((('Monthly Cash Flow'!BQ6-60))/12))</f>
        <v>37622.46479240599</v>
      </c>
      <c r="BS12" s="45">
        <f>((('Unit Mix'!$C$18*('Unit Mix'!$E$18*(1+Assumptions!$H$3)*(1+Assumptions!$I$3)*(1+Assumptions!$J$3)*(1+Assumptions!$K$3)*(1+Assumptions!$L$3))+('Monthly Cash Flow'!BS$2*('Unit Mix'!$H$18-'Unit Mix'!$E$18))))*(1+Assumptions!$M$3)^((('Monthly Cash Flow'!BQ6-60))/12))</f>
        <v>37622.46479240599</v>
      </c>
      <c r="BT12" s="45">
        <f>((('Unit Mix'!$C$18*('Unit Mix'!$E$18*(1+Assumptions!$H$3)*(1+Assumptions!$I$3)*(1+Assumptions!$J$3)*(1+Assumptions!$K$3)*(1+Assumptions!$L$3))+('Monthly Cash Flow'!BT$2*('Unit Mix'!$H$18-'Unit Mix'!$E$18))))*(1+Assumptions!$M$3)^((('Monthly Cash Flow'!BR6-60))/12))</f>
        <v>37684.601351789279</v>
      </c>
      <c r="BU12" s="45">
        <f>((('Unit Mix'!$C$18*('Unit Mix'!$E$18*(1+Assumptions!$H$3)*(1+Assumptions!$I$3)*(1+Assumptions!$J$3)*(1+Assumptions!$K$3)*(1+Assumptions!$L$3))+('Monthly Cash Flow'!BU$2*('Unit Mix'!$H$18-'Unit Mix'!$E$18))))*(1+Assumptions!$M$3)^((('Monthly Cash Flow'!BS6-60))/12))</f>
        <v>37746.840534752206</v>
      </c>
      <c r="BV12" s="45">
        <f>((('Unit Mix'!$C$18*('Unit Mix'!$E$18*(1+Assumptions!$H$3)*(1+Assumptions!$I$3)*(1+Assumptions!$J$3)*(1+Assumptions!$K$3)*(1+Assumptions!$L$3))+('Monthly Cash Flow'!BV$2*('Unit Mix'!$H$18-'Unit Mix'!$E$18))))*(1+Assumptions!$M$3)^((('Monthly Cash Flow'!BT6-60))/12))</f>
        <v>37809.182510785969</v>
      </c>
      <c r="BW12" s="45">
        <f>((('Unit Mix'!$C$18*('Unit Mix'!$E$18*(1+Assumptions!$H$3)*(1+Assumptions!$I$3)*(1+Assumptions!$J$3)*(1+Assumptions!$K$3)*(1+Assumptions!$L$3))+('Monthly Cash Flow'!BW$2*('Unit Mix'!$H$18-'Unit Mix'!$E$18))))*(1+Assumptions!$M$3)^((('Monthly Cash Flow'!BU6-60))/12))</f>
        <v>37871.627449661668</v>
      </c>
      <c r="BX12" s="45">
        <f>((('Unit Mix'!$C$18*('Unit Mix'!$E$18*(1+Assumptions!$H$3)*(1+Assumptions!$I$3)*(1+Assumptions!$J$3)*(1+Assumptions!$K$3)*(1+Assumptions!$L$3))+('Monthly Cash Flow'!BX$2*('Unit Mix'!$H$18-'Unit Mix'!$E$18))))*(1+Assumptions!$M$3)^((('Monthly Cash Flow'!BV6-60))/12))</f>
        <v>37934.175521430814</v>
      </c>
      <c r="BY12" s="45">
        <f>((('Unit Mix'!$C$18*('Unit Mix'!$E$18*(1+Assumptions!$H$3)*(1+Assumptions!$I$3)*(1+Assumptions!$J$3)*(1+Assumptions!$K$3)*(1+Assumptions!$L$3))+('Monthly Cash Flow'!BY$2*('Unit Mix'!$H$18-'Unit Mix'!$E$18))))*(1+Assumptions!$M$3)^((('Monthly Cash Flow'!BW6-60))/12))</f>
        <v>37996.826896425773</v>
      </c>
      <c r="BZ12" s="45">
        <f>((('Unit Mix'!$C$18*('Unit Mix'!$E$18*(1+Assumptions!$H$3)*(1+Assumptions!$I$3)*(1+Assumptions!$J$3)*(1+Assumptions!$K$3)*(1+Assumptions!$L$3))+('Monthly Cash Flow'!BZ$2*('Unit Mix'!$H$18-'Unit Mix'!$E$18))))*(1+Assumptions!$M$3)^((('Monthly Cash Flow'!BX6-60))/12))</f>
        <v>38059.581745260206</v>
      </c>
      <c r="CA12" s="45">
        <f>((('Unit Mix'!$C$18*('Unit Mix'!$E$18*(1+Assumptions!$H$3)*(1+Assumptions!$I$3)*(1+Assumptions!$J$3)*(1+Assumptions!$K$3)*(1+Assumptions!$L$3))+('Monthly Cash Flow'!CA$2*('Unit Mix'!$H$18-'Unit Mix'!$E$18))))*(1+Assumptions!$M$3)^((('Monthly Cash Flow'!BY6-60))/12))</f>
        <v>38122.440238829578</v>
      </c>
      <c r="CB12" s="45">
        <f>((('Unit Mix'!$C$18*('Unit Mix'!$E$18*(1+Assumptions!$H$3)*(1+Assumptions!$I$3)*(1+Assumptions!$J$3)*(1+Assumptions!$K$3)*(1+Assumptions!$L$3))+('Monthly Cash Flow'!CB$2*('Unit Mix'!$H$18-'Unit Mix'!$E$18))))*(1+Assumptions!$M$3)^((('Monthly Cash Flow'!BZ6-60))/12))</f>
        <v>38185.402548311598</v>
      </c>
      <c r="CC12" s="102">
        <f>SUM(BQ12:CB12)</f>
        <v>454216.03906944965</v>
      </c>
      <c r="CD12" s="45">
        <f>((('Unit Mix'!$C$18*('Unit Mix'!$E$18*(1+Assumptions!$H$3)*(1+Assumptions!$I$3)*(1+Assumptions!$J$3)*(1+Assumptions!$K$3)*(1+Assumptions!$L$3)*(1+Assumptions!$M$3))+('Monthly Cash Flow'!CD$2*('Unit Mix'!$H$18-'Unit Mix'!$E$18))))*(1+Assumptions!$N$3)^((('Monthly Cash Flow'!CB6-72))/12))</f>
        <v>38135.439301138438</v>
      </c>
      <c r="CE12" s="45">
        <f>((('Unit Mix'!$C$18*('Unit Mix'!$E$18*(1+Assumptions!$H$3)*(1+Assumptions!$I$3)*(1+Assumptions!$J$3)*(1+Assumptions!$K$3)*(1+Assumptions!$L$3)*(1+Assumptions!$M$3))+('Monthly Cash Flow'!CE$2*('Unit Mix'!$H$18-'Unit Mix'!$E$18))))*(1+Assumptions!$N$3)^((('Monthly Cash Flow'!CD6-72))/12))</f>
        <v>38198.423079628716</v>
      </c>
      <c r="CF12" s="45">
        <f>((('Unit Mix'!$C$18*('Unit Mix'!$E$18*(1+Assumptions!$H$3)*(1+Assumptions!$I$3)*(1+Assumptions!$J$3)*(1+Assumptions!$K$3)*(1+Assumptions!$L$3)*(1+Assumptions!$M$3))+('Monthly Cash Flow'!CF$2*('Unit Mix'!$H$18-'Unit Mix'!$E$18))))*(1+Assumptions!$N$3)^((('Monthly Cash Flow'!CD6-72))/12))</f>
        <v>38198.423079628716</v>
      </c>
      <c r="CG12" s="45">
        <f>((('Unit Mix'!$C$18*('Unit Mix'!$E$18*(1+Assumptions!$H$3)*(1+Assumptions!$I$3)*(1+Assumptions!$J$3)*(1+Assumptions!$K$3)*(1+Assumptions!$L$3)*(1+Assumptions!$M$3))+('Monthly Cash Flow'!CG$2*('Unit Mix'!$H$18-'Unit Mix'!$E$18))))*(1+Assumptions!$N$3)^((('Monthly Cash Flow'!CE6-72))/12))</f>
        <v>38261.510880949863</v>
      </c>
      <c r="CH12" s="45">
        <f>((('Unit Mix'!$C$18*('Unit Mix'!$E$18*(1+Assumptions!$H$3)*(1+Assumptions!$I$3)*(1+Assumptions!$J$3)*(1+Assumptions!$K$3)*(1+Assumptions!$L$3)*(1+Assumptions!$M$3))+('Monthly Cash Flow'!CH$2*('Unit Mix'!$H$18-'Unit Mix'!$E$18))))*(1+Assumptions!$N$3)^((('Monthly Cash Flow'!CF6-72))/12))</f>
        <v>38324.702876904055</v>
      </c>
      <c r="CI12" s="45">
        <f>((('Unit Mix'!$C$18*('Unit Mix'!$E$18*(1+Assumptions!$H$3)*(1+Assumptions!$I$3)*(1+Assumptions!$J$3)*(1+Assumptions!$K$3)*(1+Assumptions!$L$3)*(1+Assumptions!$M$3))+('Monthly Cash Flow'!CI$2*('Unit Mix'!$H$18-'Unit Mix'!$E$18))))*(1+Assumptions!$N$3)^((('Monthly Cash Flow'!CG6-72))/12))</f>
        <v>38387.999239577199</v>
      </c>
      <c r="CJ12" s="45">
        <f>((('Unit Mix'!$C$18*('Unit Mix'!$E$18*(1+Assumptions!$H$3)*(1+Assumptions!$I$3)*(1+Assumptions!$J$3)*(1+Assumptions!$K$3)*(1+Assumptions!$L$3)*(1+Assumptions!$M$3))+('Monthly Cash Flow'!CJ$2*('Unit Mix'!$H$18-'Unit Mix'!$E$18))))*(1+Assumptions!$N$3)^((('Monthly Cash Flow'!CH6-72))/12))</f>
        <v>38451.4001413394</v>
      </c>
      <c r="CK12" s="45">
        <f>((('Unit Mix'!$C$18*('Unit Mix'!$E$18*(1+Assumptions!$H$3)*(1+Assumptions!$I$3)*(1+Assumptions!$J$3)*(1+Assumptions!$K$3)*(1+Assumptions!$L$3)*(1+Assumptions!$M$3))+('Monthly Cash Flow'!CK$2*('Unit Mix'!$H$18-'Unit Mix'!$E$18))))*(1+Assumptions!$N$3)^((('Monthly Cash Flow'!CI6-72))/12))</f>
        <v>38514.905754845495</v>
      </c>
      <c r="CL12" s="45">
        <f>((('Unit Mix'!$C$18*('Unit Mix'!$E$18*(1+Assumptions!$H$3)*(1+Assumptions!$I$3)*(1+Assumptions!$J$3)*(1+Assumptions!$K$3)*(1+Assumptions!$L$3)*(1+Assumptions!$M$3))+('Monthly Cash Flow'!CL$2*('Unit Mix'!$H$18-'Unit Mix'!$E$18))))*(1+Assumptions!$N$3)^((('Monthly Cash Flow'!CJ6-72))/12))</f>
        <v>38578.516253035414</v>
      </c>
      <c r="CM12" s="45">
        <f>((('Unit Mix'!$C$18*('Unit Mix'!$E$18*(1+Assumptions!$H$3)*(1+Assumptions!$I$3)*(1+Assumptions!$J$3)*(1+Assumptions!$K$3)*(1+Assumptions!$L$3)*(1+Assumptions!$M$3))+('Monthly Cash Flow'!CM$2*('Unit Mix'!$H$18-'Unit Mix'!$E$18))))*(1+Assumptions!$N$3)^((('Monthly Cash Flow'!CK6-72))/12))</f>
        <v>38642.231809134755</v>
      </c>
      <c r="CN12" s="45">
        <f>((('Unit Mix'!$C$18*('Unit Mix'!$E$18*(1+Assumptions!$H$3)*(1+Assumptions!$I$3)*(1+Assumptions!$J$3)*(1+Assumptions!$K$3)*(1+Assumptions!$L$3)*(1+Assumptions!$M$3))+('Monthly Cash Flow'!CN$2*('Unit Mix'!$H$18-'Unit Mix'!$E$18))))*(1+Assumptions!$N$3)^((('Monthly Cash Flow'!CL6-72))/12))</f>
        <v>38706.05259665518</v>
      </c>
      <c r="CO12" s="45">
        <f>((('Unit Mix'!$C$18*('Unit Mix'!$E$18*(1+Assumptions!$H$3)*(1+Assumptions!$I$3)*(1+Assumptions!$J$3)*(1+Assumptions!$K$3)*(1+Assumptions!$L$3)*(1+Assumptions!$M$3))+('Monthly Cash Flow'!CO$2*('Unit Mix'!$H$18-'Unit Mix'!$E$18))))*(1+Assumptions!$N$3)^((('Monthly Cash Flow'!CM6-72))/12))</f>
        <v>38769.978789394954</v>
      </c>
      <c r="CP12" s="102">
        <f>SUM(CD12:CO12)</f>
        <v>461169.58380223217</v>
      </c>
    </row>
    <row r="13" spans="2:94">
      <c r="B13" s="113" t="s">
        <v>46</v>
      </c>
      <c r="C13" s="383">
        <f>(-5%*C12)</f>
        <v>-1295.75</v>
      </c>
      <c r="D13" s="99">
        <f>-D12*Assumptions!$H$5</f>
        <v>-518.29999999999995</v>
      </c>
      <c r="E13" s="99">
        <f>-E12*Assumptions!$H$5</f>
        <v>-518.72994960466565</v>
      </c>
      <c r="F13" s="99">
        <f>-F12*Assumptions!$H$5</f>
        <v>-529.54216472071653</v>
      </c>
      <c r="G13" s="99">
        <f>-G12*Assumptions!$H$5</f>
        <v>-540.37196117039889</v>
      </c>
      <c r="H13" s="99">
        <f>-H12*Assumptions!$H$5</f>
        <v>-551.21936068223829</v>
      </c>
      <c r="I13" s="99">
        <f>-I12*Assumptions!$H$5</f>
        <v>-562.08438500871102</v>
      </c>
      <c r="J13" s="99">
        <f>-J12*Assumptions!$H$5</f>
        <v>-572.96705592626927</v>
      </c>
      <c r="K13" s="99">
        <f>-K12*Assumptions!$H$5</f>
        <v>-583.86739523536596</v>
      </c>
      <c r="L13" s="99">
        <f>-L12*Assumptions!$H$5</f>
        <v>-594.78542476047903</v>
      </c>
      <c r="M13" s="99">
        <f>-M12*Assumptions!$H$5</f>
        <v>-605.72116635013697</v>
      </c>
      <c r="N13" s="95">
        <f>-N12*Assumptions!$H$5</f>
        <v>-616.67464187694338</v>
      </c>
      <c r="O13" s="95">
        <f>-O12*Assumptions!$H$5</f>
        <v>-627.6458732376019</v>
      </c>
      <c r="P13" s="103">
        <f t="shared" ref="P13:P16" si="74">SUM(D13:O13)</f>
        <v>-6821.9093785735267</v>
      </c>
      <c r="Q13" s="91">
        <f>-Q12*Assumptions!$I$5</f>
        <v>-637.4947647058824</v>
      </c>
      <c r="R13" s="99">
        <f>-R12*Assumptions!$I$5</f>
        <v>-649.19395502351415</v>
      </c>
      <c r="S13" s="99">
        <f>-S12*Assumptions!$I$5</f>
        <v>-659.5800105029698</v>
      </c>
      <c r="T13" s="99">
        <f>-T12*Assumptions!$I$5</f>
        <v>-671.3460863846999</v>
      </c>
      <c r="U13" s="99">
        <f>-U12*Assumptions!$I$5</f>
        <v>-683.15783609732159</v>
      </c>
      <c r="V13" s="99">
        <f>-V12*Assumptions!$I$5</f>
        <v>-695.01539787947843</v>
      </c>
      <c r="W13" s="99">
        <f>-W12*Assumptions!$I$5</f>
        <v>-706.91891034552179</v>
      </c>
      <c r="X13" s="99">
        <f>-X12*Assumptions!$I$5</f>
        <v>-708.37504755688906</v>
      </c>
      <c r="Y13" s="99">
        <f>-Y12*Assumptions!$I$5</f>
        <v>-709.83418417249857</v>
      </c>
      <c r="Z13" s="99">
        <f>-Z12*Assumptions!$I$5</f>
        <v>-711.29632637063128</v>
      </c>
      <c r="AA13" s="95">
        <f>-AA12*Assumptions!$I$5</f>
        <v>-712.76148034229561</v>
      </c>
      <c r="AB13" s="107">
        <f>-AB12*Assumptions!$I$5</f>
        <v>-714.22965229125157</v>
      </c>
      <c r="AC13" s="103">
        <f t="shared" ref="AC13:AC16" si="75">SUM(Q13:AB13)</f>
        <v>-8259.2036516729531</v>
      </c>
      <c r="AD13" s="91">
        <f>-AD12*Assumptions!$J$5</f>
        <v>-1069.1551125000001</v>
      </c>
      <c r="AE13" s="99">
        <f>-AE12*Assumptions!$J$5</f>
        <v>-1071.3573969788154</v>
      </c>
      <c r="AF13" s="99">
        <f>-AF12*Assumptions!$J$5</f>
        <v>-1071.3573969788154</v>
      </c>
      <c r="AG13" s="99">
        <f>-AG12*Assumptions!$J$5</f>
        <v>-1073.5642178030769</v>
      </c>
      <c r="AH13" s="99">
        <f>-AH12*Assumptions!$J$5</f>
        <v>-1075.7755843169132</v>
      </c>
      <c r="AI13" s="99">
        <f>-AI12*Assumptions!$J$5</f>
        <v>-1077.9915058837005</v>
      </c>
      <c r="AJ13" s="99">
        <f>-AJ12*Assumptions!$J$5</f>
        <v>-1080.2119918861022</v>
      </c>
      <c r="AK13" s="99">
        <f>-AK12*Assumptions!$J$5</f>
        <v>-1082.4370517261082</v>
      </c>
      <c r="AL13" s="99">
        <f>-AL12*Assumptions!$J$5</f>
        <v>-1084.6666948250754</v>
      </c>
      <c r="AM13" s="99">
        <f>-AM12*Assumptions!$J$5</f>
        <v>-1086.900930623767</v>
      </c>
      <c r="AN13" s="95">
        <f>-AN12*Assumptions!$J$5</f>
        <v>-1089.1397685823915</v>
      </c>
      <c r="AO13" s="107">
        <f>-AO12*Assumptions!$J$5</f>
        <v>-1091.3832181806461</v>
      </c>
      <c r="AP13" s="103">
        <f t="shared" ref="AP13:AP16" si="76">SUM(AD13:AO13)</f>
        <v>-12953.940870285414</v>
      </c>
      <c r="AQ13" s="91">
        <f>-AQ12*Assumptions!$K$5</f>
        <v>-1089.2764903124998</v>
      </c>
      <c r="AR13" s="99">
        <f>-AR12*Assumptions!$K$5</f>
        <v>-1091.5202215351328</v>
      </c>
      <c r="AS13" s="99">
        <f>-AS12*Assumptions!$K$5</f>
        <v>-1091.5202215351328</v>
      </c>
      <c r="AT13" s="99">
        <f>-AT12*Assumptions!$K$5</f>
        <v>-1093.7685744767177</v>
      </c>
      <c r="AU13" s="99">
        <f>-AU12*Assumptions!$K$5</f>
        <v>-1096.0215586572392</v>
      </c>
      <c r="AV13" s="99">
        <f>-AV12*Assumptions!$K$5</f>
        <v>-1098.279183616291</v>
      </c>
      <c r="AW13" s="99">
        <f>-AW12*Assumptions!$K$5</f>
        <v>-1100.5414589131174</v>
      </c>
      <c r="AX13" s="99">
        <f>-AX12*Assumptions!$K$5</f>
        <v>-1102.8083941266523</v>
      </c>
      <c r="AY13" s="99">
        <f>-AY12*Assumptions!$K$5</f>
        <v>-1105.0799988555616</v>
      </c>
      <c r="AZ13" s="99">
        <f>-AZ12*Assumptions!$K$5</f>
        <v>-1107.356282718282</v>
      </c>
      <c r="BA13" s="95">
        <f>-BA12*Assumptions!$K$5</f>
        <v>-1109.6372553530634</v>
      </c>
      <c r="BB13" s="107">
        <f>-BB12*Assumptions!$K$5</f>
        <v>-1111.9229264180087</v>
      </c>
      <c r="BC13" s="103">
        <f t="shared" ref="BC13:BC16" si="77">SUM(AQ13:BB13)</f>
        <v>-13197.732566517698</v>
      </c>
      <c r="BD13" s="91">
        <f>-BD12*Assumptions!$L$5</f>
        <v>-1109.9009025703124</v>
      </c>
      <c r="BE13" s="99">
        <f>-BE12*Assumptions!$L$5</f>
        <v>-1111.7339941479818</v>
      </c>
      <c r="BF13" s="99">
        <f>-BF12*Assumptions!$L$5</f>
        <v>-1111.7339941479818</v>
      </c>
      <c r="BG13" s="99">
        <f>-BG12*Assumptions!$L$5</f>
        <v>-1113.5701132254258</v>
      </c>
      <c r="BH13" s="99">
        <f>-BH12*Assumptions!$L$5</f>
        <v>-1115.4092648028059</v>
      </c>
      <c r="BI13" s="99">
        <f>-BI12*Assumptions!$L$5</f>
        <v>-1117.2514538885428</v>
      </c>
      <c r="BJ13" s="99">
        <f>-BJ12*Assumptions!$L$5</f>
        <v>-1119.0966854993283</v>
      </c>
      <c r="BK13" s="99">
        <f>-BK12*Assumptions!$L$5</f>
        <v>-1120.9449646601397</v>
      </c>
      <c r="BL13" s="99">
        <f>-BL12*Assumptions!$L$5</f>
        <v>-1122.7962964042542</v>
      </c>
      <c r="BM13" s="99">
        <f>-BM12*Assumptions!$L$5</f>
        <v>-1124.6506857732606</v>
      </c>
      <c r="BN13" s="95">
        <f>-BN12*Assumptions!$L$5</f>
        <v>-1126.5081378170753</v>
      </c>
      <c r="BO13" s="107">
        <f>-BO12*Assumptions!$L$5</f>
        <v>-1128.368657593955</v>
      </c>
      <c r="BP13" s="103">
        <f t="shared" ref="BP13:BP16" si="78">SUM(BD13:BO13)</f>
        <v>-13421.965150531063</v>
      </c>
      <c r="BQ13" s="91">
        <f>-BQ12*Assumptions!$M$5</f>
        <v>-1126.8129206217186</v>
      </c>
      <c r="BR13" s="99">
        <f>-BR12*Assumptions!$M$5</f>
        <v>-1128.6739437721797</v>
      </c>
      <c r="BS13" s="99">
        <f>-BS12*Assumptions!$M$5</f>
        <v>-1128.6739437721797</v>
      </c>
      <c r="BT13" s="99">
        <f>-BT12*Assumptions!$M$5</f>
        <v>-1130.5380405536782</v>
      </c>
      <c r="BU13" s="99">
        <f>-BU12*Assumptions!$M$5</f>
        <v>-1132.4052160425661</v>
      </c>
      <c r="BV13" s="99">
        <f>-BV12*Assumptions!$M$5</f>
        <v>-1134.275475323579</v>
      </c>
      <c r="BW13" s="99">
        <f>-BW12*Assumptions!$M$5</f>
        <v>-1136.14882348985</v>
      </c>
      <c r="BX13" s="99">
        <f>-BX12*Assumptions!$M$5</f>
        <v>-1138.0252656429243</v>
      </c>
      <c r="BY13" s="99">
        <f>-BY12*Assumptions!$M$5</f>
        <v>-1139.9048068927732</v>
      </c>
      <c r="BZ13" s="99">
        <f>-BZ12*Assumptions!$M$5</f>
        <v>-1141.7874523578062</v>
      </c>
      <c r="CA13" s="95">
        <f>-CA12*Assumptions!$M$5</f>
        <v>-1143.6732071648873</v>
      </c>
      <c r="CB13" s="107">
        <f>-CB12*Assumptions!$M$5</f>
        <v>-1145.5620764493478</v>
      </c>
      <c r="CC13" s="103">
        <f t="shared" ref="CC13:CC16" si="79">SUM(BQ13:CB13)</f>
        <v>-13626.481172083491</v>
      </c>
      <c r="CD13" s="91">
        <f>-CD12*Assumptions!$N$5</f>
        <v>-1144.0631790341531</v>
      </c>
      <c r="CE13" s="95">
        <f>-CE12*Assumptions!$N$5</f>
        <v>-1145.9526923888614</v>
      </c>
      <c r="CF13" s="95">
        <f>-CF12*Assumptions!$N$5</f>
        <v>-1145.9526923888614</v>
      </c>
      <c r="CG13" s="95">
        <f>-CG12*Assumptions!$N$5</f>
        <v>-1147.8453264284958</v>
      </c>
      <c r="CH13" s="99">
        <f>-CH12*Assumptions!$N$5</f>
        <v>-1149.7410863071216</v>
      </c>
      <c r="CI13" s="99">
        <f>-CI12*Assumptions!$N$5</f>
        <v>-1151.6399771873159</v>
      </c>
      <c r="CJ13" s="99">
        <f>-CJ12*Assumptions!$N$5</f>
        <v>-1153.542004240182</v>
      </c>
      <c r="CK13" s="99">
        <f>-CK12*Assumptions!$N$5</f>
        <v>-1155.4471726453648</v>
      </c>
      <c r="CL13" s="99">
        <f>-CL12*Assumptions!$N$5</f>
        <v>-1157.3554875910625</v>
      </c>
      <c r="CM13" s="99">
        <f>-CM12*Assumptions!$N$5</f>
        <v>-1159.2669542740425</v>
      </c>
      <c r="CN13" s="95">
        <f>-CN12*Assumptions!$N$5</f>
        <v>-1161.1815778996554</v>
      </c>
      <c r="CO13" s="107">
        <f>-CO12*Assumptions!$N$5</f>
        <v>-1163.0993636818487</v>
      </c>
      <c r="CP13" s="103">
        <f t="shared" ref="CP13:CP16" si="80">SUM(CD13:CO13)</f>
        <v>-13835.087514066967</v>
      </c>
    </row>
    <row r="14" spans="2:94">
      <c r="B14" s="113" t="s">
        <v>47</v>
      </c>
      <c r="C14" s="383"/>
      <c r="D14" s="99">
        <f>-IF(D2&gt;C2,(D2-C2)*('Unit Mix'!$H$18*(1+Assumptions!$H$3)^('Monthly Cash Flow'!D6/12)),0)</f>
        <v>0</v>
      </c>
      <c r="E14" s="95">
        <f>-IF(E2&gt;D2,(E2-D2)*('Unit Mix'!$H$18*(1+Assumptions!$H$3)^('Monthly Cash Flow'!E6/12)),0)-(IF(AND(Assumptions!$C$54&gt;1,'Monthly Cash Flow'!D2&gt;'Monthly Cash Flow'!C2),(D2-C2)*('Unit Mix'!$H$18*(1+Assumptions!$H$3)^('Monthly Cash Flow'!E6/12)),0))*(Assumptions!$C$54-1)</f>
        <v>0</v>
      </c>
      <c r="F14" s="95">
        <f>-IF(F2&gt;E2,(F2-E2)*('Unit Mix'!$H$18*(1+Assumptions!$H$3)^('Monthly Cash Flow'!F6/12)),0)-(IF(AND(Assumptions!$C$54&gt;1,'Monthly Cash Flow'!E2&gt;'Monthly Cash Flow'!D2),(E2-D2)*('Unit Mix'!$H$18*(1+Assumptions!$H$3)^('Monthly Cash Flow'!F6/12)),0))*(Assumptions!$C$54-1)</f>
        <v>-2047.7346375994002</v>
      </c>
      <c r="G14" s="95">
        <f>-IF(G2&gt;F2,(G2-F2)*('Unit Mix'!$H$18*(1+Assumptions!$H$3)^('Monthly Cash Flow'!G6/12)),0)-(IF(AND(Assumptions!$C$54&gt;1,'Monthly Cash Flow'!F2&gt;'Monthly Cash Flow'!E2),(F2-E2)*('Unit Mix'!$H$18*(1+Assumptions!$H$3)^('Monthly Cash Flow'!G6/12)),0))*(Assumptions!$C$54-1)</f>
        <v>-4098.8666230587114</v>
      </c>
      <c r="H14" s="95">
        <f>-IF(H2&gt;G2,(H2-G2)*('Unit Mix'!$H$18*(1+Assumptions!$H$3)^('Monthly Cash Flow'!H6/12)),0)-(IF(AND(Assumptions!$C$54&gt;1,'Monthly Cash Flow'!G2&gt;'Monthly Cash Flow'!F2),(G2-F2)*('Unit Mix'!$H$18*(1+Assumptions!$H$3)^('Monthly Cash Flow'!H6/12)),0))*(Assumptions!$C$54-1)</f>
        <v>-4102.2667891481606</v>
      </c>
      <c r="I14" s="95">
        <f>-IF(I2&gt;H2,(I2-H2)*('Unit Mix'!$H$18*(1+Assumptions!$H$3)^('Monthly Cash Flow'!I6/12)),0)-(IF(AND(Assumptions!$C$54&gt;1,'Monthly Cash Flow'!H2&gt;'Monthly Cash Flow'!G2),(H2-G2)*('Unit Mix'!$H$18*(1+Assumptions!$H$3)^('Monthly Cash Flow'!I6/12)),0))*(Assumptions!$C$54-1)</f>
        <v>-4105.669775804975</v>
      </c>
      <c r="J14" s="95">
        <f>-IF(J2&gt;I2,(J2-I2)*('Unit Mix'!$H$18*(1+Assumptions!$H$3)^('Monthly Cash Flow'!J6/12)),0)-(IF(AND(Assumptions!$C$54&gt;1,'Monthly Cash Flow'!I2&gt;'Monthly Cash Flow'!H2),(I2-H2)*('Unit Mix'!$H$18*(1+Assumptions!$H$3)^('Monthly Cash Flow'!J6/12)),0))*(Assumptions!$C$54-1)</f>
        <v>-4109.0755853689252</v>
      </c>
      <c r="K14" s="95">
        <f>-IF(K2&gt;J2,(K2-J2)*('Unit Mix'!$H$18*(1+Assumptions!$H$3)^('Monthly Cash Flow'!K6/12)),0)-(IF(AND(Assumptions!$C$54&gt;1,'Monthly Cash Flow'!J2&gt;'Monthly Cash Flow'!I2),(J2-I2)*('Unit Mix'!$H$18*(1+Assumptions!$H$3)^('Monthly Cash Flow'!K6/12)),0))*(Assumptions!$C$54-1)</f>
        <v>-4112.4842201817182</v>
      </c>
      <c r="L14" s="95">
        <f>-IF(L2&gt;K2,(L2-K2)*('Unit Mix'!$H$18*(1+Assumptions!$H$3)^('Monthly Cash Flow'!L6/12)),0)-(IF(AND(Assumptions!$C$54&gt;1,'Monthly Cash Flow'!K2&gt;'Monthly Cash Flow'!J2),(K2-J2)*('Unit Mix'!$H$18*(1+Assumptions!$H$3)^('Monthly Cash Flow'!L6/12)),0))*(Assumptions!$C$54-1)</f>
        <v>-4115.8956825870064</v>
      </c>
      <c r="M14" s="95">
        <f>-IF(M2&gt;L2,(M2-L2)*('Unit Mix'!$H$18*(1+Assumptions!$H$3)^('Monthly Cash Flow'!M6/12)),0)-(IF(AND(Assumptions!$C$54&gt;1,'Monthly Cash Flow'!L2&gt;'Monthly Cash Flow'!K2),(L2-K2)*('Unit Mix'!$H$18*(1+Assumptions!$H$3)^('Monthly Cash Flow'!M6/12)),0))*(Assumptions!$C$54-1)</f>
        <v>-4119.3099749303856</v>
      </c>
      <c r="N14" s="95">
        <f>-IF(N2&gt;M2,(N2-M2)*('Unit Mix'!$H$18*(1+Assumptions!$H$3)^('Monthly Cash Flow'!N6/12)),0)-(IF(AND(Assumptions!$C$54&gt;1,'Monthly Cash Flow'!M2&gt;'Monthly Cash Flow'!L2),(M2-L2)*('Unit Mix'!$H$18*(1+Assumptions!$H$3)^('Monthly Cash Flow'!N6/12)),0))*(Assumptions!$C$54-1)</f>
        <v>-4122.7270995593963</v>
      </c>
      <c r="O14" s="95">
        <f>-IF(O2&gt;N2,(O2-N2)*('Unit Mix'!$H$18*(1+Assumptions!$H$3)^('Monthly Cash Flow'!O6/12)),0)-(IF(AND(Assumptions!$C$54&gt;1,'Monthly Cash Flow'!N2&gt;'Monthly Cash Flow'!M2),(N2-M2)*('Unit Mix'!$H$18*(1+Assumptions!$H$3)^('Monthly Cash Flow'!O6/12)),0))*(Assumptions!$C$54-1)</f>
        <v>-4126.1470588235297</v>
      </c>
      <c r="P14" s="103">
        <f t="shared" si="74"/>
        <v>-39060.177447062211</v>
      </c>
      <c r="Q14" s="464">
        <f>-IF(Q2&gt;O2,(Q2-O2)*('Unit Mix'!$H$18*(1+Assumptions!$H$3)*(1+Assumptions!$I$3)^(('Monthly Cash Flow'!Q6-12)/12)),0)-(IF(AND(Assumptions!$C$54&gt;1,'Monthly Cash Flow'!Q2&gt;'Monthly Cash Flow'!O2),(Q2-O2)*('Unit Mix'!$H$18*(1+Assumptions!$H$3)^('Monthly Cash Flow'!O6/12)),0))*(Assumptions!$C$54-1)</f>
        <v>-4130.3966525067644</v>
      </c>
      <c r="R14" s="91">
        <f>-IF(R2&gt;Q2,(R2-Q2)*('Unit Mix'!$H$18*(1+Assumptions!$H$3)*(1+Assumptions!$I$3)^(('Monthly Cash Flow'!R6-12)/12)),0)-(IF(AND(Assumptions!$C$54&gt;1,'Monthly Cash Flow'!R2&gt;'Monthly Cash Flow'!Q2),(R2-Q2)*('Unit Mix'!$H$18*(1+Assumptions!$H$3)^('Monthly Cash Flow'!Q6/12)),0))*(Assumptions!$C$54-1)</f>
        <v>-4136.3663977825472</v>
      </c>
      <c r="S14" s="99">
        <f>-IF(S2&gt;R2,(S2-R2)*('Unit Mix'!$H$18*(1+Assumptions!$H$3)*(1+Assumptions!$I$3)^(('Monthly Cash Flow'!S6-12)/12)),0)-(IF(AND(Assumptions!$C$54&gt;1,'Monthly Cash Flow'!S2&gt;'Monthly Cash Flow'!R2),(S2-R2)*('Unit Mix'!$H$18*(1+Assumptions!$H$3)^('Monthly Cash Flow'!R6/12)),0))*(Assumptions!$C$54-1)</f>
        <v>-4142.346334226213</v>
      </c>
      <c r="T14" s="99">
        <f>-IF(T2&gt;S2,(T2-S2)*('Unit Mix'!$H$18*(1+Assumptions!$H$3)*(1+Assumptions!$I$3)^(('Monthly Cash Flow'!T6-12)/12)),0)-(IF(AND(Assumptions!$C$54&gt;1,'Monthly Cash Flow'!T2&gt;'Monthly Cash Flow'!S2),(T2-S2)*('Unit Mix'!$H$18*(1+Assumptions!$H$3)^('Monthly Cash Flow'!S6/12)),0))*(Assumptions!$C$54-1)</f>
        <v>-4148.3364810832809</v>
      </c>
      <c r="U14" s="99">
        <f>-IF(U2&gt;T2,(U2-T2)*('Unit Mix'!$H$18*(1+Assumptions!$H$3)*(1+Assumptions!$I$3)^(('Monthly Cash Flow'!U6-12)/12)),0)-(IF(AND(Assumptions!$C$54&gt;1,'Monthly Cash Flow'!U2&gt;'Monthly Cash Flow'!T2),(U2-T2)*('Unit Mix'!$H$18*(1+Assumptions!$H$3)^('Monthly Cash Flow'!T6/12)),0))*(Assumptions!$C$54-1)</f>
        <v>-4154.3368576374687</v>
      </c>
      <c r="V14" s="464">
        <f>-IF(V2&gt;T2,(V2-T2)*('Unit Mix'!$H$18*(1+Assumptions!$H$3)*(1+Assumptions!$I$3)^(('Monthly Cash Flow'!V6-12)/12)),0)-(IF(AND(Assumptions!$C$54&gt;1,'Monthly Cash Flow'!V2&gt;'Monthly Cash Flow'!T2),(V2-T2)*('Unit Mix'!$H$18*(1+Assumptions!$H$3)^('Monthly Cash Flow'!T6/12)),0))*(Assumptions!$C$54-1)</f>
        <v>-8317.2607986711701</v>
      </c>
      <c r="W14" s="91">
        <f>-IF(W2&gt;V2,(W2-V2)*('Unit Mix'!$H$18*(1+Assumptions!$H$3)*(1+Assumptions!$I$3)^(('Monthly Cash Flow'!W6-12)/12)),0)-(IF(AND(Assumptions!$C$54&gt;1,'Monthly Cash Flow'!W2&gt;'Monthly Cash Flow'!V2),(W2-V2)*('Unit Mix'!$H$18*(1+Assumptions!$H$3)^('Monthly Cash Flow'!V6/12)),0))*(Assumptions!$C$54-1)</f>
        <v>-4166.3683771634815</v>
      </c>
      <c r="X14" s="99">
        <f>-IF(X2&gt;W2,(X2-W2)*('Unit Mix'!$H$18*(1+Assumptions!$H$3)*(1+Assumptions!$I$3)^(('Monthly Cash Flow'!X6-12)/12)),0)-(IF(AND(Assumptions!$C$54&gt;1,'Monthly Cash Flow'!X2&gt;'Monthly Cash Flow'!W2),(X2-W2)*('Unit Mix'!$H$18*(1+Assumptions!$H$3)^('Monthly Cash Flow'!W6/12)),0))*(Assumptions!$C$54-1)</f>
        <v>0</v>
      </c>
      <c r="Y14" s="99">
        <f>-IF(Y2&gt;X2,(Y2-X2)*('Unit Mix'!$H$18*(1+Assumptions!$H$3)*(1+Assumptions!$I$3)^(('Monthly Cash Flow'!Y6-12)/12)),0)-(IF(AND(Assumptions!$C$54&gt;1,'Monthly Cash Flow'!Y2&gt;'Monthly Cash Flow'!X2),(Y2-X2)*('Unit Mix'!$H$18*(1+Assumptions!$H$3)^('Monthly Cash Flow'!X6/12)),0))*(Assumptions!$C$54-1)</f>
        <v>0</v>
      </c>
      <c r="Z14" s="99">
        <f>-IF(Z2&gt;Y2,(Z2-Y2)*('Unit Mix'!$H$18*(1+Assumptions!$H$3)*(1+Assumptions!$I$3)^(('Monthly Cash Flow'!Z6-12)/12)),0)-(IF(AND(Assumptions!$C$54&gt;1,'Monthly Cash Flow'!Z2&gt;'Monthly Cash Flow'!Y2),(Z2-Y2)*('Unit Mix'!$H$18*(1+Assumptions!$H$3)^('Monthly Cash Flow'!Y6/12)),0))*(Assumptions!$C$54-1)</f>
        <v>0</v>
      </c>
      <c r="AA14" s="464">
        <f>-IF(AA2&gt;Y2,(AA2-Y2)*('Unit Mix'!$H$18*(1+Assumptions!$H$3)*(1+Assumptions!$I$3)^(('Monthly Cash Flow'!AA6-12)/12)),0)-(IF(AND(Assumptions!$C$54&gt;1,'Monthly Cash Flow'!AA2&gt;'Monthly Cash Flow'!Y2),(AA2-Y2)*('Unit Mix'!$H$18*(1+Assumptions!$H$3)^('Monthly Cash Flow'!Y6/12)),0))*(Assumptions!$C$54-1)</f>
        <v>0</v>
      </c>
      <c r="AB14" s="91">
        <f>-IF(AB2&gt;AA2,(AB2-AA2)*('Unit Mix'!$H$18*(1+Assumptions!$H$3)*(1+Assumptions!$I$3)^(('Monthly Cash Flow'!AB6-12)/12)),0)-(IF(AND(Assumptions!$C$54&gt;1,'Monthly Cash Flow'!AB2&gt;'Monthly Cash Flow'!AA2),(AB2-AA2)*('Unit Mix'!$H$18*(1+Assumptions!$H$3)^('Monthly Cash Flow'!AA6/12)),0))*(Assumptions!$C$54-1)</f>
        <v>0</v>
      </c>
      <c r="AC14" s="103">
        <f t="shared" si="75"/>
        <v>-33195.411899070925</v>
      </c>
      <c r="AD14" s="464">
        <f>-IF(AD2&gt;AB2,(AD2-AB2)*('Unit Mix'!$H$18*(1+Assumptions!$H$3)*(1+Assumptions!$I$3)^(('Monthly Cash Flow'!AD6-12)/12)),0)-(IF(AND(Assumptions!$C$54&gt;1,'Monthly Cash Flow'!AD2&gt;'Monthly Cash Flow'!AB2),(AD2-AB2)*('Unit Mix'!$H$18*(1+Assumptions!$H$3)^('Monthly Cash Flow'!AB6/12)),0))*(Assumptions!$C$54-1)</f>
        <v>0</v>
      </c>
      <c r="AE14" s="91">
        <f>-IF(AE2&gt;AD2,(AE2-AD2)*('Unit Mix'!$H$18*(1+Assumptions!$H$3)*(1+Assumptions!$I$3)^(('Monthly Cash Flow'!AE6-12)/12)),0)-(IF(AND(Assumptions!$C$54&gt;1,'Monthly Cash Flow'!AE2&gt;'Monthly Cash Flow'!AD2),(AE2-AD2)*('Unit Mix'!$H$18*(1+Assumptions!$H$3)^('Monthly Cash Flow'!AD6/12)),0))*(Assumptions!$C$54-1)</f>
        <v>0</v>
      </c>
      <c r="AF14" s="99">
        <f>-IF(AF2&gt;AE2,(AF2-AE2)*('Unit Mix'!$H$18*(1+Assumptions!$H$3)*(1+Assumptions!$I$3)^(('Monthly Cash Flow'!AF6-12)/12)),0)-(IF(AND(Assumptions!$C$54&gt;1,'Monthly Cash Flow'!AF2&gt;'Monthly Cash Flow'!AE2),(AF2-AE2)*('Unit Mix'!$H$18*(1+Assumptions!$H$3)^('Monthly Cash Flow'!AE6/12)),0))*(Assumptions!$C$54-1)</f>
        <v>0</v>
      </c>
      <c r="AG14" s="99">
        <f>-IF(AG2&gt;AF2,(AG2-AF2)*('Unit Mix'!$H$18*(1+Assumptions!$H$3)*(1+Assumptions!$I$3)^(('Monthly Cash Flow'!AG6-12)/12)),0)-(IF(AND(Assumptions!$C$54&gt;1,'Monthly Cash Flow'!AG2&gt;'Monthly Cash Flow'!AF2),(AG2-AF2)*('Unit Mix'!$H$18*(1+Assumptions!$H$3)^('Monthly Cash Flow'!AF6/12)),0))*(Assumptions!$C$54-1)</f>
        <v>0</v>
      </c>
      <c r="AH14" s="99">
        <f>-IF(AH2&gt;AG2,(AH2-AG2)*('Unit Mix'!$H$18*(1+Assumptions!$H$3)*(1+Assumptions!$I$3)^(('Monthly Cash Flow'!AH6-12)/12)),0)-(IF(AND(Assumptions!$C$54&gt;1,'Monthly Cash Flow'!AH2&gt;'Monthly Cash Flow'!AG2),(AH2-AG2)*('Unit Mix'!$H$18*(1+Assumptions!$H$3)^('Monthly Cash Flow'!AG6/12)),0))*(Assumptions!$C$54-1)</f>
        <v>0</v>
      </c>
      <c r="AI14" s="464">
        <f>-IF(AI2&gt;AG2,(AI2-AG2)*('Unit Mix'!$H$18*(1+Assumptions!$H$3)*(1+Assumptions!$I$3)^(('Monthly Cash Flow'!AI6-12)/12)),0)-(IF(AND(Assumptions!$C$54&gt;1,'Monthly Cash Flow'!AI2&gt;'Monthly Cash Flow'!AG2),(AI2-AG2)*('Unit Mix'!$H$18*(1+Assumptions!$H$3)^('Monthly Cash Flow'!AG6/12)),0))*(Assumptions!$C$54-1)</f>
        <v>0</v>
      </c>
      <c r="AJ14" s="91">
        <f>-IF(AJ2&gt;AI2,(AJ2-AI2)*('Unit Mix'!$H$18*(1+Assumptions!$H$3)*(1+Assumptions!$I$3)^(('Monthly Cash Flow'!AJ6-12)/12)),0)-(IF(AND(Assumptions!$C$54&gt;1,'Monthly Cash Flow'!AJ2&gt;'Monthly Cash Flow'!AI2),(AJ2-AI2)*('Unit Mix'!$H$18*(1+Assumptions!$H$3)^('Monthly Cash Flow'!AI6/12)),0))*(Assumptions!$C$54-1)</f>
        <v>0</v>
      </c>
      <c r="AK14" s="464">
        <f>-IF(AK2&gt;AI2,(AK2-AI2)*('Unit Mix'!$H$18*(1+Assumptions!$H$3)*(1+Assumptions!$I$3)^(('Monthly Cash Flow'!AK6-12)/12)),0)-(IF(AND(Assumptions!$C$54&gt;1,'Monthly Cash Flow'!AK2&gt;'Monthly Cash Flow'!AI2),(AK2-AI2)*('Unit Mix'!$H$18*(1+Assumptions!$H$3)^('Monthly Cash Flow'!AI6/12)),0))*(Assumptions!$C$54-1)</f>
        <v>0</v>
      </c>
      <c r="AL14" s="91">
        <f>-IF(AL2&gt;AK2,(AL2-AK2)*('Unit Mix'!$H$18*(1+Assumptions!$H$3)*(1+Assumptions!$I$3)^(('Monthly Cash Flow'!AL6-12)/12)),0)-(IF(AND(Assumptions!$C$54&gt;1,'Monthly Cash Flow'!AL2&gt;'Monthly Cash Flow'!AK2),(AL2-AK2)*('Unit Mix'!$H$18*(1+Assumptions!$H$3)^('Monthly Cash Flow'!AK6/12)),0))*(Assumptions!$C$54-1)</f>
        <v>0</v>
      </c>
      <c r="AM14" s="99">
        <f>-IF(AM2&gt;AL2,(AM2-AL2)*('Unit Mix'!$H$18*(1+Assumptions!$H$3)*(1+Assumptions!$I$3)^(('Monthly Cash Flow'!AM6-12)/12)),0)-(IF(AND(Assumptions!$C$54&gt;1,'Monthly Cash Flow'!AM2&gt;'Monthly Cash Flow'!AL2),(AM2-AL2)*('Unit Mix'!$H$18*(1+Assumptions!$H$3)^('Monthly Cash Flow'!AL6/12)),0))*(Assumptions!$C$54-1)</f>
        <v>0</v>
      </c>
      <c r="AN14" s="99">
        <f>-IF(AN2&gt;AM2,(AN2-AM2)*('Unit Mix'!$H$18*(1+Assumptions!$H$3)*(1+Assumptions!$I$3)^(('Monthly Cash Flow'!AN6-12)/12)),0)-(IF(AND(Assumptions!$C$54&gt;1,'Monthly Cash Flow'!AN2&gt;'Monthly Cash Flow'!AM2),(AN2-AM2)*('Unit Mix'!$H$18*(1+Assumptions!$H$3)^('Monthly Cash Flow'!AM6/12)),0))*(Assumptions!$C$54-1)</f>
        <v>0</v>
      </c>
      <c r="AO14" s="99">
        <f>-IF(AO2&gt;AN2,(AO2-AN2)*('Unit Mix'!$H$18*(1+Assumptions!$H$3)*(1+Assumptions!$I$3)^(('Monthly Cash Flow'!AO6-12)/12)),0)-(IF(AND(Assumptions!$C$54&gt;1,'Monthly Cash Flow'!AO2&gt;'Monthly Cash Flow'!AN2),(AO2-AN2)*('Unit Mix'!$H$18*(1+Assumptions!$H$3)^('Monthly Cash Flow'!AN6/12)),0))*(Assumptions!$C$54-1)</f>
        <v>0</v>
      </c>
      <c r="AP14" s="103">
        <f t="shared" si="76"/>
        <v>0</v>
      </c>
      <c r="AQ14" s="464">
        <f>-IF(AQ2&gt;AO2,(AQ2-AO2)*('Unit Mix'!$H$18*(1+Assumptions!$H$3)*(1+Assumptions!$I$3)^(('Monthly Cash Flow'!AQ6-12)/12)),0)-(IF(AND(Assumptions!$C$54&gt;1,'Monthly Cash Flow'!AQ2&gt;'Monthly Cash Flow'!AO2),(AQ2-AO2)*('Unit Mix'!$H$18*(1+Assumptions!$H$3)^('Monthly Cash Flow'!AO6/12)),0))*(Assumptions!$C$54-1)</f>
        <v>0</v>
      </c>
      <c r="AR14" s="91">
        <f>-IF(AR2&gt;AQ2,(AR2-AQ2)*('Unit Mix'!$H$18*(1+Assumptions!$H$3)*(1+Assumptions!$I$3)^(('Monthly Cash Flow'!AR6-12)/12)),0)-(IF(AND(Assumptions!$C$54&gt;1,'Monthly Cash Flow'!AR2&gt;'Monthly Cash Flow'!AQ2),(AR2-AQ2)*('Unit Mix'!$H$18*(1+Assumptions!$H$3)^('Monthly Cash Flow'!AQ6/12)),0))*(Assumptions!$C$54-1)</f>
        <v>0</v>
      </c>
      <c r="AS14" s="99">
        <f>-IF(AS2&gt;AR2,(AS2-AR2)*('Unit Mix'!$H$18*(1+Assumptions!$H$3)*(1+Assumptions!$I$3)^(('Monthly Cash Flow'!AS6-12)/12)),0)-(IF(AND(Assumptions!$C$54&gt;1,'Monthly Cash Flow'!AS2&gt;'Monthly Cash Flow'!AR2),(AS2-AR2)*('Unit Mix'!$H$18*(1+Assumptions!$H$3)^('Monthly Cash Flow'!AR6/12)),0))*(Assumptions!$C$54-1)</f>
        <v>0</v>
      </c>
      <c r="AT14" s="99">
        <f>-IF(AT2&gt;AS2,(AT2-AS2)*('Unit Mix'!$H$18*(1+Assumptions!$H$3)*(1+Assumptions!$I$3)^(('Monthly Cash Flow'!AT6-12)/12)),0)-(IF(AND(Assumptions!$C$54&gt;1,'Monthly Cash Flow'!AT2&gt;'Monthly Cash Flow'!AS2),(AT2-AS2)*('Unit Mix'!$H$18*(1+Assumptions!$H$3)^('Monthly Cash Flow'!AS6/12)),0))*(Assumptions!$C$54-1)</f>
        <v>0</v>
      </c>
      <c r="AU14" s="99">
        <f>-IF(AU2&gt;AT2,(AU2-AT2)*('Unit Mix'!$H$18*(1+Assumptions!$H$3)*(1+Assumptions!$I$3)^(('Monthly Cash Flow'!AU6-12)/12)),0)-(IF(AND(Assumptions!$C$54&gt;1,'Monthly Cash Flow'!AU2&gt;'Monthly Cash Flow'!AT2),(AU2-AT2)*('Unit Mix'!$H$18*(1+Assumptions!$H$3)^('Monthly Cash Flow'!AT6/12)),0))*(Assumptions!$C$54-1)</f>
        <v>0</v>
      </c>
      <c r="AV14" s="464">
        <f>-IF(AV2&gt;AT2,(AV2-AT2)*('Unit Mix'!$H$18*(1+Assumptions!$H$3)*(1+Assumptions!$I$3)^(('Monthly Cash Flow'!AV6-12)/12)),0)-(IF(AND(Assumptions!$C$54&gt;1,'Monthly Cash Flow'!AV2&gt;'Monthly Cash Flow'!AT2),(AV2-AT2)*('Unit Mix'!$H$18*(1+Assumptions!$H$3)^('Monthly Cash Flow'!AT6/12)),0))*(Assumptions!$C$54-1)</f>
        <v>0</v>
      </c>
      <c r="AW14" s="91">
        <f>-IF(AW2&gt;AV2,(AW2-AV2)*('Unit Mix'!$H$18*(1+Assumptions!$H$3)*(1+Assumptions!$I$3)^(('Monthly Cash Flow'!AW6-12)/12)),0)-(IF(AND(Assumptions!$C$54&gt;1,'Monthly Cash Flow'!AW2&gt;'Monthly Cash Flow'!AV2),(AW2-AV2)*('Unit Mix'!$H$18*(1+Assumptions!$H$3)^('Monthly Cash Flow'!AV6/12)),0))*(Assumptions!$C$54-1)</f>
        <v>0</v>
      </c>
      <c r="AX14" s="464">
        <f>-IF(AX2&gt;AV2,(AX2-AV2)*('Unit Mix'!$H$18*(1+Assumptions!$H$3)*(1+Assumptions!$I$3)^(('Monthly Cash Flow'!AX6-12)/12)),0)-(IF(AND(Assumptions!$C$54&gt;1,'Monthly Cash Flow'!AX2&gt;'Monthly Cash Flow'!AV2),(AX2-AV2)*('Unit Mix'!$H$18*(1+Assumptions!$H$3)^('Monthly Cash Flow'!AV6/12)),0))*(Assumptions!$C$54-1)</f>
        <v>0</v>
      </c>
      <c r="AY14" s="91">
        <f>-IF(AY2&gt;AX2,(AY2-AX2)*('Unit Mix'!$H$18*(1+Assumptions!$H$3)*(1+Assumptions!$I$3)^(('Monthly Cash Flow'!AY6-12)/12)),0)-(IF(AND(Assumptions!$C$54&gt;1,'Monthly Cash Flow'!AY2&gt;'Monthly Cash Flow'!AX2),(AY2-AX2)*('Unit Mix'!$H$18*(1+Assumptions!$H$3)^('Monthly Cash Flow'!AX6/12)),0))*(Assumptions!$C$54-1)</f>
        <v>0</v>
      </c>
      <c r="AZ14" s="99">
        <f>-IF(AZ2&gt;AY2,(AZ2-AY2)*('Unit Mix'!$H$18*(1+Assumptions!$H$3)*(1+Assumptions!$I$3)^(('Monthly Cash Flow'!AZ6-12)/12)),0)-(IF(AND(Assumptions!$C$54&gt;1,'Monthly Cash Flow'!AZ2&gt;'Monthly Cash Flow'!AY2),(AZ2-AY2)*('Unit Mix'!$H$18*(1+Assumptions!$H$3)^('Monthly Cash Flow'!AY6/12)),0))*(Assumptions!$C$54-1)</f>
        <v>0</v>
      </c>
      <c r="BA14" s="99">
        <f>-IF(BA2&gt;AZ2,(BA2-AZ2)*('Unit Mix'!$H$18*(1+Assumptions!$H$3)*(1+Assumptions!$I$3)^(('Monthly Cash Flow'!BA6-12)/12)),0)-(IF(AND(Assumptions!$C$54&gt;1,'Monthly Cash Flow'!BA2&gt;'Monthly Cash Flow'!AZ2),(BA2-AZ2)*('Unit Mix'!$H$18*(1+Assumptions!$H$3)^('Monthly Cash Flow'!AZ6/12)),0))*(Assumptions!$C$54-1)</f>
        <v>0</v>
      </c>
      <c r="BB14" s="99">
        <f>-IF(BB2&gt;BA2,(BB2-BA2)*('Unit Mix'!$H$18*(1+Assumptions!$H$3)*(1+Assumptions!$I$3)^(('Monthly Cash Flow'!BB6-12)/12)),0)-(IF(AND(Assumptions!$C$54&gt;1,'Monthly Cash Flow'!BB2&gt;'Monthly Cash Flow'!BA2),(BB2-BA2)*('Unit Mix'!$H$18*(1+Assumptions!$H$3)^('Monthly Cash Flow'!BA6/12)),0))*(Assumptions!$C$54-1)</f>
        <v>0</v>
      </c>
      <c r="BC14" s="103">
        <f t="shared" si="77"/>
        <v>0</v>
      </c>
      <c r="BD14" s="464">
        <f>-IF(BD2&gt;BB2,(BD2-BB2)*('Unit Mix'!$H$18*(1+Assumptions!$H$3)*(1+Assumptions!$I$3)^(('Monthly Cash Flow'!BD6-12)/12)),0)-(IF(AND(Assumptions!$C$54&gt;1,'Monthly Cash Flow'!BD2&gt;'Monthly Cash Flow'!BB2),(BD2-BB2)*('Unit Mix'!$H$18*(1+Assumptions!$H$3)^('Monthly Cash Flow'!BB6/12)),0))*(Assumptions!$C$54-1)</f>
        <v>0</v>
      </c>
      <c r="BE14" s="91">
        <f>-IF(BE2&gt;BD2,(BE2-BD2)*('Unit Mix'!$H$18*(1+Assumptions!$H$3)*(1+Assumptions!$I$3)^(('Monthly Cash Flow'!BE6-12)/12)),0)-(IF(AND(Assumptions!$C$54&gt;1,'Monthly Cash Flow'!BE2&gt;'Monthly Cash Flow'!BD2),(BE2-BD2)*('Unit Mix'!$H$18*(1+Assumptions!$H$3)^('Monthly Cash Flow'!BD6/12)),0))*(Assumptions!$C$54-1)</f>
        <v>0</v>
      </c>
      <c r="BF14" s="99">
        <f>-IF(BF2&gt;BE2,(BF2-BE2)*('Unit Mix'!$H$18*(1+Assumptions!$H$3)*(1+Assumptions!$I$3)^(('Monthly Cash Flow'!BF6-12)/12)),0)-(IF(AND(Assumptions!$C$54&gt;1,'Monthly Cash Flow'!BF2&gt;'Monthly Cash Flow'!BE2),(BF2-BE2)*('Unit Mix'!$H$18*(1+Assumptions!$H$3)^('Monthly Cash Flow'!BE6/12)),0))*(Assumptions!$C$54-1)</f>
        <v>0</v>
      </c>
      <c r="BG14" s="99">
        <f>-IF(BG2&gt;BF2,(BG2-BF2)*('Unit Mix'!$H$18*(1+Assumptions!$H$3)*(1+Assumptions!$I$3)^(('Monthly Cash Flow'!BG6-12)/12)),0)-(IF(AND(Assumptions!$C$54&gt;1,'Monthly Cash Flow'!BG2&gt;'Monthly Cash Flow'!BF2),(BG2-BF2)*('Unit Mix'!$H$18*(1+Assumptions!$H$3)^('Monthly Cash Flow'!BF6/12)),0))*(Assumptions!$C$54-1)</f>
        <v>0</v>
      </c>
      <c r="BH14" s="99">
        <f>-IF(BH2&gt;BG2,(BH2-BG2)*('Unit Mix'!$H$18*(1+Assumptions!$H$3)*(1+Assumptions!$I$3)^(('Monthly Cash Flow'!BH6-12)/12)),0)-(IF(AND(Assumptions!$C$54&gt;1,'Monthly Cash Flow'!BH2&gt;'Monthly Cash Flow'!BG2),(BH2-BG2)*('Unit Mix'!$H$18*(1+Assumptions!$H$3)^('Monthly Cash Flow'!BG6/12)),0))*(Assumptions!$C$54-1)</f>
        <v>0</v>
      </c>
      <c r="BI14" s="99">
        <f>-IF(BI2&gt;BH2,(BI2-BH2)*('Unit Mix'!$H$18*(1+Assumptions!$H$3)*(1+Assumptions!$I$3)^(('Monthly Cash Flow'!BI6-12)/12)),0)-(IF(AND(Assumptions!$C$54&gt;1,'Monthly Cash Flow'!BI2&gt;'Monthly Cash Flow'!BH2),(BI2-BH2)*('Unit Mix'!$H$18*(1+Assumptions!$H$3)^('Monthly Cash Flow'!BH6/12)),0))*(Assumptions!$C$54-1)</f>
        <v>0</v>
      </c>
      <c r="BJ14" s="99">
        <f>-IF(BJ2&gt;BI2,(BJ2-BI2)*('Unit Mix'!$H$18*(1+Assumptions!$H$3)*(1+Assumptions!$I$3)^(('Monthly Cash Flow'!BJ6-12)/12)),0)-(IF(AND(Assumptions!$C$54&gt;1,'Monthly Cash Flow'!BJ2&gt;'Monthly Cash Flow'!BI2),(BJ2-BI2)*('Unit Mix'!$H$18*(1+Assumptions!$H$3)^('Monthly Cash Flow'!BI6/12)),0))*(Assumptions!$C$54-1)</f>
        <v>0</v>
      </c>
      <c r="BK14" s="99">
        <f>-IF(BK2&gt;BJ2,(BK2-BJ2)*('Unit Mix'!$H$18*(1+Assumptions!$H$3)*(1+Assumptions!$I$3)^(('Monthly Cash Flow'!BK6-12)/12)),0)-(IF(AND(Assumptions!$C$54&gt;1,'Monthly Cash Flow'!BK2&gt;'Monthly Cash Flow'!BJ2),(BK2-BJ2)*('Unit Mix'!$H$18*(1+Assumptions!$H$3)^('Monthly Cash Flow'!BJ6/12)),0))*(Assumptions!$C$54-1)</f>
        <v>0</v>
      </c>
      <c r="BL14" s="99">
        <f>-IF(BL2&gt;BK2,(BL2-BK2)*('Unit Mix'!$H$18*(1+Assumptions!$H$3)*(1+Assumptions!$I$3)^(('Monthly Cash Flow'!BL6-12)/12)),0)-(IF(AND(Assumptions!$C$54&gt;1,'Monthly Cash Flow'!BL2&gt;'Monthly Cash Flow'!BK2),(BL2-BK2)*('Unit Mix'!$H$18*(1+Assumptions!$H$3)^('Monthly Cash Flow'!BK6/12)),0))*(Assumptions!$C$54-1)</f>
        <v>0</v>
      </c>
      <c r="BM14" s="99">
        <f>-IF(BM2&gt;BL2,(BM2-BL2)*('Unit Mix'!$H$18*(1+Assumptions!$H$3)*(1+Assumptions!$I$3)^(('Monthly Cash Flow'!BM6-12)/12)),0)-(IF(AND(Assumptions!$C$54&gt;1,'Monthly Cash Flow'!BM2&gt;'Monthly Cash Flow'!BL2),(BM2-BL2)*('Unit Mix'!$H$18*(1+Assumptions!$H$3)^('Monthly Cash Flow'!BL6/12)),0))*(Assumptions!$C$54-1)</f>
        <v>0</v>
      </c>
      <c r="BN14" s="95">
        <f>-IF(BN2&gt;BM2,(BN2-BM2)*('Unit Mix'!$H$18*(1+Assumptions!$H$3)*(1+Assumptions!$I$3)^(('Monthly Cash Flow'!BN6-12)/12)),0)-(IF(AND(Assumptions!$C$54&gt;1,'Monthly Cash Flow'!BN2&gt;'Monthly Cash Flow'!BM2),(BN2-BM2)*('Unit Mix'!$H$18*(1+Assumptions!$H$3)^('Monthly Cash Flow'!BM6/12)),0))*(Assumptions!$C$54-1)</f>
        <v>0</v>
      </c>
      <c r="BO14" s="107">
        <f>-IF(BO2&gt;BN2,(BO2-BN2)*('Unit Mix'!$H$18*(1+Assumptions!$H$3)*(1+Assumptions!$I$3)^(('Monthly Cash Flow'!BO6-12)/12)),0)-(IF(AND(Assumptions!$C$54&gt;1,'Monthly Cash Flow'!BO2&gt;'Monthly Cash Flow'!BN2),(BO2-BN2)*('Unit Mix'!$H$18*(1+Assumptions!$H$3)^('Monthly Cash Flow'!BN6/12)),0))*(Assumptions!$C$54-1)</f>
        <v>0</v>
      </c>
      <c r="BP14" s="103">
        <f t="shared" si="78"/>
        <v>0</v>
      </c>
      <c r="BQ14" s="464">
        <f>-IF(BQ2&gt;BO2,(BQ2-BO2)*('Unit Mix'!$H$18*(1+Assumptions!$H$3)*(1+Assumptions!$I$3)^(('Monthly Cash Flow'!BQ6-12)/12)),0)-(IF(AND(Assumptions!$C$54&gt;1,'Monthly Cash Flow'!BQ2&gt;'Monthly Cash Flow'!BO2),(BQ2-BO2)*('Unit Mix'!$H$18*(1+Assumptions!$H$3)^('Monthly Cash Flow'!BO6/12)),0))*(Assumptions!$C$54-1)</f>
        <v>0</v>
      </c>
      <c r="BR14" s="91">
        <f>-IF(BR2&gt;BQ2,(BR2-BQ2)*('Unit Mix'!$H$18*(1+Assumptions!$H$3)*(1+Assumptions!$I$3)^(('Monthly Cash Flow'!BR6-12)/12)),0)-(IF(AND(Assumptions!$C$54&gt;1,'Monthly Cash Flow'!BR2&gt;'Monthly Cash Flow'!BQ2),(BR2-BQ2)*('Unit Mix'!$H$18*(1+Assumptions!$H$3)^('Monthly Cash Flow'!BQ6/12)),0))*(Assumptions!$C$54-1)</f>
        <v>0</v>
      </c>
      <c r="BS14" s="99">
        <f>-IF(BS2&gt;BR2,(BS2-BR2)*('Unit Mix'!$H$18*(1+Assumptions!$H$3)*(1+Assumptions!$I$3)^(('Monthly Cash Flow'!BS6-12)/12)),0)-(IF(AND(Assumptions!$C$54&gt;1,'Monthly Cash Flow'!BS2&gt;'Monthly Cash Flow'!BR2),(BS2-BR2)*('Unit Mix'!$H$18*(1+Assumptions!$H$3)^('Monthly Cash Flow'!BR6/12)),0))*(Assumptions!$C$54-1)</f>
        <v>0</v>
      </c>
      <c r="BT14" s="99">
        <f>-IF(BT2&gt;BS2,(BT2-BS2)*('Unit Mix'!$H$18*(1+Assumptions!$H$3)*(1+Assumptions!$I$3)^(('Monthly Cash Flow'!BT6-12)/12)),0)-(IF(AND(Assumptions!$C$54&gt;1,'Monthly Cash Flow'!BT2&gt;'Monthly Cash Flow'!BS2),(BT2-BS2)*('Unit Mix'!$H$18*(1+Assumptions!$H$3)^('Monthly Cash Flow'!BS6/12)),0))*(Assumptions!$C$54-1)</f>
        <v>0</v>
      </c>
      <c r="BU14" s="99">
        <f>-IF(BU2&gt;BT2,(BU2-BT2)*('Unit Mix'!$H$18*(1+Assumptions!$H$3)*(1+Assumptions!$I$3)^(('Monthly Cash Flow'!BU6-12)/12)),0)-(IF(AND(Assumptions!$C$54&gt;1,'Monthly Cash Flow'!BU2&gt;'Monthly Cash Flow'!BT2),(BU2-BT2)*('Unit Mix'!$H$18*(1+Assumptions!$H$3)^('Monthly Cash Flow'!BT6/12)),0))*(Assumptions!$C$54-1)</f>
        <v>0</v>
      </c>
      <c r="BV14" s="99">
        <f>-IF(BV2&gt;BU2,(BV2-BU2)*('Unit Mix'!$H$18*(1+Assumptions!$H$3)*(1+Assumptions!$I$3)^(('Monthly Cash Flow'!BV6-12)/12)),0)-(IF(AND(Assumptions!$C$54&gt;1,'Monthly Cash Flow'!BV2&gt;'Monthly Cash Flow'!BU2),(BV2-BU2)*('Unit Mix'!$H$18*(1+Assumptions!$H$3)^('Monthly Cash Flow'!BU6/12)),0))*(Assumptions!$C$54-1)</f>
        <v>0</v>
      </c>
      <c r="BW14" s="99">
        <f>-IF(BW2&gt;BV2,(BW2-BV2)*('Unit Mix'!$H$18*(1+Assumptions!$H$3)*(1+Assumptions!$I$3)^(('Monthly Cash Flow'!BW6-12)/12)),0)-(IF(AND(Assumptions!$C$54&gt;1,'Monthly Cash Flow'!BW2&gt;'Monthly Cash Flow'!BV2),(BW2-BV2)*('Unit Mix'!$H$18*(1+Assumptions!$H$3)^('Monthly Cash Flow'!BV6/12)),0))*(Assumptions!$C$54-1)</f>
        <v>0</v>
      </c>
      <c r="BX14" s="99">
        <f>-IF(BX2&gt;BW2,(BX2-BW2)*('Unit Mix'!$H$18*(1+Assumptions!$H$3)*(1+Assumptions!$I$3)^(('Monthly Cash Flow'!BX6-12)/12)),0)-(IF(AND(Assumptions!$C$54&gt;1,'Monthly Cash Flow'!BX2&gt;'Monthly Cash Flow'!BW2),(BX2-BW2)*('Unit Mix'!$H$18*(1+Assumptions!$H$3)^('Monthly Cash Flow'!BW6/12)),0))*(Assumptions!$C$54-1)</f>
        <v>0</v>
      </c>
      <c r="BY14" s="99">
        <f>-IF(BY2&gt;BX2,(BY2-BX2)*('Unit Mix'!$H$18*(1+Assumptions!$H$3)*(1+Assumptions!$I$3)^(('Monthly Cash Flow'!BY6-12)/12)),0)-(IF(AND(Assumptions!$C$54&gt;1,'Monthly Cash Flow'!BY2&gt;'Monthly Cash Flow'!BX2),(BY2-BX2)*('Unit Mix'!$H$18*(1+Assumptions!$H$3)^('Monthly Cash Flow'!BX6/12)),0))*(Assumptions!$C$54-1)</f>
        <v>0</v>
      </c>
      <c r="BZ14" s="99">
        <f>-IF(BZ2&gt;BY2,(BZ2-BY2)*('Unit Mix'!$H$18*(1+Assumptions!$H$3)*(1+Assumptions!$I$3)^(('Monthly Cash Flow'!BZ6-12)/12)),0)-(IF(AND(Assumptions!$C$54&gt;1,'Monthly Cash Flow'!BZ2&gt;'Monthly Cash Flow'!BY2),(BZ2-BY2)*('Unit Mix'!$H$18*(1+Assumptions!$H$3)^('Monthly Cash Flow'!BY6/12)),0))*(Assumptions!$C$54-1)</f>
        <v>0</v>
      </c>
      <c r="CA14" s="95">
        <f>-IF(CA2&gt;BZ2,(CA2-BZ2)*('Unit Mix'!$H$18*(1+Assumptions!$H$3)*(1+Assumptions!$I$3)^(('Monthly Cash Flow'!CA6-12)/12)),0)-(IF(AND(Assumptions!$C$54&gt;1,'Monthly Cash Flow'!CA2&gt;'Monthly Cash Flow'!BZ2),(CA2-BZ2)*('Unit Mix'!$H$18*(1+Assumptions!$H$3)^('Monthly Cash Flow'!BZ6/12)),0))*(Assumptions!$C$54-1)</f>
        <v>0</v>
      </c>
      <c r="CB14" s="107">
        <f>-IF(CB2&gt;CA2,(CB2-CA2)*('Unit Mix'!$H$18*(1+Assumptions!$H$3)*(1+Assumptions!$I$3)^(('Monthly Cash Flow'!CB6-12)/12)),0)-(IF(AND(Assumptions!$C$54&gt;1,'Monthly Cash Flow'!CB2&gt;'Monthly Cash Flow'!CA2),(CB2-CA2)*('Unit Mix'!$H$18*(1+Assumptions!$H$3)^('Monthly Cash Flow'!CA6/12)),0))*(Assumptions!$C$54-1)</f>
        <v>0</v>
      </c>
      <c r="CC14" s="103">
        <f t="shared" si="79"/>
        <v>0</v>
      </c>
      <c r="CD14" s="464">
        <f>-IF(CD2&gt;CB2,(CD2-CB2)*('Unit Mix'!$H$18*(1+Assumptions!$H$3)*(1+Assumptions!$I$3)^(('Monthly Cash Flow'!CD6-12)/12)),0)-(IF(AND(Assumptions!$C$54&gt;1,'Monthly Cash Flow'!CD2&gt;'Monthly Cash Flow'!CB2),(CD2-CB2)*('Unit Mix'!$H$18*(1+Assumptions!$H$3)^('Monthly Cash Flow'!CB6/12)),0))*(Assumptions!$C$54-1)</f>
        <v>0</v>
      </c>
      <c r="CE14" s="91">
        <f>-IF(CE2&gt;CD2,(CE2-CD2)*('Unit Mix'!$H$18*(1+Assumptions!$H$3)*(1+Assumptions!$I$3)^(('Monthly Cash Flow'!CE6-12)/12)),0)-(IF(AND(Assumptions!$C$54&gt;1,'Monthly Cash Flow'!CE2&gt;'Monthly Cash Flow'!CD2),(CE2-CD2)*('Unit Mix'!$H$18*(1+Assumptions!$H$3)^('Monthly Cash Flow'!CD6/12)),0))*(Assumptions!$C$54-1)</f>
        <v>0</v>
      </c>
      <c r="CF14" s="99">
        <f>-IF(CF2&gt;CE2,(CF2-CE2)*('Unit Mix'!$H$18*(1+Assumptions!$H$3)*(1+Assumptions!$I$3)^(('Monthly Cash Flow'!CF6-12)/12)),0)-(IF(AND(Assumptions!$C$54&gt;1,'Monthly Cash Flow'!CF2&gt;'Monthly Cash Flow'!CE2),(CF2-CE2)*('Unit Mix'!$H$18*(1+Assumptions!$H$3)^('Monthly Cash Flow'!CE6/12)),0))*(Assumptions!$C$54-1)</f>
        <v>0</v>
      </c>
      <c r="CG14" s="99">
        <f>-IF(CG2&gt;CF2,(CG2-CF2)*('Unit Mix'!$H$18*(1+Assumptions!$H$3)*(1+Assumptions!$I$3)^(('Monthly Cash Flow'!CG6-12)/12)),0)-(IF(AND(Assumptions!$C$54&gt;1,'Monthly Cash Flow'!CG2&gt;'Monthly Cash Flow'!CF2),(CG2-CF2)*('Unit Mix'!$H$18*(1+Assumptions!$H$3)^('Monthly Cash Flow'!CF6/12)),0))*(Assumptions!$C$54-1)</f>
        <v>0</v>
      </c>
      <c r="CH14" s="99">
        <f>-IF(CH2&gt;CG2,(CH2-CG2)*('Unit Mix'!$H$18*(1+Assumptions!$H$3)*(1+Assumptions!$I$3)^(('Monthly Cash Flow'!CH6-12)/12)),0)-(IF(AND(Assumptions!$C$54&gt;1,'Monthly Cash Flow'!CH2&gt;'Monthly Cash Flow'!CG2),(CH2-CG2)*('Unit Mix'!$H$18*(1+Assumptions!$H$3)^('Monthly Cash Flow'!CG6/12)),0))*(Assumptions!$C$54-1)</f>
        <v>0</v>
      </c>
      <c r="CI14" s="99">
        <f>-IF(CI2&gt;CH2,(CI2-CH2)*('Unit Mix'!$H$18*(1+Assumptions!$H$3)*(1+Assumptions!$I$3)^(('Monthly Cash Flow'!CI6-12)/12)),0)-(IF(AND(Assumptions!$C$54&gt;1,'Monthly Cash Flow'!CI2&gt;'Monthly Cash Flow'!CH2),(CI2-CH2)*('Unit Mix'!$H$18*(1+Assumptions!$H$3)^('Monthly Cash Flow'!CH6/12)),0))*(Assumptions!$C$54-1)</f>
        <v>0</v>
      </c>
      <c r="CJ14" s="99">
        <f>-IF(CJ2&gt;CI2,(CJ2-CI2)*('Unit Mix'!$H$18*(1+Assumptions!$H$3)*(1+Assumptions!$I$3)^(('Monthly Cash Flow'!CJ6-12)/12)),0)-(IF(AND(Assumptions!$C$54&gt;1,'Monthly Cash Flow'!CJ2&gt;'Monthly Cash Flow'!CI2),(CJ2-CI2)*('Unit Mix'!$H$18*(1+Assumptions!$H$3)^('Monthly Cash Flow'!CI6/12)),0))*(Assumptions!$C$54-1)</f>
        <v>0</v>
      </c>
      <c r="CK14" s="99">
        <f>-IF(CK2&gt;CJ2,(CK2-CJ2)*('Unit Mix'!$H$18*(1+Assumptions!$H$3)*(1+Assumptions!$I$3)^(('Monthly Cash Flow'!CK6-12)/12)),0)-(IF(AND(Assumptions!$C$54&gt;1,'Monthly Cash Flow'!CK2&gt;'Monthly Cash Flow'!CJ2),(CK2-CJ2)*('Unit Mix'!$H$18*(1+Assumptions!$H$3)^('Monthly Cash Flow'!CJ6/12)),0))*(Assumptions!$C$54-1)</f>
        <v>0</v>
      </c>
      <c r="CL14" s="99">
        <f>-IF(CL2&gt;CK2,(CL2-CK2)*('Unit Mix'!$H$18*(1+Assumptions!$H$3)*(1+Assumptions!$I$3)^(('Monthly Cash Flow'!CL6-12)/12)),0)-(IF(AND(Assumptions!$C$54&gt;1,'Monthly Cash Flow'!CL2&gt;'Monthly Cash Flow'!CK2),(CL2-CK2)*('Unit Mix'!$H$18*(1+Assumptions!$H$3)^('Monthly Cash Flow'!CK6/12)),0))*(Assumptions!$C$54-1)</f>
        <v>0</v>
      </c>
      <c r="CM14" s="99">
        <f>-IF(CM2&gt;CL2,(CM2-CL2)*('Unit Mix'!$H$18*(1+Assumptions!$H$3)*(1+Assumptions!$I$3)^(('Monthly Cash Flow'!CM6-12)/12)),0)-(IF(AND(Assumptions!$C$54&gt;1,'Monthly Cash Flow'!CM2&gt;'Monthly Cash Flow'!CL2),(CM2-CL2)*('Unit Mix'!$H$18*(1+Assumptions!$H$3)^('Monthly Cash Flow'!CL6/12)),0))*(Assumptions!$C$54-1)</f>
        <v>0</v>
      </c>
      <c r="CN14" s="95">
        <f>-IF(CN2&gt;CM2,(CN2-CM2)*('Unit Mix'!$H$18*(1+Assumptions!$H$3)*(1+Assumptions!$I$3)^(('Monthly Cash Flow'!CN6-12)/12)),0)-(IF(AND(Assumptions!$C$54&gt;1,'Monthly Cash Flow'!CN2&gt;'Monthly Cash Flow'!CM2),(CN2-CM2)*('Unit Mix'!$H$18*(1+Assumptions!$H$3)^('Monthly Cash Flow'!CM6/12)),0))*(Assumptions!$C$54-1)</f>
        <v>0</v>
      </c>
      <c r="CO14" s="107">
        <f>-IF(CO2&gt;CN2,(CO2-CN2)*('Unit Mix'!$H$18*(1+Assumptions!$H$3)*(1+Assumptions!$I$3)^(('Monthly Cash Flow'!CO6-12)/12)),0)-(IF(AND(Assumptions!$C$54&gt;1,'Monthly Cash Flow'!CO2&gt;'Monthly Cash Flow'!CN2),(CO2-CN2)*('Unit Mix'!$H$18*(1+Assumptions!$H$3)^('Monthly Cash Flow'!CN6/12)),0))*(Assumptions!$C$54-1)</f>
        <v>0</v>
      </c>
      <c r="CP14" s="103">
        <f t="shared" si="80"/>
        <v>0</v>
      </c>
    </row>
    <row r="15" spans="2:94">
      <c r="B15" s="113" t="s">
        <v>62</v>
      </c>
      <c r="C15" s="383"/>
      <c r="D15" s="99">
        <f>D12*-Assumptions!$H$6</f>
        <v>0</v>
      </c>
      <c r="E15" s="91">
        <f>E12*-Assumptions!$H$6</f>
        <v>0</v>
      </c>
      <c r="F15" s="95">
        <f>F12*-Assumptions!$H$6</f>
        <v>0</v>
      </c>
      <c r="G15" s="95">
        <f>G12*-Assumptions!$H$6</f>
        <v>0</v>
      </c>
      <c r="H15" s="95">
        <f>H12*-Assumptions!$H$6</f>
        <v>0</v>
      </c>
      <c r="I15" s="99">
        <f>I12*-Assumptions!$H$6</f>
        <v>0</v>
      </c>
      <c r="J15" s="95">
        <f>J12*-Assumptions!$H$6</f>
        <v>0</v>
      </c>
      <c r="K15" s="95">
        <f>K12*-Assumptions!$H$6</f>
        <v>0</v>
      </c>
      <c r="L15" s="95">
        <f>L12*-Assumptions!$H$6</f>
        <v>0</v>
      </c>
      <c r="M15" s="99">
        <f>M12*-Assumptions!$H$6</f>
        <v>0</v>
      </c>
      <c r="N15" s="95">
        <f>N12*-Assumptions!$H$6</f>
        <v>0</v>
      </c>
      <c r="O15" s="95">
        <f>O12*-Assumptions!$H$6</f>
        <v>0</v>
      </c>
      <c r="P15" s="103">
        <f t="shared" si="74"/>
        <v>0</v>
      </c>
      <c r="Q15" s="91">
        <f>Q12*-Assumptions!$I$6</f>
        <v>0</v>
      </c>
      <c r="R15" s="99">
        <f>R12*-Assumptions!$I$6</f>
        <v>0</v>
      </c>
      <c r="S15" s="99">
        <f>S12*-Assumptions!$I$6</f>
        <v>0</v>
      </c>
      <c r="T15" s="99">
        <f>T12*-Assumptions!$I$6</f>
        <v>0</v>
      </c>
      <c r="U15" s="99">
        <f>U12*-Assumptions!$I$6</f>
        <v>0</v>
      </c>
      <c r="V15" s="99">
        <f>V12*-Assumptions!$I$6</f>
        <v>0</v>
      </c>
      <c r="W15" s="99">
        <f>W12*-Assumptions!$I$6</f>
        <v>0</v>
      </c>
      <c r="X15" s="99">
        <f>X12*-Assumptions!$I$6</f>
        <v>0</v>
      </c>
      <c r="Y15" s="99">
        <f>Y12*-Assumptions!$I$6</f>
        <v>0</v>
      </c>
      <c r="Z15" s="99">
        <f>Z12*-Assumptions!$I$6</f>
        <v>0</v>
      </c>
      <c r="AA15" s="95">
        <f>AA12*-Assumptions!$I$6</f>
        <v>0</v>
      </c>
      <c r="AB15" s="107">
        <f>AB12*-Assumptions!$I$6</f>
        <v>0</v>
      </c>
      <c r="AC15" s="103">
        <f t="shared" si="75"/>
        <v>0</v>
      </c>
      <c r="AD15" s="91">
        <f>AD12*-Assumptions!$J$6</f>
        <v>0</v>
      </c>
      <c r="AE15" s="99">
        <f>AE12*-Assumptions!$J$6</f>
        <v>0</v>
      </c>
      <c r="AF15" s="99">
        <f>AF12*-Assumptions!$J$6</f>
        <v>0</v>
      </c>
      <c r="AG15" s="99">
        <f>AG12*-Assumptions!$J$6</f>
        <v>0</v>
      </c>
      <c r="AH15" s="99">
        <f>AH12*-Assumptions!$J$6</f>
        <v>0</v>
      </c>
      <c r="AI15" s="99">
        <f>AI12*-Assumptions!$J$6</f>
        <v>0</v>
      </c>
      <c r="AJ15" s="99">
        <f>AJ12*-Assumptions!$J$6</f>
        <v>0</v>
      </c>
      <c r="AK15" s="99">
        <f>AK12*-Assumptions!$J$6</f>
        <v>0</v>
      </c>
      <c r="AL15" s="99">
        <f>AL12*-Assumptions!$J$6</f>
        <v>0</v>
      </c>
      <c r="AM15" s="99">
        <f>AM12*-Assumptions!$J$6</f>
        <v>0</v>
      </c>
      <c r="AN15" s="95">
        <f>AN12*-Assumptions!$J$6</f>
        <v>0</v>
      </c>
      <c r="AO15" s="107">
        <f>AO12*-Assumptions!$J$6</f>
        <v>0</v>
      </c>
      <c r="AP15" s="103">
        <f t="shared" si="76"/>
        <v>0</v>
      </c>
      <c r="AQ15" s="91">
        <f>AQ12*-Assumptions!$K$6</f>
        <v>0</v>
      </c>
      <c r="AR15" s="99">
        <f>AR12*-Assumptions!$K$6</f>
        <v>0</v>
      </c>
      <c r="AS15" s="99">
        <f>AS12*-Assumptions!$K$6</f>
        <v>0</v>
      </c>
      <c r="AT15" s="99">
        <f>AT12*-Assumptions!$K$6</f>
        <v>0</v>
      </c>
      <c r="AU15" s="99">
        <f>AU12*-Assumptions!$K$6</f>
        <v>0</v>
      </c>
      <c r="AV15" s="99">
        <f>AV12*-Assumptions!$K$6</f>
        <v>0</v>
      </c>
      <c r="AW15" s="99">
        <f>AW12*-Assumptions!$K$6</f>
        <v>0</v>
      </c>
      <c r="AX15" s="99">
        <f>AX12*-Assumptions!$K$6</f>
        <v>0</v>
      </c>
      <c r="AY15" s="99">
        <f>AY12*-Assumptions!$K$6</f>
        <v>0</v>
      </c>
      <c r="AZ15" s="99">
        <f>AZ12*-Assumptions!$K$6</f>
        <v>0</v>
      </c>
      <c r="BA15" s="95">
        <f>BA12*-Assumptions!$K$6</f>
        <v>0</v>
      </c>
      <c r="BB15" s="107">
        <f>BB12*-Assumptions!$K$6</f>
        <v>0</v>
      </c>
      <c r="BC15" s="103">
        <f t="shared" si="77"/>
        <v>0</v>
      </c>
      <c r="BD15" s="91">
        <f>BD12*-Assumptions!$L$6</f>
        <v>0</v>
      </c>
      <c r="BE15" s="99">
        <f>BE12*-Assumptions!$L$6</f>
        <v>0</v>
      </c>
      <c r="BF15" s="99">
        <f>BF12*-Assumptions!$L$6</f>
        <v>0</v>
      </c>
      <c r="BG15" s="99">
        <f>BG12*-Assumptions!$L$6</f>
        <v>0</v>
      </c>
      <c r="BH15" s="99">
        <f>BH12*-Assumptions!$L$6</f>
        <v>0</v>
      </c>
      <c r="BI15" s="99">
        <f>BI12*-Assumptions!$L$6</f>
        <v>0</v>
      </c>
      <c r="BJ15" s="99">
        <f>BJ12*-Assumptions!$L$6</f>
        <v>0</v>
      </c>
      <c r="BK15" s="99">
        <f>BK12*-Assumptions!$L$6</f>
        <v>0</v>
      </c>
      <c r="BL15" s="99">
        <f>BL12*-Assumptions!$L$6</f>
        <v>0</v>
      </c>
      <c r="BM15" s="99">
        <f>BM12*-Assumptions!$L$6</f>
        <v>0</v>
      </c>
      <c r="BN15" s="95">
        <f>BN12*-Assumptions!$L$6</f>
        <v>0</v>
      </c>
      <c r="BO15" s="107">
        <f>BO12*-Assumptions!$L$6</f>
        <v>0</v>
      </c>
      <c r="BP15" s="103">
        <f t="shared" si="78"/>
        <v>0</v>
      </c>
      <c r="BQ15" s="91">
        <f>BQ12*-Assumptions!$M$6</f>
        <v>0</v>
      </c>
      <c r="BR15" s="99">
        <f>BR12*-Assumptions!$M$6</f>
        <v>0</v>
      </c>
      <c r="BS15" s="99">
        <f>BS12*-Assumptions!$M$6</f>
        <v>0</v>
      </c>
      <c r="BT15" s="99">
        <f>BT12*-Assumptions!$M$6</f>
        <v>0</v>
      </c>
      <c r="BU15" s="99">
        <f>BU12*-Assumptions!$M$6</f>
        <v>0</v>
      </c>
      <c r="BV15" s="99">
        <f>BV12*-Assumptions!$M$6</f>
        <v>0</v>
      </c>
      <c r="BW15" s="99">
        <f>BW12*-Assumptions!$M$6</f>
        <v>0</v>
      </c>
      <c r="BX15" s="99">
        <f>BX12*-Assumptions!$M$6</f>
        <v>0</v>
      </c>
      <c r="BY15" s="99">
        <f>BY12*-Assumptions!$M$6</f>
        <v>0</v>
      </c>
      <c r="BZ15" s="99">
        <f>BZ12*-Assumptions!$M$6</f>
        <v>0</v>
      </c>
      <c r="CA15" s="95">
        <f>CA12*-Assumptions!$M$6</f>
        <v>0</v>
      </c>
      <c r="CB15" s="107">
        <f>CB12*-Assumptions!$M$6</f>
        <v>0</v>
      </c>
      <c r="CC15" s="103">
        <f t="shared" si="79"/>
        <v>0</v>
      </c>
      <c r="CD15" s="91">
        <f>CD12*-Assumptions!$N$6</f>
        <v>0</v>
      </c>
      <c r="CE15" s="95">
        <f>CE12*-Assumptions!$N$6</f>
        <v>0</v>
      </c>
      <c r="CF15" s="95">
        <f>CF12*-Assumptions!$N$6</f>
        <v>0</v>
      </c>
      <c r="CG15" s="95">
        <f>CG12*-Assumptions!$N$6</f>
        <v>0</v>
      </c>
      <c r="CH15" s="99">
        <f>CH12*-Assumptions!$N$6</f>
        <v>0</v>
      </c>
      <c r="CI15" s="99">
        <f>CI12*-Assumptions!$N$6</f>
        <v>0</v>
      </c>
      <c r="CJ15" s="99">
        <f>CJ12*-Assumptions!$N$6</f>
        <v>0</v>
      </c>
      <c r="CK15" s="99">
        <f>CK12*-Assumptions!$N$6</f>
        <v>0</v>
      </c>
      <c r="CL15" s="99">
        <f>CL12*-Assumptions!$N$6</f>
        <v>0</v>
      </c>
      <c r="CM15" s="99">
        <f>CM12*-Assumptions!$N$6</f>
        <v>0</v>
      </c>
      <c r="CN15" s="95">
        <f>CN12*-Assumptions!$N$6</f>
        <v>0</v>
      </c>
      <c r="CO15" s="107">
        <f>CO12*-Assumptions!$N$6</f>
        <v>0</v>
      </c>
      <c r="CP15" s="103">
        <f t="shared" si="80"/>
        <v>0</v>
      </c>
    </row>
    <row r="16" spans="2:94">
      <c r="B16" s="113" t="s">
        <v>63</v>
      </c>
      <c r="C16" s="383"/>
      <c r="D16" s="99">
        <f>-(D12*(1-Assumptions!$H$9))*(Assumptions!$H$7/12)</f>
        <v>0</v>
      </c>
      <c r="E16" s="91">
        <f>-(E12*(1-Assumptions!$H$9))*(Assumptions!$H$7/12)</f>
        <v>0</v>
      </c>
      <c r="F16" s="95">
        <f>-(F12*(1-Assumptions!$H$9))*(Assumptions!$H$7/12)</f>
        <v>0</v>
      </c>
      <c r="G16" s="95">
        <f>-(G12*(1-Assumptions!$H$9))*(Assumptions!$H$7/12)</f>
        <v>0</v>
      </c>
      <c r="H16" s="95">
        <f>-(H12*(1-Assumptions!$H$9))*(Assumptions!$H$7/12)</f>
        <v>0</v>
      </c>
      <c r="I16" s="99">
        <f>-(I12*(1-Assumptions!$H$9))*(Assumptions!$H$7/12)</f>
        <v>0</v>
      </c>
      <c r="J16" s="95">
        <f>-(J12*(1-Assumptions!$H$9))*(Assumptions!$H$7/12)</f>
        <v>0</v>
      </c>
      <c r="K16" s="95">
        <f>-(K12*(1-Assumptions!$H$9))*(Assumptions!$H$7/12)</f>
        <v>0</v>
      </c>
      <c r="L16" s="95">
        <f>-(L12*(1-Assumptions!$H$9))*(Assumptions!$H$7/12)</f>
        <v>0</v>
      </c>
      <c r="M16" s="99">
        <f>-(M12*(1-Assumptions!$H$9))*(Assumptions!$H$7/12)</f>
        <v>0</v>
      </c>
      <c r="N16" s="95">
        <f>-(N12*(1-Assumptions!$H$9))*(Assumptions!$H$7/12)</f>
        <v>0</v>
      </c>
      <c r="O16" s="95">
        <f>-(O12*(1-Assumptions!$H$9))*(Assumptions!$H$7/12)</f>
        <v>0</v>
      </c>
      <c r="P16" s="103">
        <f t="shared" si="74"/>
        <v>0</v>
      </c>
      <c r="Q16" s="91">
        <f>-(Q12*(1-Assumptions!$I$9))*(Assumptions!$I$7/12)</f>
        <v>0</v>
      </c>
      <c r="R16" s="99">
        <f>-(R12*(1-Assumptions!$I$9))*(Assumptions!$I$7/12)</f>
        <v>0</v>
      </c>
      <c r="S16" s="99">
        <f>-(S12*(1-Assumptions!$I$9))*(Assumptions!$I$7/12)</f>
        <v>0</v>
      </c>
      <c r="T16" s="99">
        <f>-(T12*(1-Assumptions!$I$9))*(Assumptions!$I$7/12)</f>
        <v>0</v>
      </c>
      <c r="U16" s="99">
        <f>-(U12*(1-Assumptions!$I$9))*(Assumptions!$I$7/12)</f>
        <v>0</v>
      </c>
      <c r="V16" s="99">
        <f>-(V12*(1-Assumptions!$I$9))*(Assumptions!$I$7/12)</f>
        <v>0</v>
      </c>
      <c r="W16" s="99">
        <f>-(W12*(1-Assumptions!$I$9))*(Assumptions!$I$7/12)</f>
        <v>0</v>
      </c>
      <c r="X16" s="99">
        <f>-(X12*(1-Assumptions!$I$9))*(Assumptions!$I$7/12)</f>
        <v>0</v>
      </c>
      <c r="Y16" s="99">
        <f>-(Y12*(1-Assumptions!$I$9))*(Assumptions!$I$7/12)</f>
        <v>0</v>
      </c>
      <c r="Z16" s="99">
        <f>-(Z12*(1-Assumptions!$I$9))*(Assumptions!$I$7/12)</f>
        <v>0</v>
      </c>
      <c r="AA16" s="95">
        <f>-(AA12*(1-Assumptions!$I$9))*(Assumptions!$I$7/12)</f>
        <v>0</v>
      </c>
      <c r="AB16" s="107">
        <f>-(AB12*(1-Assumptions!$I$9))*(Assumptions!$I$7/12)</f>
        <v>0</v>
      </c>
      <c r="AC16" s="103">
        <f t="shared" si="75"/>
        <v>0</v>
      </c>
      <c r="AD16" s="91">
        <f>-(AD12*(1-Assumptions!$J$9))*(Assumptions!$J$7/12)</f>
        <v>0</v>
      </c>
      <c r="AE16" s="99">
        <f>-(AE12*(1-Assumptions!$J$9))*(Assumptions!$J$7/12)</f>
        <v>0</v>
      </c>
      <c r="AF16" s="99">
        <f>-(AF12*(1-Assumptions!$J$9))*(Assumptions!$J$7/12)</f>
        <v>0</v>
      </c>
      <c r="AG16" s="99">
        <f>-(AG12*(1-Assumptions!$J$9))*(Assumptions!$J$7/12)</f>
        <v>0</v>
      </c>
      <c r="AH16" s="99">
        <f>-(AH12*(1-Assumptions!$J$9))*(Assumptions!$J$7/12)</f>
        <v>0</v>
      </c>
      <c r="AI16" s="99">
        <f>-(AI12*(1-Assumptions!$J$9))*(Assumptions!$J$7/12)</f>
        <v>0</v>
      </c>
      <c r="AJ16" s="99">
        <f>-(AJ12*(1-Assumptions!$J$9))*(Assumptions!$J$7/12)</f>
        <v>0</v>
      </c>
      <c r="AK16" s="99">
        <f>-(AK12*(1-Assumptions!$J$9))*(Assumptions!$J$7/12)</f>
        <v>0</v>
      </c>
      <c r="AL16" s="99">
        <f>-(AL12*(1-Assumptions!$J$9))*(Assumptions!$J$7/12)</f>
        <v>0</v>
      </c>
      <c r="AM16" s="99">
        <f>-(AM12*(1-Assumptions!$J$9))*(Assumptions!$J$7/12)</f>
        <v>0</v>
      </c>
      <c r="AN16" s="95">
        <f>-(AN12*(1-Assumptions!$J$9))*(Assumptions!$J$7/12)</f>
        <v>0</v>
      </c>
      <c r="AO16" s="107">
        <f>-(AO12*(1-Assumptions!$J$9))*(Assumptions!$J$7/12)</f>
        <v>0</v>
      </c>
      <c r="AP16" s="103">
        <f t="shared" si="76"/>
        <v>0</v>
      </c>
      <c r="AQ16" s="91">
        <f>-(AQ12*(1-Assumptions!$K$9))*(Assumptions!$K$7/12)</f>
        <v>0</v>
      </c>
      <c r="AR16" s="99">
        <f>-(AR12*(1-Assumptions!$K$9))*(Assumptions!$K$7/12)</f>
        <v>0</v>
      </c>
      <c r="AS16" s="99">
        <f>-(AS12*(1-Assumptions!$K$9))*(Assumptions!$K$7/12)</f>
        <v>0</v>
      </c>
      <c r="AT16" s="99">
        <f>-(AT12*(1-Assumptions!$K$9))*(Assumptions!$K$7/12)</f>
        <v>0</v>
      </c>
      <c r="AU16" s="99">
        <f>-(AU12*(1-Assumptions!$K$9))*(Assumptions!$K$7/12)</f>
        <v>0</v>
      </c>
      <c r="AV16" s="99">
        <f>-(AV12*(1-Assumptions!$K$9))*(Assumptions!$K$7/12)</f>
        <v>0</v>
      </c>
      <c r="AW16" s="99">
        <f>-(AW12*(1-Assumptions!$K$9))*(Assumptions!$K$7/12)</f>
        <v>0</v>
      </c>
      <c r="AX16" s="99">
        <f>-(AX12*(1-Assumptions!$K$9))*(Assumptions!$K$7/12)</f>
        <v>0</v>
      </c>
      <c r="AY16" s="99">
        <f>-(AY12*(1-Assumptions!$K$9))*(Assumptions!$K$7/12)</f>
        <v>0</v>
      </c>
      <c r="AZ16" s="99">
        <f>-(AZ12*(1-Assumptions!$K$9))*(Assumptions!$K$7/12)</f>
        <v>0</v>
      </c>
      <c r="BA16" s="95">
        <f>-(BA12*(1-Assumptions!$K$9))*(Assumptions!$K$7/12)</f>
        <v>0</v>
      </c>
      <c r="BB16" s="107">
        <f>-(BB12*(1-Assumptions!$K$9))*(Assumptions!$K$7/12)</f>
        <v>0</v>
      </c>
      <c r="BC16" s="103">
        <f t="shared" si="77"/>
        <v>0</v>
      </c>
      <c r="BD16" s="91">
        <f>-(BD12*(1-Assumptions!$L$9))*(Assumptions!$L$7/12)</f>
        <v>0</v>
      </c>
      <c r="BE16" s="99">
        <f>-(BE12*(1-Assumptions!$L$9))*(Assumptions!$L$7/12)</f>
        <v>0</v>
      </c>
      <c r="BF16" s="99">
        <f>-(BF12*(1-Assumptions!$L$9))*(Assumptions!$L$7/12)</f>
        <v>0</v>
      </c>
      <c r="BG16" s="99">
        <f>-(BG12*(1-Assumptions!$L$9))*(Assumptions!$L$7/12)</f>
        <v>0</v>
      </c>
      <c r="BH16" s="99">
        <f>-(BH12*(1-Assumptions!$L$9))*(Assumptions!$L$7/12)</f>
        <v>0</v>
      </c>
      <c r="BI16" s="99">
        <f>-(BI12*(1-Assumptions!$L$9))*(Assumptions!$L$7/12)</f>
        <v>0</v>
      </c>
      <c r="BJ16" s="99">
        <f>-(BJ12*(1-Assumptions!$L$9))*(Assumptions!$L$7/12)</f>
        <v>0</v>
      </c>
      <c r="BK16" s="99">
        <f>-(BK12*(1-Assumptions!$L$9))*(Assumptions!$L$7/12)</f>
        <v>0</v>
      </c>
      <c r="BL16" s="99">
        <f>-(BL12*(1-Assumptions!$L$9))*(Assumptions!$L$7/12)</f>
        <v>0</v>
      </c>
      <c r="BM16" s="99">
        <f>-(BM12*(1-Assumptions!$L$9))*(Assumptions!$L$7/12)</f>
        <v>0</v>
      </c>
      <c r="BN16" s="95">
        <f>-(BN12*(1-Assumptions!$L$9))*(Assumptions!$L$7/12)</f>
        <v>0</v>
      </c>
      <c r="BO16" s="107">
        <f>-(BO12*(1-Assumptions!$L$9))*(Assumptions!$L$7/12)</f>
        <v>0</v>
      </c>
      <c r="BP16" s="103">
        <f t="shared" si="78"/>
        <v>0</v>
      </c>
      <c r="BQ16" s="91">
        <f>-(BQ12*(1-Assumptions!$M$9))*(Assumptions!$M$7/12)</f>
        <v>0</v>
      </c>
      <c r="BR16" s="99">
        <f>-(BR12*(1-Assumptions!$M$9))*(Assumptions!$M$7/12)</f>
        <v>0</v>
      </c>
      <c r="BS16" s="99">
        <f>-(BS12*(1-Assumptions!$M$9))*(Assumptions!$M$7/12)</f>
        <v>0</v>
      </c>
      <c r="BT16" s="99">
        <f>-(BT12*(1-Assumptions!$M$9))*(Assumptions!$M$7/12)</f>
        <v>0</v>
      </c>
      <c r="BU16" s="99">
        <f>-(BU12*(1-Assumptions!$M$9))*(Assumptions!$M$7/12)</f>
        <v>0</v>
      </c>
      <c r="BV16" s="99">
        <f>-(BV12*(1-Assumptions!$M$9))*(Assumptions!$M$7/12)</f>
        <v>0</v>
      </c>
      <c r="BW16" s="99">
        <f>-(BW12*(1-Assumptions!$M$9))*(Assumptions!$M$7/12)</f>
        <v>0</v>
      </c>
      <c r="BX16" s="99">
        <f>-(BX12*(1-Assumptions!$M$9))*(Assumptions!$M$7/12)</f>
        <v>0</v>
      </c>
      <c r="BY16" s="99">
        <f>-(BY12*(1-Assumptions!$M$9))*(Assumptions!$M$7/12)</f>
        <v>0</v>
      </c>
      <c r="BZ16" s="99">
        <f>-(BZ12*(1-Assumptions!$M$9))*(Assumptions!$M$7/12)</f>
        <v>0</v>
      </c>
      <c r="CA16" s="95">
        <f>-(CA12*(1-Assumptions!$M$9))*(Assumptions!$M$7/12)</f>
        <v>0</v>
      </c>
      <c r="CB16" s="107">
        <f>-(CB12*(1-Assumptions!$M$9))*(Assumptions!$M$7/12)</f>
        <v>0</v>
      </c>
      <c r="CC16" s="103">
        <f t="shared" si="79"/>
        <v>0</v>
      </c>
      <c r="CD16" s="91">
        <f>-(CD12*(1-Assumptions!$N$9))*(Assumptions!$N$7/12)</f>
        <v>0</v>
      </c>
      <c r="CE16" s="95">
        <f>-(CE12*(1-Assumptions!$N$9))*(Assumptions!$N$7/12)</f>
        <v>0</v>
      </c>
      <c r="CF16" s="95">
        <f>-(CF12*(1-Assumptions!$N$9))*(Assumptions!$N$7/12)</f>
        <v>0</v>
      </c>
      <c r="CG16" s="95">
        <f>-(CG12*(1-Assumptions!$N$9))*(Assumptions!$N$7/12)</f>
        <v>0</v>
      </c>
      <c r="CH16" s="99">
        <f>-(CH12*(1-Assumptions!$N$9))*(Assumptions!$N$7/12)</f>
        <v>0</v>
      </c>
      <c r="CI16" s="99">
        <f>-(CI12*(1-Assumptions!$N$9))*(Assumptions!$N$7/12)</f>
        <v>0</v>
      </c>
      <c r="CJ16" s="99">
        <f>-(CJ12*(1-Assumptions!$N$9))*(Assumptions!$N$7/12)</f>
        <v>0</v>
      </c>
      <c r="CK16" s="99">
        <f>-(CK12*(1-Assumptions!$N$9))*(Assumptions!$N$7/12)</f>
        <v>0</v>
      </c>
      <c r="CL16" s="99">
        <f>-(CL12*(1-Assumptions!$N$9))*(Assumptions!$N$7/12)</f>
        <v>0</v>
      </c>
      <c r="CM16" s="99">
        <f>-(CM12*(1-Assumptions!$N$9))*(Assumptions!$N$7/12)</f>
        <v>0</v>
      </c>
      <c r="CN16" s="95">
        <f>-(CN12*(1-Assumptions!$N$9))*(Assumptions!$N$7/12)</f>
        <v>0</v>
      </c>
      <c r="CO16" s="107">
        <f>-(CO12*(1-Assumptions!$N$9))*(Assumptions!$N$7/12)</f>
        <v>0</v>
      </c>
      <c r="CP16" s="103">
        <f t="shared" si="80"/>
        <v>0</v>
      </c>
    </row>
    <row r="17" spans="1:94" ht="5.25" customHeight="1">
      <c r="B17" s="113"/>
      <c r="C17" s="383"/>
      <c r="D17" s="99"/>
      <c r="E17" s="91"/>
      <c r="F17" s="95"/>
      <c r="G17" s="95"/>
      <c r="H17" s="95"/>
      <c r="I17" s="99"/>
      <c r="J17" s="95"/>
      <c r="K17" s="95"/>
      <c r="L17" s="95"/>
      <c r="M17" s="99"/>
      <c r="N17" s="95"/>
      <c r="O17" s="95"/>
      <c r="P17" s="103"/>
      <c r="Q17" s="91"/>
      <c r="R17" s="99"/>
      <c r="S17" s="99"/>
      <c r="T17" s="99"/>
      <c r="U17" s="99"/>
      <c r="V17" s="99"/>
      <c r="W17" s="99"/>
      <c r="X17" s="99"/>
      <c r="Y17" s="99"/>
      <c r="Z17" s="99"/>
      <c r="AA17" s="95"/>
      <c r="AB17" s="107"/>
      <c r="AC17" s="103"/>
      <c r="AD17" s="91"/>
      <c r="AE17" s="99"/>
      <c r="AF17" s="99"/>
      <c r="AG17" s="99"/>
      <c r="AH17" s="99"/>
      <c r="AI17" s="99"/>
      <c r="AJ17" s="99"/>
      <c r="AK17" s="99"/>
      <c r="AL17" s="99"/>
      <c r="AM17" s="99"/>
      <c r="AN17" s="95"/>
      <c r="AO17" s="107"/>
      <c r="AP17" s="103"/>
      <c r="AQ17" s="91"/>
      <c r="AR17" s="99"/>
      <c r="AS17" s="99"/>
      <c r="AT17" s="99"/>
      <c r="AU17" s="99"/>
      <c r="AV17" s="99"/>
      <c r="AW17" s="99"/>
      <c r="AX17" s="99"/>
      <c r="AY17" s="99"/>
      <c r="AZ17" s="99"/>
      <c r="BA17" s="95"/>
      <c r="BB17" s="107"/>
      <c r="BC17" s="103"/>
      <c r="BD17" s="91"/>
      <c r="BE17" s="99"/>
      <c r="BF17" s="99"/>
      <c r="BG17" s="99"/>
      <c r="BH17" s="99"/>
      <c r="BI17" s="99"/>
      <c r="BJ17" s="99"/>
      <c r="BK17" s="99"/>
      <c r="BL17" s="99"/>
      <c r="BM17" s="99"/>
      <c r="BN17" s="95"/>
      <c r="BO17" s="107"/>
      <c r="BP17" s="103"/>
      <c r="BQ17" s="91"/>
      <c r="BR17" s="99"/>
      <c r="BS17" s="99"/>
      <c r="BT17" s="99"/>
      <c r="BU17" s="99"/>
      <c r="BV17" s="99"/>
      <c r="BW17" s="99"/>
      <c r="BX17" s="99"/>
      <c r="BY17" s="99"/>
      <c r="BZ17" s="99"/>
      <c r="CA17" s="95"/>
      <c r="CB17" s="107"/>
      <c r="CC17" s="103"/>
      <c r="CD17" s="91"/>
      <c r="CE17" s="95"/>
      <c r="CF17" s="95"/>
      <c r="CG17" s="95"/>
      <c r="CH17" s="99"/>
      <c r="CI17" s="99"/>
      <c r="CJ17" s="99"/>
      <c r="CK17" s="99"/>
      <c r="CL17" s="99"/>
      <c r="CM17" s="99"/>
      <c r="CN17" s="95"/>
      <c r="CO17" s="107"/>
      <c r="CP17" s="103"/>
    </row>
    <row r="18" spans="1:94">
      <c r="B18" s="186" t="s">
        <v>66</v>
      </c>
      <c r="C18" s="384">
        <f t="shared" ref="C18:AH18" si="81">SUM(C12:C16)</f>
        <v>24619.25</v>
      </c>
      <c r="D18" s="92">
        <f t="shared" si="81"/>
        <v>25396.7</v>
      </c>
      <c r="E18" s="46">
        <f t="shared" si="81"/>
        <v>25417.767530628615</v>
      </c>
      <c r="F18" s="96">
        <f t="shared" si="81"/>
        <v>23899.831433715714</v>
      </c>
      <c r="G18" s="96">
        <f t="shared" si="81"/>
        <v>22379.359474290835</v>
      </c>
      <c r="H18" s="96">
        <f t="shared" si="81"/>
        <v>22907.481884281515</v>
      </c>
      <c r="I18" s="92">
        <f t="shared" si="81"/>
        <v>23436.465089621863</v>
      </c>
      <c r="J18" s="96">
        <f t="shared" si="81"/>
        <v>23966.310155018266</v>
      </c>
      <c r="K18" s="96">
        <f t="shared" si="81"/>
        <v>24497.018146351209</v>
      </c>
      <c r="L18" s="96">
        <f t="shared" si="81"/>
        <v>25028.590130676472</v>
      </c>
      <c r="M18" s="92">
        <f t="shared" si="81"/>
        <v>25561.027176226329</v>
      </c>
      <c r="N18" s="96">
        <f t="shared" si="81"/>
        <v>26094.330352410831</v>
      </c>
      <c r="O18" s="96">
        <f t="shared" si="81"/>
        <v>26628.500729818967</v>
      </c>
      <c r="P18" s="104">
        <f>SUM(P12:P16)</f>
        <v>295213.38210304064</v>
      </c>
      <c r="Q18" s="46">
        <f t="shared" si="81"/>
        <v>27106.846818081474</v>
      </c>
      <c r="R18" s="92">
        <f t="shared" si="81"/>
        <v>27674.137398369647</v>
      </c>
      <c r="S18" s="92">
        <f t="shared" si="81"/>
        <v>28177.074180419309</v>
      </c>
      <c r="T18" s="92">
        <f t="shared" si="81"/>
        <v>28747.621751767016</v>
      </c>
      <c r="U18" s="92">
        <f t="shared" si="81"/>
        <v>29320.397111131286</v>
      </c>
      <c r="V18" s="92">
        <f t="shared" si="81"/>
        <v>25738.493697423273</v>
      </c>
      <c r="W18" s="92">
        <f t="shared" si="81"/>
        <v>30472.658229767083</v>
      </c>
      <c r="X18" s="92">
        <f t="shared" si="81"/>
        <v>34710.377330287563</v>
      </c>
      <c r="Y18" s="92">
        <f t="shared" si="81"/>
        <v>34781.875024452427</v>
      </c>
      <c r="Z18" s="92">
        <f t="shared" si="81"/>
        <v>34853.519992160931</v>
      </c>
      <c r="AA18" s="96">
        <f t="shared" si="81"/>
        <v>34925.312536772479</v>
      </c>
      <c r="AB18" s="108">
        <f t="shared" si="81"/>
        <v>34997.252962271326</v>
      </c>
      <c r="AC18" s="104">
        <f>SUM(AC12:AC16)</f>
        <v>371505.56703290378</v>
      </c>
      <c r="AD18" s="46">
        <f t="shared" si="81"/>
        <v>34569.348637500007</v>
      </c>
      <c r="AE18" s="92">
        <f t="shared" si="81"/>
        <v>34640.555835648367</v>
      </c>
      <c r="AF18" s="92">
        <f t="shared" si="81"/>
        <v>34640.555835648367</v>
      </c>
      <c r="AG18" s="92">
        <f t="shared" si="81"/>
        <v>34711.909708966152</v>
      </c>
      <c r="AH18" s="92">
        <f t="shared" si="81"/>
        <v>34783.410559580196</v>
      </c>
      <c r="AI18" s="92">
        <f t="shared" ref="AI18:BN18" si="82">SUM(AI12:AI16)</f>
        <v>34855.058690239654</v>
      </c>
      <c r="AJ18" s="92">
        <f t="shared" si="82"/>
        <v>34926.85440431731</v>
      </c>
      <c r="AK18" s="92">
        <f t="shared" si="82"/>
        <v>34998.798005810837</v>
      </c>
      <c r="AL18" s="92">
        <f t="shared" si="82"/>
        <v>35070.889799344106</v>
      </c>
      <c r="AM18" s="92">
        <f t="shared" si="82"/>
        <v>35143.130090168466</v>
      </c>
      <c r="AN18" s="96">
        <f t="shared" si="82"/>
        <v>35215.519184163997</v>
      </c>
      <c r="AO18" s="108">
        <f t="shared" si="82"/>
        <v>35288.05738784089</v>
      </c>
      <c r="AP18" s="104">
        <f t="shared" si="82"/>
        <v>418844.08813922829</v>
      </c>
      <c r="AQ18" s="46">
        <f t="shared" si="82"/>
        <v>35219.9398534375</v>
      </c>
      <c r="AR18" s="92">
        <f t="shared" si="82"/>
        <v>35292.487162969293</v>
      </c>
      <c r="AS18" s="92">
        <f t="shared" si="82"/>
        <v>35292.487162969293</v>
      </c>
      <c r="AT18" s="92">
        <f t="shared" si="82"/>
        <v>35365.183908080544</v>
      </c>
      <c r="AU18" s="92">
        <f t="shared" si="82"/>
        <v>35438.030396584072</v>
      </c>
      <c r="AV18" s="92">
        <f t="shared" si="82"/>
        <v>35511.026936926741</v>
      </c>
      <c r="AW18" s="92">
        <f t="shared" si="82"/>
        <v>35584.173838190793</v>
      </c>
      <c r="AX18" s="92">
        <f t="shared" si="82"/>
        <v>35657.471410095088</v>
      </c>
      <c r="AY18" s="92">
        <f t="shared" si="82"/>
        <v>35730.919962996493</v>
      </c>
      <c r="AZ18" s="92">
        <f t="shared" si="82"/>
        <v>35804.51980789112</v>
      </c>
      <c r="BA18" s="96">
        <f t="shared" si="82"/>
        <v>35878.271256415726</v>
      </c>
      <c r="BB18" s="108">
        <f t="shared" si="82"/>
        <v>35952.174620848949</v>
      </c>
      <c r="BC18" s="104">
        <f t="shared" si="82"/>
        <v>426726.68631740561</v>
      </c>
      <c r="BD18" s="46">
        <f t="shared" si="82"/>
        <v>35886.795849773436</v>
      </c>
      <c r="BE18" s="92">
        <f t="shared" si="82"/>
        <v>35946.065810784748</v>
      </c>
      <c r="BF18" s="92">
        <f t="shared" si="82"/>
        <v>35946.065810784748</v>
      </c>
      <c r="BG18" s="92">
        <f t="shared" si="82"/>
        <v>36005.433660955438</v>
      </c>
      <c r="BH18" s="92">
        <f t="shared" si="82"/>
        <v>36064.899561957391</v>
      </c>
      <c r="BI18" s="92">
        <f t="shared" si="82"/>
        <v>36124.463675729552</v>
      </c>
      <c r="BJ18" s="92">
        <f t="shared" si="82"/>
        <v>36184.126164478279</v>
      </c>
      <c r="BK18" s="92">
        <f t="shared" si="82"/>
        <v>36243.887190677851</v>
      </c>
      <c r="BL18" s="92">
        <f t="shared" si="82"/>
        <v>36303.746917070886</v>
      </c>
      <c r="BM18" s="92">
        <f t="shared" si="82"/>
        <v>36363.705506668761</v>
      </c>
      <c r="BN18" s="96">
        <f t="shared" si="82"/>
        <v>36423.763122752105</v>
      </c>
      <c r="BO18" s="108">
        <f t="shared" ref="BO18:CP18" si="83">SUM(BO12:BO16)</f>
        <v>36483.919928871212</v>
      </c>
      <c r="BP18" s="104">
        <f t="shared" si="83"/>
        <v>433976.8732005044</v>
      </c>
      <c r="BQ18" s="46">
        <f t="shared" si="83"/>
        <v>36433.617766768904</v>
      </c>
      <c r="BR18" s="92">
        <f t="shared" si="83"/>
        <v>36493.790848633813</v>
      </c>
      <c r="BS18" s="92">
        <f t="shared" si="83"/>
        <v>36493.790848633813</v>
      </c>
      <c r="BT18" s="92">
        <f t="shared" si="83"/>
        <v>36554.063311235601</v>
      </c>
      <c r="BU18" s="92">
        <f t="shared" si="83"/>
        <v>36614.435318709642</v>
      </c>
      <c r="BV18" s="92">
        <f t="shared" si="83"/>
        <v>36674.907035462391</v>
      </c>
      <c r="BW18" s="92">
        <f t="shared" si="83"/>
        <v>36735.478626171818</v>
      </c>
      <c r="BX18" s="92">
        <f t="shared" si="83"/>
        <v>36796.150255787892</v>
      </c>
      <c r="BY18" s="92">
        <f t="shared" si="83"/>
        <v>36856.922089533</v>
      </c>
      <c r="BZ18" s="92">
        <f t="shared" si="83"/>
        <v>36917.794292902399</v>
      </c>
      <c r="CA18" s="96">
        <f t="shared" si="83"/>
        <v>36978.767031664691</v>
      </c>
      <c r="CB18" s="108">
        <f t="shared" si="83"/>
        <v>37039.840471862248</v>
      </c>
      <c r="CC18" s="104">
        <f t="shared" si="83"/>
        <v>440589.55789736618</v>
      </c>
      <c r="CD18" s="46">
        <f t="shared" si="83"/>
        <v>36991.376122104288</v>
      </c>
      <c r="CE18" s="96">
        <f t="shared" si="83"/>
        <v>37052.470387239853</v>
      </c>
      <c r="CF18" s="96">
        <f t="shared" si="83"/>
        <v>37052.470387239853</v>
      </c>
      <c r="CG18" s="96">
        <f t="shared" si="83"/>
        <v>37113.665554521365</v>
      </c>
      <c r="CH18" s="92">
        <f t="shared" si="83"/>
        <v>37174.961790596935</v>
      </c>
      <c r="CI18" s="92">
        <f t="shared" si="83"/>
        <v>37236.35926238988</v>
      </c>
      <c r="CJ18" s="92">
        <f t="shared" si="83"/>
        <v>37297.858137099218</v>
      </c>
      <c r="CK18" s="92">
        <f t="shared" si="83"/>
        <v>37359.458582200132</v>
      </c>
      <c r="CL18" s="92">
        <f t="shared" si="83"/>
        <v>37421.160765444351</v>
      </c>
      <c r="CM18" s="92">
        <f t="shared" si="83"/>
        <v>37482.964854860715</v>
      </c>
      <c r="CN18" s="96">
        <f t="shared" si="83"/>
        <v>37544.871018755526</v>
      </c>
      <c r="CO18" s="108">
        <f t="shared" si="83"/>
        <v>37606.879425713109</v>
      </c>
      <c r="CP18" s="104">
        <f t="shared" si="83"/>
        <v>447334.49628816522</v>
      </c>
    </row>
    <row r="19" spans="1:94" ht="10.5" customHeight="1">
      <c r="B19" s="113"/>
      <c r="C19" s="383"/>
      <c r="D19" s="99"/>
      <c r="E19" s="91"/>
      <c r="F19" s="95"/>
      <c r="G19" s="95"/>
      <c r="H19" s="95"/>
      <c r="I19" s="99"/>
      <c r="J19" s="95"/>
      <c r="K19" s="95"/>
      <c r="L19" s="95"/>
      <c r="M19" s="99"/>
      <c r="N19" s="95"/>
      <c r="O19" s="95"/>
      <c r="P19" s="103"/>
      <c r="Q19" s="91"/>
      <c r="R19" s="99"/>
      <c r="S19" s="99"/>
      <c r="T19" s="99"/>
      <c r="U19" s="99"/>
      <c r="V19" s="99"/>
      <c r="W19" s="99"/>
      <c r="X19" s="99"/>
      <c r="Y19" s="99"/>
      <c r="Z19" s="99"/>
      <c r="AA19" s="95"/>
      <c r="AB19" s="107"/>
      <c r="AC19" s="103"/>
      <c r="AD19" s="91"/>
      <c r="AE19" s="99"/>
      <c r="AF19" s="99"/>
      <c r="AG19" s="99"/>
      <c r="AH19" s="99"/>
      <c r="AI19" s="99"/>
      <c r="AJ19" s="99"/>
      <c r="AK19" s="99"/>
      <c r="AL19" s="99"/>
      <c r="AM19" s="99"/>
      <c r="AN19" s="95"/>
      <c r="AO19" s="107"/>
      <c r="AP19" s="103"/>
      <c r="AQ19" s="91"/>
      <c r="AR19" s="99"/>
      <c r="AS19" s="99"/>
      <c r="AT19" s="99"/>
      <c r="AU19" s="99"/>
      <c r="AV19" s="99"/>
      <c r="AW19" s="99"/>
      <c r="AX19" s="99"/>
      <c r="AY19" s="99"/>
      <c r="AZ19" s="99"/>
      <c r="BA19" s="95"/>
      <c r="BB19" s="107"/>
      <c r="BC19" s="103"/>
      <c r="BD19" s="91"/>
      <c r="BE19" s="99"/>
      <c r="BF19" s="99"/>
      <c r="BG19" s="99"/>
      <c r="BH19" s="99"/>
      <c r="BI19" s="99"/>
      <c r="BJ19" s="99"/>
      <c r="BK19" s="99"/>
      <c r="BL19" s="99"/>
      <c r="BM19" s="99"/>
      <c r="BN19" s="95"/>
      <c r="BO19" s="107"/>
      <c r="BP19" s="103"/>
      <c r="BQ19" s="91"/>
      <c r="BR19" s="99"/>
      <c r="BS19" s="99"/>
      <c r="BT19" s="99"/>
      <c r="BU19" s="99"/>
      <c r="BV19" s="99"/>
      <c r="BW19" s="99"/>
      <c r="BX19" s="99"/>
      <c r="BY19" s="99"/>
      <c r="BZ19" s="99"/>
      <c r="CA19" s="95"/>
      <c r="CB19" s="107"/>
      <c r="CC19" s="103"/>
      <c r="CD19" s="91"/>
      <c r="CE19" s="95"/>
      <c r="CF19" s="95"/>
      <c r="CG19" s="95"/>
      <c r="CH19" s="99"/>
      <c r="CI19" s="99"/>
      <c r="CJ19" s="99"/>
      <c r="CK19" s="99"/>
      <c r="CL19" s="99"/>
      <c r="CM19" s="99"/>
      <c r="CN19" s="95"/>
      <c r="CO19" s="107"/>
      <c r="CP19" s="103"/>
    </row>
    <row r="20" spans="1:94">
      <c r="B20" s="113" t="s">
        <v>68</v>
      </c>
      <c r="C20" s="383">
        <f>Assumptions!G13/12</f>
        <v>0</v>
      </c>
      <c r="D20" s="99">
        <f>Assumptions!$H13/12</f>
        <v>0</v>
      </c>
      <c r="E20" s="91">
        <f>Assumptions!$H13/12</f>
        <v>0</v>
      </c>
      <c r="F20" s="95">
        <f>Assumptions!$H13/12</f>
        <v>0</v>
      </c>
      <c r="G20" s="95">
        <f>Assumptions!$H13/12</f>
        <v>0</v>
      </c>
      <c r="H20" s="95">
        <f>Assumptions!$H13/12</f>
        <v>0</v>
      </c>
      <c r="I20" s="99">
        <f>Assumptions!$H13/12</f>
        <v>0</v>
      </c>
      <c r="J20" s="95">
        <f>Assumptions!$H13/12</f>
        <v>0</v>
      </c>
      <c r="K20" s="95">
        <f>Assumptions!$H13/12</f>
        <v>0</v>
      </c>
      <c r="L20" s="95">
        <f>Assumptions!$H13/12</f>
        <v>0</v>
      </c>
      <c r="M20" s="99">
        <f>Assumptions!$H13/12</f>
        <v>0</v>
      </c>
      <c r="N20" s="95">
        <f>Assumptions!$H13/12</f>
        <v>0</v>
      </c>
      <c r="O20" s="95">
        <f>Assumptions!$H13/12</f>
        <v>0</v>
      </c>
      <c r="P20" s="103">
        <f t="shared" ref="P20:P28" si="84">SUM(D20:O20)</f>
        <v>0</v>
      </c>
      <c r="Q20" s="91">
        <f>Assumptions!$I13/12</f>
        <v>0</v>
      </c>
      <c r="R20" s="99">
        <f>Assumptions!$I13/12</f>
        <v>0</v>
      </c>
      <c r="S20" s="99">
        <f>Assumptions!$I13/12</f>
        <v>0</v>
      </c>
      <c r="T20" s="99">
        <f>Assumptions!$I13/12</f>
        <v>0</v>
      </c>
      <c r="U20" s="99">
        <f>Assumptions!$I13/12</f>
        <v>0</v>
      </c>
      <c r="V20" s="99">
        <f>Assumptions!$I13/12</f>
        <v>0</v>
      </c>
      <c r="W20" s="99">
        <f>Assumptions!$I13/12</f>
        <v>0</v>
      </c>
      <c r="X20" s="99">
        <f>Assumptions!$I13/12</f>
        <v>0</v>
      </c>
      <c r="Y20" s="99">
        <f>Assumptions!$I13/12</f>
        <v>0</v>
      </c>
      <c r="Z20" s="99">
        <f>Assumptions!$I13/12</f>
        <v>0</v>
      </c>
      <c r="AA20" s="95">
        <f>Assumptions!$I13/12</f>
        <v>0</v>
      </c>
      <c r="AB20" s="107">
        <f>Assumptions!$I13/12</f>
        <v>0</v>
      </c>
      <c r="AC20" s="103">
        <f t="shared" ref="AC20:AC28" si="85">SUM(Q20:AB20)</f>
        <v>0</v>
      </c>
      <c r="AD20" s="91">
        <f>Assumptions!$J13/12</f>
        <v>0</v>
      </c>
      <c r="AE20" s="99">
        <f>Assumptions!$J13/12</f>
        <v>0</v>
      </c>
      <c r="AF20" s="99">
        <f>Assumptions!$J13/12</f>
        <v>0</v>
      </c>
      <c r="AG20" s="99">
        <f>Assumptions!$J13/12</f>
        <v>0</v>
      </c>
      <c r="AH20" s="99">
        <f>Assumptions!$J13/12</f>
        <v>0</v>
      </c>
      <c r="AI20" s="99">
        <f>Assumptions!$J13/12</f>
        <v>0</v>
      </c>
      <c r="AJ20" s="99">
        <f>Assumptions!$J13/12</f>
        <v>0</v>
      </c>
      <c r="AK20" s="99">
        <f>Assumptions!$J13/12</f>
        <v>0</v>
      </c>
      <c r="AL20" s="99">
        <f>Assumptions!$J13/12</f>
        <v>0</v>
      </c>
      <c r="AM20" s="99">
        <f>Assumptions!$J13/12</f>
        <v>0</v>
      </c>
      <c r="AN20" s="95">
        <f>Assumptions!$J13/12</f>
        <v>0</v>
      </c>
      <c r="AO20" s="107">
        <f>Assumptions!$J13/12</f>
        <v>0</v>
      </c>
      <c r="AP20" s="103">
        <f t="shared" ref="AP20:AP28" si="86">SUM(AD20:AO20)</f>
        <v>0</v>
      </c>
      <c r="AQ20" s="91">
        <f>Assumptions!$K13/12</f>
        <v>0</v>
      </c>
      <c r="AR20" s="99">
        <f>Assumptions!$K13/12</f>
        <v>0</v>
      </c>
      <c r="AS20" s="99">
        <f>Assumptions!$K13/12</f>
        <v>0</v>
      </c>
      <c r="AT20" s="99">
        <f>Assumptions!$K13/12</f>
        <v>0</v>
      </c>
      <c r="AU20" s="99">
        <f>Assumptions!$K13/12</f>
        <v>0</v>
      </c>
      <c r="AV20" s="99">
        <f>Assumptions!$K13/12</f>
        <v>0</v>
      </c>
      <c r="AW20" s="99">
        <f>Assumptions!$K13/12</f>
        <v>0</v>
      </c>
      <c r="AX20" s="99">
        <f>Assumptions!$K13/12</f>
        <v>0</v>
      </c>
      <c r="AY20" s="99">
        <f>Assumptions!$K13/12</f>
        <v>0</v>
      </c>
      <c r="AZ20" s="99">
        <f>Assumptions!$K13/12</f>
        <v>0</v>
      </c>
      <c r="BA20" s="95">
        <f>Assumptions!$K13/12</f>
        <v>0</v>
      </c>
      <c r="BB20" s="107">
        <f>Assumptions!$K13/12</f>
        <v>0</v>
      </c>
      <c r="BC20" s="103">
        <f t="shared" ref="BC20:BC28" si="87">SUM(AQ20:BB20)</f>
        <v>0</v>
      </c>
      <c r="BD20" s="91">
        <f>Assumptions!$L13/12</f>
        <v>0</v>
      </c>
      <c r="BE20" s="99">
        <f>Assumptions!$L13/12</f>
        <v>0</v>
      </c>
      <c r="BF20" s="99">
        <f>Assumptions!$L13/12</f>
        <v>0</v>
      </c>
      <c r="BG20" s="99">
        <f>Assumptions!$L13/12</f>
        <v>0</v>
      </c>
      <c r="BH20" s="99">
        <f>Assumptions!$L13/12</f>
        <v>0</v>
      </c>
      <c r="BI20" s="99">
        <f>Assumptions!$L13/12</f>
        <v>0</v>
      </c>
      <c r="BJ20" s="99">
        <f>Assumptions!$L13/12</f>
        <v>0</v>
      </c>
      <c r="BK20" s="99">
        <f>Assumptions!$L13/12</f>
        <v>0</v>
      </c>
      <c r="BL20" s="99">
        <f>Assumptions!$L13/12</f>
        <v>0</v>
      </c>
      <c r="BM20" s="99">
        <f>Assumptions!$L13/12</f>
        <v>0</v>
      </c>
      <c r="BN20" s="95">
        <f>Assumptions!$L13/12</f>
        <v>0</v>
      </c>
      <c r="BO20" s="107">
        <f>Assumptions!$L13/12</f>
        <v>0</v>
      </c>
      <c r="BP20" s="103">
        <f t="shared" ref="BP20:BP28" si="88">SUM(BD20:BO20)</f>
        <v>0</v>
      </c>
      <c r="BQ20" s="91">
        <f>Assumptions!$M13/12</f>
        <v>0</v>
      </c>
      <c r="BR20" s="99">
        <f>Assumptions!$M13/12</f>
        <v>0</v>
      </c>
      <c r="BS20" s="99">
        <f>Assumptions!$M13/12</f>
        <v>0</v>
      </c>
      <c r="BT20" s="99">
        <f>Assumptions!$M13/12</f>
        <v>0</v>
      </c>
      <c r="BU20" s="99">
        <f>Assumptions!$M13/12</f>
        <v>0</v>
      </c>
      <c r="BV20" s="99">
        <f>Assumptions!$M13/12</f>
        <v>0</v>
      </c>
      <c r="BW20" s="99">
        <f>Assumptions!$M13/12</f>
        <v>0</v>
      </c>
      <c r="BX20" s="99">
        <f>Assumptions!$M13/12</f>
        <v>0</v>
      </c>
      <c r="BY20" s="99">
        <f>Assumptions!$M13/12</f>
        <v>0</v>
      </c>
      <c r="BZ20" s="99">
        <f>Assumptions!$M13/12</f>
        <v>0</v>
      </c>
      <c r="CA20" s="95">
        <f>Assumptions!$M13/12</f>
        <v>0</v>
      </c>
      <c r="CB20" s="107">
        <f>Assumptions!$M13/12</f>
        <v>0</v>
      </c>
      <c r="CC20" s="103">
        <f t="shared" ref="CC20:CC28" si="89">SUM(BQ20:CB20)</f>
        <v>0</v>
      </c>
      <c r="CD20" s="91">
        <f>Assumptions!$N13/12</f>
        <v>0</v>
      </c>
      <c r="CE20" s="95">
        <f>Assumptions!$N13/12</f>
        <v>0</v>
      </c>
      <c r="CF20" s="95">
        <f>Assumptions!$N13/12</f>
        <v>0</v>
      </c>
      <c r="CG20" s="95">
        <f>Assumptions!$N13/12</f>
        <v>0</v>
      </c>
      <c r="CH20" s="99">
        <f>Assumptions!$N13/12</f>
        <v>0</v>
      </c>
      <c r="CI20" s="99">
        <f>Assumptions!$N13/12</f>
        <v>0</v>
      </c>
      <c r="CJ20" s="99">
        <f>Assumptions!$N13/12</f>
        <v>0</v>
      </c>
      <c r="CK20" s="99">
        <f>Assumptions!$N13/12</f>
        <v>0</v>
      </c>
      <c r="CL20" s="99">
        <f>Assumptions!$N13/12</f>
        <v>0</v>
      </c>
      <c r="CM20" s="99">
        <f>Assumptions!$N13/12</f>
        <v>0</v>
      </c>
      <c r="CN20" s="95">
        <f>Assumptions!$N13/12</f>
        <v>0</v>
      </c>
      <c r="CO20" s="107">
        <f>Assumptions!$N13/12</f>
        <v>0</v>
      </c>
      <c r="CP20" s="103">
        <f t="shared" ref="CP20:CP28" si="90">SUM(CD20:CO20)</f>
        <v>0</v>
      </c>
    </row>
    <row r="21" spans="1:94">
      <c r="B21" s="113" t="s">
        <v>67</v>
      </c>
      <c r="C21" s="383">
        <f>Assumptions!G14/12</f>
        <v>0</v>
      </c>
      <c r="D21" s="99">
        <f>Assumptions!$H14/12</f>
        <v>35.0625</v>
      </c>
      <c r="E21" s="91">
        <f>Assumptions!$H14/12</f>
        <v>35.0625</v>
      </c>
      <c r="F21" s="95">
        <f>Assumptions!$H14/12</f>
        <v>35.0625</v>
      </c>
      <c r="G21" s="95">
        <f>Assumptions!$H14/12</f>
        <v>35.0625</v>
      </c>
      <c r="H21" s="95">
        <f>Assumptions!$H14/12</f>
        <v>35.0625</v>
      </c>
      <c r="I21" s="99">
        <f>Assumptions!$H14/12</f>
        <v>35.0625</v>
      </c>
      <c r="J21" s="95">
        <f>Assumptions!$H14/12</f>
        <v>35.0625</v>
      </c>
      <c r="K21" s="95">
        <f>Assumptions!$H14/12</f>
        <v>35.0625</v>
      </c>
      <c r="L21" s="95">
        <f>Assumptions!$H14/12</f>
        <v>35.0625</v>
      </c>
      <c r="M21" s="99">
        <f>Assumptions!$H14/12</f>
        <v>35.0625</v>
      </c>
      <c r="N21" s="95">
        <f>Assumptions!$H14/12</f>
        <v>35.0625</v>
      </c>
      <c r="O21" s="95">
        <f>Assumptions!$H14/12</f>
        <v>35.0625</v>
      </c>
      <c r="P21" s="103">
        <f t="shared" si="84"/>
        <v>420.75</v>
      </c>
      <c r="Q21" s="91">
        <f>Assumptions!$I14/12</f>
        <v>35.0625</v>
      </c>
      <c r="R21" s="99">
        <f>Assumptions!$I14/12</f>
        <v>35.0625</v>
      </c>
      <c r="S21" s="99">
        <f>Assumptions!$I14/12</f>
        <v>35.0625</v>
      </c>
      <c r="T21" s="99">
        <f>Assumptions!$I14/12</f>
        <v>35.0625</v>
      </c>
      <c r="U21" s="99">
        <f>Assumptions!$I14/12</f>
        <v>35.0625</v>
      </c>
      <c r="V21" s="99">
        <f>Assumptions!$I14/12</f>
        <v>35.0625</v>
      </c>
      <c r="W21" s="99">
        <f>Assumptions!$I14/12</f>
        <v>35.0625</v>
      </c>
      <c r="X21" s="99">
        <f>Assumptions!$I14/12</f>
        <v>35.0625</v>
      </c>
      <c r="Y21" s="99">
        <f>Assumptions!$I14/12</f>
        <v>35.0625</v>
      </c>
      <c r="Z21" s="99">
        <f>Assumptions!$I14/12</f>
        <v>35.0625</v>
      </c>
      <c r="AA21" s="95">
        <f>Assumptions!$I14/12</f>
        <v>35.0625</v>
      </c>
      <c r="AB21" s="107">
        <f>Assumptions!$I14/12</f>
        <v>35.0625</v>
      </c>
      <c r="AC21" s="103">
        <f t="shared" si="85"/>
        <v>420.75</v>
      </c>
      <c r="AD21" s="91">
        <f>Assumptions!$J14/12</f>
        <v>35.0625</v>
      </c>
      <c r="AE21" s="99">
        <f>Assumptions!$J14/12</f>
        <v>35.0625</v>
      </c>
      <c r="AF21" s="99">
        <f>Assumptions!$J14/12</f>
        <v>35.0625</v>
      </c>
      <c r="AG21" s="99">
        <f>Assumptions!$J14/12</f>
        <v>35.0625</v>
      </c>
      <c r="AH21" s="99">
        <f>Assumptions!$J14/12</f>
        <v>35.0625</v>
      </c>
      <c r="AI21" s="99">
        <f>Assumptions!$J14/12</f>
        <v>35.0625</v>
      </c>
      <c r="AJ21" s="99">
        <f>Assumptions!$J14/12</f>
        <v>35.0625</v>
      </c>
      <c r="AK21" s="99">
        <f>Assumptions!$J14/12</f>
        <v>35.0625</v>
      </c>
      <c r="AL21" s="99">
        <f>Assumptions!$J14/12</f>
        <v>35.0625</v>
      </c>
      <c r="AM21" s="99">
        <f>Assumptions!$J14/12</f>
        <v>35.0625</v>
      </c>
      <c r="AN21" s="95">
        <f>Assumptions!$J14/12</f>
        <v>35.0625</v>
      </c>
      <c r="AO21" s="107">
        <f>Assumptions!$J14/12</f>
        <v>35.0625</v>
      </c>
      <c r="AP21" s="103">
        <f t="shared" si="86"/>
        <v>420.75</v>
      </c>
      <c r="AQ21" s="91">
        <f>Assumptions!$K14/12</f>
        <v>35.0625</v>
      </c>
      <c r="AR21" s="99">
        <f>Assumptions!$K14/12</f>
        <v>35.0625</v>
      </c>
      <c r="AS21" s="99">
        <f>Assumptions!$K14/12</f>
        <v>35.0625</v>
      </c>
      <c r="AT21" s="99">
        <f>Assumptions!$K14/12</f>
        <v>35.0625</v>
      </c>
      <c r="AU21" s="99">
        <f>Assumptions!$K14/12</f>
        <v>35.0625</v>
      </c>
      <c r="AV21" s="99">
        <f>Assumptions!$K14/12</f>
        <v>35.0625</v>
      </c>
      <c r="AW21" s="99">
        <f>Assumptions!$K14/12</f>
        <v>35.0625</v>
      </c>
      <c r="AX21" s="99">
        <f>Assumptions!$K14/12</f>
        <v>35.0625</v>
      </c>
      <c r="AY21" s="99">
        <f>Assumptions!$K14/12</f>
        <v>35.0625</v>
      </c>
      <c r="AZ21" s="99">
        <f>Assumptions!$K14/12</f>
        <v>35.0625</v>
      </c>
      <c r="BA21" s="95">
        <f>Assumptions!$K14/12</f>
        <v>35.0625</v>
      </c>
      <c r="BB21" s="107">
        <f>Assumptions!$K14/12</f>
        <v>35.0625</v>
      </c>
      <c r="BC21" s="103">
        <f t="shared" si="87"/>
        <v>420.75</v>
      </c>
      <c r="BD21" s="91">
        <f>Assumptions!$L14/12</f>
        <v>35.0625</v>
      </c>
      <c r="BE21" s="99">
        <f>Assumptions!$L14/12</f>
        <v>35.0625</v>
      </c>
      <c r="BF21" s="99">
        <f>Assumptions!$L14/12</f>
        <v>35.0625</v>
      </c>
      <c r="BG21" s="99">
        <f>Assumptions!$L14/12</f>
        <v>35.0625</v>
      </c>
      <c r="BH21" s="99">
        <f>Assumptions!$L14/12</f>
        <v>35.0625</v>
      </c>
      <c r="BI21" s="99">
        <f>Assumptions!$L14/12</f>
        <v>35.0625</v>
      </c>
      <c r="BJ21" s="99">
        <f>Assumptions!$L14/12</f>
        <v>35.0625</v>
      </c>
      <c r="BK21" s="99">
        <f>Assumptions!$L14/12</f>
        <v>35.0625</v>
      </c>
      <c r="BL21" s="99">
        <f>Assumptions!$L14/12</f>
        <v>35.0625</v>
      </c>
      <c r="BM21" s="99">
        <f>Assumptions!$L14/12</f>
        <v>35.0625</v>
      </c>
      <c r="BN21" s="95">
        <f>Assumptions!$L14/12</f>
        <v>35.0625</v>
      </c>
      <c r="BO21" s="107">
        <f>Assumptions!$L14/12</f>
        <v>35.0625</v>
      </c>
      <c r="BP21" s="103">
        <f t="shared" si="88"/>
        <v>420.75</v>
      </c>
      <c r="BQ21" s="91">
        <f>Assumptions!$M14/12</f>
        <v>35.0625</v>
      </c>
      <c r="BR21" s="99">
        <f>Assumptions!$M14/12</f>
        <v>35.0625</v>
      </c>
      <c r="BS21" s="99">
        <f>Assumptions!$M14/12</f>
        <v>35.0625</v>
      </c>
      <c r="BT21" s="99">
        <f>Assumptions!$M14/12</f>
        <v>35.0625</v>
      </c>
      <c r="BU21" s="99">
        <f>Assumptions!$M14/12</f>
        <v>35.0625</v>
      </c>
      <c r="BV21" s="99">
        <f>Assumptions!$M14/12</f>
        <v>35.0625</v>
      </c>
      <c r="BW21" s="99">
        <f>Assumptions!$M14/12</f>
        <v>35.0625</v>
      </c>
      <c r="BX21" s="99">
        <f>Assumptions!$M14/12</f>
        <v>35.0625</v>
      </c>
      <c r="BY21" s="99">
        <f>Assumptions!$M14/12</f>
        <v>35.0625</v>
      </c>
      <c r="BZ21" s="99">
        <f>Assumptions!$M14/12</f>
        <v>35.0625</v>
      </c>
      <c r="CA21" s="95">
        <f>Assumptions!$M14/12</f>
        <v>35.0625</v>
      </c>
      <c r="CB21" s="107">
        <f>Assumptions!$M14/12</f>
        <v>35.0625</v>
      </c>
      <c r="CC21" s="103">
        <f t="shared" si="89"/>
        <v>420.75</v>
      </c>
      <c r="CD21" s="91">
        <f>Assumptions!$N14/12</f>
        <v>35.0625</v>
      </c>
      <c r="CE21" s="95">
        <f>Assumptions!$N14/12</f>
        <v>35.0625</v>
      </c>
      <c r="CF21" s="95">
        <f>Assumptions!$N14/12</f>
        <v>35.0625</v>
      </c>
      <c r="CG21" s="95">
        <f>Assumptions!$N14/12</f>
        <v>35.0625</v>
      </c>
      <c r="CH21" s="99">
        <f>Assumptions!$N14/12</f>
        <v>35.0625</v>
      </c>
      <c r="CI21" s="99">
        <f>Assumptions!$N14/12</f>
        <v>35.0625</v>
      </c>
      <c r="CJ21" s="99">
        <f>Assumptions!$N14/12</f>
        <v>35.0625</v>
      </c>
      <c r="CK21" s="99">
        <f>Assumptions!$N14/12</f>
        <v>35.0625</v>
      </c>
      <c r="CL21" s="99">
        <f>Assumptions!$N14/12</f>
        <v>35.0625</v>
      </c>
      <c r="CM21" s="99">
        <f>Assumptions!$N14/12</f>
        <v>35.0625</v>
      </c>
      <c r="CN21" s="95">
        <f>Assumptions!$N14/12</f>
        <v>35.0625</v>
      </c>
      <c r="CO21" s="107">
        <f>Assumptions!$N14/12</f>
        <v>35.0625</v>
      </c>
      <c r="CP21" s="103">
        <f t="shared" si="90"/>
        <v>420.75</v>
      </c>
    </row>
    <row r="22" spans="1:94">
      <c r="B22" s="113" t="s">
        <v>69</v>
      </c>
      <c r="C22" s="383">
        <f>Assumptions!G15/12</f>
        <v>0</v>
      </c>
      <c r="D22" s="99">
        <f>Assumptions!$H15/12</f>
        <v>16.362500000000001</v>
      </c>
      <c r="E22" s="91">
        <f>Assumptions!$H15/12</f>
        <v>16.362500000000001</v>
      </c>
      <c r="F22" s="95">
        <f>Assumptions!$H15/12</f>
        <v>16.362500000000001</v>
      </c>
      <c r="G22" s="95">
        <f>Assumptions!$H15/12</f>
        <v>16.362500000000001</v>
      </c>
      <c r="H22" s="95">
        <f>Assumptions!$H15/12</f>
        <v>16.362500000000001</v>
      </c>
      <c r="I22" s="99">
        <f>Assumptions!$H15/12</f>
        <v>16.362500000000001</v>
      </c>
      <c r="J22" s="95">
        <f>Assumptions!$H15/12</f>
        <v>16.362500000000001</v>
      </c>
      <c r="K22" s="95">
        <f>Assumptions!$H15/12</f>
        <v>16.362500000000001</v>
      </c>
      <c r="L22" s="95">
        <f>Assumptions!$H15/12</f>
        <v>16.362500000000001</v>
      </c>
      <c r="M22" s="99">
        <f>Assumptions!$H15/12</f>
        <v>16.362500000000001</v>
      </c>
      <c r="N22" s="95">
        <f>Assumptions!$H15/12</f>
        <v>16.362500000000001</v>
      </c>
      <c r="O22" s="95">
        <f>Assumptions!$H15/12</f>
        <v>16.362500000000001</v>
      </c>
      <c r="P22" s="103">
        <f t="shared" si="84"/>
        <v>196.35000000000005</v>
      </c>
      <c r="Q22" s="91">
        <f>Assumptions!$I15/12</f>
        <v>16.362500000000001</v>
      </c>
      <c r="R22" s="99">
        <f>Assumptions!$I15/12</f>
        <v>16.362500000000001</v>
      </c>
      <c r="S22" s="99">
        <f>Assumptions!$I15/12</f>
        <v>16.362500000000001</v>
      </c>
      <c r="T22" s="99">
        <f>Assumptions!$I15/12</f>
        <v>16.362500000000001</v>
      </c>
      <c r="U22" s="99">
        <f>Assumptions!$I15/12</f>
        <v>16.362500000000001</v>
      </c>
      <c r="V22" s="99">
        <f>Assumptions!$I15/12</f>
        <v>16.362500000000001</v>
      </c>
      <c r="W22" s="99">
        <f>Assumptions!$I15/12</f>
        <v>16.362500000000001</v>
      </c>
      <c r="X22" s="99">
        <f>Assumptions!$I15/12</f>
        <v>16.362500000000001</v>
      </c>
      <c r="Y22" s="99">
        <f>Assumptions!$I15/12</f>
        <v>16.362500000000001</v>
      </c>
      <c r="Z22" s="99">
        <f>Assumptions!$I15/12</f>
        <v>16.362500000000001</v>
      </c>
      <c r="AA22" s="95">
        <f>Assumptions!$I15/12</f>
        <v>16.362500000000001</v>
      </c>
      <c r="AB22" s="107">
        <f>Assumptions!$I15/12</f>
        <v>16.362500000000001</v>
      </c>
      <c r="AC22" s="103">
        <f t="shared" si="85"/>
        <v>196.35000000000005</v>
      </c>
      <c r="AD22" s="91">
        <f>Assumptions!$J15/12</f>
        <v>16.362500000000001</v>
      </c>
      <c r="AE22" s="99">
        <f>Assumptions!$J15/12</f>
        <v>16.362500000000001</v>
      </c>
      <c r="AF22" s="99">
        <f>Assumptions!$J15/12</f>
        <v>16.362500000000001</v>
      </c>
      <c r="AG22" s="99">
        <f>Assumptions!$J15/12</f>
        <v>16.362500000000001</v>
      </c>
      <c r="AH22" s="99">
        <f>Assumptions!$J15/12</f>
        <v>16.362500000000001</v>
      </c>
      <c r="AI22" s="99">
        <f>Assumptions!$J15/12</f>
        <v>16.362500000000001</v>
      </c>
      <c r="AJ22" s="99">
        <f>Assumptions!$J15/12</f>
        <v>16.362500000000001</v>
      </c>
      <c r="AK22" s="99">
        <f>Assumptions!$J15/12</f>
        <v>16.362500000000001</v>
      </c>
      <c r="AL22" s="99">
        <f>Assumptions!$J15/12</f>
        <v>16.362500000000001</v>
      </c>
      <c r="AM22" s="99">
        <f>Assumptions!$J15/12</f>
        <v>16.362500000000001</v>
      </c>
      <c r="AN22" s="95">
        <f>Assumptions!$J15/12</f>
        <v>16.362500000000001</v>
      </c>
      <c r="AO22" s="107">
        <f>Assumptions!$J15/12</f>
        <v>16.362500000000001</v>
      </c>
      <c r="AP22" s="103">
        <f t="shared" si="86"/>
        <v>196.35000000000005</v>
      </c>
      <c r="AQ22" s="91">
        <f>Assumptions!$K15/12</f>
        <v>16.362500000000001</v>
      </c>
      <c r="AR22" s="99">
        <f>Assumptions!$K15/12</f>
        <v>16.362500000000001</v>
      </c>
      <c r="AS22" s="99">
        <f>Assumptions!$K15/12</f>
        <v>16.362500000000001</v>
      </c>
      <c r="AT22" s="99">
        <f>Assumptions!$K15/12</f>
        <v>16.362500000000001</v>
      </c>
      <c r="AU22" s="99">
        <f>Assumptions!$K15/12</f>
        <v>16.362500000000001</v>
      </c>
      <c r="AV22" s="99">
        <f>Assumptions!$K15/12</f>
        <v>16.362500000000001</v>
      </c>
      <c r="AW22" s="99">
        <f>Assumptions!$K15/12</f>
        <v>16.362500000000001</v>
      </c>
      <c r="AX22" s="99">
        <f>Assumptions!$K15/12</f>
        <v>16.362500000000001</v>
      </c>
      <c r="AY22" s="99">
        <f>Assumptions!$K15/12</f>
        <v>16.362500000000001</v>
      </c>
      <c r="AZ22" s="99">
        <f>Assumptions!$K15/12</f>
        <v>16.362500000000001</v>
      </c>
      <c r="BA22" s="95">
        <f>Assumptions!$K15/12</f>
        <v>16.362500000000001</v>
      </c>
      <c r="BB22" s="107">
        <f>Assumptions!$K15/12</f>
        <v>16.362500000000001</v>
      </c>
      <c r="BC22" s="103">
        <f t="shared" si="87"/>
        <v>196.35000000000005</v>
      </c>
      <c r="BD22" s="91">
        <f>Assumptions!$L15/12</f>
        <v>16.362500000000001</v>
      </c>
      <c r="BE22" s="99">
        <f>Assumptions!$L15/12</f>
        <v>16.362500000000001</v>
      </c>
      <c r="BF22" s="99">
        <f>Assumptions!$L15/12</f>
        <v>16.362500000000001</v>
      </c>
      <c r="BG22" s="99">
        <f>Assumptions!$L15/12</f>
        <v>16.362500000000001</v>
      </c>
      <c r="BH22" s="99">
        <f>Assumptions!$L15/12</f>
        <v>16.362500000000001</v>
      </c>
      <c r="BI22" s="99">
        <f>Assumptions!$L15/12</f>
        <v>16.362500000000001</v>
      </c>
      <c r="BJ22" s="99">
        <f>Assumptions!$L15/12</f>
        <v>16.362500000000001</v>
      </c>
      <c r="BK22" s="99">
        <f>Assumptions!$L15/12</f>
        <v>16.362500000000001</v>
      </c>
      <c r="BL22" s="99">
        <f>Assumptions!$L15/12</f>
        <v>16.362500000000001</v>
      </c>
      <c r="BM22" s="99">
        <f>Assumptions!$L15/12</f>
        <v>16.362500000000001</v>
      </c>
      <c r="BN22" s="95">
        <f>Assumptions!$L15/12</f>
        <v>16.362500000000001</v>
      </c>
      <c r="BO22" s="107">
        <f>Assumptions!$L15/12</f>
        <v>16.362500000000001</v>
      </c>
      <c r="BP22" s="103">
        <f t="shared" si="88"/>
        <v>196.35000000000005</v>
      </c>
      <c r="BQ22" s="91">
        <f>Assumptions!$M15/12</f>
        <v>16.362500000000001</v>
      </c>
      <c r="BR22" s="99">
        <f>Assumptions!$M15/12</f>
        <v>16.362500000000001</v>
      </c>
      <c r="BS22" s="99">
        <f>Assumptions!$M15/12</f>
        <v>16.362500000000001</v>
      </c>
      <c r="BT22" s="99">
        <f>Assumptions!$M15/12</f>
        <v>16.362500000000001</v>
      </c>
      <c r="BU22" s="99">
        <f>Assumptions!$M15/12</f>
        <v>16.362500000000001</v>
      </c>
      <c r="BV22" s="99">
        <f>Assumptions!$M15/12</f>
        <v>16.362500000000001</v>
      </c>
      <c r="BW22" s="99">
        <f>Assumptions!$M15/12</f>
        <v>16.362500000000001</v>
      </c>
      <c r="BX22" s="99">
        <f>Assumptions!$M15/12</f>
        <v>16.362500000000001</v>
      </c>
      <c r="BY22" s="99">
        <f>Assumptions!$M15/12</f>
        <v>16.362500000000001</v>
      </c>
      <c r="BZ22" s="99">
        <f>Assumptions!$M15/12</f>
        <v>16.362500000000001</v>
      </c>
      <c r="CA22" s="95">
        <f>Assumptions!$M15/12</f>
        <v>16.362500000000001</v>
      </c>
      <c r="CB22" s="107">
        <f>Assumptions!$M15/12</f>
        <v>16.362500000000001</v>
      </c>
      <c r="CC22" s="103">
        <f t="shared" si="89"/>
        <v>196.35000000000005</v>
      </c>
      <c r="CD22" s="91">
        <f>Assumptions!$N15/12</f>
        <v>16.362500000000001</v>
      </c>
      <c r="CE22" s="95">
        <f>Assumptions!$N15/12</f>
        <v>16.362500000000001</v>
      </c>
      <c r="CF22" s="95">
        <f>Assumptions!$N15/12</f>
        <v>16.362500000000001</v>
      </c>
      <c r="CG22" s="95">
        <f>Assumptions!$N15/12</f>
        <v>16.362500000000001</v>
      </c>
      <c r="CH22" s="99">
        <f>Assumptions!$N15/12</f>
        <v>16.362500000000001</v>
      </c>
      <c r="CI22" s="99">
        <f>Assumptions!$N15/12</f>
        <v>16.362500000000001</v>
      </c>
      <c r="CJ22" s="99">
        <f>Assumptions!$N15/12</f>
        <v>16.362500000000001</v>
      </c>
      <c r="CK22" s="99">
        <f>Assumptions!$N15/12</f>
        <v>16.362500000000001</v>
      </c>
      <c r="CL22" s="99">
        <f>Assumptions!$N15/12</f>
        <v>16.362500000000001</v>
      </c>
      <c r="CM22" s="99">
        <f>Assumptions!$N15/12</f>
        <v>16.362500000000001</v>
      </c>
      <c r="CN22" s="95">
        <f>Assumptions!$N15/12</f>
        <v>16.362500000000001</v>
      </c>
      <c r="CO22" s="107">
        <f>Assumptions!$N15/12</f>
        <v>16.362500000000001</v>
      </c>
      <c r="CP22" s="103">
        <f t="shared" si="90"/>
        <v>196.35000000000005</v>
      </c>
    </row>
    <row r="23" spans="1:94">
      <c r="B23" s="113" t="s">
        <v>70</v>
      </c>
      <c r="C23" s="383">
        <f>Assumptions!G16/12</f>
        <v>0</v>
      </c>
      <c r="D23" s="99">
        <f>Assumptions!$H16/12</f>
        <v>0</v>
      </c>
      <c r="E23" s="91">
        <f>Assumptions!$H16/12</f>
        <v>0</v>
      </c>
      <c r="F23" s="95">
        <f>Assumptions!$H16/12</f>
        <v>0</v>
      </c>
      <c r="G23" s="95">
        <f>Assumptions!$H16/12</f>
        <v>0</v>
      </c>
      <c r="H23" s="95">
        <f>Assumptions!$H16/12</f>
        <v>0</v>
      </c>
      <c r="I23" s="99">
        <f>Assumptions!$H16/12</f>
        <v>0</v>
      </c>
      <c r="J23" s="95">
        <f>Assumptions!$H16/12</f>
        <v>0</v>
      </c>
      <c r="K23" s="95">
        <f>Assumptions!$H16/12</f>
        <v>0</v>
      </c>
      <c r="L23" s="95">
        <f>Assumptions!$H16/12</f>
        <v>0</v>
      </c>
      <c r="M23" s="99">
        <f>Assumptions!$H16/12</f>
        <v>0</v>
      </c>
      <c r="N23" s="95">
        <f>Assumptions!$H16/12</f>
        <v>0</v>
      </c>
      <c r="O23" s="95">
        <f>Assumptions!$H16/12</f>
        <v>0</v>
      </c>
      <c r="P23" s="103">
        <f t="shared" si="84"/>
        <v>0</v>
      </c>
      <c r="Q23" s="91">
        <f>Assumptions!$I16/12</f>
        <v>0</v>
      </c>
      <c r="R23" s="99">
        <f>Assumptions!$I16/12</f>
        <v>0</v>
      </c>
      <c r="S23" s="99">
        <f>Assumptions!$I16/12</f>
        <v>0</v>
      </c>
      <c r="T23" s="99">
        <f>Assumptions!$I16/12</f>
        <v>0</v>
      </c>
      <c r="U23" s="99">
        <f>Assumptions!$I16/12</f>
        <v>0</v>
      </c>
      <c r="V23" s="99">
        <f>Assumptions!$I16/12</f>
        <v>0</v>
      </c>
      <c r="W23" s="99">
        <f>Assumptions!$I16/12</f>
        <v>0</v>
      </c>
      <c r="X23" s="99">
        <f>Assumptions!$I16/12</f>
        <v>0</v>
      </c>
      <c r="Y23" s="99">
        <f>Assumptions!$I16/12</f>
        <v>0</v>
      </c>
      <c r="Z23" s="99">
        <f>Assumptions!$I16/12</f>
        <v>0</v>
      </c>
      <c r="AA23" s="95">
        <f>Assumptions!$I16/12</f>
        <v>0</v>
      </c>
      <c r="AB23" s="107">
        <f>Assumptions!$I16/12</f>
        <v>0</v>
      </c>
      <c r="AC23" s="103">
        <f t="shared" si="85"/>
        <v>0</v>
      </c>
      <c r="AD23" s="91">
        <f>Assumptions!$J16/12</f>
        <v>0</v>
      </c>
      <c r="AE23" s="99">
        <f>Assumptions!$J16/12</f>
        <v>0</v>
      </c>
      <c r="AF23" s="99">
        <f>Assumptions!$J16/12</f>
        <v>0</v>
      </c>
      <c r="AG23" s="99">
        <f>Assumptions!$J16/12</f>
        <v>0</v>
      </c>
      <c r="AH23" s="99">
        <f>Assumptions!$J16/12</f>
        <v>0</v>
      </c>
      <c r="AI23" s="99">
        <f>Assumptions!$J16/12</f>
        <v>0</v>
      </c>
      <c r="AJ23" s="99">
        <f>Assumptions!$J16/12</f>
        <v>0</v>
      </c>
      <c r="AK23" s="99">
        <f>Assumptions!$J16/12</f>
        <v>0</v>
      </c>
      <c r="AL23" s="99">
        <f>Assumptions!$J16/12</f>
        <v>0</v>
      </c>
      <c r="AM23" s="99">
        <f>Assumptions!$J16/12</f>
        <v>0</v>
      </c>
      <c r="AN23" s="95">
        <f>Assumptions!$J16/12</f>
        <v>0</v>
      </c>
      <c r="AO23" s="107">
        <f>Assumptions!$J16/12</f>
        <v>0</v>
      </c>
      <c r="AP23" s="103">
        <f t="shared" si="86"/>
        <v>0</v>
      </c>
      <c r="AQ23" s="91">
        <f>Assumptions!$K16/12</f>
        <v>0</v>
      </c>
      <c r="AR23" s="99">
        <f>Assumptions!$K16/12</f>
        <v>0</v>
      </c>
      <c r="AS23" s="99">
        <f>Assumptions!$K16/12</f>
        <v>0</v>
      </c>
      <c r="AT23" s="99">
        <f>Assumptions!$K16/12</f>
        <v>0</v>
      </c>
      <c r="AU23" s="99">
        <f>Assumptions!$K16/12</f>
        <v>0</v>
      </c>
      <c r="AV23" s="99">
        <f>Assumptions!$K16/12</f>
        <v>0</v>
      </c>
      <c r="AW23" s="99">
        <f>Assumptions!$K16/12</f>
        <v>0</v>
      </c>
      <c r="AX23" s="99">
        <f>Assumptions!$K16/12</f>
        <v>0</v>
      </c>
      <c r="AY23" s="99">
        <f>Assumptions!$K16/12</f>
        <v>0</v>
      </c>
      <c r="AZ23" s="99">
        <f>Assumptions!$K16/12</f>
        <v>0</v>
      </c>
      <c r="BA23" s="95">
        <f>Assumptions!$K16/12</f>
        <v>0</v>
      </c>
      <c r="BB23" s="107">
        <f>Assumptions!$K16/12</f>
        <v>0</v>
      </c>
      <c r="BC23" s="103">
        <f t="shared" si="87"/>
        <v>0</v>
      </c>
      <c r="BD23" s="91">
        <f>Assumptions!$L16/12</f>
        <v>0</v>
      </c>
      <c r="BE23" s="99">
        <f>Assumptions!$L16/12</f>
        <v>0</v>
      </c>
      <c r="BF23" s="99">
        <f>Assumptions!$L16/12</f>
        <v>0</v>
      </c>
      <c r="BG23" s="99">
        <f>Assumptions!$L16/12</f>
        <v>0</v>
      </c>
      <c r="BH23" s="99">
        <f>Assumptions!$L16/12</f>
        <v>0</v>
      </c>
      <c r="BI23" s="99">
        <f>Assumptions!$L16/12</f>
        <v>0</v>
      </c>
      <c r="BJ23" s="99">
        <f>Assumptions!$L16/12</f>
        <v>0</v>
      </c>
      <c r="BK23" s="99">
        <f>Assumptions!$L16/12</f>
        <v>0</v>
      </c>
      <c r="BL23" s="99">
        <f>Assumptions!$L16/12</f>
        <v>0</v>
      </c>
      <c r="BM23" s="99">
        <f>Assumptions!$L16/12</f>
        <v>0</v>
      </c>
      <c r="BN23" s="95">
        <f>Assumptions!$L16/12</f>
        <v>0</v>
      </c>
      <c r="BO23" s="107">
        <f>Assumptions!$L16/12</f>
        <v>0</v>
      </c>
      <c r="BP23" s="103">
        <f t="shared" si="88"/>
        <v>0</v>
      </c>
      <c r="BQ23" s="91">
        <f>Assumptions!$M16/12</f>
        <v>0</v>
      </c>
      <c r="BR23" s="99">
        <f>Assumptions!$M16/12</f>
        <v>0</v>
      </c>
      <c r="BS23" s="99">
        <f>Assumptions!$M16/12</f>
        <v>0</v>
      </c>
      <c r="BT23" s="99">
        <f>Assumptions!$M16/12</f>
        <v>0</v>
      </c>
      <c r="BU23" s="99">
        <f>Assumptions!$M16/12</f>
        <v>0</v>
      </c>
      <c r="BV23" s="99">
        <f>Assumptions!$M16/12</f>
        <v>0</v>
      </c>
      <c r="BW23" s="99">
        <f>Assumptions!$M16/12</f>
        <v>0</v>
      </c>
      <c r="BX23" s="99">
        <f>Assumptions!$M16/12</f>
        <v>0</v>
      </c>
      <c r="BY23" s="99">
        <f>Assumptions!$M16/12</f>
        <v>0</v>
      </c>
      <c r="BZ23" s="99">
        <f>Assumptions!$M16/12</f>
        <v>0</v>
      </c>
      <c r="CA23" s="95">
        <f>Assumptions!$M16/12</f>
        <v>0</v>
      </c>
      <c r="CB23" s="107">
        <f>Assumptions!$M16/12</f>
        <v>0</v>
      </c>
      <c r="CC23" s="103">
        <f t="shared" si="89"/>
        <v>0</v>
      </c>
      <c r="CD23" s="91">
        <f>Assumptions!$N16/12</f>
        <v>0</v>
      </c>
      <c r="CE23" s="95">
        <f>Assumptions!$N16/12</f>
        <v>0</v>
      </c>
      <c r="CF23" s="95">
        <f>Assumptions!$N16/12</f>
        <v>0</v>
      </c>
      <c r="CG23" s="95">
        <f>Assumptions!$N16/12</f>
        <v>0</v>
      </c>
      <c r="CH23" s="99">
        <f>Assumptions!$N16/12</f>
        <v>0</v>
      </c>
      <c r="CI23" s="99">
        <f>Assumptions!$N16/12</f>
        <v>0</v>
      </c>
      <c r="CJ23" s="99">
        <f>Assumptions!$N16/12</f>
        <v>0</v>
      </c>
      <c r="CK23" s="99">
        <f>Assumptions!$N16/12</f>
        <v>0</v>
      </c>
      <c r="CL23" s="99">
        <f>Assumptions!$N16/12</f>
        <v>0</v>
      </c>
      <c r="CM23" s="99">
        <f>Assumptions!$N16/12</f>
        <v>0</v>
      </c>
      <c r="CN23" s="95">
        <f>Assumptions!$N16/12</f>
        <v>0</v>
      </c>
      <c r="CO23" s="107">
        <f>Assumptions!$N16/12</f>
        <v>0</v>
      </c>
      <c r="CP23" s="103">
        <f t="shared" si="90"/>
        <v>0</v>
      </c>
    </row>
    <row r="24" spans="1:94">
      <c r="B24" s="113" t="s">
        <v>235</v>
      </c>
      <c r="C24" s="383">
        <f>Assumptions!G17/12</f>
        <v>200</v>
      </c>
      <c r="D24" s="99">
        <f>Assumptions!$H17/12</f>
        <v>425</v>
      </c>
      <c r="E24" s="91">
        <f>Assumptions!$H17/12</f>
        <v>425</v>
      </c>
      <c r="F24" s="95">
        <f>Assumptions!$H17/12</f>
        <v>425</v>
      </c>
      <c r="G24" s="95">
        <f>Assumptions!$H17/12</f>
        <v>425</v>
      </c>
      <c r="H24" s="95">
        <f>Assumptions!$H17/12</f>
        <v>425</v>
      </c>
      <c r="I24" s="99">
        <f>Assumptions!$H17/12</f>
        <v>425</v>
      </c>
      <c r="J24" s="95">
        <f>Assumptions!$H17/12</f>
        <v>425</v>
      </c>
      <c r="K24" s="95">
        <f>Assumptions!$H17/12</f>
        <v>425</v>
      </c>
      <c r="L24" s="95">
        <f>Assumptions!$H17/12</f>
        <v>425</v>
      </c>
      <c r="M24" s="99">
        <f>Assumptions!$H17/12</f>
        <v>425</v>
      </c>
      <c r="N24" s="95">
        <f>Assumptions!$H17/12</f>
        <v>425</v>
      </c>
      <c r="O24" s="95">
        <f>Assumptions!$H17/12</f>
        <v>425</v>
      </c>
      <c r="P24" s="103">
        <f t="shared" si="84"/>
        <v>5100</v>
      </c>
      <c r="Q24" s="91">
        <f>Assumptions!$I17/12</f>
        <v>425</v>
      </c>
      <c r="R24" s="99">
        <f>Assumptions!$I17/12</f>
        <v>425</v>
      </c>
      <c r="S24" s="99">
        <f>Assumptions!$I17/12</f>
        <v>425</v>
      </c>
      <c r="T24" s="99">
        <f>Assumptions!$I17/12</f>
        <v>425</v>
      </c>
      <c r="U24" s="99">
        <f>Assumptions!$I17/12</f>
        <v>425</v>
      </c>
      <c r="V24" s="99">
        <f>Assumptions!$I17/12</f>
        <v>425</v>
      </c>
      <c r="W24" s="99">
        <f>Assumptions!$I17/12</f>
        <v>425</v>
      </c>
      <c r="X24" s="99">
        <f>Assumptions!$I17/12</f>
        <v>425</v>
      </c>
      <c r="Y24" s="99">
        <f>Assumptions!$I17/12</f>
        <v>425</v>
      </c>
      <c r="Z24" s="99">
        <f>Assumptions!$I17/12</f>
        <v>425</v>
      </c>
      <c r="AA24" s="95">
        <f>Assumptions!$I17/12</f>
        <v>425</v>
      </c>
      <c r="AB24" s="107">
        <f>Assumptions!$I17/12</f>
        <v>425</v>
      </c>
      <c r="AC24" s="103">
        <f t="shared" si="85"/>
        <v>5100</v>
      </c>
      <c r="AD24" s="91">
        <f>Assumptions!$J17/12</f>
        <v>425</v>
      </c>
      <c r="AE24" s="99">
        <f>Assumptions!$J17/12</f>
        <v>425</v>
      </c>
      <c r="AF24" s="99">
        <f>Assumptions!$J17/12</f>
        <v>425</v>
      </c>
      <c r="AG24" s="99">
        <f>Assumptions!$J17/12</f>
        <v>425</v>
      </c>
      <c r="AH24" s="99">
        <f>Assumptions!$J17/12</f>
        <v>425</v>
      </c>
      <c r="AI24" s="99">
        <f>Assumptions!$J17/12</f>
        <v>425</v>
      </c>
      <c r="AJ24" s="99">
        <f>Assumptions!$J17/12</f>
        <v>425</v>
      </c>
      <c r="AK24" s="99">
        <f>Assumptions!$J17/12</f>
        <v>425</v>
      </c>
      <c r="AL24" s="99">
        <f>Assumptions!$J17/12</f>
        <v>425</v>
      </c>
      <c r="AM24" s="99">
        <f>Assumptions!$J17/12</f>
        <v>425</v>
      </c>
      <c r="AN24" s="95">
        <f>Assumptions!$J17/12</f>
        <v>425</v>
      </c>
      <c r="AO24" s="107">
        <f>Assumptions!$J17/12</f>
        <v>425</v>
      </c>
      <c r="AP24" s="103">
        <f t="shared" si="86"/>
        <v>5100</v>
      </c>
      <c r="AQ24" s="91">
        <f>Assumptions!$K17/12</f>
        <v>425</v>
      </c>
      <c r="AR24" s="99">
        <f>Assumptions!$K17/12</f>
        <v>425</v>
      </c>
      <c r="AS24" s="99">
        <f>Assumptions!$K17/12</f>
        <v>425</v>
      </c>
      <c r="AT24" s="99">
        <f>Assumptions!$K17/12</f>
        <v>425</v>
      </c>
      <c r="AU24" s="99">
        <f>Assumptions!$K17/12</f>
        <v>425</v>
      </c>
      <c r="AV24" s="99">
        <f>Assumptions!$K17/12</f>
        <v>425</v>
      </c>
      <c r="AW24" s="99">
        <f>Assumptions!$K17/12</f>
        <v>425</v>
      </c>
      <c r="AX24" s="99">
        <f>Assumptions!$K17/12</f>
        <v>425</v>
      </c>
      <c r="AY24" s="99">
        <f>Assumptions!$K17/12</f>
        <v>425</v>
      </c>
      <c r="AZ24" s="99">
        <f>Assumptions!$K17/12</f>
        <v>425</v>
      </c>
      <c r="BA24" s="95">
        <f>Assumptions!$K17/12</f>
        <v>425</v>
      </c>
      <c r="BB24" s="107">
        <f>Assumptions!$K17/12</f>
        <v>425</v>
      </c>
      <c r="BC24" s="103">
        <f t="shared" si="87"/>
        <v>5100</v>
      </c>
      <c r="BD24" s="91">
        <f>Assumptions!$L17/12</f>
        <v>425</v>
      </c>
      <c r="BE24" s="99">
        <f>Assumptions!$L17/12</f>
        <v>425</v>
      </c>
      <c r="BF24" s="99">
        <f>Assumptions!$L17/12</f>
        <v>425</v>
      </c>
      <c r="BG24" s="99">
        <f>Assumptions!$L17/12</f>
        <v>425</v>
      </c>
      <c r="BH24" s="99">
        <f>Assumptions!$L17/12</f>
        <v>425</v>
      </c>
      <c r="BI24" s="99">
        <f>Assumptions!$L17/12</f>
        <v>425</v>
      </c>
      <c r="BJ24" s="99">
        <f>Assumptions!$L17/12</f>
        <v>425</v>
      </c>
      <c r="BK24" s="99">
        <f>Assumptions!$L17/12</f>
        <v>425</v>
      </c>
      <c r="BL24" s="99">
        <f>Assumptions!$L17/12</f>
        <v>425</v>
      </c>
      <c r="BM24" s="99">
        <f>Assumptions!$L17/12</f>
        <v>425</v>
      </c>
      <c r="BN24" s="95">
        <f>Assumptions!$L17/12</f>
        <v>425</v>
      </c>
      <c r="BO24" s="107">
        <f>Assumptions!$L17/12</f>
        <v>425</v>
      </c>
      <c r="BP24" s="103">
        <f t="shared" si="88"/>
        <v>5100</v>
      </c>
      <c r="BQ24" s="91">
        <f>Assumptions!$M17/12</f>
        <v>425</v>
      </c>
      <c r="BR24" s="99">
        <f>Assumptions!$M17/12</f>
        <v>425</v>
      </c>
      <c r="BS24" s="99">
        <f>Assumptions!$M17/12</f>
        <v>425</v>
      </c>
      <c r="BT24" s="99">
        <f>Assumptions!$M17/12</f>
        <v>425</v>
      </c>
      <c r="BU24" s="99">
        <f>Assumptions!$M17/12</f>
        <v>425</v>
      </c>
      <c r="BV24" s="99">
        <f>Assumptions!$M17/12</f>
        <v>425</v>
      </c>
      <c r="BW24" s="99">
        <f>Assumptions!$M17/12</f>
        <v>425</v>
      </c>
      <c r="BX24" s="99">
        <f>Assumptions!$M17/12</f>
        <v>425</v>
      </c>
      <c r="BY24" s="99">
        <f>Assumptions!$M17/12</f>
        <v>425</v>
      </c>
      <c r="BZ24" s="99">
        <f>Assumptions!$M17/12</f>
        <v>425</v>
      </c>
      <c r="CA24" s="95">
        <f>Assumptions!$M17/12</f>
        <v>425</v>
      </c>
      <c r="CB24" s="107">
        <f>Assumptions!$M17/12</f>
        <v>425</v>
      </c>
      <c r="CC24" s="103">
        <f t="shared" si="89"/>
        <v>5100</v>
      </c>
      <c r="CD24" s="91">
        <f>Assumptions!$N17/12</f>
        <v>425</v>
      </c>
      <c r="CE24" s="95">
        <f>Assumptions!$N17/12</f>
        <v>425</v>
      </c>
      <c r="CF24" s="95">
        <f>Assumptions!$N17/12</f>
        <v>425</v>
      </c>
      <c r="CG24" s="95">
        <f>Assumptions!$N17/12</f>
        <v>425</v>
      </c>
      <c r="CH24" s="99">
        <f>Assumptions!$N17/12</f>
        <v>425</v>
      </c>
      <c r="CI24" s="99">
        <f>Assumptions!$N17/12</f>
        <v>425</v>
      </c>
      <c r="CJ24" s="99">
        <f>Assumptions!$N17/12</f>
        <v>425</v>
      </c>
      <c r="CK24" s="99">
        <f>Assumptions!$N17/12</f>
        <v>425</v>
      </c>
      <c r="CL24" s="99">
        <f>Assumptions!$N17/12</f>
        <v>425</v>
      </c>
      <c r="CM24" s="99">
        <f>Assumptions!$N17/12</f>
        <v>425</v>
      </c>
      <c r="CN24" s="95">
        <f>Assumptions!$N17/12</f>
        <v>425</v>
      </c>
      <c r="CO24" s="107">
        <f>Assumptions!$N17/12</f>
        <v>425</v>
      </c>
      <c r="CP24" s="103">
        <f t="shared" si="90"/>
        <v>5100</v>
      </c>
    </row>
    <row r="25" spans="1:94">
      <c r="B25" s="113" t="s">
        <v>71</v>
      </c>
      <c r="C25" s="383">
        <f>Assumptions!G18/12</f>
        <v>0</v>
      </c>
      <c r="D25" s="99">
        <f>Assumptions!$H18/12</f>
        <v>0</v>
      </c>
      <c r="E25" s="91">
        <f>Assumptions!$H18/12</f>
        <v>0</v>
      </c>
      <c r="F25" s="95">
        <f>Assumptions!$H18/12</f>
        <v>0</v>
      </c>
      <c r="G25" s="95">
        <f>Assumptions!$H18/12</f>
        <v>0</v>
      </c>
      <c r="H25" s="95">
        <f>Assumptions!$H18/12</f>
        <v>0</v>
      </c>
      <c r="I25" s="99">
        <f>Assumptions!$H18/12</f>
        <v>0</v>
      </c>
      <c r="J25" s="95">
        <f>Assumptions!$H18/12</f>
        <v>0</v>
      </c>
      <c r="K25" s="95">
        <f>Assumptions!$H18/12</f>
        <v>0</v>
      </c>
      <c r="L25" s="95">
        <f>Assumptions!$H18/12</f>
        <v>0</v>
      </c>
      <c r="M25" s="99">
        <f>Assumptions!$H18/12</f>
        <v>0</v>
      </c>
      <c r="N25" s="95">
        <f>Assumptions!$H18/12</f>
        <v>0</v>
      </c>
      <c r="O25" s="95">
        <f>Assumptions!$H18/12</f>
        <v>0</v>
      </c>
      <c r="P25" s="103">
        <f t="shared" si="84"/>
        <v>0</v>
      </c>
      <c r="Q25" s="91">
        <f>Assumptions!$I18/12</f>
        <v>0</v>
      </c>
      <c r="R25" s="99">
        <f>Assumptions!$I18/12</f>
        <v>0</v>
      </c>
      <c r="S25" s="99">
        <f>Assumptions!$I18/12</f>
        <v>0</v>
      </c>
      <c r="T25" s="99">
        <f>Assumptions!$I18/12</f>
        <v>0</v>
      </c>
      <c r="U25" s="99">
        <f>Assumptions!$I18/12</f>
        <v>0</v>
      </c>
      <c r="V25" s="99">
        <f>Assumptions!$I18/12</f>
        <v>0</v>
      </c>
      <c r="W25" s="99">
        <f>Assumptions!$I18/12</f>
        <v>0</v>
      </c>
      <c r="X25" s="99">
        <f>Assumptions!$I18/12</f>
        <v>0</v>
      </c>
      <c r="Y25" s="99">
        <f>Assumptions!$I18/12</f>
        <v>0</v>
      </c>
      <c r="Z25" s="99">
        <f>Assumptions!$I18/12</f>
        <v>0</v>
      </c>
      <c r="AA25" s="95">
        <f>Assumptions!$I18/12</f>
        <v>0</v>
      </c>
      <c r="AB25" s="107">
        <f>Assumptions!$I18/12</f>
        <v>0</v>
      </c>
      <c r="AC25" s="103">
        <f t="shared" si="85"/>
        <v>0</v>
      </c>
      <c r="AD25" s="91">
        <f>Assumptions!$J18/12</f>
        <v>0</v>
      </c>
      <c r="AE25" s="99">
        <f>Assumptions!$J18/12</f>
        <v>0</v>
      </c>
      <c r="AF25" s="99">
        <f>Assumptions!$J18/12</f>
        <v>0</v>
      </c>
      <c r="AG25" s="99">
        <f>Assumptions!$J18/12</f>
        <v>0</v>
      </c>
      <c r="AH25" s="99">
        <f>Assumptions!$J18/12</f>
        <v>0</v>
      </c>
      <c r="AI25" s="99">
        <f>Assumptions!$J18/12</f>
        <v>0</v>
      </c>
      <c r="AJ25" s="99">
        <f>Assumptions!$J18/12</f>
        <v>0</v>
      </c>
      <c r="AK25" s="99">
        <f>Assumptions!$J18/12</f>
        <v>0</v>
      </c>
      <c r="AL25" s="99">
        <f>Assumptions!$J18/12</f>
        <v>0</v>
      </c>
      <c r="AM25" s="99">
        <f>Assumptions!$J18/12</f>
        <v>0</v>
      </c>
      <c r="AN25" s="95">
        <f>Assumptions!$J18/12</f>
        <v>0</v>
      </c>
      <c r="AO25" s="107">
        <f>Assumptions!$J18/12</f>
        <v>0</v>
      </c>
      <c r="AP25" s="103">
        <f t="shared" si="86"/>
        <v>0</v>
      </c>
      <c r="AQ25" s="91">
        <f>Assumptions!$K18/12</f>
        <v>0</v>
      </c>
      <c r="AR25" s="99">
        <f>Assumptions!$K18/12</f>
        <v>0</v>
      </c>
      <c r="AS25" s="99">
        <f>Assumptions!$K18/12</f>
        <v>0</v>
      </c>
      <c r="AT25" s="99">
        <f>Assumptions!$K18/12</f>
        <v>0</v>
      </c>
      <c r="AU25" s="99">
        <f>Assumptions!$K18/12</f>
        <v>0</v>
      </c>
      <c r="AV25" s="99">
        <f>Assumptions!$K18/12</f>
        <v>0</v>
      </c>
      <c r="AW25" s="99">
        <f>Assumptions!$K18/12</f>
        <v>0</v>
      </c>
      <c r="AX25" s="99">
        <f>Assumptions!$K18/12</f>
        <v>0</v>
      </c>
      <c r="AY25" s="99">
        <f>Assumptions!$K18/12</f>
        <v>0</v>
      </c>
      <c r="AZ25" s="99">
        <f>Assumptions!$K18/12</f>
        <v>0</v>
      </c>
      <c r="BA25" s="95">
        <f>Assumptions!$K18/12</f>
        <v>0</v>
      </c>
      <c r="BB25" s="107">
        <f>Assumptions!$K18/12</f>
        <v>0</v>
      </c>
      <c r="BC25" s="103">
        <f t="shared" si="87"/>
        <v>0</v>
      </c>
      <c r="BD25" s="91">
        <f>Assumptions!$L18/12</f>
        <v>0</v>
      </c>
      <c r="BE25" s="99">
        <f>Assumptions!$L18/12</f>
        <v>0</v>
      </c>
      <c r="BF25" s="99">
        <f>Assumptions!$L18/12</f>
        <v>0</v>
      </c>
      <c r="BG25" s="99">
        <f>Assumptions!$L18/12</f>
        <v>0</v>
      </c>
      <c r="BH25" s="99">
        <f>Assumptions!$L18/12</f>
        <v>0</v>
      </c>
      <c r="BI25" s="99">
        <f>Assumptions!$L18/12</f>
        <v>0</v>
      </c>
      <c r="BJ25" s="99">
        <f>Assumptions!$L18/12</f>
        <v>0</v>
      </c>
      <c r="BK25" s="99">
        <f>Assumptions!$L18/12</f>
        <v>0</v>
      </c>
      <c r="BL25" s="99">
        <f>Assumptions!$L18/12</f>
        <v>0</v>
      </c>
      <c r="BM25" s="99">
        <f>Assumptions!$L18/12</f>
        <v>0</v>
      </c>
      <c r="BN25" s="95">
        <f>Assumptions!$L18/12</f>
        <v>0</v>
      </c>
      <c r="BO25" s="107">
        <f>Assumptions!$L18/12</f>
        <v>0</v>
      </c>
      <c r="BP25" s="103">
        <f t="shared" si="88"/>
        <v>0</v>
      </c>
      <c r="BQ25" s="91">
        <f>Assumptions!$M18/12</f>
        <v>0</v>
      </c>
      <c r="BR25" s="99">
        <f>Assumptions!$M18/12</f>
        <v>0</v>
      </c>
      <c r="BS25" s="99">
        <f>Assumptions!$M18/12</f>
        <v>0</v>
      </c>
      <c r="BT25" s="99">
        <f>Assumptions!$M18/12</f>
        <v>0</v>
      </c>
      <c r="BU25" s="99">
        <f>Assumptions!$M18/12</f>
        <v>0</v>
      </c>
      <c r="BV25" s="99">
        <f>Assumptions!$M18/12</f>
        <v>0</v>
      </c>
      <c r="BW25" s="99">
        <f>Assumptions!$M18/12</f>
        <v>0</v>
      </c>
      <c r="BX25" s="99">
        <f>Assumptions!$M18/12</f>
        <v>0</v>
      </c>
      <c r="BY25" s="99">
        <f>Assumptions!$M18/12</f>
        <v>0</v>
      </c>
      <c r="BZ25" s="99">
        <f>Assumptions!$M18/12</f>
        <v>0</v>
      </c>
      <c r="CA25" s="95">
        <f>Assumptions!$M18/12</f>
        <v>0</v>
      </c>
      <c r="CB25" s="107">
        <f>Assumptions!$M18/12</f>
        <v>0</v>
      </c>
      <c r="CC25" s="103">
        <f t="shared" si="89"/>
        <v>0</v>
      </c>
      <c r="CD25" s="91">
        <f>Assumptions!$N18/12</f>
        <v>0</v>
      </c>
      <c r="CE25" s="95">
        <f>Assumptions!$N18/12</f>
        <v>0</v>
      </c>
      <c r="CF25" s="95">
        <f>Assumptions!$N18/12</f>
        <v>0</v>
      </c>
      <c r="CG25" s="95">
        <f>Assumptions!$N18/12</f>
        <v>0</v>
      </c>
      <c r="CH25" s="99">
        <f>Assumptions!$N18/12</f>
        <v>0</v>
      </c>
      <c r="CI25" s="99">
        <f>Assumptions!$N18/12</f>
        <v>0</v>
      </c>
      <c r="CJ25" s="99">
        <f>Assumptions!$N18/12</f>
        <v>0</v>
      </c>
      <c r="CK25" s="99">
        <f>Assumptions!$N18/12</f>
        <v>0</v>
      </c>
      <c r="CL25" s="99">
        <f>Assumptions!$N18/12</f>
        <v>0</v>
      </c>
      <c r="CM25" s="99">
        <f>Assumptions!$N18/12</f>
        <v>0</v>
      </c>
      <c r="CN25" s="95">
        <f>Assumptions!$N18/12</f>
        <v>0</v>
      </c>
      <c r="CO25" s="107">
        <f>Assumptions!$N18/12</f>
        <v>0</v>
      </c>
      <c r="CP25" s="103">
        <f t="shared" si="90"/>
        <v>0</v>
      </c>
    </row>
    <row r="26" spans="1:94">
      <c r="B26" s="113" t="s">
        <v>72</v>
      </c>
      <c r="C26" s="383">
        <f>Assumptions!G19/12</f>
        <v>0</v>
      </c>
      <c r="D26" s="99">
        <f>Assumptions!$H19/12</f>
        <v>0</v>
      </c>
      <c r="E26" s="91">
        <f>Assumptions!$H19/12</f>
        <v>0</v>
      </c>
      <c r="F26" s="95">
        <f>Assumptions!$H19/12</f>
        <v>0</v>
      </c>
      <c r="G26" s="95">
        <f>Assumptions!$H19/12</f>
        <v>0</v>
      </c>
      <c r="H26" s="95">
        <f>Assumptions!$H19/12</f>
        <v>0</v>
      </c>
      <c r="I26" s="99">
        <f>Assumptions!$H19/12</f>
        <v>0</v>
      </c>
      <c r="J26" s="95">
        <f>Assumptions!$H19/12</f>
        <v>0</v>
      </c>
      <c r="K26" s="95">
        <f>Assumptions!$H19/12</f>
        <v>0</v>
      </c>
      <c r="L26" s="95">
        <f>Assumptions!$H19/12</f>
        <v>0</v>
      </c>
      <c r="M26" s="99">
        <f>Assumptions!$H19/12</f>
        <v>0</v>
      </c>
      <c r="N26" s="95">
        <f>Assumptions!$H19/12</f>
        <v>0</v>
      </c>
      <c r="O26" s="95">
        <f>Assumptions!$H19/12</f>
        <v>0</v>
      </c>
      <c r="P26" s="103">
        <f t="shared" si="84"/>
        <v>0</v>
      </c>
      <c r="Q26" s="91">
        <f>Assumptions!$I19/12</f>
        <v>0</v>
      </c>
      <c r="R26" s="99">
        <f>Assumptions!$I19/12</f>
        <v>0</v>
      </c>
      <c r="S26" s="99">
        <f>Assumptions!$I19/12</f>
        <v>0</v>
      </c>
      <c r="T26" s="99">
        <f>Assumptions!$I19/12</f>
        <v>0</v>
      </c>
      <c r="U26" s="99">
        <f>Assumptions!$I19/12</f>
        <v>0</v>
      </c>
      <c r="V26" s="99">
        <f>Assumptions!$I19/12</f>
        <v>0</v>
      </c>
      <c r="W26" s="99">
        <f>Assumptions!$I19/12</f>
        <v>0</v>
      </c>
      <c r="X26" s="99">
        <f>Assumptions!$I19/12</f>
        <v>0</v>
      </c>
      <c r="Y26" s="99">
        <f>Assumptions!$I19/12</f>
        <v>0</v>
      </c>
      <c r="Z26" s="99">
        <f>Assumptions!$I19/12</f>
        <v>0</v>
      </c>
      <c r="AA26" s="95">
        <f>Assumptions!$I19/12</f>
        <v>0</v>
      </c>
      <c r="AB26" s="107">
        <f>Assumptions!$I19/12</f>
        <v>0</v>
      </c>
      <c r="AC26" s="103">
        <f t="shared" si="85"/>
        <v>0</v>
      </c>
      <c r="AD26" s="91">
        <f>Assumptions!$J19/12</f>
        <v>0</v>
      </c>
      <c r="AE26" s="99">
        <f>Assumptions!$J19/12</f>
        <v>0</v>
      </c>
      <c r="AF26" s="99">
        <f>Assumptions!$J19/12</f>
        <v>0</v>
      </c>
      <c r="AG26" s="99">
        <f>Assumptions!$J19/12</f>
        <v>0</v>
      </c>
      <c r="AH26" s="99">
        <f>Assumptions!$J19/12</f>
        <v>0</v>
      </c>
      <c r="AI26" s="99">
        <f>Assumptions!$J19/12</f>
        <v>0</v>
      </c>
      <c r="AJ26" s="99">
        <f>Assumptions!$J19/12</f>
        <v>0</v>
      </c>
      <c r="AK26" s="99">
        <f>Assumptions!$J19/12</f>
        <v>0</v>
      </c>
      <c r="AL26" s="99">
        <f>Assumptions!$J19/12</f>
        <v>0</v>
      </c>
      <c r="AM26" s="99">
        <f>Assumptions!$J19/12</f>
        <v>0</v>
      </c>
      <c r="AN26" s="95">
        <f>Assumptions!$J19/12</f>
        <v>0</v>
      </c>
      <c r="AO26" s="107">
        <f>Assumptions!$J19/12</f>
        <v>0</v>
      </c>
      <c r="AP26" s="103">
        <f t="shared" si="86"/>
        <v>0</v>
      </c>
      <c r="AQ26" s="91">
        <f>Assumptions!$K19/12</f>
        <v>0</v>
      </c>
      <c r="AR26" s="99">
        <f>Assumptions!$K19/12</f>
        <v>0</v>
      </c>
      <c r="AS26" s="99">
        <f>Assumptions!$K19/12</f>
        <v>0</v>
      </c>
      <c r="AT26" s="99">
        <f>Assumptions!$K19/12</f>
        <v>0</v>
      </c>
      <c r="AU26" s="99">
        <f>Assumptions!$K19/12</f>
        <v>0</v>
      </c>
      <c r="AV26" s="99">
        <f>Assumptions!$K19/12</f>
        <v>0</v>
      </c>
      <c r="AW26" s="99">
        <f>Assumptions!$K19/12</f>
        <v>0</v>
      </c>
      <c r="AX26" s="99">
        <f>Assumptions!$K19/12</f>
        <v>0</v>
      </c>
      <c r="AY26" s="99">
        <f>Assumptions!$K19/12</f>
        <v>0</v>
      </c>
      <c r="AZ26" s="99">
        <f>Assumptions!$K19/12</f>
        <v>0</v>
      </c>
      <c r="BA26" s="95">
        <f>Assumptions!$K19/12</f>
        <v>0</v>
      </c>
      <c r="BB26" s="107">
        <f>Assumptions!$K19/12</f>
        <v>0</v>
      </c>
      <c r="BC26" s="103">
        <f t="shared" si="87"/>
        <v>0</v>
      </c>
      <c r="BD26" s="91">
        <f>Assumptions!$L19/12</f>
        <v>0</v>
      </c>
      <c r="BE26" s="99">
        <f>Assumptions!$L19/12</f>
        <v>0</v>
      </c>
      <c r="BF26" s="99">
        <f>Assumptions!$L19/12</f>
        <v>0</v>
      </c>
      <c r="BG26" s="99">
        <f>Assumptions!$L19/12</f>
        <v>0</v>
      </c>
      <c r="BH26" s="99">
        <f>Assumptions!$L19/12</f>
        <v>0</v>
      </c>
      <c r="BI26" s="99">
        <f>Assumptions!$L19/12</f>
        <v>0</v>
      </c>
      <c r="BJ26" s="99">
        <f>Assumptions!$L19/12</f>
        <v>0</v>
      </c>
      <c r="BK26" s="99">
        <f>Assumptions!$L19/12</f>
        <v>0</v>
      </c>
      <c r="BL26" s="99">
        <f>Assumptions!$L19/12</f>
        <v>0</v>
      </c>
      <c r="BM26" s="99">
        <f>Assumptions!$L19/12</f>
        <v>0</v>
      </c>
      <c r="BN26" s="95">
        <f>Assumptions!$L19/12</f>
        <v>0</v>
      </c>
      <c r="BO26" s="107">
        <f>Assumptions!$L19/12</f>
        <v>0</v>
      </c>
      <c r="BP26" s="103">
        <f t="shared" si="88"/>
        <v>0</v>
      </c>
      <c r="BQ26" s="91">
        <f>Assumptions!$M19/12</f>
        <v>0</v>
      </c>
      <c r="BR26" s="99">
        <f>Assumptions!$M19/12</f>
        <v>0</v>
      </c>
      <c r="BS26" s="99">
        <f>Assumptions!$M19/12</f>
        <v>0</v>
      </c>
      <c r="BT26" s="99">
        <f>Assumptions!$M19/12</f>
        <v>0</v>
      </c>
      <c r="BU26" s="99">
        <f>Assumptions!$M19/12</f>
        <v>0</v>
      </c>
      <c r="BV26" s="99">
        <f>Assumptions!$M19/12</f>
        <v>0</v>
      </c>
      <c r="BW26" s="99">
        <f>Assumptions!$M19/12</f>
        <v>0</v>
      </c>
      <c r="BX26" s="99">
        <f>Assumptions!$M19/12</f>
        <v>0</v>
      </c>
      <c r="BY26" s="99">
        <f>Assumptions!$M19/12</f>
        <v>0</v>
      </c>
      <c r="BZ26" s="99">
        <f>Assumptions!$M19/12</f>
        <v>0</v>
      </c>
      <c r="CA26" s="95">
        <f>Assumptions!$M19/12</f>
        <v>0</v>
      </c>
      <c r="CB26" s="107">
        <f>Assumptions!$M19/12</f>
        <v>0</v>
      </c>
      <c r="CC26" s="103">
        <f t="shared" si="89"/>
        <v>0</v>
      </c>
      <c r="CD26" s="91">
        <f>Assumptions!$N19/12</f>
        <v>0</v>
      </c>
      <c r="CE26" s="95">
        <f>Assumptions!$N19/12</f>
        <v>0</v>
      </c>
      <c r="CF26" s="95">
        <f>Assumptions!$N19/12</f>
        <v>0</v>
      </c>
      <c r="CG26" s="95">
        <f>Assumptions!$N19/12</f>
        <v>0</v>
      </c>
      <c r="CH26" s="99">
        <f>Assumptions!$N19/12</f>
        <v>0</v>
      </c>
      <c r="CI26" s="99">
        <f>Assumptions!$N19/12</f>
        <v>0</v>
      </c>
      <c r="CJ26" s="99">
        <f>Assumptions!$N19/12</f>
        <v>0</v>
      </c>
      <c r="CK26" s="99">
        <f>Assumptions!$N19/12</f>
        <v>0</v>
      </c>
      <c r="CL26" s="99">
        <f>Assumptions!$N19/12</f>
        <v>0</v>
      </c>
      <c r="CM26" s="99">
        <f>Assumptions!$N19/12</f>
        <v>0</v>
      </c>
      <c r="CN26" s="95">
        <f>Assumptions!$N19/12</f>
        <v>0</v>
      </c>
      <c r="CO26" s="107">
        <f>Assumptions!$N19/12</f>
        <v>0</v>
      </c>
      <c r="CP26" s="103">
        <f t="shared" si="90"/>
        <v>0</v>
      </c>
    </row>
    <row r="27" spans="1:94">
      <c r="B27" s="113" t="s">
        <v>73</v>
      </c>
      <c r="C27" s="383">
        <f>Assumptions!G20/12</f>
        <v>50</v>
      </c>
      <c r="D27" s="99">
        <f>Assumptions!$H20/12</f>
        <v>237.5</v>
      </c>
      <c r="E27" s="91">
        <f>Assumptions!$H20/12</f>
        <v>237.5</v>
      </c>
      <c r="F27" s="95">
        <f>Assumptions!$H20/12</f>
        <v>237.5</v>
      </c>
      <c r="G27" s="95">
        <f>Assumptions!$H20/12</f>
        <v>237.5</v>
      </c>
      <c r="H27" s="95">
        <f>Assumptions!$H20/12</f>
        <v>237.5</v>
      </c>
      <c r="I27" s="99">
        <f>Assumptions!$H20/12</f>
        <v>237.5</v>
      </c>
      <c r="J27" s="95">
        <f>Assumptions!$H20/12</f>
        <v>237.5</v>
      </c>
      <c r="K27" s="95">
        <f>Assumptions!$H20/12</f>
        <v>237.5</v>
      </c>
      <c r="L27" s="95">
        <f>Assumptions!$H20/12</f>
        <v>237.5</v>
      </c>
      <c r="M27" s="99">
        <f>Assumptions!$H20/12</f>
        <v>237.5</v>
      </c>
      <c r="N27" s="95">
        <f>Assumptions!$H20/12</f>
        <v>237.5</v>
      </c>
      <c r="O27" s="95">
        <f>Assumptions!$H20/12</f>
        <v>237.5</v>
      </c>
      <c r="P27" s="103">
        <f t="shared" si="84"/>
        <v>2850</v>
      </c>
      <c r="Q27" s="91">
        <f>Assumptions!$I20/12</f>
        <v>475</v>
      </c>
      <c r="R27" s="99">
        <f>Assumptions!$I20/12</f>
        <v>475</v>
      </c>
      <c r="S27" s="99">
        <f>Assumptions!$I20/12</f>
        <v>475</v>
      </c>
      <c r="T27" s="99">
        <f>Assumptions!$I20/12</f>
        <v>475</v>
      </c>
      <c r="U27" s="99">
        <f>Assumptions!$I20/12</f>
        <v>475</v>
      </c>
      <c r="V27" s="99">
        <f>Assumptions!$I20/12</f>
        <v>475</v>
      </c>
      <c r="W27" s="99">
        <f>Assumptions!$I20/12</f>
        <v>475</v>
      </c>
      <c r="X27" s="99">
        <f>Assumptions!$I20/12</f>
        <v>475</v>
      </c>
      <c r="Y27" s="99">
        <f>Assumptions!$I20/12</f>
        <v>475</v>
      </c>
      <c r="Z27" s="99">
        <f>Assumptions!$I20/12</f>
        <v>475</v>
      </c>
      <c r="AA27" s="95">
        <f>Assumptions!$I20/12</f>
        <v>475</v>
      </c>
      <c r="AB27" s="107">
        <f>Assumptions!$I20/12</f>
        <v>475</v>
      </c>
      <c r="AC27" s="103">
        <f t="shared" si="85"/>
        <v>5700</v>
      </c>
      <c r="AD27" s="91">
        <f>Assumptions!$J20/12</f>
        <v>475</v>
      </c>
      <c r="AE27" s="99">
        <f>Assumptions!$J20/12</f>
        <v>475</v>
      </c>
      <c r="AF27" s="99">
        <f>Assumptions!$J20/12</f>
        <v>475</v>
      </c>
      <c r="AG27" s="99">
        <f>Assumptions!$J20/12</f>
        <v>475</v>
      </c>
      <c r="AH27" s="99">
        <f>Assumptions!$J20/12</f>
        <v>475</v>
      </c>
      <c r="AI27" s="99">
        <f>Assumptions!$J20/12</f>
        <v>475</v>
      </c>
      <c r="AJ27" s="99">
        <f>Assumptions!$J20/12</f>
        <v>475</v>
      </c>
      <c r="AK27" s="99">
        <f>Assumptions!$J20/12</f>
        <v>475</v>
      </c>
      <c r="AL27" s="99">
        <f>Assumptions!$J20/12</f>
        <v>475</v>
      </c>
      <c r="AM27" s="99">
        <f>Assumptions!$J20/12</f>
        <v>475</v>
      </c>
      <c r="AN27" s="95">
        <f>Assumptions!$J20/12</f>
        <v>475</v>
      </c>
      <c r="AO27" s="107">
        <f>Assumptions!$J20/12</f>
        <v>475</v>
      </c>
      <c r="AP27" s="103">
        <f t="shared" si="86"/>
        <v>5700</v>
      </c>
      <c r="AQ27" s="91">
        <f>Assumptions!$K20/12</f>
        <v>475</v>
      </c>
      <c r="AR27" s="99">
        <f>Assumptions!$K20/12</f>
        <v>475</v>
      </c>
      <c r="AS27" s="99">
        <f>Assumptions!$K20/12</f>
        <v>475</v>
      </c>
      <c r="AT27" s="99">
        <f>Assumptions!$K20/12</f>
        <v>475</v>
      </c>
      <c r="AU27" s="99">
        <f>Assumptions!$K20/12</f>
        <v>475</v>
      </c>
      <c r="AV27" s="99">
        <f>Assumptions!$K20/12</f>
        <v>475</v>
      </c>
      <c r="AW27" s="99">
        <f>Assumptions!$K20/12</f>
        <v>475</v>
      </c>
      <c r="AX27" s="99">
        <f>Assumptions!$K20/12</f>
        <v>475</v>
      </c>
      <c r="AY27" s="99">
        <f>Assumptions!$K20/12</f>
        <v>475</v>
      </c>
      <c r="AZ27" s="99">
        <f>Assumptions!$K20/12</f>
        <v>475</v>
      </c>
      <c r="BA27" s="95">
        <f>Assumptions!$K20/12</f>
        <v>475</v>
      </c>
      <c r="BB27" s="107">
        <f>Assumptions!$K20/12</f>
        <v>475</v>
      </c>
      <c r="BC27" s="103">
        <f t="shared" si="87"/>
        <v>5700</v>
      </c>
      <c r="BD27" s="91">
        <f>Assumptions!$L20/12</f>
        <v>475</v>
      </c>
      <c r="BE27" s="99">
        <f>Assumptions!$L20/12</f>
        <v>475</v>
      </c>
      <c r="BF27" s="99">
        <f>Assumptions!$L20/12</f>
        <v>475</v>
      </c>
      <c r="BG27" s="99">
        <f>Assumptions!$L20/12</f>
        <v>475</v>
      </c>
      <c r="BH27" s="99">
        <f>Assumptions!$L20/12</f>
        <v>475</v>
      </c>
      <c r="BI27" s="99">
        <f>Assumptions!$L20/12</f>
        <v>475</v>
      </c>
      <c r="BJ27" s="99">
        <f>Assumptions!$L20/12</f>
        <v>475</v>
      </c>
      <c r="BK27" s="99">
        <f>Assumptions!$L20/12</f>
        <v>475</v>
      </c>
      <c r="BL27" s="99">
        <f>Assumptions!$L20/12</f>
        <v>475</v>
      </c>
      <c r="BM27" s="99">
        <f>Assumptions!$L20/12</f>
        <v>475</v>
      </c>
      <c r="BN27" s="95">
        <f>Assumptions!$L20/12</f>
        <v>475</v>
      </c>
      <c r="BO27" s="107">
        <f>Assumptions!$L20/12</f>
        <v>475</v>
      </c>
      <c r="BP27" s="103">
        <f t="shared" si="88"/>
        <v>5700</v>
      </c>
      <c r="BQ27" s="91">
        <f>Assumptions!$M20/12</f>
        <v>475</v>
      </c>
      <c r="BR27" s="99">
        <f>Assumptions!$M20/12</f>
        <v>475</v>
      </c>
      <c r="BS27" s="99">
        <f>Assumptions!$M20/12</f>
        <v>475</v>
      </c>
      <c r="BT27" s="99">
        <f>Assumptions!$M20/12</f>
        <v>475</v>
      </c>
      <c r="BU27" s="99">
        <f>Assumptions!$M20/12</f>
        <v>475</v>
      </c>
      <c r="BV27" s="99">
        <f>Assumptions!$M20/12</f>
        <v>475</v>
      </c>
      <c r="BW27" s="99">
        <f>Assumptions!$M20/12</f>
        <v>475</v>
      </c>
      <c r="BX27" s="99">
        <f>Assumptions!$M20/12</f>
        <v>475</v>
      </c>
      <c r="BY27" s="99">
        <f>Assumptions!$M20/12</f>
        <v>475</v>
      </c>
      <c r="BZ27" s="99">
        <f>Assumptions!$M20/12</f>
        <v>475</v>
      </c>
      <c r="CA27" s="95">
        <f>Assumptions!$M20/12</f>
        <v>475</v>
      </c>
      <c r="CB27" s="107">
        <f>Assumptions!$M20/12</f>
        <v>475</v>
      </c>
      <c r="CC27" s="103">
        <f t="shared" si="89"/>
        <v>5700</v>
      </c>
      <c r="CD27" s="91">
        <f>Assumptions!$N20/12</f>
        <v>475</v>
      </c>
      <c r="CE27" s="95">
        <f>Assumptions!$N20/12</f>
        <v>475</v>
      </c>
      <c r="CF27" s="95">
        <f>Assumptions!$N20/12</f>
        <v>475</v>
      </c>
      <c r="CG27" s="95">
        <f>Assumptions!$N20/12</f>
        <v>475</v>
      </c>
      <c r="CH27" s="99">
        <f>Assumptions!$N20/12</f>
        <v>475</v>
      </c>
      <c r="CI27" s="99">
        <f>Assumptions!$N20/12</f>
        <v>475</v>
      </c>
      <c r="CJ27" s="99">
        <f>Assumptions!$N20/12</f>
        <v>475</v>
      </c>
      <c r="CK27" s="99">
        <f>Assumptions!$N20/12</f>
        <v>475</v>
      </c>
      <c r="CL27" s="99">
        <f>Assumptions!$N20/12</f>
        <v>475</v>
      </c>
      <c r="CM27" s="99">
        <f>Assumptions!$N20/12</f>
        <v>475</v>
      </c>
      <c r="CN27" s="95">
        <f>Assumptions!$N20/12</f>
        <v>475</v>
      </c>
      <c r="CO27" s="107">
        <f>Assumptions!$N20/12</f>
        <v>475</v>
      </c>
      <c r="CP27" s="103">
        <f t="shared" si="90"/>
        <v>5700</v>
      </c>
    </row>
    <row r="28" spans="1:94">
      <c r="B28" s="113" t="s">
        <v>74</v>
      </c>
      <c r="C28" s="383">
        <f>Assumptions!G21/12</f>
        <v>0</v>
      </c>
      <c r="D28" s="99">
        <f>D47*0.8*(D2/Assumptions!$C$10)</f>
        <v>0</v>
      </c>
      <c r="E28" s="91">
        <f>E47*0.8*(E2/Assumptions!$C$10)</f>
        <v>0</v>
      </c>
      <c r="F28" s="95">
        <f>F47*0.8*(F2/Assumptions!$C$10)</f>
        <v>54.901960784313736</v>
      </c>
      <c r="G28" s="95">
        <f>G47*0.8*(G2/Assumptions!$C$10)</f>
        <v>109.80392156862747</v>
      </c>
      <c r="H28" s="95">
        <f>H47*0.8*(H2/Assumptions!$C$10)</f>
        <v>164.70588235294122</v>
      </c>
      <c r="I28" s="99">
        <f>I47*0.8*(I2/Assumptions!$C$10)</f>
        <v>219.60784313725495</v>
      </c>
      <c r="J28" s="95">
        <f>J47*0.8*(J2/Assumptions!$C$10)</f>
        <v>274.50980392156868</v>
      </c>
      <c r="K28" s="95">
        <f>K47*0.8*(K2/Assumptions!$C$10)</f>
        <v>329.41176470588243</v>
      </c>
      <c r="L28" s="95">
        <f>L47*0.8*(L2/Assumptions!$C$10)</f>
        <v>384.31372549019613</v>
      </c>
      <c r="M28" s="99">
        <f>M47*0.8*(M2/Assumptions!$C$10)</f>
        <v>439.21568627450989</v>
      </c>
      <c r="N28" s="95">
        <f>N47*0.8*(N2/Assumptions!$C$10)</f>
        <v>494.11764705882359</v>
      </c>
      <c r="O28" s="95">
        <f>O47*0.8*(O2/Assumptions!$C$10)</f>
        <v>549.01960784313735</v>
      </c>
      <c r="P28" s="103">
        <f t="shared" si="84"/>
        <v>3019.6078431372553</v>
      </c>
      <c r="Q28" s="91">
        <f>Q47*0.8*(Q2/Assumptions!$C$10)</f>
        <v>619.01960784313724</v>
      </c>
      <c r="R28" s="99">
        <f>R47*0.8*(R2/Assumptions!$C$10)</f>
        <v>675.2941176470589</v>
      </c>
      <c r="S28" s="99">
        <f>S47*0.8*(S2/Assumptions!$C$10)</f>
        <v>731.56862745098033</v>
      </c>
      <c r="T28" s="99">
        <f>T47*0.8*(T2/Assumptions!$C$10)</f>
        <v>787.84313725490188</v>
      </c>
      <c r="U28" s="99">
        <f>U47*0.8*(U2/Assumptions!$C$10)</f>
        <v>844.11764705882342</v>
      </c>
      <c r="V28" s="99">
        <f>V47*0.8*(V2/Assumptions!$C$10)</f>
        <v>900.39215686274508</v>
      </c>
      <c r="W28" s="99">
        <f>W47*0.8*(W2/Assumptions!$C$10)</f>
        <v>956.66666666666663</v>
      </c>
      <c r="X28" s="99">
        <f>X47*0.8*(X2/Assumptions!$C$10)</f>
        <v>956.66666666666663</v>
      </c>
      <c r="Y28" s="99">
        <f>Y47*0.8*(Y2/Assumptions!$C$10)</f>
        <v>956.66666666666663</v>
      </c>
      <c r="Z28" s="99">
        <f>Z47*0.8*(Z2/Assumptions!$C$10)</f>
        <v>956.66666666666663</v>
      </c>
      <c r="AA28" s="95">
        <f>AA47*0.8*(AA2/Assumptions!$C$10)</f>
        <v>956.66666666666663</v>
      </c>
      <c r="AB28" s="107">
        <f>AB47*0.8*(AB2/Assumptions!$C$10)</f>
        <v>956.66666666666663</v>
      </c>
      <c r="AC28" s="103">
        <f t="shared" si="85"/>
        <v>10298.235294117647</v>
      </c>
      <c r="AD28" s="91">
        <f>AD47*0.8*(AD2/Assumptions!$C$10)</f>
        <v>980.58333333333303</v>
      </c>
      <c r="AE28" s="99">
        <f>AE47*0.8*(AE2/Assumptions!$C$10)</f>
        <v>980.58333333333303</v>
      </c>
      <c r="AF28" s="99">
        <f>AF47*0.8*(AF2/Assumptions!$C$10)</f>
        <v>980.58333333333303</v>
      </c>
      <c r="AG28" s="99">
        <f>AG47*0.8*(AG2/Assumptions!$C$10)</f>
        <v>980.58333333333303</v>
      </c>
      <c r="AH28" s="99">
        <f>AH47*0.8*(AH2/Assumptions!$C$10)</f>
        <v>980.58333333333303</v>
      </c>
      <c r="AI28" s="99">
        <f>AI47*0.8*(AI2/Assumptions!$C$10)</f>
        <v>980.58333333333303</v>
      </c>
      <c r="AJ28" s="99">
        <f>AJ47*0.8*(AJ2/Assumptions!$C$10)</f>
        <v>980.58333333333303</v>
      </c>
      <c r="AK28" s="99">
        <f>AK47*0.8*(AK2/Assumptions!$C$10)</f>
        <v>980.58333333333303</v>
      </c>
      <c r="AL28" s="99">
        <f>AL47*0.8*(AL2/Assumptions!$C$10)</f>
        <v>980.58333333333303</v>
      </c>
      <c r="AM28" s="99">
        <f>AM47*0.8*(AM2/Assumptions!$C$10)</f>
        <v>980.58333333333303</v>
      </c>
      <c r="AN28" s="95">
        <f>AN47*0.8*(AN2/Assumptions!$C$10)</f>
        <v>980.58333333333303</v>
      </c>
      <c r="AO28" s="107">
        <f>AO47*0.8*(AO2/Assumptions!$C$10)</f>
        <v>980.58333333333303</v>
      </c>
      <c r="AP28" s="103">
        <f t="shared" si="86"/>
        <v>11766.999999999993</v>
      </c>
      <c r="AQ28" s="91">
        <f>AQ47*0.8*(AQ2/Assumptions!$C$10)</f>
        <v>1005.0979166666663</v>
      </c>
      <c r="AR28" s="99">
        <f>AR47*0.8*(AR2/Assumptions!$C$10)</f>
        <v>1005.0979166666663</v>
      </c>
      <c r="AS28" s="99">
        <f>AS47*0.8*(AS2/Assumptions!$C$10)</f>
        <v>1005.0979166666663</v>
      </c>
      <c r="AT28" s="99">
        <f>AT47*0.8*(AT2/Assumptions!$C$10)</f>
        <v>1005.0979166666663</v>
      </c>
      <c r="AU28" s="99">
        <f>AU47*0.8*(AU2/Assumptions!$C$10)</f>
        <v>1005.0979166666663</v>
      </c>
      <c r="AV28" s="99">
        <f>AV47*0.8*(AV2/Assumptions!$C$10)</f>
        <v>1005.0979166666663</v>
      </c>
      <c r="AW28" s="99">
        <f>AW47*0.8*(AW2/Assumptions!$C$10)</f>
        <v>1005.0979166666663</v>
      </c>
      <c r="AX28" s="99">
        <f>AX47*0.8*(AX2/Assumptions!$C$10)</f>
        <v>1005.0979166666663</v>
      </c>
      <c r="AY28" s="99">
        <f>AY47*0.8*(AY2/Assumptions!$C$10)</f>
        <v>1005.0979166666663</v>
      </c>
      <c r="AZ28" s="99">
        <f>AZ47*0.8*(AZ2/Assumptions!$C$10)</f>
        <v>1005.0979166666663</v>
      </c>
      <c r="BA28" s="95">
        <f>BA47*0.8*(BA2/Assumptions!$C$10)</f>
        <v>1005.0979166666663</v>
      </c>
      <c r="BB28" s="107">
        <f>BB47*0.8*(BB2/Assumptions!$C$10)</f>
        <v>1005.0979166666663</v>
      </c>
      <c r="BC28" s="103">
        <f t="shared" si="87"/>
        <v>12061.174999999994</v>
      </c>
      <c r="BD28" s="91">
        <f>BD47*0.8*(BD2/Assumptions!$C$10)</f>
        <v>1030.225364583333</v>
      </c>
      <c r="BE28" s="99">
        <f>BE47*0.8*(BE2/Assumptions!$C$10)</f>
        <v>1030.225364583333</v>
      </c>
      <c r="BF28" s="99">
        <f>BF47*0.8*(BF2/Assumptions!$C$10)</f>
        <v>1030.225364583333</v>
      </c>
      <c r="BG28" s="99">
        <f>BG47*0.8*(BG2/Assumptions!$C$10)</f>
        <v>1030.225364583333</v>
      </c>
      <c r="BH28" s="99">
        <f>BH47*0.8*(BH2/Assumptions!$C$10)</f>
        <v>1030.225364583333</v>
      </c>
      <c r="BI28" s="99">
        <f>BI47*0.8*(BI2/Assumptions!$C$10)</f>
        <v>1030.225364583333</v>
      </c>
      <c r="BJ28" s="99">
        <f>BJ47*0.8*(BJ2/Assumptions!$C$10)</f>
        <v>1030.225364583333</v>
      </c>
      <c r="BK28" s="99">
        <f>BK47*0.8*(BK2/Assumptions!$C$10)</f>
        <v>1030.225364583333</v>
      </c>
      <c r="BL28" s="99">
        <f>BL47*0.8*(BL2/Assumptions!$C$10)</f>
        <v>1030.225364583333</v>
      </c>
      <c r="BM28" s="99">
        <f>BM47*0.8*(BM2/Assumptions!$C$10)</f>
        <v>1030.225364583333</v>
      </c>
      <c r="BN28" s="95">
        <f>BN47*0.8*(BN2/Assumptions!$C$10)</f>
        <v>1030.225364583333</v>
      </c>
      <c r="BO28" s="107">
        <f>BO47*0.8*(BO2/Assumptions!$C$10)</f>
        <v>1030.225364583333</v>
      </c>
      <c r="BP28" s="103">
        <f t="shared" si="88"/>
        <v>12362.704374999999</v>
      </c>
      <c r="BQ28" s="91">
        <f>BQ47*0.8*(BQ2/Assumptions!$C$10)</f>
        <v>1055.980998697916</v>
      </c>
      <c r="BR28" s="99">
        <f>BR47*0.8*(BR2/Assumptions!$C$10)</f>
        <v>1055.980998697916</v>
      </c>
      <c r="BS28" s="99">
        <f>BS47*0.8*(BS2/Assumptions!$C$10)</f>
        <v>1055.980998697916</v>
      </c>
      <c r="BT28" s="99">
        <f>BT47*0.8*(BT2/Assumptions!$C$10)</f>
        <v>1055.980998697916</v>
      </c>
      <c r="BU28" s="99">
        <f>BU47*0.8*(BU2/Assumptions!$C$10)</f>
        <v>1055.980998697916</v>
      </c>
      <c r="BV28" s="99">
        <f>BV47*0.8*(BV2/Assumptions!$C$10)</f>
        <v>1055.980998697916</v>
      </c>
      <c r="BW28" s="99">
        <f>BW47*0.8*(BW2/Assumptions!$C$10)</f>
        <v>1055.980998697916</v>
      </c>
      <c r="BX28" s="99">
        <f>BX47*0.8*(BX2/Assumptions!$C$10)</f>
        <v>1055.980998697916</v>
      </c>
      <c r="BY28" s="99">
        <f>BY47*0.8*(BY2/Assumptions!$C$10)</f>
        <v>1055.980998697916</v>
      </c>
      <c r="BZ28" s="99">
        <f>BZ47*0.8*(BZ2/Assumptions!$C$10)</f>
        <v>1055.980998697916</v>
      </c>
      <c r="CA28" s="95">
        <f>CA47*0.8*(CA2/Assumptions!$C$10)</f>
        <v>1055.980998697916</v>
      </c>
      <c r="CB28" s="107">
        <f>CB47*0.8*(CB2/Assumptions!$C$10)</f>
        <v>1055.980998697916</v>
      </c>
      <c r="CC28" s="103">
        <f t="shared" si="89"/>
        <v>12671.771984374993</v>
      </c>
      <c r="CD28" s="91">
        <f>CD47*0.8*(CD2/Assumptions!$C$10)</f>
        <v>1082.3805236653641</v>
      </c>
      <c r="CE28" s="95">
        <f>CE47*0.8*(CE2/Assumptions!$C$10)</f>
        <v>1082.3805236653641</v>
      </c>
      <c r="CF28" s="95">
        <f>CF47*0.8*(CF2/Assumptions!$C$10)</f>
        <v>1082.3805236653641</v>
      </c>
      <c r="CG28" s="95">
        <f>CG47*0.8*(CG2/Assumptions!$C$10)</f>
        <v>1082.3805236653641</v>
      </c>
      <c r="CH28" s="99">
        <f>CH47*0.8*(CH2/Assumptions!$C$10)</f>
        <v>1082.3805236653641</v>
      </c>
      <c r="CI28" s="99">
        <f>CI47*0.8*(CI2/Assumptions!$C$10)</f>
        <v>1082.3805236653641</v>
      </c>
      <c r="CJ28" s="99">
        <f>CJ47*0.8*(CJ2/Assumptions!$C$10)</f>
        <v>1082.3805236653641</v>
      </c>
      <c r="CK28" s="99">
        <f>CK47*0.8*(CK2/Assumptions!$C$10)</f>
        <v>1082.3805236653641</v>
      </c>
      <c r="CL28" s="99">
        <f>CL47*0.8*(CL2/Assumptions!$C$10)</f>
        <v>1082.3805236653641</v>
      </c>
      <c r="CM28" s="99">
        <f>CM47*0.8*(CM2/Assumptions!$C$10)</f>
        <v>1082.3805236653641</v>
      </c>
      <c r="CN28" s="95">
        <f>CN47*0.8*(CN2/Assumptions!$C$10)</f>
        <v>1082.3805236653641</v>
      </c>
      <c r="CO28" s="107">
        <f>CO47*0.8*(CO2/Assumptions!$C$10)</f>
        <v>1082.3805236653641</v>
      </c>
      <c r="CP28" s="103">
        <f t="shared" si="90"/>
        <v>12988.56628398437</v>
      </c>
    </row>
    <row r="29" spans="1:94" ht="4.5" customHeight="1">
      <c r="B29" s="113"/>
      <c r="C29" s="383"/>
      <c r="D29" s="99"/>
      <c r="E29" s="91"/>
      <c r="F29" s="95"/>
      <c r="G29" s="95"/>
      <c r="H29" s="95"/>
      <c r="I29" s="99"/>
      <c r="J29" s="95"/>
      <c r="K29" s="95"/>
      <c r="L29" s="95"/>
      <c r="M29" s="99"/>
      <c r="N29" s="95"/>
      <c r="O29" s="95"/>
      <c r="P29" s="103"/>
      <c r="Q29" s="91"/>
      <c r="R29" s="99"/>
      <c r="S29" s="99"/>
      <c r="T29" s="99"/>
      <c r="U29" s="99"/>
      <c r="V29" s="99"/>
      <c r="W29" s="99"/>
      <c r="X29" s="99"/>
      <c r="Y29" s="99"/>
      <c r="Z29" s="99"/>
      <c r="AA29" s="95"/>
      <c r="AB29" s="107"/>
      <c r="AC29" s="103"/>
      <c r="AD29" s="91"/>
      <c r="AE29" s="99"/>
      <c r="AF29" s="99"/>
      <c r="AG29" s="99"/>
      <c r="AH29" s="99"/>
      <c r="AI29" s="99"/>
      <c r="AJ29" s="99"/>
      <c r="AK29" s="99"/>
      <c r="AL29" s="99"/>
      <c r="AM29" s="99"/>
      <c r="AN29" s="95"/>
      <c r="AO29" s="107"/>
      <c r="AP29" s="103"/>
      <c r="AQ29" s="91"/>
      <c r="AR29" s="99"/>
      <c r="AS29" s="99"/>
      <c r="AT29" s="99"/>
      <c r="AU29" s="99"/>
      <c r="AV29" s="99"/>
      <c r="AW29" s="99"/>
      <c r="AX29" s="99"/>
      <c r="AY29" s="99"/>
      <c r="AZ29" s="99"/>
      <c r="BA29" s="95"/>
      <c r="BB29" s="107"/>
      <c r="BC29" s="103"/>
      <c r="BD29" s="91"/>
      <c r="BE29" s="99"/>
      <c r="BF29" s="99"/>
      <c r="BG29" s="99"/>
      <c r="BH29" s="99"/>
      <c r="BI29" s="99"/>
      <c r="BJ29" s="99"/>
      <c r="BK29" s="99"/>
      <c r="BL29" s="99"/>
      <c r="BM29" s="99"/>
      <c r="BN29" s="95"/>
      <c r="BO29" s="107"/>
      <c r="BP29" s="103"/>
      <c r="BQ29" s="91"/>
      <c r="BR29" s="99"/>
      <c r="BS29" s="99"/>
      <c r="BT29" s="99"/>
      <c r="BU29" s="99"/>
      <c r="BV29" s="99"/>
      <c r="BW29" s="99"/>
      <c r="BX29" s="99"/>
      <c r="BY29" s="99"/>
      <c r="BZ29" s="99"/>
      <c r="CA29" s="95"/>
      <c r="CB29" s="107"/>
      <c r="CC29" s="103"/>
      <c r="CD29" s="91"/>
      <c r="CE29" s="95"/>
      <c r="CF29" s="95"/>
      <c r="CG29" s="95"/>
      <c r="CH29" s="99"/>
      <c r="CI29" s="99"/>
      <c r="CJ29" s="99"/>
      <c r="CK29" s="99"/>
      <c r="CL29" s="99"/>
      <c r="CM29" s="99"/>
      <c r="CN29" s="95"/>
      <c r="CO29" s="107"/>
      <c r="CP29" s="103"/>
    </row>
    <row r="30" spans="1:94">
      <c r="B30" s="155" t="s">
        <v>75</v>
      </c>
      <c r="C30" s="384">
        <f>SUM(C20:C28)</f>
        <v>250</v>
      </c>
      <c r="D30" s="92">
        <f t="shared" ref="D30:BO30" si="91">SUM(D20:D28)</f>
        <v>713.92499999999995</v>
      </c>
      <c r="E30" s="46">
        <f t="shared" si="91"/>
        <v>713.92499999999995</v>
      </c>
      <c r="F30" s="96">
        <f t="shared" si="91"/>
        <v>768.82696078431366</v>
      </c>
      <c r="G30" s="96">
        <f t="shared" si="91"/>
        <v>823.72892156862747</v>
      </c>
      <c r="H30" s="96">
        <f t="shared" si="91"/>
        <v>878.63088235294117</v>
      </c>
      <c r="I30" s="92">
        <f t="shared" si="91"/>
        <v>933.53284313725487</v>
      </c>
      <c r="J30" s="96">
        <f t="shared" si="91"/>
        <v>988.43480392156857</v>
      </c>
      <c r="K30" s="96">
        <f t="shared" si="91"/>
        <v>1043.3367647058824</v>
      </c>
      <c r="L30" s="96">
        <f t="shared" si="91"/>
        <v>1098.238725490196</v>
      </c>
      <c r="M30" s="92">
        <f t="shared" si="91"/>
        <v>1153.1406862745098</v>
      </c>
      <c r="N30" s="96">
        <f t="shared" si="91"/>
        <v>1208.0426470588236</v>
      </c>
      <c r="O30" s="96">
        <f t="shared" si="91"/>
        <v>1262.9446078431374</v>
      </c>
      <c r="P30" s="104">
        <f t="shared" si="91"/>
        <v>11586.707843137256</v>
      </c>
      <c r="Q30" s="46">
        <f t="shared" si="91"/>
        <v>1570.4446078431372</v>
      </c>
      <c r="R30" s="92">
        <f t="shared" si="91"/>
        <v>1626.7191176470587</v>
      </c>
      <c r="S30" s="92">
        <f t="shared" si="91"/>
        <v>1682.9936274509803</v>
      </c>
      <c r="T30" s="92">
        <f t="shared" si="91"/>
        <v>1739.2681372549018</v>
      </c>
      <c r="U30" s="92">
        <f t="shared" si="91"/>
        <v>1795.5426470588234</v>
      </c>
      <c r="V30" s="92">
        <f t="shared" si="91"/>
        <v>1851.8171568627449</v>
      </c>
      <c r="W30" s="92">
        <f t="shared" si="91"/>
        <v>1908.0916666666667</v>
      </c>
      <c r="X30" s="92">
        <f t="shared" si="91"/>
        <v>1908.0916666666667</v>
      </c>
      <c r="Y30" s="92">
        <f t="shared" si="91"/>
        <v>1908.0916666666667</v>
      </c>
      <c r="Z30" s="92">
        <f t="shared" si="91"/>
        <v>1908.0916666666667</v>
      </c>
      <c r="AA30" s="96">
        <f t="shared" si="91"/>
        <v>1908.0916666666667</v>
      </c>
      <c r="AB30" s="108">
        <f t="shared" si="91"/>
        <v>1908.0916666666667</v>
      </c>
      <c r="AC30" s="104">
        <f t="shared" ref="AC30" si="92">SUM(AC20:AC28)</f>
        <v>21715.335294117649</v>
      </c>
      <c r="AD30" s="46">
        <f t="shared" si="91"/>
        <v>1932.008333333333</v>
      </c>
      <c r="AE30" s="92">
        <f t="shared" si="91"/>
        <v>1932.008333333333</v>
      </c>
      <c r="AF30" s="92">
        <f t="shared" si="91"/>
        <v>1932.008333333333</v>
      </c>
      <c r="AG30" s="92">
        <f t="shared" si="91"/>
        <v>1932.008333333333</v>
      </c>
      <c r="AH30" s="92">
        <f t="shared" si="91"/>
        <v>1932.008333333333</v>
      </c>
      <c r="AI30" s="92">
        <f t="shared" si="91"/>
        <v>1932.008333333333</v>
      </c>
      <c r="AJ30" s="92">
        <f t="shared" si="91"/>
        <v>1932.008333333333</v>
      </c>
      <c r="AK30" s="92">
        <f t="shared" si="91"/>
        <v>1932.008333333333</v>
      </c>
      <c r="AL30" s="92">
        <f t="shared" si="91"/>
        <v>1932.008333333333</v>
      </c>
      <c r="AM30" s="92">
        <f t="shared" si="91"/>
        <v>1932.008333333333</v>
      </c>
      <c r="AN30" s="96">
        <f t="shared" si="91"/>
        <v>1932.008333333333</v>
      </c>
      <c r="AO30" s="108">
        <f t="shared" si="91"/>
        <v>1932.008333333333</v>
      </c>
      <c r="AP30" s="104">
        <f t="shared" si="91"/>
        <v>23184.099999999991</v>
      </c>
      <c r="AQ30" s="46">
        <f t="shared" si="91"/>
        <v>1956.5229166666663</v>
      </c>
      <c r="AR30" s="92">
        <f t="shared" si="91"/>
        <v>1956.5229166666663</v>
      </c>
      <c r="AS30" s="92">
        <f t="shared" si="91"/>
        <v>1956.5229166666663</v>
      </c>
      <c r="AT30" s="92">
        <f t="shared" si="91"/>
        <v>1956.5229166666663</v>
      </c>
      <c r="AU30" s="92">
        <f t="shared" si="91"/>
        <v>1956.5229166666663</v>
      </c>
      <c r="AV30" s="92">
        <f t="shared" si="91"/>
        <v>1956.5229166666663</v>
      </c>
      <c r="AW30" s="92">
        <f t="shared" si="91"/>
        <v>1956.5229166666663</v>
      </c>
      <c r="AX30" s="92">
        <f t="shared" si="91"/>
        <v>1956.5229166666663</v>
      </c>
      <c r="AY30" s="92">
        <f t="shared" si="91"/>
        <v>1956.5229166666663</v>
      </c>
      <c r="AZ30" s="92">
        <f t="shared" si="91"/>
        <v>1956.5229166666663</v>
      </c>
      <c r="BA30" s="96">
        <f t="shared" si="91"/>
        <v>1956.5229166666663</v>
      </c>
      <c r="BB30" s="108">
        <f t="shared" si="91"/>
        <v>1956.5229166666663</v>
      </c>
      <c r="BC30" s="104">
        <f t="shared" si="91"/>
        <v>23478.274999999994</v>
      </c>
      <c r="BD30" s="46">
        <f t="shared" si="91"/>
        <v>1981.6503645833329</v>
      </c>
      <c r="BE30" s="92">
        <f t="shared" si="91"/>
        <v>1981.6503645833329</v>
      </c>
      <c r="BF30" s="92">
        <f t="shared" si="91"/>
        <v>1981.6503645833329</v>
      </c>
      <c r="BG30" s="92">
        <f t="shared" si="91"/>
        <v>1981.6503645833329</v>
      </c>
      <c r="BH30" s="92">
        <f t="shared" si="91"/>
        <v>1981.6503645833329</v>
      </c>
      <c r="BI30" s="92">
        <f t="shared" si="91"/>
        <v>1981.6503645833329</v>
      </c>
      <c r="BJ30" s="92">
        <f t="shared" si="91"/>
        <v>1981.6503645833329</v>
      </c>
      <c r="BK30" s="92">
        <f t="shared" si="91"/>
        <v>1981.6503645833329</v>
      </c>
      <c r="BL30" s="92">
        <f t="shared" si="91"/>
        <v>1981.6503645833329</v>
      </c>
      <c r="BM30" s="92">
        <f t="shared" si="91"/>
        <v>1981.6503645833329</v>
      </c>
      <c r="BN30" s="96">
        <f t="shared" si="91"/>
        <v>1981.6503645833329</v>
      </c>
      <c r="BO30" s="108">
        <f t="shared" si="91"/>
        <v>1981.6503645833329</v>
      </c>
      <c r="BP30" s="104">
        <f t="shared" ref="BP30" si="93">SUM(BP20:BP28)</f>
        <v>23779.804375</v>
      </c>
      <c r="BQ30" s="46">
        <f t="shared" ref="BQ30:CP30" si="94">SUM(BQ20:BQ28)</f>
        <v>2007.4059986979159</v>
      </c>
      <c r="BR30" s="92">
        <f t="shared" si="94"/>
        <v>2007.4059986979159</v>
      </c>
      <c r="BS30" s="92">
        <f t="shared" si="94"/>
        <v>2007.4059986979159</v>
      </c>
      <c r="BT30" s="92">
        <f t="shared" si="94"/>
        <v>2007.4059986979159</v>
      </c>
      <c r="BU30" s="92">
        <f t="shared" si="94"/>
        <v>2007.4059986979159</v>
      </c>
      <c r="BV30" s="92">
        <f t="shared" si="94"/>
        <v>2007.4059986979159</v>
      </c>
      <c r="BW30" s="92">
        <f t="shared" si="94"/>
        <v>2007.4059986979159</v>
      </c>
      <c r="BX30" s="92">
        <f t="shared" si="94"/>
        <v>2007.4059986979159</v>
      </c>
      <c r="BY30" s="92">
        <f t="shared" si="94"/>
        <v>2007.4059986979159</v>
      </c>
      <c r="BZ30" s="92">
        <f t="shared" si="94"/>
        <v>2007.4059986979159</v>
      </c>
      <c r="CA30" s="96">
        <f t="shared" si="94"/>
        <v>2007.4059986979159</v>
      </c>
      <c r="CB30" s="108">
        <f t="shared" si="94"/>
        <v>2007.4059986979159</v>
      </c>
      <c r="CC30" s="104">
        <f t="shared" si="94"/>
        <v>24088.871984374993</v>
      </c>
      <c r="CD30" s="46">
        <f t="shared" si="94"/>
        <v>2033.805523665364</v>
      </c>
      <c r="CE30" s="96">
        <f t="shared" si="94"/>
        <v>2033.805523665364</v>
      </c>
      <c r="CF30" s="96">
        <f t="shared" si="94"/>
        <v>2033.805523665364</v>
      </c>
      <c r="CG30" s="96">
        <f t="shared" si="94"/>
        <v>2033.805523665364</v>
      </c>
      <c r="CH30" s="92">
        <f t="shared" si="94"/>
        <v>2033.805523665364</v>
      </c>
      <c r="CI30" s="92">
        <f t="shared" si="94"/>
        <v>2033.805523665364</v>
      </c>
      <c r="CJ30" s="92">
        <f t="shared" si="94"/>
        <v>2033.805523665364</v>
      </c>
      <c r="CK30" s="92">
        <f t="shared" si="94"/>
        <v>2033.805523665364</v>
      </c>
      <c r="CL30" s="92">
        <f t="shared" si="94"/>
        <v>2033.805523665364</v>
      </c>
      <c r="CM30" s="92">
        <f t="shared" si="94"/>
        <v>2033.805523665364</v>
      </c>
      <c r="CN30" s="96">
        <f t="shared" si="94"/>
        <v>2033.805523665364</v>
      </c>
      <c r="CO30" s="108">
        <f t="shared" si="94"/>
        <v>2033.805523665364</v>
      </c>
      <c r="CP30" s="104">
        <f t="shared" si="94"/>
        <v>24405.66628398437</v>
      </c>
    </row>
    <row r="31" spans="1:94">
      <c r="B31" s="139"/>
      <c r="C31" s="383"/>
      <c r="D31" s="99"/>
      <c r="E31" s="91"/>
      <c r="F31" s="95"/>
      <c r="G31" s="95"/>
      <c r="H31" s="95"/>
      <c r="I31" s="99"/>
      <c r="J31" s="95"/>
      <c r="K31" s="95"/>
      <c r="L31" s="95"/>
      <c r="M31" s="99"/>
      <c r="N31" s="95"/>
      <c r="O31" s="95"/>
      <c r="P31" s="103"/>
      <c r="Q31" s="91"/>
      <c r="R31" s="99"/>
      <c r="S31" s="99"/>
      <c r="T31" s="99"/>
      <c r="U31" s="99"/>
      <c r="V31" s="99"/>
      <c r="W31" s="99"/>
      <c r="X31" s="99"/>
      <c r="Y31" s="99"/>
      <c r="Z31" s="99"/>
      <c r="AA31" s="95"/>
      <c r="AB31" s="107"/>
      <c r="AC31" s="103"/>
      <c r="AD31" s="91"/>
      <c r="AE31" s="99"/>
      <c r="AF31" s="99"/>
      <c r="AG31" s="99"/>
      <c r="AH31" s="99"/>
      <c r="AI31" s="99"/>
      <c r="AJ31" s="99"/>
      <c r="AK31" s="99"/>
      <c r="AL31" s="99"/>
      <c r="AM31" s="99"/>
      <c r="AN31" s="95"/>
      <c r="AO31" s="107"/>
      <c r="AP31" s="103"/>
      <c r="AQ31" s="91"/>
      <c r="AR31" s="99"/>
      <c r="AS31" s="99"/>
      <c r="AT31" s="99"/>
      <c r="AU31" s="99"/>
      <c r="AV31" s="99"/>
      <c r="AW31" s="99"/>
      <c r="AX31" s="99"/>
      <c r="AY31" s="99"/>
      <c r="AZ31" s="99"/>
      <c r="BA31" s="95"/>
      <c r="BB31" s="107"/>
      <c r="BC31" s="103"/>
      <c r="BD31" s="91"/>
      <c r="BE31" s="99"/>
      <c r="BF31" s="99"/>
      <c r="BG31" s="99"/>
      <c r="BH31" s="99"/>
      <c r="BI31" s="99"/>
      <c r="BJ31" s="99"/>
      <c r="BK31" s="99"/>
      <c r="BL31" s="99"/>
      <c r="BM31" s="99"/>
      <c r="BN31" s="95"/>
      <c r="BO31" s="107"/>
      <c r="BP31" s="103"/>
      <c r="BQ31" s="91"/>
      <c r="BR31" s="99"/>
      <c r="BS31" s="99"/>
      <c r="BT31" s="99"/>
      <c r="BU31" s="99"/>
      <c r="BV31" s="99"/>
      <c r="BW31" s="99"/>
      <c r="BX31" s="99"/>
      <c r="BY31" s="99"/>
      <c r="BZ31" s="99"/>
      <c r="CA31" s="95"/>
      <c r="CB31" s="107"/>
      <c r="CC31" s="103"/>
      <c r="CD31" s="91"/>
      <c r="CE31" s="95"/>
      <c r="CF31" s="95"/>
      <c r="CG31" s="95"/>
      <c r="CH31" s="99"/>
      <c r="CI31" s="99"/>
      <c r="CJ31" s="99"/>
      <c r="CK31" s="99"/>
      <c r="CL31" s="99"/>
      <c r="CM31" s="99"/>
      <c r="CN31" s="95"/>
      <c r="CO31" s="107"/>
      <c r="CP31" s="103"/>
    </row>
    <row r="32" spans="1:94" s="1" customFormat="1" ht="15" thickBot="1">
      <c r="A32" s="701">
        <f>C32*12</f>
        <v>298431</v>
      </c>
      <c r="B32" s="156" t="s">
        <v>126</v>
      </c>
      <c r="C32" s="385">
        <f>C18+C30</f>
        <v>24869.25</v>
      </c>
      <c r="D32" s="100">
        <f t="shared" ref="D32:BO32" si="95">D18+D30</f>
        <v>26110.625</v>
      </c>
      <c r="E32" s="47">
        <f t="shared" si="95"/>
        <v>26131.692530628614</v>
      </c>
      <c r="F32" s="97">
        <f t="shared" si="95"/>
        <v>24668.658394500027</v>
      </c>
      <c r="G32" s="97">
        <f t="shared" si="95"/>
        <v>23203.088395859464</v>
      </c>
      <c r="H32" s="97">
        <f t="shared" si="95"/>
        <v>23786.112766634455</v>
      </c>
      <c r="I32" s="100">
        <f t="shared" si="95"/>
        <v>24369.997932759117</v>
      </c>
      <c r="J32" s="97">
        <f t="shared" si="95"/>
        <v>24954.744958939835</v>
      </c>
      <c r="K32" s="97">
        <f t="shared" si="95"/>
        <v>25540.354911057093</v>
      </c>
      <c r="L32" s="97">
        <f t="shared" si="95"/>
        <v>26126.828856166667</v>
      </c>
      <c r="M32" s="100">
        <f t="shared" si="95"/>
        <v>26714.167862500839</v>
      </c>
      <c r="N32" s="97">
        <f t="shared" si="95"/>
        <v>27302.372999469655</v>
      </c>
      <c r="O32" s="97">
        <f t="shared" si="95"/>
        <v>27891.445337662102</v>
      </c>
      <c r="P32" s="105">
        <f t="shared" si="95"/>
        <v>306800.0899461779</v>
      </c>
      <c r="Q32" s="47">
        <f t="shared" si="95"/>
        <v>28677.29142592461</v>
      </c>
      <c r="R32" s="100">
        <f t="shared" si="95"/>
        <v>29300.856516016705</v>
      </c>
      <c r="S32" s="100">
        <f t="shared" si="95"/>
        <v>29860.067807870291</v>
      </c>
      <c r="T32" s="100">
        <f t="shared" si="95"/>
        <v>30486.889889021917</v>
      </c>
      <c r="U32" s="100">
        <f t="shared" si="95"/>
        <v>31115.93975819011</v>
      </c>
      <c r="V32" s="100">
        <f t="shared" si="95"/>
        <v>27590.310854286017</v>
      </c>
      <c r="W32" s="100">
        <f t="shared" si="95"/>
        <v>32380.74989643375</v>
      </c>
      <c r="X32" s="100">
        <f t="shared" si="95"/>
        <v>36618.468996954231</v>
      </c>
      <c r="Y32" s="100">
        <f t="shared" si="95"/>
        <v>36689.966691119094</v>
      </c>
      <c r="Z32" s="100">
        <f t="shared" si="95"/>
        <v>36761.611658827598</v>
      </c>
      <c r="AA32" s="97">
        <f t="shared" si="95"/>
        <v>36833.404203439146</v>
      </c>
      <c r="AB32" s="109">
        <f t="shared" si="95"/>
        <v>36905.344628937994</v>
      </c>
      <c r="AC32" s="105">
        <f t="shared" ref="AC32" si="96">AC18+AC30</f>
        <v>393220.90232702141</v>
      </c>
      <c r="AD32" s="47">
        <f t="shared" si="95"/>
        <v>36501.356970833338</v>
      </c>
      <c r="AE32" s="100">
        <f t="shared" si="95"/>
        <v>36572.564168981698</v>
      </c>
      <c r="AF32" s="100">
        <f t="shared" si="95"/>
        <v>36572.564168981698</v>
      </c>
      <c r="AG32" s="100">
        <f t="shared" si="95"/>
        <v>36643.918042299483</v>
      </c>
      <c r="AH32" s="100">
        <f t="shared" si="95"/>
        <v>36715.418892913527</v>
      </c>
      <c r="AI32" s="100">
        <f t="shared" si="95"/>
        <v>36787.067023572985</v>
      </c>
      <c r="AJ32" s="100">
        <f t="shared" si="95"/>
        <v>36858.862737650641</v>
      </c>
      <c r="AK32" s="100">
        <f t="shared" si="95"/>
        <v>36930.806339144168</v>
      </c>
      <c r="AL32" s="100">
        <f t="shared" si="95"/>
        <v>37002.898132677437</v>
      </c>
      <c r="AM32" s="100">
        <f t="shared" si="95"/>
        <v>37075.138423501798</v>
      </c>
      <c r="AN32" s="97">
        <f t="shared" si="95"/>
        <v>37147.527517497329</v>
      </c>
      <c r="AO32" s="109">
        <f t="shared" si="95"/>
        <v>37220.065721174222</v>
      </c>
      <c r="AP32" s="105">
        <f t="shared" si="95"/>
        <v>442028.18813922827</v>
      </c>
      <c r="AQ32" s="47">
        <f t="shared" si="95"/>
        <v>37176.462770104168</v>
      </c>
      <c r="AR32" s="100">
        <f t="shared" si="95"/>
        <v>37249.010079635962</v>
      </c>
      <c r="AS32" s="100">
        <f t="shared" si="95"/>
        <v>37249.010079635962</v>
      </c>
      <c r="AT32" s="100">
        <f t="shared" si="95"/>
        <v>37321.706824747213</v>
      </c>
      <c r="AU32" s="100">
        <f t="shared" si="95"/>
        <v>37394.553313250741</v>
      </c>
      <c r="AV32" s="100">
        <f t="shared" si="95"/>
        <v>37467.549853593409</v>
      </c>
      <c r="AW32" s="100">
        <f t="shared" si="95"/>
        <v>37540.696754857461</v>
      </c>
      <c r="AX32" s="100">
        <f t="shared" si="95"/>
        <v>37613.994326761756</v>
      </c>
      <c r="AY32" s="100">
        <f t="shared" si="95"/>
        <v>37687.442879663162</v>
      </c>
      <c r="AZ32" s="100">
        <f t="shared" si="95"/>
        <v>37761.042724557788</v>
      </c>
      <c r="BA32" s="97">
        <f t="shared" si="95"/>
        <v>37834.794173082395</v>
      </c>
      <c r="BB32" s="109">
        <f t="shared" si="95"/>
        <v>37908.697537515618</v>
      </c>
      <c r="BC32" s="105">
        <f t="shared" si="95"/>
        <v>450204.96131740557</v>
      </c>
      <c r="BD32" s="47">
        <f t="shared" si="95"/>
        <v>37868.446214356773</v>
      </c>
      <c r="BE32" s="100">
        <f t="shared" si="95"/>
        <v>37927.716175368085</v>
      </c>
      <c r="BF32" s="100">
        <f t="shared" si="95"/>
        <v>37927.716175368085</v>
      </c>
      <c r="BG32" s="100">
        <f t="shared" si="95"/>
        <v>37987.084025538774</v>
      </c>
      <c r="BH32" s="100">
        <f t="shared" si="95"/>
        <v>38046.549926540727</v>
      </c>
      <c r="BI32" s="100">
        <f t="shared" si="95"/>
        <v>38106.114040312888</v>
      </c>
      <c r="BJ32" s="100">
        <f t="shared" si="95"/>
        <v>38165.776529061615</v>
      </c>
      <c r="BK32" s="100">
        <f t="shared" si="95"/>
        <v>38225.537555261188</v>
      </c>
      <c r="BL32" s="100">
        <f t="shared" si="95"/>
        <v>38285.397281654223</v>
      </c>
      <c r="BM32" s="100">
        <f t="shared" si="95"/>
        <v>38345.355871252097</v>
      </c>
      <c r="BN32" s="97">
        <f t="shared" si="95"/>
        <v>38405.413487335441</v>
      </c>
      <c r="BO32" s="109">
        <f t="shared" si="95"/>
        <v>38465.570293454548</v>
      </c>
      <c r="BP32" s="105">
        <f t="shared" ref="BP32" si="97">BP18+BP30</f>
        <v>457756.67757550441</v>
      </c>
      <c r="BQ32" s="47">
        <f t="shared" ref="BQ32:CP32" si="98">BQ18+BQ30</f>
        <v>38441.023765466824</v>
      </c>
      <c r="BR32" s="100">
        <f t="shared" si="98"/>
        <v>38501.196847331732</v>
      </c>
      <c r="BS32" s="100">
        <f t="shared" si="98"/>
        <v>38501.196847331732</v>
      </c>
      <c r="BT32" s="100">
        <f t="shared" si="98"/>
        <v>38561.46930993352</v>
      </c>
      <c r="BU32" s="100">
        <f t="shared" si="98"/>
        <v>38621.841317407561</v>
      </c>
      <c r="BV32" s="100">
        <f t="shared" si="98"/>
        <v>38682.31303416031</v>
      </c>
      <c r="BW32" s="100">
        <f t="shared" si="98"/>
        <v>38742.884624869737</v>
      </c>
      <c r="BX32" s="100">
        <f t="shared" si="98"/>
        <v>38803.556254485811</v>
      </c>
      <c r="BY32" s="100">
        <f t="shared" si="98"/>
        <v>38864.328088230919</v>
      </c>
      <c r="BZ32" s="100">
        <f t="shared" si="98"/>
        <v>38925.200291600318</v>
      </c>
      <c r="CA32" s="97">
        <f t="shared" si="98"/>
        <v>38986.17303036261</v>
      </c>
      <c r="CB32" s="109">
        <f t="shared" si="98"/>
        <v>39047.246470560167</v>
      </c>
      <c r="CC32" s="105">
        <f t="shared" si="98"/>
        <v>464678.42988174118</v>
      </c>
      <c r="CD32" s="47">
        <f t="shared" si="98"/>
        <v>39025.181645769655</v>
      </c>
      <c r="CE32" s="97">
        <f t="shared" si="98"/>
        <v>39086.27591090522</v>
      </c>
      <c r="CF32" s="97">
        <f t="shared" si="98"/>
        <v>39086.27591090522</v>
      </c>
      <c r="CG32" s="97">
        <f t="shared" si="98"/>
        <v>39147.471078186732</v>
      </c>
      <c r="CH32" s="100">
        <f t="shared" si="98"/>
        <v>39208.767314262303</v>
      </c>
      <c r="CI32" s="100">
        <f t="shared" si="98"/>
        <v>39270.164786055248</v>
      </c>
      <c r="CJ32" s="100">
        <f t="shared" si="98"/>
        <v>39331.663660764585</v>
      </c>
      <c r="CK32" s="100">
        <f t="shared" si="98"/>
        <v>39393.264105865499</v>
      </c>
      <c r="CL32" s="100">
        <f t="shared" si="98"/>
        <v>39454.966289109718</v>
      </c>
      <c r="CM32" s="100">
        <f t="shared" si="98"/>
        <v>39516.770378526082</v>
      </c>
      <c r="CN32" s="97">
        <f t="shared" si="98"/>
        <v>39578.676542420893</v>
      </c>
      <c r="CO32" s="109">
        <f t="shared" si="98"/>
        <v>39640.684949378476</v>
      </c>
      <c r="CP32" s="105">
        <f t="shared" si="98"/>
        <v>471740.16257214959</v>
      </c>
    </row>
    <row r="33" spans="2:94" ht="9.75" customHeight="1">
      <c r="B33" s="158"/>
      <c r="C33" s="383"/>
      <c r="D33" s="99"/>
      <c r="E33" s="91"/>
      <c r="F33" s="95"/>
      <c r="G33" s="95"/>
      <c r="H33" s="95"/>
      <c r="I33" s="99"/>
      <c r="J33" s="95"/>
      <c r="K33" s="95"/>
      <c r="L33" s="95"/>
      <c r="M33" s="99"/>
      <c r="N33" s="95"/>
      <c r="O33" s="95"/>
      <c r="P33" s="103"/>
      <c r="Q33" s="91"/>
      <c r="R33" s="99"/>
      <c r="S33" s="99"/>
      <c r="T33" s="99"/>
      <c r="U33" s="99"/>
      <c r="V33" s="99"/>
      <c r="W33" s="99"/>
      <c r="X33" s="99"/>
      <c r="Y33" s="99"/>
      <c r="Z33" s="99"/>
      <c r="AA33" s="95"/>
      <c r="AB33" s="107"/>
      <c r="AC33" s="103"/>
      <c r="AD33" s="91"/>
      <c r="AE33" s="99"/>
      <c r="AF33" s="99"/>
      <c r="AG33" s="99"/>
      <c r="AH33" s="99"/>
      <c r="AI33" s="99"/>
      <c r="AJ33" s="99"/>
      <c r="AK33" s="99"/>
      <c r="AL33" s="99"/>
      <c r="AM33" s="99"/>
      <c r="AN33" s="95"/>
      <c r="AO33" s="107"/>
      <c r="AP33" s="103"/>
      <c r="AQ33" s="91"/>
      <c r="AR33" s="99"/>
      <c r="AS33" s="99"/>
      <c r="AT33" s="99"/>
      <c r="AU33" s="99"/>
      <c r="AV33" s="99"/>
      <c r="AW33" s="99"/>
      <c r="AX33" s="99"/>
      <c r="AY33" s="99"/>
      <c r="AZ33" s="99"/>
      <c r="BA33" s="95"/>
      <c r="BB33" s="107"/>
      <c r="BC33" s="103"/>
      <c r="BD33" s="107"/>
      <c r="BE33" s="99"/>
      <c r="BF33" s="99"/>
      <c r="BG33" s="99"/>
      <c r="BH33" s="99"/>
      <c r="BI33" s="99"/>
      <c r="BJ33" s="99"/>
      <c r="BK33" s="99"/>
      <c r="BL33" s="99"/>
      <c r="BM33" s="99"/>
      <c r="BN33" s="95"/>
      <c r="BO33" s="107"/>
      <c r="BP33" s="103"/>
      <c r="BQ33" s="91"/>
      <c r="BR33" s="99"/>
      <c r="BS33" s="99"/>
      <c r="BT33" s="99"/>
      <c r="BU33" s="99"/>
      <c r="BV33" s="99"/>
      <c r="BW33" s="99"/>
      <c r="BX33" s="99"/>
      <c r="BY33" s="99"/>
      <c r="BZ33" s="99"/>
      <c r="CA33" s="95"/>
      <c r="CB33" s="107"/>
      <c r="CC33" s="103"/>
      <c r="CD33" s="91"/>
      <c r="CE33" s="95"/>
      <c r="CF33" s="95"/>
      <c r="CG33" s="95"/>
      <c r="CH33" s="99"/>
      <c r="CI33" s="99"/>
      <c r="CJ33" s="99"/>
      <c r="CK33" s="99"/>
      <c r="CL33" s="99"/>
      <c r="CM33" s="99"/>
      <c r="CN33" s="95"/>
      <c r="CO33" s="107"/>
      <c r="CP33" s="103"/>
    </row>
    <row r="34" spans="2:94">
      <c r="B34" s="157" t="s">
        <v>11</v>
      </c>
      <c r="C34" s="383"/>
      <c r="D34" s="99"/>
      <c r="E34" s="91"/>
      <c r="F34" s="95"/>
      <c r="G34" s="95"/>
      <c r="H34" s="95"/>
      <c r="I34" s="99"/>
      <c r="J34" s="95"/>
      <c r="K34" s="95"/>
      <c r="L34" s="95"/>
      <c r="M34" s="99"/>
      <c r="N34" s="95"/>
      <c r="O34" s="95"/>
      <c r="P34" s="103"/>
      <c r="Q34" s="91"/>
      <c r="R34" s="99"/>
      <c r="S34" s="99"/>
      <c r="T34" s="99"/>
      <c r="U34" s="99"/>
      <c r="V34" s="99"/>
      <c r="W34" s="99"/>
      <c r="X34" s="99"/>
      <c r="Y34" s="99"/>
      <c r="Z34" s="99"/>
      <c r="AA34" s="95"/>
      <c r="AB34" s="107"/>
      <c r="AC34" s="103"/>
      <c r="AD34" s="91"/>
      <c r="AE34" s="99"/>
      <c r="AF34" s="99"/>
      <c r="AG34" s="99"/>
      <c r="AH34" s="99"/>
      <c r="AI34" s="99"/>
      <c r="AJ34" s="99"/>
      <c r="AK34" s="99"/>
      <c r="AL34" s="99"/>
      <c r="AM34" s="99"/>
      <c r="AN34" s="95"/>
      <c r="AO34" s="107"/>
      <c r="AP34" s="103"/>
      <c r="AQ34" s="91"/>
      <c r="AR34" s="99"/>
      <c r="AS34" s="99"/>
      <c r="AT34" s="99"/>
      <c r="AU34" s="99"/>
      <c r="AV34" s="99"/>
      <c r="AW34" s="99"/>
      <c r="AX34" s="99"/>
      <c r="AY34" s="99"/>
      <c r="AZ34" s="99"/>
      <c r="BA34" s="95"/>
      <c r="BB34" s="107"/>
      <c r="BC34" s="103"/>
      <c r="BD34" s="91"/>
      <c r="BE34" s="99"/>
      <c r="BF34" s="99"/>
      <c r="BG34" s="99"/>
      <c r="BH34" s="99"/>
      <c r="BI34" s="99"/>
      <c r="BJ34" s="99"/>
      <c r="BK34" s="99"/>
      <c r="BL34" s="99"/>
      <c r="BM34" s="99"/>
      <c r="BN34" s="95"/>
      <c r="BO34" s="107"/>
      <c r="BP34" s="103"/>
      <c r="BQ34" s="91"/>
      <c r="BR34" s="99"/>
      <c r="BS34" s="99"/>
      <c r="BT34" s="99"/>
      <c r="BU34" s="99"/>
      <c r="BV34" s="99"/>
      <c r="BW34" s="99"/>
      <c r="BX34" s="99"/>
      <c r="BY34" s="99"/>
      <c r="BZ34" s="99"/>
      <c r="CA34" s="95"/>
      <c r="CB34" s="107"/>
      <c r="CC34" s="103"/>
      <c r="CD34" s="91"/>
      <c r="CE34" s="95"/>
      <c r="CF34" s="95"/>
      <c r="CG34" s="95"/>
      <c r="CH34" s="99"/>
      <c r="CI34" s="99"/>
      <c r="CJ34" s="99"/>
      <c r="CK34" s="99"/>
      <c r="CL34" s="99"/>
      <c r="CM34" s="99"/>
      <c r="CN34" s="95"/>
      <c r="CO34" s="107"/>
      <c r="CP34" s="103"/>
    </row>
    <row r="35" spans="2:94" ht="7.5" customHeight="1">
      <c r="B35" s="139"/>
      <c r="C35" s="383"/>
      <c r="D35" s="99"/>
      <c r="E35" s="91"/>
      <c r="F35" s="95"/>
      <c r="G35" s="95"/>
      <c r="H35" s="95"/>
      <c r="I35" s="99"/>
      <c r="J35" s="95"/>
      <c r="K35" s="95"/>
      <c r="L35" s="95"/>
      <c r="M35" s="99"/>
      <c r="N35" s="95"/>
      <c r="O35" s="95"/>
      <c r="P35" s="103"/>
      <c r="Q35" s="91"/>
      <c r="R35" s="99"/>
      <c r="S35" s="99"/>
      <c r="T35" s="99"/>
      <c r="U35" s="99"/>
      <c r="V35" s="99"/>
      <c r="W35" s="99"/>
      <c r="X35" s="99"/>
      <c r="Y35" s="99"/>
      <c r="Z35" s="99"/>
      <c r="AA35" s="95"/>
      <c r="AB35" s="107"/>
      <c r="AC35" s="103"/>
      <c r="AD35" s="91"/>
      <c r="AE35" s="99"/>
      <c r="AF35" s="99"/>
      <c r="AG35" s="99"/>
      <c r="AH35" s="99"/>
      <c r="AI35" s="99"/>
      <c r="AJ35" s="99"/>
      <c r="AK35" s="99"/>
      <c r="AL35" s="99"/>
      <c r="AM35" s="99"/>
      <c r="AN35" s="95"/>
      <c r="AO35" s="107"/>
      <c r="AP35" s="103"/>
      <c r="AQ35" s="91"/>
      <c r="AR35" s="99"/>
      <c r="AS35" s="99"/>
      <c r="AT35" s="99"/>
      <c r="AU35" s="99"/>
      <c r="AV35" s="99"/>
      <c r="AW35" s="99"/>
      <c r="AX35" s="99"/>
      <c r="AY35" s="99"/>
      <c r="AZ35" s="99"/>
      <c r="BA35" s="95"/>
      <c r="BB35" s="107"/>
      <c r="BC35" s="103"/>
      <c r="BD35" s="91"/>
      <c r="BE35" s="99"/>
      <c r="BF35" s="99"/>
      <c r="BG35" s="99"/>
      <c r="BH35" s="99"/>
      <c r="BI35" s="99"/>
      <c r="BJ35" s="99"/>
      <c r="BK35" s="99"/>
      <c r="BL35" s="99"/>
      <c r="BM35" s="99"/>
      <c r="BN35" s="95"/>
      <c r="BO35" s="107"/>
      <c r="BP35" s="103"/>
      <c r="BQ35" s="91"/>
      <c r="BR35" s="99"/>
      <c r="BS35" s="99"/>
      <c r="BT35" s="99"/>
      <c r="BU35" s="99"/>
      <c r="BV35" s="99"/>
      <c r="BW35" s="99"/>
      <c r="BX35" s="99"/>
      <c r="BY35" s="99"/>
      <c r="BZ35" s="99"/>
      <c r="CA35" s="95"/>
      <c r="CB35" s="107"/>
      <c r="CC35" s="103"/>
      <c r="CD35" s="91"/>
      <c r="CE35" s="95"/>
      <c r="CF35" s="95"/>
      <c r="CG35" s="95"/>
      <c r="CH35" s="99"/>
      <c r="CI35" s="99"/>
      <c r="CJ35" s="99"/>
      <c r="CK35" s="99"/>
      <c r="CL35" s="99"/>
      <c r="CM35" s="99"/>
      <c r="CN35" s="95"/>
      <c r="CO35" s="107"/>
      <c r="CP35" s="103"/>
    </row>
    <row r="36" spans="2:94">
      <c r="B36" s="113" t="s">
        <v>79</v>
      </c>
      <c r="C36" s="383">
        <f>Assumptions!G24/12</f>
        <v>3818.125</v>
      </c>
      <c r="D36" s="99">
        <f>Assumptions!$H24/12</f>
        <v>3818.125</v>
      </c>
      <c r="E36" s="91">
        <f>Assumptions!$H24/12</f>
        <v>3818.125</v>
      </c>
      <c r="F36" s="95">
        <f>Assumptions!$H24/12</f>
        <v>3818.125</v>
      </c>
      <c r="G36" s="95">
        <f>Assumptions!$H24/12</f>
        <v>3818.125</v>
      </c>
      <c r="H36" s="95">
        <f>Assumptions!$H24/12</f>
        <v>3818.125</v>
      </c>
      <c r="I36" s="99">
        <f>Assumptions!$H24/12</f>
        <v>3818.125</v>
      </c>
      <c r="J36" s="95">
        <f>Assumptions!$H24/12</f>
        <v>3818.125</v>
      </c>
      <c r="K36" s="95">
        <f>Assumptions!$H24/12</f>
        <v>3818.125</v>
      </c>
      <c r="L36" s="95">
        <f>Assumptions!$H24/12</f>
        <v>3818.125</v>
      </c>
      <c r="M36" s="99">
        <f>Assumptions!$H24/12</f>
        <v>3818.125</v>
      </c>
      <c r="N36" s="95">
        <f>Assumptions!$H24/12</f>
        <v>3818.125</v>
      </c>
      <c r="O36" s="95">
        <f>Assumptions!$H24/12</f>
        <v>3818.125</v>
      </c>
      <c r="P36" s="103">
        <f t="shared" ref="P36:P38" si="99">SUM(D36:O36)</f>
        <v>45817.5</v>
      </c>
      <c r="Q36" s="91">
        <f>Assumptions!$I24/12</f>
        <v>3894.4874999999997</v>
      </c>
      <c r="R36" s="99">
        <f>Assumptions!$I24/12</f>
        <v>3894.4874999999997</v>
      </c>
      <c r="S36" s="99">
        <f>Assumptions!$I24/12</f>
        <v>3894.4874999999997</v>
      </c>
      <c r="T36" s="99">
        <f>Assumptions!$I24/12</f>
        <v>3894.4874999999997</v>
      </c>
      <c r="U36" s="99">
        <f>Assumptions!$I24/12</f>
        <v>3894.4874999999997</v>
      </c>
      <c r="V36" s="99">
        <f>Assumptions!$I24/12</f>
        <v>3894.4874999999997</v>
      </c>
      <c r="W36" s="99">
        <f>Assumptions!$I24/12</f>
        <v>3894.4874999999997</v>
      </c>
      <c r="X36" s="99">
        <f>Assumptions!$I24/12</f>
        <v>3894.4874999999997</v>
      </c>
      <c r="Y36" s="99">
        <f>Assumptions!$I24/12</f>
        <v>3894.4874999999997</v>
      </c>
      <c r="Z36" s="99">
        <f>Assumptions!$I24/12</f>
        <v>3894.4874999999997</v>
      </c>
      <c r="AA36" s="95">
        <f>Assumptions!$I24/12</f>
        <v>3894.4874999999997</v>
      </c>
      <c r="AB36" s="107">
        <f>Assumptions!$I24/12</f>
        <v>3894.4874999999997</v>
      </c>
      <c r="AC36" s="103">
        <f t="shared" ref="AC36:AC38" si="100">SUM(Q36:AB36)</f>
        <v>46733.850000000006</v>
      </c>
      <c r="AD36" s="91">
        <f>Assumptions!$J24/12</f>
        <v>3972.37725</v>
      </c>
      <c r="AE36" s="99">
        <f>Assumptions!$J24/12</f>
        <v>3972.37725</v>
      </c>
      <c r="AF36" s="99">
        <f>Assumptions!$J24/12</f>
        <v>3972.37725</v>
      </c>
      <c r="AG36" s="99">
        <f>Assumptions!$J24/12</f>
        <v>3972.37725</v>
      </c>
      <c r="AH36" s="99">
        <f>Assumptions!$J24/12</f>
        <v>3972.37725</v>
      </c>
      <c r="AI36" s="99">
        <f>Assumptions!$J24/12</f>
        <v>3972.37725</v>
      </c>
      <c r="AJ36" s="99">
        <f>Assumptions!$J24/12</f>
        <v>3972.37725</v>
      </c>
      <c r="AK36" s="99">
        <f>Assumptions!$J24/12</f>
        <v>3972.37725</v>
      </c>
      <c r="AL36" s="99">
        <f>Assumptions!$J24/12</f>
        <v>3972.37725</v>
      </c>
      <c r="AM36" s="99">
        <f>Assumptions!$J24/12</f>
        <v>3972.37725</v>
      </c>
      <c r="AN36" s="95">
        <f>Assumptions!$J24/12</f>
        <v>3972.37725</v>
      </c>
      <c r="AO36" s="107">
        <f>Assumptions!$J24/12</f>
        <v>3972.37725</v>
      </c>
      <c r="AP36" s="103">
        <f t="shared" ref="AP36:AP38" si="101">SUM(AD36:AO36)</f>
        <v>47668.526999999995</v>
      </c>
      <c r="AQ36" s="91">
        <f>Assumptions!$K24/12</f>
        <v>4051.8247950000004</v>
      </c>
      <c r="AR36" s="99">
        <f>Assumptions!$K24/12</f>
        <v>4051.8247950000004</v>
      </c>
      <c r="AS36" s="99">
        <f>Assumptions!$K24/12</f>
        <v>4051.8247950000004</v>
      </c>
      <c r="AT36" s="99">
        <f>Assumptions!$K24/12</f>
        <v>4051.8247950000004</v>
      </c>
      <c r="AU36" s="99">
        <f>Assumptions!$K24/12</f>
        <v>4051.8247950000004</v>
      </c>
      <c r="AV36" s="99">
        <f>Assumptions!$K24/12</f>
        <v>4051.8247950000004</v>
      </c>
      <c r="AW36" s="99">
        <f>Assumptions!$K24/12</f>
        <v>4051.8247950000004</v>
      </c>
      <c r="AX36" s="99">
        <f>Assumptions!$K24/12</f>
        <v>4051.8247950000004</v>
      </c>
      <c r="AY36" s="99">
        <f>Assumptions!$K24/12</f>
        <v>4051.8247950000004</v>
      </c>
      <c r="AZ36" s="99">
        <f>Assumptions!$K24/12</f>
        <v>4051.8247950000004</v>
      </c>
      <c r="BA36" s="95">
        <f>Assumptions!$K24/12</f>
        <v>4051.8247950000004</v>
      </c>
      <c r="BB36" s="107">
        <f>Assumptions!$K24/12</f>
        <v>4051.8247950000004</v>
      </c>
      <c r="BC36" s="103">
        <f t="shared" ref="BC36:BC38" si="102">SUM(AQ36:BB36)</f>
        <v>48621.897540000005</v>
      </c>
      <c r="BD36" s="91">
        <f>Assumptions!$L24/12</f>
        <v>4132.8612909000003</v>
      </c>
      <c r="BE36" s="99">
        <f>Assumptions!$L24/12</f>
        <v>4132.8612909000003</v>
      </c>
      <c r="BF36" s="99">
        <f>Assumptions!$L24/12</f>
        <v>4132.8612909000003</v>
      </c>
      <c r="BG36" s="99">
        <f>Assumptions!$L24/12</f>
        <v>4132.8612909000003</v>
      </c>
      <c r="BH36" s="99">
        <f>Assumptions!$L24/12</f>
        <v>4132.8612909000003</v>
      </c>
      <c r="BI36" s="99">
        <f>Assumptions!$L24/12</f>
        <v>4132.8612909000003</v>
      </c>
      <c r="BJ36" s="99">
        <f>Assumptions!$L24/12</f>
        <v>4132.8612909000003</v>
      </c>
      <c r="BK36" s="99">
        <f>Assumptions!$L24/12</f>
        <v>4132.8612909000003</v>
      </c>
      <c r="BL36" s="99">
        <f>Assumptions!$L24/12</f>
        <v>4132.8612909000003</v>
      </c>
      <c r="BM36" s="99">
        <f>Assumptions!$L24/12</f>
        <v>4132.8612909000003</v>
      </c>
      <c r="BN36" s="95">
        <f>Assumptions!$L24/12</f>
        <v>4132.8612909000003</v>
      </c>
      <c r="BO36" s="107">
        <f>Assumptions!$L24/12</f>
        <v>4132.8612909000003</v>
      </c>
      <c r="BP36" s="103">
        <f t="shared" ref="BP36:BP38" si="103">SUM(BD36:BO36)</f>
        <v>49594.335490800004</v>
      </c>
      <c r="BQ36" s="91">
        <f>Assumptions!$M24/12</f>
        <v>4215.5185167180007</v>
      </c>
      <c r="BR36" s="99">
        <f>Assumptions!$M24/12</f>
        <v>4215.5185167180007</v>
      </c>
      <c r="BS36" s="99">
        <f>Assumptions!$M24/12</f>
        <v>4215.5185167180007</v>
      </c>
      <c r="BT36" s="99">
        <f>Assumptions!$M24/12</f>
        <v>4215.5185167180007</v>
      </c>
      <c r="BU36" s="99">
        <f>Assumptions!$M24/12</f>
        <v>4215.5185167180007</v>
      </c>
      <c r="BV36" s="99">
        <f>Assumptions!$M24/12</f>
        <v>4215.5185167180007</v>
      </c>
      <c r="BW36" s="99">
        <f>Assumptions!$M24/12</f>
        <v>4215.5185167180007</v>
      </c>
      <c r="BX36" s="99">
        <f>Assumptions!$M24/12</f>
        <v>4215.5185167180007</v>
      </c>
      <c r="BY36" s="99">
        <f>Assumptions!$M24/12</f>
        <v>4215.5185167180007</v>
      </c>
      <c r="BZ36" s="99">
        <f>Assumptions!$M24/12</f>
        <v>4215.5185167180007</v>
      </c>
      <c r="CA36" s="95">
        <f>Assumptions!$M24/12</f>
        <v>4215.5185167180007</v>
      </c>
      <c r="CB36" s="107">
        <f>Assumptions!$M24/12</f>
        <v>4215.5185167180007</v>
      </c>
      <c r="CC36" s="103">
        <f t="shared" ref="CC36:CC38" si="104">SUM(BQ36:CB36)</f>
        <v>50586.222200616023</v>
      </c>
      <c r="CD36" s="91">
        <f>Assumptions!$N24/12</f>
        <v>4299.8288870523602</v>
      </c>
      <c r="CE36" s="95">
        <f>Assumptions!$N24/12</f>
        <v>4299.8288870523602</v>
      </c>
      <c r="CF36" s="95">
        <f>Assumptions!$N24/12</f>
        <v>4299.8288870523602</v>
      </c>
      <c r="CG36" s="95">
        <f>Assumptions!$N24/12</f>
        <v>4299.8288870523602</v>
      </c>
      <c r="CH36" s="99">
        <f>Assumptions!$N24/12</f>
        <v>4299.8288870523602</v>
      </c>
      <c r="CI36" s="99">
        <f>Assumptions!$N24/12</f>
        <v>4299.8288870523602</v>
      </c>
      <c r="CJ36" s="99">
        <f>Assumptions!$N24/12</f>
        <v>4299.8288870523602</v>
      </c>
      <c r="CK36" s="99">
        <f>Assumptions!$N24/12</f>
        <v>4299.8288870523602</v>
      </c>
      <c r="CL36" s="99">
        <f>Assumptions!$N24/12</f>
        <v>4299.8288870523602</v>
      </c>
      <c r="CM36" s="99">
        <f>Assumptions!$N24/12</f>
        <v>4299.8288870523602</v>
      </c>
      <c r="CN36" s="95">
        <f>Assumptions!$N24/12</f>
        <v>4299.8288870523602</v>
      </c>
      <c r="CO36" s="107">
        <f>Assumptions!$N24/12</f>
        <v>4299.8288870523602</v>
      </c>
      <c r="CP36" s="103">
        <f t="shared" ref="CP36:CP38" si="105">SUM(CD36:CO36)</f>
        <v>51597.946644628326</v>
      </c>
    </row>
    <row r="37" spans="2:94">
      <c r="B37" s="113" t="s">
        <v>13</v>
      </c>
      <c r="C37" s="383">
        <f>Assumptions!G25/12</f>
        <v>1166.6666666666667</v>
      </c>
      <c r="D37" s="99">
        <f>Assumptions!$H25/12</f>
        <v>1166.6666666666667</v>
      </c>
      <c r="E37" s="91">
        <f>Assumptions!$H25/12</f>
        <v>1166.6666666666667</v>
      </c>
      <c r="F37" s="95">
        <f>Assumptions!$H25/12</f>
        <v>1166.6666666666667</v>
      </c>
      <c r="G37" s="95">
        <f>Assumptions!$H25/12</f>
        <v>1166.6666666666667</v>
      </c>
      <c r="H37" s="95">
        <f>Assumptions!$H25/12</f>
        <v>1166.6666666666667</v>
      </c>
      <c r="I37" s="99">
        <f>Assumptions!$H25/12</f>
        <v>1166.6666666666667</v>
      </c>
      <c r="J37" s="95">
        <f>Assumptions!$H25/12</f>
        <v>1166.6666666666667</v>
      </c>
      <c r="K37" s="95">
        <f>Assumptions!$H25/12</f>
        <v>1166.6666666666667</v>
      </c>
      <c r="L37" s="95">
        <f>Assumptions!$H25/12</f>
        <v>1166.6666666666667</v>
      </c>
      <c r="M37" s="99">
        <f>Assumptions!$H25/12</f>
        <v>1166.6666666666667</v>
      </c>
      <c r="N37" s="95">
        <f>Assumptions!$H25/12</f>
        <v>1166.6666666666667</v>
      </c>
      <c r="O37" s="95">
        <f>Assumptions!$H25/12</f>
        <v>1166.6666666666667</v>
      </c>
      <c r="P37" s="103">
        <f t="shared" si="99"/>
        <v>13999.999999999998</v>
      </c>
      <c r="Q37" s="91">
        <f>Assumptions!$I25/12</f>
        <v>1195.8333333333333</v>
      </c>
      <c r="R37" s="99">
        <f>Assumptions!$I25/12</f>
        <v>1195.8333333333333</v>
      </c>
      <c r="S37" s="99">
        <f>Assumptions!$I25/12</f>
        <v>1195.8333333333333</v>
      </c>
      <c r="T37" s="99">
        <f>Assumptions!$I25/12</f>
        <v>1195.8333333333333</v>
      </c>
      <c r="U37" s="99">
        <f>Assumptions!$I25/12</f>
        <v>1195.8333333333333</v>
      </c>
      <c r="V37" s="99">
        <f>Assumptions!$I25/12</f>
        <v>1195.8333333333333</v>
      </c>
      <c r="W37" s="99">
        <f>Assumptions!$I25/12</f>
        <v>1195.8333333333333</v>
      </c>
      <c r="X37" s="99">
        <f>Assumptions!$I25/12</f>
        <v>1195.8333333333333</v>
      </c>
      <c r="Y37" s="99">
        <f>Assumptions!$I25/12</f>
        <v>1195.8333333333333</v>
      </c>
      <c r="Z37" s="99">
        <f>Assumptions!$I25/12</f>
        <v>1195.8333333333333</v>
      </c>
      <c r="AA37" s="95">
        <f>Assumptions!$I25/12</f>
        <v>1195.8333333333333</v>
      </c>
      <c r="AB37" s="107">
        <f>Assumptions!$I25/12</f>
        <v>1195.8333333333333</v>
      </c>
      <c r="AC37" s="103">
        <f t="shared" si="100"/>
        <v>14350.000000000002</v>
      </c>
      <c r="AD37" s="91">
        <f>Assumptions!$J25/12</f>
        <v>1225.7291666666663</v>
      </c>
      <c r="AE37" s="99">
        <f>Assumptions!$J25/12</f>
        <v>1225.7291666666663</v>
      </c>
      <c r="AF37" s="99">
        <f>Assumptions!$J25/12</f>
        <v>1225.7291666666663</v>
      </c>
      <c r="AG37" s="99">
        <f>Assumptions!$J25/12</f>
        <v>1225.7291666666663</v>
      </c>
      <c r="AH37" s="99">
        <f>Assumptions!$J25/12</f>
        <v>1225.7291666666663</v>
      </c>
      <c r="AI37" s="99">
        <f>Assumptions!$J25/12</f>
        <v>1225.7291666666663</v>
      </c>
      <c r="AJ37" s="99">
        <f>Assumptions!$J25/12</f>
        <v>1225.7291666666663</v>
      </c>
      <c r="AK37" s="99">
        <f>Assumptions!$J25/12</f>
        <v>1225.7291666666663</v>
      </c>
      <c r="AL37" s="99">
        <f>Assumptions!$J25/12</f>
        <v>1225.7291666666663</v>
      </c>
      <c r="AM37" s="99">
        <f>Assumptions!$J25/12</f>
        <v>1225.7291666666663</v>
      </c>
      <c r="AN37" s="95">
        <f>Assumptions!$J25/12</f>
        <v>1225.7291666666663</v>
      </c>
      <c r="AO37" s="107">
        <f>Assumptions!$J25/12</f>
        <v>1225.7291666666663</v>
      </c>
      <c r="AP37" s="103">
        <f t="shared" si="101"/>
        <v>14708.749999999995</v>
      </c>
      <c r="AQ37" s="91">
        <f>Assumptions!$K25/12</f>
        <v>1256.3723958333328</v>
      </c>
      <c r="AR37" s="99">
        <f>Assumptions!$K25/12</f>
        <v>1256.3723958333328</v>
      </c>
      <c r="AS37" s="99">
        <f>Assumptions!$K25/12</f>
        <v>1256.3723958333328</v>
      </c>
      <c r="AT37" s="99">
        <f>Assumptions!$K25/12</f>
        <v>1256.3723958333328</v>
      </c>
      <c r="AU37" s="99">
        <f>Assumptions!$K25/12</f>
        <v>1256.3723958333328</v>
      </c>
      <c r="AV37" s="99">
        <f>Assumptions!$K25/12</f>
        <v>1256.3723958333328</v>
      </c>
      <c r="AW37" s="99">
        <f>Assumptions!$K25/12</f>
        <v>1256.3723958333328</v>
      </c>
      <c r="AX37" s="99">
        <f>Assumptions!$K25/12</f>
        <v>1256.3723958333328</v>
      </c>
      <c r="AY37" s="99">
        <f>Assumptions!$K25/12</f>
        <v>1256.3723958333328</v>
      </c>
      <c r="AZ37" s="99">
        <f>Assumptions!$K25/12</f>
        <v>1256.3723958333328</v>
      </c>
      <c r="BA37" s="95">
        <f>Assumptions!$K25/12</f>
        <v>1256.3723958333328</v>
      </c>
      <c r="BB37" s="107">
        <f>Assumptions!$K25/12</f>
        <v>1256.3723958333328</v>
      </c>
      <c r="BC37" s="103">
        <f t="shared" si="102"/>
        <v>15076.468749999991</v>
      </c>
      <c r="BD37" s="91">
        <f>Assumptions!$L25/12</f>
        <v>1287.7817057291661</v>
      </c>
      <c r="BE37" s="99">
        <f>Assumptions!$L25/12</f>
        <v>1287.7817057291661</v>
      </c>
      <c r="BF37" s="99">
        <f>Assumptions!$L25/12</f>
        <v>1287.7817057291661</v>
      </c>
      <c r="BG37" s="99">
        <f>Assumptions!$L25/12</f>
        <v>1287.7817057291661</v>
      </c>
      <c r="BH37" s="99">
        <f>Assumptions!$L25/12</f>
        <v>1287.7817057291661</v>
      </c>
      <c r="BI37" s="99">
        <f>Assumptions!$L25/12</f>
        <v>1287.7817057291661</v>
      </c>
      <c r="BJ37" s="99">
        <f>Assumptions!$L25/12</f>
        <v>1287.7817057291661</v>
      </c>
      <c r="BK37" s="99">
        <f>Assumptions!$L25/12</f>
        <v>1287.7817057291661</v>
      </c>
      <c r="BL37" s="99">
        <f>Assumptions!$L25/12</f>
        <v>1287.7817057291661</v>
      </c>
      <c r="BM37" s="99">
        <f>Assumptions!$L25/12</f>
        <v>1287.7817057291661</v>
      </c>
      <c r="BN37" s="95">
        <f>Assumptions!$L25/12</f>
        <v>1287.7817057291661</v>
      </c>
      <c r="BO37" s="107">
        <f>Assumptions!$L25/12</f>
        <v>1287.7817057291661</v>
      </c>
      <c r="BP37" s="103">
        <f t="shared" si="103"/>
        <v>15453.380468749996</v>
      </c>
      <c r="BQ37" s="91">
        <f>Assumptions!$M25/12</f>
        <v>1319.976248372395</v>
      </c>
      <c r="BR37" s="99">
        <f>Assumptions!$M25/12</f>
        <v>1319.976248372395</v>
      </c>
      <c r="BS37" s="99">
        <f>Assumptions!$M25/12</f>
        <v>1319.976248372395</v>
      </c>
      <c r="BT37" s="99">
        <f>Assumptions!$M25/12</f>
        <v>1319.976248372395</v>
      </c>
      <c r="BU37" s="99">
        <f>Assumptions!$M25/12</f>
        <v>1319.976248372395</v>
      </c>
      <c r="BV37" s="99">
        <f>Assumptions!$M25/12</f>
        <v>1319.976248372395</v>
      </c>
      <c r="BW37" s="99">
        <f>Assumptions!$M25/12</f>
        <v>1319.976248372395</v>
      </c>
      <c r="BX37" s="99">
        <f>Assumptions!$M25/12</f>
        <v>1319.976248372395</v>
      </c>
      <c r="BY37" s="99">
        <f>Assumptions!$M25/12</f>
        <v>1319.976248372395</v>
      </c>
      <c r="BZ37" s="99">
        <f>Assumptions!$M25/12</f>
        <v>1319.976248372395</v>
      </c>
      <c r="CA37" s="95">
        <f>Assumptions!$M25/12</f>
        <v>1319.976248372395</v>
      </c>
      <c r="CB37" s="107">
        <f>Assumptions!$M25/12</f>
        <v>1319.976248372395</v>
      </c>
      <c r="CC37" s="103">
        <f t="shared" si="104"/>
        <v>15839.714980468741</v>
      </c>
      <c r="CD37" s="91">
        <f>Assumptions!$N25/12</f>
        <v>1352.9756545817049</v>
      </c>
      <c r="CE37" s="95">
        <f>Assumptions!$N25/12</f>
        <v>1352.9756545817049</v>
      </c>
      <c r="CF37" s="95">
        <f>Assumptions!$N25/12</f>
        <v>1352.9756545817049</v>
      </c>
      <c r="CG37" s="95">
        <f>Assumptions!$N25/12</f>
        <v>1352.9756545817049</v>
      </c>
      <c r="CH37" s="99">
        <f>Assumptions!$N25/12</f>
        <v>1352.9756545817049</v>
      </c>
      <c r="CI37" s="99">
        <f>Assumptions!$N25/12</f>
        <v>1352.9756545817049</v>
      </c>
      <c r="CJ37" s="99">
        <f>Assumptions!$N25/12</f>
        <v>1352.9756545817049</v>
      </c>
      <c r="CK37" s="99">
        <f>Assumptions!$N25/12</f>
        <v>1352.9756545817049</v>
      </c>
      <c r="CL37" s="99">
        <f>Assumptions!$N25/12</f>
        <v>1352.9756545817049</v>
      </c>
      <c r="CM37" s="99">
        <f>Assumptions!$N25/12</f>
        <v>1352.9756545817049</v>
      </c>
      <c r="CN37" s="95">
        <f>Assumptions!$N25/12</f>
        <v>1352.9756545817049</v>
      </c>
      <c r="CO37" s="107">
        <f>Assumptions!$N25/12</f>
        <v>1352.9756545817049</v>
      </c>
      <c r="CP37" s="103">
        <f t="shared" si="105"/>
        <v>16235.707854980463</v>
      </c>
    </row>
    <row r="38" spans="2:94">
      <c r="B38" s="113" t="s">
        <v>82</v>
      </c>
      <c r="C38" s="383">
        <f>(IF(Assumptions!G26="Fixed",Assumptions!I26/12,C32*Assumptions!I26))</f>
        <v>746.07749999999999</v>
      </c>
      <c r="D38" s="99">
        <f>IF(Assumptions!$G$26="% of Revenue",Assumptions!$I$26*'Monthly Cash Flow'!D32,(Assumptions!$I$26/12))</f>
        <v>783.31875000000002</v>
      </c>
      <c r="E38" s="91">
        <f>IF(Assumptions!$G$26="% of Revenue",Assumptions!$I$26*'Monthly Cash Flow'!E32,(Assumptions!$I$26/12))</f>
        <v>783.95077591885843</v>
      </c>
      <c r="F38" s="95">
        <f>IF(Assumptions!$G$26="% of Revenue",Assumptions!$I$26*'Monthly Cash Flow'!F32,(Assumptions!$I$26/12))</f>
        <v>740.05975183500084</v>
      </c>
      <c r="G38" s="95">
        <f>IF(Assumptions!$G$26="% of Revenue",Assumptions!$I$26*'Monthly Cash Flow'!G32,(Assumptions!$I$26/12))</f>
        <v>696.09265187578387</v>
      </c>
      <c r="H38" s="95">
        <f>IF(Assumptions!$G$26="% of Revenue",Assumptions!$I$26*'Monthly Cash Flow'!H32,(Assumptions!$I$26/12))</f>
        <v>713.58338299903357</v>
      </c>
      <c r="I38" s="99">
        <f>IF(Assumptions!$G$26="% of Revenue",Assumptions!$I$26*'Monthly Cash Flow'!I32,(Assumptions!$I$26/12))</f>
        <v>731.09993798277344</v>
      </c>
      <c r="J38" s="95">
        <f>IF(Assumptions!$G$26="% of Revenue",Assumptions!$I$26*'Monthly Cash Flow'!J32,(Assumptions!$I$26/12))</f>
        <v>748.64234876819501</v>
      </c>
      <c r="K38" s="95">
        <f>IF(Assumptions!$G$26="% of Revenue",Assumptions!$I$26*'Monthly Cash Flow'!K32,(Assumptions!$I$26/12))</f>
        <v>766.21064733171272</v>
      </c>
      <c r="L38" s="95">
        <f>IF(Assumptions!$G$26="% of Revenue",Assumptions!$I$26*'Monthly Cash Flow'!L32,(Assumptions!$I$26/12))</f>
        <v>783.80486568499998</v>
      </c>
      <c r="M38" s="99">
        <f>IF(Assumptions!$G$26="% of Revenue",Assumptions!$I$26*'Monthly Cash Flow'!M32,(Assumptions!$I$26/12))</f>
        <v>801.42503587502517</v>
      </c>
      <c r="N38" s="95">
        <f>IF(Assumptions!$G$26="% of Revenue",Assumptions!$I$26*'Monthly Cash Flow'!N32,(Assumptions!$I$26/12))</f>
        <v>819.07118998408964</v>
      </c>
      <c r="O38" s="95">
        <f>IF(Assumptions!$G$26="% of Revenue",Assumptions!$I$26*'Monthly Cash Flow'!O32,(Assumptions!$I$26/12))</f>
        <v>836.74336012986305</v>
      </c>
      <c r="P38" s="103">
        <f t="shared" si="99"/>
        <v>9204.002698385335</v>
      </c>
      <c r="Q38" s="91">
        <f>IF(Assumptions!$G$26="% of Revenue",Assumptions!$I$26*'Monthly Cash Flow'!Q32,(Assumptions!$I$26*(1+Assumptions!$N$26)/12))</f>
        <v>860.31874277773829</v>
      </c>
      <c r="R38" s="99">
        <f>IF(Assumptions!$G$26="% of Revenue",Assumptions!$I$26*'Monthly Cash Flow'!R32,(Assumptions!$I$26*(1+Assumptions!$N$26)/12))</f>
        <v>879.0256954805011</v>
      </c>
      <c r="S38" s="99">
        <f>IF(Assumptions!$G$26="% of Revenue",Assumptions!$I$26*'Monthly Cash Flow'!S32,(Assumptions!$I$26*(1+Assumptions!$N$26)/12))</f>
        <v>895.80203423610874</v>
      </c>
      <c r="T38" s="99">
        <f>IF(Assumptions!$G$26="% of Revenue",Assumptions!$I$26*'Monthly Cash Flow'!T32,(Assumptions!$I$26*(1+Assumptions!$N$26)/12))</f>
        <v>914.60669667065747</v>
      </c>
      <c r="U38" s="99">
        <f>IF(Assumptions!$G$26="% of Revenue",Assumptions!$I$26*'Monthly Cash Flow'!U32,(Assumptions!$I$26*(1+Assumptions!$N$26)/12))</f>
        <v>933.47819274570327</v>
      </c>
      <c r="V38" s="99">
        <f>IF(Assumptions!$G$26="% of Revenue",Assumptions!$I$26*'Monthly Cash Flow'!V32,(Assumptions!$I$26*(1+Assumptions!$N$26)/12))</f>
        <v>827.70932562858047</v>
      </c>
      <c r="W38" s="99">
        <f>IF(Assumptions!$G$26="% of Revenue",Assumptions!$I$26*'Monthly Cash Flow'!W32,(Assumptions!$I$26*(1+Assumptions!$N$26)/12))</f>
        <v>971.42249689301252</v>
      </c>
      <c r="X38" s="99">
        <f>IF(Assumptions!$G$26="% of Revenue",Assumptions!$I$26*'Monthly Cash Flow'!X32,(Assumptions!$I$26*(1+Assumptions!$N$26)/12))</f>
        <v>1098.5540699086268</v>
      </c>
      <c r="Y38" s="99">
        <f>IF(Assumptions!$G$26="% of Revenue",Assumptions!$I$26*'Monthly Cash Flow'!Y32,(Assumptions!$I$26*(1+Assumptions!$N$26)/12))</f>
        <v>1100.6990007335728</v>
      </c>
      <c r="Z38" s="99">
        <f>IF(Assumptions!$G$26="% of Revenue",Assumptions!$I$26*'Monthly Cash Flow'!Z32,(Assumptions!$I$26*(1+Assumptions!$N$26)/12))</f>
        <v>1102.8483497648278</v>
      </c>
      <c r="AA38" s="95">
        <f>IF(Assumptions!$G$26="% of Revenue",Assumptions!$I$26*'Monthly Cash Flow'!AA32,(Assumptions!$I$26*(1+Assumptions!$N$26)/12))</f>
        <v>1105.0021261031743</v>
      </c>
      <c r="AB38" s="107">
        <f>IF(Assumptions!$G$26="% of Revenue",Assumptions!$I$26*'Monthly Cash Flow'!AB32,(Assumptions!$I$26*(1+Assumptions!$N$26)/12))</f>
        <v>1107.1603388681397</v>
      </c>
      <c r="AC38" s="103">
        <f t="shared" si="100"/>
        <v>11796.627069810645</v>
      </c>
      <c r="AD38" s="91">
        <f>IF(Assumptions!$G$26="% of Revenue",Assumptions!$I$26*'Monthly Cash Flow'!AD32,(Assumptions!$I$26*((1+Assumptions!$N$26)^2)/12))</f>
        <v>1095.0407091250001</v>
      </c>
      <c r="AE38" s="99">
        <f>IF(Assumptions!$G$26="% of Revenue",Assumptions!$I$26*'Monthly Cash Flow'!AE32,(Assumptions!$I$26*((1+Assumptions!$N$26)^2)/12))</f>
        <v>1097.1769250694508</v>
      </c>
      <c r="AF38" s="99">
        <f>IF(Assumptions!$G$26="% of Revenue",Assumptions!$I$26*'Monthly Cash Flow'!AF32,(Assumptions!$I$26*((1+Assumptions!$N$26)^2)/12))</f>
        <v>1097.1769250694508</v>
      </c>
      <c r="AG38" s="99">
        <f>IF(Assumptions!$G$26="% of Revenue",Assumptions!$I$26*'Monthly Cash Flow'!AG32,(Assumptions!$I$26*((1+Assumptions!$N$26)^2)/12))</f>
        <v>1099.3175412689845</v>
      </c>
      <c r="AH38" s="99">
        <f>IF(Assumptions!$G$26="% of Revenue",Assumptions!$I$26*'Monthly Cash Flow'!AH32,(Assumptions!$I$26*((1+Assumptions!$N$26)^2)/12))</f>
        <v>1101.4625667874059</v>
      </c>
      <c r="AI38" s="99">
        <f>IF(Assumptions!$G$26="% of Revenue",Assumptions!$I$26*'Monthly Cash Flow'!AI32,(Assumptions!$I$26*((1+Assumptions!$N$26)^2)/12))</f>
        <v>1103.6120107071895</v>
      </c>
      <c r="AJ38" s="99">
        <f>IF(Assumptions!$G$26="% of Revenue",Assumptions!$I$26*'Monthly Cash Flow'!AJ32,(Assumptions!$I$26*((1+Assumptions!$N$26)^2)/12))</f>
        <v>1105.7658821295192</v>
      </c>
      <c r="AK38" s="99">
        <f>IF(Assumptions!$G$26="% of Revenue",Assumptions!$I$26*'Monthly Cash Flow'!AK32,(Assumptions!$I$26*((1+Assumptions!$N$26)^2)/12))</f>
        <v>1107.9241901743251</v>
      </c>
      <c r="AL38" s="99">
        <f>IF(Assumptions!$G$26="% of Revenue",Assumptions!$I$26*'Monthly Cash Flow'!AL32,(Assumptions!$I$26*((1+Assumptions!$N$26)^2)/12))</f>
        <v>1110.086943980323</v>
      </c>
      <c r="AM38" s="99">
        <f>IF(Assumptions!$G$26="% of Revenue",Assumptions!$I$26*'Monthly Cash Flow'!AM32,(Assumptions!$I$26*((1+Assumptions!$N$26)^2)/12))</f>
        <v>1112.2541527050539</v>
      </c>
      <c r="AN38" s="95">
        <f>IF(Assumptions!$G$26="% of Revenue",Assumptions!$I$26*'Monthly Cash Flow'!AN32,(Assumptions!$I$26*((1+Assumptions!$N$26)^2)/12))</f>
        <v>1114.4258255249199</v>
      </c>
      <c r="AO38" s="107">
        <f>IF(Assumptions!$G$26="% of Revenue",Assumptions!$I$26*'Monthly Cash Flow'!AO32,(Assumptions!$I$26*((1+Assumptions!$N$26)^2)/12))</f>
        <v>1116.6019716352266</v>
      </c>
      <c r="AP38" s="103">
        <f t="shared" si="101"/>
        <v>13260.84564417685</v>
      </c>
      <c r="AQ38" s="91">
        <f>IF(Assumptions!$G$26="% of Revenue",Assumptions!$I$26*'Monthly Cash Flow'!AQ32,(Assumptions!$I$26*((1+Assumptions!$N$26)^3)/12))</f>
        <v>1115.2938831031249</v>
      </c>
      <c r="AR38" s="99">
        <f>IF(Assumptions!$G$26="% of Revenue",Assumptions!$I$26*'Monthly Cash Flow'!AR32,(Assumptions!$I$26*((1+Assumptions!$N$26)^3)/12))</f>
        <v>1117.4703023890788</v>
      </c>
      <c r="AS38" s="99">
        <f>IF(Assumptions!$G$26="% of Revenue",Assumptions!$I$26*'Monthly Cash Flow'!AS32,(Assumptions!$I$26*((1+Assumptions!$N$26)^3)/12))</f>
        <v>1117.4703023890788</v>
      </c>
      <c r="AT38" s="99">
        <f>IF(Assumptions!$G$26="% of Revenue",Assumptions!$I$26*'Monthly Cash Flow'!AT32,(Assumptions!$I$26*((1+Assumptions!$N$26)^3)/12))</f>
        <v>1119.6512047424164</v>
      </c>
      <c r="AU38" s="99">
        <f>IF(Assumptions!$G$26="% of Revenue",Assumptions!$I$26*'Monthly Cash Flow'!AU32,(Assumptions!$I$26*((1+Assumptions!$N$26)^3)/12))</f>
        <v>1121.8365993975221</v>
      </c>
      <c r="AV38" s="99">
        <f>IF(Assumptions!$G$26="% of Revenue",Assumptions!$I$26*'Monthly Cash Flow'!AV32,(Assumptions!$I$26*((1+Assumptions!$N$26)^3)/12))</f>
        <v>1124.0264956078022</v>
      </c>
      <c r="AW38" s="99">
        <f>IF(Assumptions!$G$26="% of Revenue",Assumptions!$I$26*'Monthly Cash Flow'!AW32,(Assumptions!$I$26*((1+Assumptions!$N$26)^3)/12))</f>
        <v>1126.2209026457238</v>
      </c>
      <c r="AX38" s="99">
        <f>IF(Assumptions!$G$26="% of Revenue",Assumptions!$I$26*'Monthly Cash Flow'!AX32,(Assumptions!$I$26*((1+Assumptions!$N$26)^3)/12))</f>
        <v>1128.4198298028527</v>
      </c>
      <c r="AY38" s="99">
        <f>IF(Assumptions!$G$26="% of Revenue",Assumptions!$I$26*'Monthly Cash Flow'!AY32,(Assumptions!$I$26*((1+Assumptions!$N$26)^3)/12))</f>
        <v>1130.6232863898947</v>
      </c>
      <c r="AZ38" s="99">
        <f>IF(Assumptions!$G$26="% of Revenue",Assumptions!$I$26*'Monthly Cash Flow'!AZ32,(Assumptions!$I$26*((1+Assumptions!$N$26)^3)/12))</f>
        <v>1132.8312817367337</v>
      </c>
      <c r="BA38" s="95">
        <f>IF(Assumptions!$G$26="% of Revenue",Assumptions!$I$26*'Monthly Cash Flow'!BA32,(Assumptions!$I$26*((1+Assumptions!$N$26)^3)/12))</f>
        <v>1135.0438251924718</v>
      </c>
      <c r="BB38" s="107">
        <f>IF(Assumptions!$G$26="% of Revenue",Assumptions!$I$26*'Monthly Cash Flow'!BB32,(Assumptions!$I$26*((1+Assumptions!$N$26)^3)/12))</f>
        <v>1137.2609261254686</v>
      </c>
      <c r="BC38" s="103">
        <f t="shared" si="102"/>
        <v>13506.14883952217</v>
      </c>
      <c r="BD38" s="91">
        <f>IF(Assumptions!$G$26="% of Revenue",Assumptions!$I$26*'Monthly Cash Flow'!BD32,(Assumptions!$I$26*((1+Assumptions!$N$26)^4)/12))</f>
        <v>1136.0533864307031</v>
      </c>
      <c r="BE38" s="99">
        <f>IF(Assumptions!$G$26="% of Revenue",Assumptions!$I$26*'Monthly Cash Flow'!BE32,(Assumptions!$I$26*((1+Assumptions!$N$26)^4)/12))</f>
        <v>1137.8314852610424</v>
      </c>
      <c r="BF38" s="99">
        <f>IF(Assumptions!$G$26="% of Revenue",Assumptions!$I$26*'Monthly Cash Flow'!BF32,(Assumptions!$I$26*((1+Assumptions!$N$26)^4)/12))</f>
        <v>1137.8314852610424</v>
      </c>
      <c r="BG38" s="99">
        <f>IF(Assumptions!$G$26="% of Revenue",Assumptions!$I$26*'Monthly Cash Flow'!BG32,(Assumptions!$I$26*((1+Assumptions!$N$26)^4)/12))</f>
        <v>1139.6125207661632</v>
      </c>
      <c r="BH38" s="99">
        <f>IF(Assumptions!$G$26="% of Revenue",Assumptions!$I$26*'Monthly Cash Flow'!BH32,(Assumptions!$I$26*((1+Assumptions!$N$26)^4)/12))</f>
        <v>1141.3964977962219</v>
      </c>
      <c r="BI38" s="99">
        <f>IF(Assumptions!$G$26="% of Revenue",Assumptions!$I$26*'Monthly Cash Flow'!BI32,(Assumptions!$I$26*((1+Assumptions!$N$26)^4)/12))</f>
        <v>1143.1834212093866</v>
      </c>
      <c r="BJ38" s="99">
        <f>IF(Assumptions!$G$26="% of Revenue",Assumptions!$I$26*'Monthly Cash Flow'!BJ32,(Assumptions!$I$26*((1+Assumptions!$N$26)^4)/12))</f>
        <v>1144.9732958718484</v>
      </c>
      <c r="BK38" s="99">
        <f>IF(Assumptions!$G$26="% of Revenue",Assumptions!$I$26*'Monthly Cash Flow'!BK32,(Assumptions!$I$26*((1+Assumptions!$N$26)^4)/12))</f>
        <v>1146.7661266578357</v>
      </c>
      <c r="BL38" s="99">
        <f>IF(Assumptions!$G$26="% of Revenue",Assumptions!$I$26*'Monthly Cash Flow'!BL32,(Assumptions!$I$26*((1+Assumptions!$N$26)^4)/12))</f>
        <v>1148.5619184496265</v>
      </c>
      <c r="BM38" s="99">
        <f>IF(Assumptions!$G$26="% of Revenue",Assumptions!$I$26*'Monthly Cash Flow'!BM32,(Assumptions!$I$26*((1+Assumptions!$N$26)^4)/12))</f>
        <v>1150.3606761375629</v>
      </c>
      <c r="BN38" s="95">
        <f>IF(Assumptions!$G$26="% of Revenue",Assumptions!$I$26*'Monthly Cash Flow'!BN32,(Assumptions!$I$26*((1+Assumptions!$N$26)^4)/12))</f>
        <v>1152.1624046200632</v>
      </c>
      <c r="BO38" s="107">
        <f>IF(Assumptions!$G$26="% of Revenue",Assumptions!$I$26*'Monthly Cash Flow'!BO32,(Assumptions!$I$26*((1+Assumptions!$N$26)^4)/12))</f>
        <v>1153.9671088036364</v>
      </c>
      <c r="BP38" s="103">
        <f t="shared" si="103"/>
        <v>13732.700327265131</v>
      </c>
      <c r="BQ38" s="91">
        <f>IF(Assumptions!$G$26="% of Revenue",Assumptions!$I$26*'Monthly Cash Flow'!BQ32,(Assumptions!$I$26*((1+Assumptions!$N$26)^5)/12))</f>
        <v>1153.2307129640046</v>
      </c>
      <c r="BR38" s="99">
        <f>IF(Assumptions!$G$26="% of Revenue",Assumptions!$I$26*'Monthly Cash Flow'!BR32,(Assumptions!$I$26*((1+Assumptions!$N$26)^5)/12))</f>
        <v>1155.0359054199519</v>
      </c>
      <c r="BS38" s="99">
        <f>IF(Assumptions!$G$26="% of Revenue",Assumptions!$I$26*'Monthly Cash Flow'!BS32,(Assumptions!$I$26*((1+Assumptions!$N$26)^5)/12))</f>
        <v>1155.0359054199519</v>
      </c>
      <c r="BT38" s="99">
        <f>IF(Assumptions!$G$26="% of Revenue",Assumptions!$I$26*'Monthly Cash Flow'!BT32,(Assumptions!$I$26*((1+Assumptions!$N$26)^5)/12))</f>
        <v>1156.8440792980055</v>
      </c>
      <c r="BU38" s="99">
        <f>IF(Assumptions!$G$26="% of Revenue",Assumptions!$I$26*'Monthly Cash Flow'!BU32,(Assumptions!$I$26*((1+Assumptions!$N$26)^5)/12))</f>
        <v>1158.6552395222268</v>
      </c>
      <c r="BV38" s="99">
        <f>IF(Assumptions!$G$26="% of Revenue",Assumptions!$I$26*'Monthly Cash Flow'!BV32,(Assumptions!$I$26*((1+Assumptions!$N$26)^5)/12))</f>
        <v>1160.4693910248093</v>
      </c>
      <c r="BW38" s="99">
        <f>IF(Assumptions!$G$26="% of Revenue",Assumptions!$I$26*'Monthly Cash Flow'!BW32,(Assumptions!$I$26*((1+Assumptions!$N$26)^5)/12))</f>
        <v>1162.286538746092</v>
      </c>
      <c r="BX38" s="99">
        <f>IF(Assumptions!$G$26="% of Revenue",Assumptions!$I$26*'Monthly Cash Flow'!BX32,(Assumptions!$I$26*((1+Assumptions!$N$26)^5)/12))</f>
        <v>1164.1066876345742</v>
      </c>
      <c r="BY38" s="99">
        <f>IF(Assumptions!$G$26="% of Revenue",Assumptions!$I$26*'Monthly Cash Flow'!BY32,(Assumptions!$I$26*((1+Assumptions!$N$26)^5)/12))</f>
        <v>1165.9298426469275</v>
      </c>
      <c r="BZ38" s="99">
        <f>IF(Assumptions!$G$26="% of Revenue",Assumptions!$I$26*'Monthly Cash Flow'!BZ32,(Assumptions!$I$26*((1+Assumptions!$N$26)^5)/12))</f>
        <v>1167.7560087480094</v>
      </c>
      <c r="CA38" s="95">
        <f>IF(Assumptions!$G$26="% of Revenue",Assumptions!$I$26*'Monthly Cash Flow'!CA32,(Assumptions!$I$26*((1+Assumptions!$N$26)^5)/12))</f>
        <v>1169.5851909108783</v>
      </c>
      <c r="CB38" s="107">
        <f>IF(Assumptions!$G$26="% of Revenue",Assumptions!$I$26*'Monthly Cash Flow'!CB32,(Assumptions!$I$26*((1+Assumptions!$N$26)^5)/12))</f>
        <v>1171.4173941168049</v>
      </c>
      <c r="CC38" s="103">
        <f t="shared" si="104"/>
        <v>13940.352896452234</v>
      </c>
      <c r="CD38" s="91">
        <f>IF(Assumptions!$G$26="% of Revenue",Assumptions!$I$26*'Monthly Cash Flow'!CD32,(Assumptions!$I$26*((1+Assumptions!$N$26)^6)/12))</f>
        <v>1170.7554493730895</v>
      </c>
      <c r="CE38" s="95">
        <f>IF(Assumptions!$G$26="% of Revenue",Assumptions!$I$26*'Monthly Cash Flow'!CE32,(Assumptions!$I$26*((1+Assumptions!$N$26)^6)/12))</f>
        <v>1172.5882773271567</v>
      </c>
      <c r="CF38" s="95">
        <f>IF(Assumptions!$G$26="% of Revenue",Assumptions!$I$26*'Monthly Cash Flow'!CF32,(Assumptions!$I$26*((1+Assumptions!$N$26)^6)/12))</f>
        <v>1172.5882773271567</v>
      </c>
      <c r="CG38" s="95">
        <f>IF(Assumptions!$G$26="% of Revenue",Assumptions!$I$26*'Monthly Cash Flow'!CG32,(Assumptions!$I$26*((1+Assumptions!$N$26)^6)/12))</f>
        <v>1174.4241323456019</v>
      </c>
      <c r="CH38" s="99">
        <f>IF(Assumptions!$G$26="% of Revenue",Assumptions!$I$26*'Monthly Cash Flow'!CH32,(Assumptions!$I$26*((1+Assumptions!$N$26)^6)/12))</f>
        <v>1176.263019427869</v>
      </c>
      <c r="CI38" s="99">
        <f>IF(Assumptions!$G$26="% of Revenue",Assumptions!$I$26*'Monthly Cash Flow'!CI32,(Assumptions!$I$26*((1+Assumptions!$N$26)^6)/12))</f>
        <v>1178.1049435816574</v>
      </c>
      <c r="CJ38" s="99">
        <f>IF(Assumptions!$G$26="% of Revenue",Assumptions!$I$26*'Monthly Cash Flow'!CJ32,(Assumptions!$I$26*((1+Assumptions!$N$26)^6)/12))</f>
        <v>1179.9499098229376</v>
      </c>
      <c r="CK38" s="99">
        <f>IF(Assumptions!$G$26="% of Revenue",Assumptions!$I$26*'Monthly Cash Flow'!CK32,(Assumptions!$I$26*((1+Assumptions!$N$26)^6)/12))</f>
        <v>1181.797923175965</v>
      </c>
      <c r="CL38" s="99">
        <f>IF(Assumptions!$G$26="% of Revenue",Assumptions!$I$26*'Monthly Cash Flow'!CL32,(Assumptions!$I$26*((1+Assumptions!$N$26)^6)/12))</f>
        <v>1183.6489886732916</v>
      </c>
      <c r="CM38" s="99">
        <f>IF(Assumptions!$G$26="% of Revenue",Assumptions!$I$26*'Monthly Cash Flow'!CM32,(Assumptions!$I$26*((1+Assumptions!$N$26)^6)/12))</f>
        <v>1185.5031113557825</v>
      </c>
      <c r="CN38" s="95">
        <f>IF(Assumptions!$G$26="% of Revenue",Assumptions!$I$26*'Monthly Cash Flow'!CN32,(Assumptions!$I$26*((1+Assumptions!$N$26)^6)/12))</f>
        <v>1187.3602962726268</v>
      </c>
      <c r="CO38" s="107">
        <f>IF(Assumptions!$G$26="% of Revenue",Assumptions!$I$26*'Monthly Cash Flow'!CO32,(Assumptions!$I$26*((1+Assumptions!$N$26)^6)/12))</f>
        <v>1189.2205484813542</v>
      </c>
      <c r="CP38" s="103">
        <f t="shared" si="105"/>
        <v>14152.204877164491</v>
      </c>
    </row>
    <row r="39" spans="2:94" ht="4.5" customHeight="1">
      <c r="B39" s="113"/>
      <c r="C39" s="383"/>
      <c r="D39" s="99"/>
      <c r="E39" s="91"/>
      <c r="F39" s="95"/>
      <c r="G39" s="95"/>
      <c r="H39" s="95"/>
      <c r="I39" s="99"/>
      <c r="J39" s="95"/>
      <c r="K39" s="95"/>
      <c r="L39" s="95"/>
      <c r="M39" s="99"/>
      <c r="N39" s="95"/>
      <c r="O39" s="95"/>
      <c r="P39" s="103"/>
      <c r="Q39" s="91"/>
      <c r="R39" s="99"/>
      <c r="S39" s="99"/>
      <c r="T39" s="99"/>
      <c r="U39" s="99"/>
      <c r="V39" s="99"/>
      <c r="W39" s="99"/>
      <c r="X39" s="99"/>
      <c r="Y39" s="99"/>
      <c r="Z39" s="99"/>
      <c r="AA39" s="95"/>
      <c r="AB39" s="107"/>
      <c r="AC39" s="103"/>
      <c r="AD39" s="91"/>
      <c r="AE39" s="99"/>
      <c r="AF39" s="99"/>
      <c r="AG39" s="99"/>
      <c r="AH39" s="99"/>
      <c r="AI39" s="99"/>
      <c r="AJ39" s="99"/>
      <c r="AK39" s="99"/>
      <c r="AL39" s="99"/>
      <c r="AM39" s="99"/>
      <c r="AN39" s="95"/>
      <c r="AO39" s="107"/>
      <c r="AP39" s="103"/>
      <c r="AQ39" s="91"/>
      <c r="AR39" s="99"/>
      <c r="AS39" s="99"/>
      <c r="AT39" s="99"/>
      <c r="AU39" s="99"/>
      <c r="AV39" s="99"/>
      <c r="AW39" s="99"/>
      <c r="AX39" s="99"/>
      <c r="AY39" s="99"/>
      <c r="AZ39" s="99"/>
      <c r="BA39" s="95"/>
      <c r="BB39" s="107"/>
      <c r="BC39" s="103"/>
      <c r="BD39" s="91"/>
      <c r="BE39" s="99"/>
      <c r="BF39" s="99"/>
      <c r="BG39" s="99"/>
      <c r="BH39" s="99"/>
      <c r="BI39" s="99"/>
      <c r="BJ39" s="99"/>
      <c r="BK39" s="99"/>
      <c r="BL39" s="99"/>
      <c r="BM39" s="99"/>
      <c r="BN39" s="95"/>
      <c r="BO39" s="107"/>
      <c r="BP39" s="103"/>
      <c r="BQ39" s="91"/>
      <c r="BR39" s="99"/>
      <c r="BS39" s="99"/>
      <c r="BT39" s="99"/>
      <c r="BU39" s="99"/>
      <c r="BV39" s="99"/>
      <c r="BW39" s="99"/>
      <c r="BX39" s="99"/>
      <c r="BY39" s="99"/>
      <c r="BZ39" s="99"/>
      <c r="CA39" s="95"/>
      <c r="CB39" s="107"/>
      <c r="CC39" s="103"/>
      <c r="CD39" s="91"/>
      <c r="CE39" s="95"/>
      <c r="CF39" s="95"/>
      <c r="CG39" s="95"/>
      <c r="CH39" s="99"/>
      <c r="CI39" s="99"/>
      <c r="CJ39" s="99"/>
      <c r="CK39" s="99"/>
      <c r="CL39" s="99"/>
      <c r="CM39" s="99"/>
      <c r="CN39" s="95"/>
      <c r="CO39" s="107"/>
      <c r="CP39" s="103"/>
    </row>
    <row r="40" spans="2:94">
      <c r="B40" s="155" t="s">
        <v>80</v>
      </c>
      <c r="C40" s="384">
        <f>C36+C37+C38</f>
        <v>5730.8691666666673</v>
      </c>
      <c r="D40" s="92">
        <f t="shared" ref="D40:BO40" si="106">D36+D37+D38</f>
        <v>5768.1104166666673</v>
      </c>
      <c r="E40" s="46">
        <f t="shared" si="106"/>
        <v>5768.7424425855252</v>
      </c>
      <c r="F40" s="96">
        <f t="shared" si="106"/>
        <v>5724.8514185016675</v>
      </c>
      <c r="G40" s="96">
        <f t="shared" si="106"/>
        <v>5680.8843185424512</v>
      </c>
      <c r="H40" s="96">
        <f t="shared" si="106"/>
        <v>5698.3750496657003</v>
      </c>
      <c r="I40" s="92">
        <f t="shared" si="106"/>
        <v>5715.8916046494405</v>
      </c>
      <c r="J40" s="96">
        <f t="shared" si="106"/>
        <v>5733.434015434862</v>
      </c>
      <c r="K40" s="96">
        <f t="shared" si="106"/>
        <v>5751.0023139983796</v>
      </c>
      <c r="L40" s="96">
        <f t="shared" si="106"/>
        <v>5768.5965323516666</v>
      </c>
      <c r="M40" s="92">
        <f t="shared" si="106"/>
        <v>5786.216702541692</v>
      </c>
      <c r="N40" s="96">
        <f t="shared" si="106"/>
        <v>5803.8628566507568</v>
      </c>
      <c r="O40" s="96">
        <f t="shared" si="106"/>
        <v>5821.5350267965296</v>
      </c>
      <c r="P40" s="104">
        <f t="shared" si="106"/>
        <v>69021.502698385331</v>
      </c>
      <c r="Q40" s="46">
        <f t="shared" si="106"/>
        <v>5950.6395761110716</v>
      </c>
      <c r="R40" s="92">
        <f t="shared" si="106"/>
        <v>5969.3465288138341</v>
      </c>
      <c r="S40" s="92">
        <f t="shared" si="106"/>
        <v>5986.122867569442</v>
      </c>
      <c r="T40" s="92">
        <f t="shared" si="106"/>
        <v>6004.9275300039908</v>
      </c>
      <c r="U40" s="92">
        <f t="shared" si="106"/>
        <v>6023.7990260790366</v>
      </c>
      <c r="V40" s="92">
        <f t="shared" si="106"/>
        <v>5918.0301589619139</v>
      </c>
      <c r="W40" s="92">
        <f t="shared" si="106"/>
        <v>6061.7433302263453</v>
      </c>
      <c r="X40" s="92">
        <f t="shared" si="106"/>
        <v>6188.8749032419601</v>
      </c>
      <c r="Y40" s="92">
        <f t="shared" si="106"/>
        <v>6191.0198340669058</v>
      </c>
      <c r="Z40" s="92">
        <f t="shared" si="106"/>
        <v>6193.1691830981608</v>
      </c>
      <c r="AA40" s="96">
        <f t="shared" si="106"/>
        <v>6195.3229594365075</v>
      </c>
      <c r="AB40" s="108">
        <f t="shared" si="106"/>
        <v>6197.4811722014729</v>
      </c>
      <c r="AC40" s="104">
        <f t="shared" ref="AC40" si="107">AC36+AC37+AC38</f>
        <v>72880.477069810644</v>
      </c>
      <c r="AD40" s="46">
        <f t="shared" si="106"/>
        <v>6293.1471257916664</v>
      </c>
      <c r="AE40" s="92">
        <f t="shared" si="106"/>
        <v>6295.2833417361171</v>
      </c>
      <c r="AF40" s="92">
        <f t="shared" si="106"/>
        <v>6295.2833417361171</v>
      </c>
      <c r="AG40" s="92">
        <f t="shared" si="106"/>
        <v>6297.4239579356508</v>
      </c>
      <c r="AH40" s="92">
        <f t="shared" si="106"/>
        <v>6299.5689834540726</v>
      </c>
      <c r="AI40" s="92">
        <f t="shared" si="106"/>
        <v>6301.7184273738558</v>
      </c>
      <c r="AJ40" s="92">
        <f t="shared" si="106"/>
        <v>6303.8722987961855</v>
      </c>
      <c r="AK40" s="92">
        <f t="shared" si="106"/>
        <v>6306.0306068409918</v>
      </c>
      <c r="AL40" s="92">
        <f t="shared" si="106"/>
        <v>6308.1933606469893</v>
      </c>
      <c r="AM40" s="92">
        <f t="shared" si="106"/>
        <v>6310.36056937172</v>
      </c>
      <c r="AN40" s="96">
        <f t="shared" si="106"/>
        <v>6312.5322421915862</v>
      </c>
      <c r="AO40" s="108">
        <f t="shared" si="106"/>
        <v>6314.7083883018931</v>
      </c>
      <c r="AP40" s="104">
        <f t="shared" si="106"/>
        <v>75638.122644176838</v>
      </c>
      <c r="AQ40" s="46">
        <f t="shared" si="106"/>
        <v>6423.4910739364586</v>
      </c>
      <c r="AR40" s="92">
        <f t="shared" si="106"/>
        <v>6425.6674932224123</v>
      </c>
      <c r="AS40" s="92">
        <f t="shared" si="106"/>
        <v>6425.6674932224123</v>
      </c>
      <c r="AT40" s="92">
        <f t="shared" si="106"/>
        <v>6427.8483955757501</v>
      </c>
      <c r="AU40" s="92">
        <f t="shared" si="106"/>
        <v>6430.0337902308556</v>
      </c>
      <c r="AV40" s="92">
        <f t="shared" si="106"/>
        <v>6432.2236864411352</v>
      </c>
      <c r="AW40" s="92">
        <f t="shared" si="106"/>
        <v>6434.4180934790575</v>
      </c>
      <c r="AX40" s="92">
        <f t="shared" si="106"/>
        <v>6436.6170206361858</v>
      </c>
      <c r="AY40" s="92">
        <f t="shared" si="106"/>
        <v>6438.8204772232284</v>
      </c>
      <c r="AZ40" s="92">
        <f t="shared" si="106"/>
        <v>6441.0284725700676</v>
      </c>
      <c r="BA40" s="96">
        <f t="shared" si="106"/>
        <v>6443.241016025805</v>
      </c>
      <c r="BB40" s="108">
        <f t="shared" si="106"/>
        <v>6445.4581169588018</v>
      </c>
      <c r="BC40" s="104">
        <f t="shared" si="106"/>
        <v>77204.515129522173</v>
      </c>
      <c r="BD40" s="46">
        <f t="shared" si="106"/>
        <v>6556.6963830598688</v>
      </c>
      <c r="BE40" s="92">
        <f t="shared" si="106"/>
        <v>6558.4744818902091</v>
      </c>
      <c r="BF40" s="92">
        <f t="shared" si="106"/>
        <v>6558.4744818902091</v>
      </c>
      <c r="BG40" s="92">
        <f t="shared" si="106"/>
        <v>6560.2555173953297</v>
      </c>
      <c r="BH40" s="92">
        <f t="shared" si="106"/>
        <v>6562.0394944253876</v>
      </c>
      <c r="BI40" s="92">
        <f t="shared" si="106"/>
        <v>6563.8264178385525</v>
      </c>
      <c r="BJ40" s="92">
        <f t="shared" si="106"/>
        <v>6565.6162925010149</v>
      </c>
      <c r="BK40" s="92">
        <f t="shared" si="106"/>
        <v>6567.4091232870014</v>
      </c>
      <c r="BL40" s="92">
        <f t="shared" si="106"/>
        <v>6569.2049150787925</v>
      </c>
      <c r="BM40" s="92">
        <f t="shared" si="106"/>
        <v>6571.0036727667293</v>
      </c>
      <c r="BN40" s="96">
        <f t="shared" si="106"/>
        <v>6572.8054012492294</v>
      </c>
      <c r="BO40" s="108">
        <f t="shared" si="106"/>
        <v>6574.6101054328028</v>
      </c>
      <c r="BP40" s="104">
        <f t="shared" ref="BP40" si="108">BP36+BP37+BP38</f>
        <v>78780.416286815132</v>
      </c>
      <c r="BQ40" s="46">
        <f t="shared" ref="BQ40:CP40" si="109">BQ36+BQ37+BQ38</f>
        <v>6688.7254780544008</v>
      </c>
      <c r="BR40" s="92">
        <f t="shared" si="109"/>
        <v>6690.5306705103476</v>
      </c>
      <c r="BS40" s="92">
        <f t="shared" si="109"/>
        <v>6690.5306705103476</v>
      </c>
      <c r="BT40" s="92">
        <f t="shared" si="109"/>
        <v>6692.3388443884014</v>
      </c>
      <c r="BU40" s="92">
        <f t="shared" si="109"/>
        <v>6694.150004612623</v>
      </c>
      <c r="BV40" s="92">
        <f t="shared" si="109"/>
        <v>6695.9641561152057</v>
      </c>
      <c r="BW40" s="92">
        <f t="shared" si="109"/>
        <v>6697.7813038364875</v>
      </c>
      <c r="BX40" s="92">
        <f t="shared" si="109"/>
        <v>6699.6014527249699</v>
      </c>
      <c r="BY40" s="92">
        <f t="shared" si="109"/>
        <v>6701.4246077373236</v>
      </c>
      <c r="BZ40" s="92">
        <f t="shared" si="109"/>
        <v>6703.2507738384056</v>
      </c>
      <c r="CA40" s="96">
        <f t="shared" si="109"/>
        <v>6705.0799560012747</v>
      </c>
      <c r="CB40" s="108">
        <f t="shared" si="109"/>
        <v>6706.9121592072006</v>
      </c>
      <c r="CC40" s="104">
        <f t="shared" si="109"/>
        <v>80366.290077537007</v>
      </c>
      <c r="CD40" s="46">
        <f t="shared" si="109"/>
        <v>6823.5599910071542</v>
      </c>
      <c r="CE40" s="96">
        <f t="shared" si="109"/>
        <v>6825.3928189612216</v>
      </c>
      <c r="CF40" s="96">
        <f t="shared" si="109"/>
        <v>6825.3928189612216</v>
      </c>
      <c r="CG40" s="96">
        <f t="shared" si="109"/>
        <v>6827.2286739796664</v>
      </c>
      <c r="CH40" s="92">
        <f t="shared" si="109"/>
        <v>6829.0675610619337</v>
      </c>
      <c r="CI40" s="92">
        <f t="shared" si="109"/>
        <v>6830.9094852157223</v>
      </c>
      <c r="CJ40" s="92">
        <f t="shared" si="109"/>
        <v>6832.7544514570018</v>
      </c>
      <c r="CK40" s="92">
        <f t="shared" si="109"/>
        <v>6834.6024648100301</v>
      </c>
      <c r="CL40" s="92">
        <f t="shared" si="109"/>
        <v>6836.4535303073562</v>
      </c>
      <c r="CM40" s="92">
        <f t="shared" si="109"/>
        <v>6838.3076529898472</v>
      </c>
      <c r="CN40" s="96">
        <f t="shared" si="109"/>
        <v>6840.1648379066919</v>
      </c>
      <c r="CO40" s="108">
        <f t="shared" si="109"/>
        <v>6842.0250901154186</v>
      </c>
      <c r="CP40" s="104">
        <f t="shared" si="109"/>
        <v>81985.859376773282</v>
      </c>
    </row>
    <row r="41" spans="2:94" ht="6.75" customHeight="1">
      <c r="B41" s="113"/>
      <c r="C41" s="383"/>
      <c r="D41" s="99"/>
      <c r="E41" s="91"/>
      <c r="F41" s="95"/>
      <c r="G41" s="95"/>
      <c r="H41" s="95"/>
      <c r="I41" s="99"/>
      <c r="J41" s="95"/>
      <c r="K41" s="95"/>
      <c r="L41" s="95"/>
      <c r="M41" s="99"/>
      <c r="N41" s="95"/>
      <c r="O41" s="95"/>
      <c r="P41" s="103"/>
      <c r="Q41" s="91"/>
      <c r="R41" s="99"/>
      <c r="S41" s="99"/>
      <c r="T41" s="99"/>
      <c r="U41" s="99"/>
      <c r="V41" s="99"/>
      <c r="W41" s="99"/>
      <c r="X41" s="99"/>
      <c r="Y41" s="99"/>
      <c r="Z41" s="99"/>
      <c r="AA41" s="95"/>
      <c r="AB41" s="107"/>
      <c r="AC41" s="103"/>
      <c r="AD41" s="91"/>
      <c r="AE41" s="99"/>
      <c r="AF41" s="99"/>
      <c r="AG41" s="99"/>
      <c r="AH41" s="99"/>
      <c r="AI41" s="99"/>
      <c r="AJ41" s="99"/>
      <c r="AK41" s="99"/>
      <c r="AL41" s="99"/>
      <c r="AM41" s="99"/>
      <c r="AN41" s="95"/>
      <c r="AO41" s="107"/>
      <c r="AP41" s="103"/>
      <c r="AQ41" s="91"/>
      <c r="AR41" s="99"/>
      <c r="AS41" s="99"/>
      <c r="AT41" s="99"/>
      <c r="AU41" s="99"/>
      <c r="AV41" s="99"/>
      <c r="AW41" s="99"/>
      <c r="AX41" s="99"/>
      <c r="AY41" s="99"/>
      <c r="AZ41" s="99"/>
      <c r="BA41" s="95"/>
      <c r="BB41" s="107"/>
      <c r="BC41" s="103"/>
      <c r="BD41" s="91"/>
      <c r="BE41" s="99"/>
      <c r="BF41" s="99"/>
      <c r="BG41" s="99"/>
      <c r="BH41" s="99"/>
      <c r="BI41" s="99"/>
      <c r="BJ41" s="99"/>
      <c r="BK41" s="99"/>
      <c r="BL41" s="99"/>
      <c r="BM41" s="99"/>
      <c r="BN41" s="95"/>
      <c r="BO41" s="107"/>
      <c r="BP41" s="103"/>
      <c r="BQ41" s="91"/>
      <c r="BR41" s="99"/>
      <c r="BS41" s="99"/>
      <c r="BT41" s="99"/>
      <c r="BU41" s="99"/>
      <c r="BV41" s="99"/>
      <c r="BW41" s="99"/>
      <c r="BX41" s="99"/>
      <c r="BY41" s="99"/>
      <c r="BZ41" s="99"/>
      <c r="CA41" s="95"/>
      <c r="CB41" s="107"/>
      <c r="CC41" s="103"/>
      <c r="CD41" s="91"/>
      <c r="CE41" s="95"/>
      <c r="CF41" s="95"/>
      <c r="CG41" s="95"/>
      <c r="CH41" s="99"/>
      <c r="CI41" s="99"/>
      <c r="CJ41" s="99"/>
      <c r="CK41" s="99"/>
      <c r="CL41" s="99"/>
      <c r="CM41" s="99"/>
      <c r="CN41" s="95"/>
      <c r="CO41" s="107"/>
      <c r="CP41" s="103"/>
    </row>
    <row r="42" spans="2:94">
      <c r="B42" s="113" t="s">
        <v>85</v>
      </c>
      <c r="C42" s="383">
        <f>Assumptions!G27/12</f>
        <v>1166.6666666666667</v>
      </c>
      <c r="D42" s="99">
        <f>Assumptions!$H27/12</f>
        <v>1166.6666666666667</v>
      </c>
      <c r="E42" s="91">
        <f>Assumptions!$H27/12</f>
        <v>1166.6666666666667</v>
      </c>
      <c r="F42" s="95">
        <f>Assumptions!$H27/12</f>
        <v>1166.6666666666667</v>
      </c>
      <c r="G42" s="95">
        <f>Assumptions!$H27/12</f>
        <v>1166.6666666666667</v>
      </c>
      <c r="H42" s="95">
        <f>Assumptions!$H27/12</f>
        <v>1166.6666666666667</v>
      </c>
      <c r="I42" s="99">
        <f>Assumptions!$H27/12</f>
        <v>1166.6666666666667</v>
      </c>
      <c r="J42" s="95">
        <f>Assumptions!$H27/12</f>
        <v>1166.6666666666667</v>
      </c>
      <c r="K42" s="95">
        <f>Assumptions!$H27/12</f>
        <v>1166.6666666666667</v>
      </c>
      <c r="L42" s="95">
        <f>Assumptions!$H27/12</f>
        <v>1166.6666666666667</v>
      </c>
      <c r="M42" s="99">
        <f>Assumptions!$H27/12</f>
        <v>1166.6666666666667</v>
      </c>
      <c r="N42" s="95">
        <f>Assumptions!$H27/12</f>
        <v>1166.6666666666667</v>
      </c>
      <c r="O42" s="95">
        <f>Assumptions!$H27/12</f>
        <v>1166.6666666666667</v>
      </c>
      <c r="P42" s="103">
        <f t="shared" ref="P42:P45" si="110">SUM(D42:O42)</f>
        <v>13999.999999999998</v>
      </c>
      <c r="Q42" s="91">
        <f>Assumptions!$I27/12</f>
        <v>1195.8333333333333</v>
      </c>
      <c r="R42" s="99">
        <f>Assumptions!$I27/12</f>
        <v>1195.8333333333333</v>
      </c>
      <c r="S42" s="99">
        <f>Assumptions!$I27/12</f>
        <v>1195.8333333333333</v>
      </c>
      <c r="T42" s="99">
        <f>Assumptions!$I27/12</f>
        <v>1195.8333333333333</v>
      </c>
      <c r="U42" s="99">
        <f>Assumptions!$I27/12</f>
        <v>1195.8333333333333</v>
      </c>
      <c r="V42" s="99">
        <f>Assumptions!$I27/12</f>
        <v>1195.8333333333333</v>
      </c>
      <c r="W42" s="99">
        <f>Assumptions!$I27/12</f>
        <v>1195.8333333333333</v>
      </c>
      <c r="X42" s="99">
        <f>Assumptions!$I27/12</f>
        <v>1195.8333333333333</v>
      </c>
      <c r="Y42" s="99">
        <f>Assumptions!$I27/12</f>
        <v>1195.8333333333333</v>
      </c>
      <c r="Z42" s="99">
        <f>Assumptions!$I27/12</f>
        <v>1195.8333333333333</v>
      </c>
      <c r="AA42" s="95">
        <f>Assumptions!$I27/12</f>
        <v>1195.8333333333333</v>
      </c>
      <c r="AB42" s="107">
        <f>Assumptions!$I27/12</f>
        <v>1195.8333333333333</v>
      </c>
      <c r="AC42" s="103">
        <f t="shared" ref="AC42:AC45" si="111">SUM(Q42:AB42)</f>
        <v>14350.000000000002</v>
      </c>
      <c r="AD42" s="91">
        <f>Assumptions!$J27/12</f>
        <v>1225.7291666666663</v>
      </c>
      <c r="AE42" s="99">
        <f>Assumptions!$J27/12</f>
        <v>1225.7291666666663</v>
      </c>
      <c r="AF42" s="99">
        <f>Assumptions!$J27/12</f>
        <v>1225.7291666666663</v>
      </c>
      <c r="AG42" s="99">
        <f>Assumptions!$J27/12</f>
        <v>1225.7291666666663</v>
      </c>
      <c r="AH42" s="99">
        <f>Assumptions!$J27/12</f>
        <v>1225.7291666666663</v>
      </c>
      <c r="AI42" s="99">
        <f>Assumptions!$J27/12</f>
        <v>1225.7291666666663</v>
      </c>
      <c r="AJ42" s="99">
        <f>Assumptions!$J27/12</f>
        <v>1225.7291666666663</v>
      </c>
      <c r="AK42" s="99">
        <f>Assumptions!$J27/12</f>
        <v>1225.7291666666663</v>
      </c>
      <c r="AL42" s="99">
        <f>Assumptions!$J27/12</f>
        <v>1225.7291666666663</v>
      </c>
      <c r="AM42" s="99">
        <f>Assumptions!$J27/12</f>
        <v>1225.7291666666663</v>
      </c>
      <c r="AN42" s="95">
        <f>Assumptions!$J27/12</f>
        <v>1225.7291666666663</v>
      </c>
      <c r="AO42" s="107">
        <f>Assumptions!$J27/12</f>
        <v>1225.7291666666663</v>
      </c>
      <c r="AP42" s="103">
        <f t="shared" ref="AP42:AP45" si="112">SUM(AD42:AO42)</f>
        <v>14708.749999999995</v>
      </c>
      <c r="AQ42" s="91">
        <f>Assumptions!$K27/12</f>
        <v>1256.3723958333328</v>
      </c>
      <c r="AR42" s="99">
        <f>Assumptions!$K27/12</f>
        <v>1256.3723958333328</v>
      </c>
      <c r="AS42" s="99">
        <f>Assumptions!$K27/12</f>
        <v>1256.3723958333328</v>
      </c>
      <c r="AT42" s="99">
        <f>Assumptions!$K27/12</f>
        <v>1256.3723958333328</v>
      </c>
      <c r="AU42" s="99">
        <f>Assumptions!$K27/12</f>
        <v>1256.3723958333328</v>
      </c>
      <c r="AV42" s="99">
        <f>Assumptions!$K27/12</f>
        <v>1256.3723958333328</v>
      </c>
      <c r="AW42" s="99">
        <f>Assumptions!$K27/12</f>
        <v>1256.3723958333328</v>
      </c>
      <c r="AX42" s="99">
        <f>Assumptions!$K27/12</f>
        <v>1256.3723958333328</v>
      </c>
      <c r="AY42" s="99">
        <f>Assumptions!$K27/12</f>
        <v>1256.3723958333328</v>
      </c>
      <c r="AZ42" s="99">
        <f>Assumptions!$K27/12</f>
        <v>1256.3723958333328</v>
      </c>
      <c r="BA42" s="95">
        <f>Assumptions!$K27/12</f>
        <v>1256.3723958333328</v>
      </c>
      <c r="BB42" s="107">
        <f>Assumptions!$K27/12</f>
        <v>1256.3723958333328</v>
      </c>
      <c r="BC42" s="103">
        <f t="shared" ref="BC42:BC45" si="113">SUM(AQ42:BB42)</f>
        <v>15076.468749999991</v>
      </c>
      <c r="BD42" s="91">
        <f>Assumptions!$L27/12</f>
        <v>1287.7817057291661</v>
      </c>
      <c r="BE42" s="99">
        <f>Assumptions!$L27/12</f>
        <v>1287.7817057291661</v>
      </c>
      <c r="BF42" s="99">
        <f>Assumptions!$L27/12</f>
        <v>1287.7817057291661</v>
      </c>
      <c r="BG42" s="99">
        <f>Assumptions!$L27/12</f>
        <v>1287.7817057291661</v>
      </c>
      <c r="BH42" s="99">
        <f>Assumptions!$L27/12</f>
        <v>1287.7817057291661</v>
      </c>
      <c r="BI42" s="99">
        <f>Assumptions!$L27/12</f>
        <v>1287.7817057291661</v>
      </c>
      <c r="BJ42" s="99">
        <f>Assumptions!$L27/12</f>
        <v>1287.7817057291661</v>
      </c>
      <c r="BK42" s="99">
        <f>Assumptions!$L27/12</f>
        <v>1287.7817057291661</v>
      </c>
      <c r="BL42" s="99">
        <f>Assumptions!$L27/12</f>
        <v>1287.7817057291661</v>
      </c>
      <c r="BM42" s="99">
        <f>Assumptions!$L27/12</f>
        <v>1287.7817057291661</v>
      </c>
      <c r="BN42" s="95">
        <f>Assumptions!$L27/12</f>
        <v>1287.7817057291661</v>
      </c>
      <c r="BO42" s="107">
        <f>Assumptions!$L27/12</f>
        <v>1287.7817057291661</v>
      </c>
      <c r="BP42" s="103">
        <f t="shared" ref="BP42:BP45" si="114">SUM(BD42:BO42)</f>
        <v>15453.380468749996</v>
      </c>
      <c r="BQ42" s="91">
        <f>Assumptions!$M27/12</f>
        <v>1319.976248372395</v>
      </c>
      <c r="BR42" s="99">
        <f>Assumptions!$M27/12</f>
        <v>1319.976248372395</v>
      </c>
      <c r="BS42" s="99">
        <f>Assumptions!$M27/12</f>
        <v>1319.976248372395</v>
      </c>
      <c r="BT42" s="99">
        <f>Assumptions!$M27/12</f>
        <v>1319.976248372395</v>
      </c>
      <c r="BU42" s="99">
        <f>Assumptions!$M27/12</f>
        <v>1319.976248372395</v>
      </c>
      <c r="BV42" s="99">
        <f>Assumptions!$M27/12</f>
        <v>1319.976248372395</v>
      </c>
      <c r="BW42" s="99">
        <f>Assumptions!$M27/12</f>
        <v>1319.976248372395</v>
      </c>
      <c r="BX42" s="99">
        <f>Assumptions!$M27/12</f>
        <v>1319.976248372395</v>
      </c>
      <c r="BY42" s="99">
        <f>Assumptions!$M27/12</f>
        <v>1319.976248372395</v>
      </c>
      <c r="BZ42" s="99">
        <f>Assumptions!$M27/12</f>
        <v>1319.976248372395</v>
      </c>
      <c r="CA42" s="95">
        <f>Assumptions!$M27/12</f>
        <v>1319.976248372395</v>
      </c>
      <c r="CB42" s="107">
        <f>Assumptions!$M27/12</f>
        <v>1319.976248372395</v>
      </c>
      <c r="CC42" s="103">
        <f t="shared" ref="CC42:CC45" si="115">SUM(BQ42:CB42)</f>
        <v>15839.714980468741</v>
      </c>
      <c r="CD42" s="91">
        <f>Assumptions!$N27/12</f>
        <v>1352.9756545817049</v>
      </c>
      <c r="CE42" s="95">
        <f>Assumptions!$N27/12</f>
        <v>1352.9756545817049</v>
      </c>
      <c r="CF42" s="95">
        <f>Assumptions!$N27/12</f>
        <v>1352.9756545817049</v>
      </c>
      <c r="CG42" s="95">
        <f>Assumptions!$N27/12</f>
        <v>1352.9756545817049</v>
      </c>
      <c r="CH42" s="99">
        <f>Assumptions!$N27/12</f>
        <v>1352.9756545817049</v>
      </c>
      <c r="CI42" s="99">
        <f>Assumptions!$N27/12</f>
        <v>1352.9756545817049</v>
      </c>
      <c r="CJ42" s="99">
        <f>Assumptions!$N27/12</f>
        <v>1352.9756545817049</v>
      </c>
      <c r="CK42" s="99">
        <f>Assumptions!$N27/12</f>
        <v>1352.9756545817049</v>
      </c>
      <c r="CL42" s="99">
        <f>Assumptions!$N27/12</f>
        <v>1352.9756545817049</v>
      </c>
      <c r="CM42" s="99">
        <f>Assumptions!$N27/12</f>
        <v>1352.9756545817049</v>
      </c>
      <c r="CN42" s="95">
        <f>Assumptions!$N27/12</f>
        <v>1352.9756545817049</v>
      </c>
      <c r="CO42" s="107">
        <f>Assumptions!$N27/12</f>
        <v>1352.9756545817049</v>
      </c>
      <c r="CP42" s="103">
        <f t="shared" ref="CP42:CP45" si="116">SUM(CD42:CO42)</f>
        <v>16235.707854980463</v>
      </c>
    </row>
    <row r="43" spans="2:94">
      <c r="B43" s="113" t="s">
        <v>86</v>
      </c>
      <c r="C43" s="383">
        <f>Assumptions!G28/12</f>
        <v>0</v>
      </c>
      <c r="D43" s="99">
        <f>Assumptions!$H28/12</f>
        <v>0</v>
      </c>
      <c r="E43" s="91">
        <f>Assumptions!$H28/12</f>
        <v>0</v>
      </c>
      <c r="F43" s="95">
        <f>Assumptions!$H28/12</f>
        <v>0</v>
      </c>
      <c r="G43" s="95">
        <f>Assumptions!$H28/12</f>
        <v>0</v>
      </c>
      <c r="H43" s="95">
        <f>Assumptions!$H28/12</f>
        <v>0</v>
      </c>
      <c r="I43" s="99">
        <f>Assumptions!$H28/12</f>
        <v>0</v>
      </c>
      <c r="J43" s="95">
        <f>Assumptions!$H28/12</f>
        <v>0</v>
      </c>
      <c r="K43" s="95">
        <f>Assumptions!$H28/12</f>
        <v>0</v>
      </c>
      <c r="L43" s="95">
        <f>Assumptions!$H28/12</f>
        <v>0</v>
      </c>
      <c r="M43" s="99">
        <f>Assumptions!$H28/12</f>
        <v>0</v>
      </c>
      <c r="N43" s="95">
        <f>Assumptions!$H28/12</f>
        <v>0</v>
      </c>
      <c r="O43" s="95">
        <f>Assumptions!$H28/12</f>
        <v>0</v>
      </c>
      <c r="P43" s="103">
        <f t="shared" si="110"/>
        <v>0</v>
      </c>
      <c r="Q43" s="91">
        <f>Assumptions!$I28/12</f>
        <v>0</v>
      </c>
      <c r="R43" s="99">
        <f>Assumptions!$I28/12</f>
        <v>0</v>
      </c>
      <c r="S43" s="99">
        <f>Assumptions!$I28/12</f>
        <v>0</v>
      </c>
      <c r="T43" s="99">
        <f>Assumptions!$I28/12</f>
        <v>0</v>
      </c>
      <c r="U43" s="99">
        <f>Assumptions!$I28/12</f>
        <v>0</v>
      </c>
      <c r="V43" s="99">
        <f>Assumptions!$I28/12</f>
        <v>0</v>
      </c>
      <c r="W43" s="99">
        <f>Assumptions!$I28/12</f>
        <v>0</v>
      </c>
      <c r="X43" s="99">
        <f>Assumptions!$I28/12</f>
        <v>0</v>
      </c>
      <c r="Y43" s="99">
        <f>Assumptions!$I28/12</f>
        <v>0</v>
      </c>
      <c r="Z43" s="99">
        <f>Assumptions!$I28/12</f>
        <v>0</v>
      </c>
      <c r="AA43" s="95">
        <f>Assumptions!$I28/12</f>
        <v>0</v>
      </c>
      <c r="AB43" s="107">
        <f>Assumptions!$I28/12</f>
        <v>0</v>
      </c>
      <c r="AC43" s="103">
        <f t="shared" si="111"/>
        <v>0</v>
      </c>
      <c r="AD43" s="91">
        <f>Assumptions!$J28/12</f>
        <v>0</v>
      </c>
      <c r="AE43" s="99">
        <f>Assumptions!$J28/12</f>
        <v>0</v>
      </c>
      <c r="AF43" s="99">
        <f>Assumptions!$J28/12</f>
        <v>0</v>
      </c>
      <c r="AG43" s="99">
        <f>Assumptions!$J28/12</f>
        <v>0</v>
      </c>
      <c r="AH43" s="99">
        <f>Assumptions!$J28/12</f>
        <v>0</v>
      </c>
      <c r="AI43" s="99">
        <f>Assumptions!$J28/12</f>
        <v>0</v>
      </c>
      <c r="AJ43" s="99">
        <f>Assumptions!$J28/12</f>
        <v>0</v>
      </c>
      <c r="AK43" s="99">
        <f>Assumptions!$J28/12</f>
        <v>0</v>
      </c>
      <c r="AL43" s="99">
        <f>Assumptions!$J28/12</f>
        <v>0</v>
      </c>
      <c r="AM43" s="99">
        <f>Assumptions!$J28/12</f>
        <v>0</v>
      </c>
      <c r="AN43" s="95">
        <f>Assumptions!$J28/12</f>
        <v>0</v>
      </c>
      <c r="AO43" s="107">
        <f>Assumptions!$J28/12</f>
        <v>0</v>
      </c>
      <c r="AP43" s="103">
        <f t="shared" si="112"/>
        <v>0</v>
      </c>
      <c r="AQ43" s="91">
        <f>Assumptions!$K28/12</f>
        <v>0</v>
      </c>
      <c r="AR43" s="99">
        <f>Assumptions!$K28/12</f>
        <v>0</v>
      </c>
      <c r="AS43" s="99">
        <f>Assumptions!$K28/12</f>
        <v>0</v>
      </c>
      <c r="AT43" s="99">
        <f>Assumptions!$K28/12</f>
        <v>0</v>
      </c>
      <c r="AU43" s="99">
        <f>Assumptions!$K28/12</f>
        <v>0</v>
      </c>
      <c r="AV43" s="99">
        <f>Assumptions!$K28/12</f>
        <v>0</v>
      </c>
      <c r="AW43" s="99">
        <f>Assumptions!$K28/12</f>
        <v>0</v>
      </c>
      <c r="AX43" s="99">
        <f>Assumptions!$K28/12</f>
        <v>0</v>
      </c>
      <c r="AY43" s="99">
        <f>Assumptions!$K28/12</f>
        <v>0</v>
      </c>
      <c r="AZ43" s="99">
        <f>Assumptions!$K28/12</f>
        <v>0</v>
      </c>
      <c r="BA43" s="95">
        <f>Assumptions!$K28/12</f>
        <v>0</v>
      </c>
      <c r="BB43" s="107">
        <f>Assumptions!$K28/12</f>
        <v>0</v>
      </c>
      <c r="BC43" s="103">
        <f t="shared" si="113"/>
        <v>0</v>
      </c>
      <c r="BD43" s="91">
        <f>Assumptions!$L28/12</f>
        <v>0</v>
      </c>
      <c r="BE43" s="99">
        <f>Assumptions!$L28/12</f>
        <v>0</v>
      </c>
      <c r="BF43" s="99">
        <f>Assumptions!$L28/12</f>
        <v>0</v>
      </c>
      <c r="BG43" s="99">
        <f>Assumptions!$L28/12</f>
        <v>0</v>
      </c>
      <c r="BH43" s="99">
        <f>Assumptions!$L28/12</f>
        <v>0</v>
      </c>
      <c r="BI43" s="99">
        <f>Assumptions!$L28/12</f>
        <v>0</v>
      </c>
      <c r="BJ43" s="99">
        <f>Assumptions!$L28/12</f>
        <v>0</v>
      </c>
      <c r="BK43" s="99">
        <f>Assumptions!$L28/12</f>
        <v>0</v>
      </c>
      <c r="BL43" s="99">
        <f>Assumptions!$L28/12</f>
        <v>0</v>
      </c>
      <c r="BM43" s="99">
        <f>Assumptions!$L28/12</f>
        <v>0</v>
      </c>
      <c r="BN43" s="95">
        <f>Assumptions!$L28/12</f>
        <v>0</v>
      </c>
      <c r="BO43" s="107">
        <f>Assumptions!$L28/12</f>
        <v>0</v>
      </c>
      <c r="BP43" s="103">
        <f t="shared" si="114"/>
        <v>0</v>
      </c>
      <c r="BQ43" s="91">
        <f>Assumptions!$M28/12</f>
        <v>0</v>
      </c>
      <c r="BR43" s="99">
        <f>Assumptions!$M28/12</f>
        <v>0</v>
      </c>
      <c r="BS43" s="99">
        <f>Assumptions!$M28/12</f>
        <v>0</v>
      </c>
      <c r="BT43" s="99">
        <f>Assumptions!$M28/12</f>
        <v>0</v>
      </c>
      <c r="BU43" s="99">
        <f>Assumptions!$M28/12</f>
        <v>0</v>
      </c>
      <c r="BV43" s="99">
        <f>Assumptions!$M28/12</f>
        <v>0</v>
      </c>
      <c r="BW43" s="99">
        <f>Assumptions!$M28/12</f>
        <v>0</v>
      </c>
      <c r="BX43" s="99">
        <f>Assumptions!$M28/12</f>
        <v>0</v>
      </c>
      <c r="BY43" s="99">
        <f>Assumptions!$M28/12</f>
        <v>0</v>
      </c>
      <c r="BZ43" s="99">
        <f>Assumptions!$M28/12</f>
        <v>0</v>
      </c>
      <c r="CA43" s="95">
        <f>Assumptions!$M28/12</f>
        <v>0</v>
      </c>
      <c r="CB43" s="107">
        <f>Assumptions!$M28/12</f>
        <v>0</v>
      </c>
      <c r="CC43" s="103">
        <f t="shared" si="115"/>
        <v>0</v>
      </c>
      <c r="CD43" s="91">
        <f>Assumptions!$N28/12</f>
        <v>0</v>
      </c>
      <c r="CE43" s="95">
        <f>Assumptions!$N28/12</f>
        <v>0</v>
      </c>
      <c r="CF43" s="95">
        <f>Assumptions!$N28/12</f>
        <v>0</v>
      </c>
      <c r="CG43" s="95">
        <f>Assumptions!$N28/12</f>
        <v>0</v>
      </c>
      <c r="CH43" s="99">
        <f>Assumptions!$N28/12</f>
        <v>0</v>
      </c>
      <c r="CI43" s="99">
        <f>Assumptions!$N28/12</f>
        <v>0</v>
      </c>
      <c r="CJ43" s="99">
        <f>Assumptions!$N28/12</f>
        <v>0</v>
      </c>
      <c r="CK43" s="99">
        <f>Assumptions!$N28/12</f>
        <v>0</v>
      </c>
      <c r="CL43" s="99">
        <f>Assumptions!$N28/12</f>
        <v>0</v>
      </c>
      <c r="CM43" s="99">
        <f>Assumptions!$N28/12</f>
        <v>0</v>
      </c>
      <c r="CN43" s="95">
        <f>Assumptions!$N28/12</f>
        <v>0</v>
      </c>
      <c r="CO43" s="107">
        <f>Assumptions!$N28/12</f>
        <v>0</v>
      </c>
      <c r="CP43" s="103">
        <f t="shared" si="116"/>
        <v>0</v>
      </c>
    </row>
    <row r="44" spans="2:94">
      <c r="B44" s="113" t="s">
        <v>87</v>
      </c>
      <c r="C44" s="383">
        <f>Assumptions!G29/12</f>
        <v>0</v>
      </c>
      <c r="D44" s="99">
        <f>Assumptions!$H29/12</f>
        <v>0</v>
      </c>
      <c r="E44" s="91">
        <f>Assumptions!$H29/12</f>
        <v>0</v>
      </c>
      <c r="F44" s="95">
        <f>Assumptions!$H29/12</f>
        <v>0</v>
      </c>
      <c r="G44" s="95">
        <f>Assumptions!$H29/12</f>
        <v>0</v>
      </c>
      <c r="H44" s="95">
        <f>Assumptions!$H29/12</f>
        <v>0</v>
      </c>
      <c r="I44" s="99">
        <f>Assumptions!$H29/12</f>
        <v>0</v>
      </c>
      <c r="J44" s="95">
        <f>Assumptions!$H29/12</f>
        <v>0</v>
      </c>
      <c r="K44" s="95">
        <f>Assumptions!$H29/12</f>
        <v>0</v>
      </c>
      <c r="L44" s="95">
        <f>Assumptions!$H29/12</f>
        <v>0</v>
      </c>
      <c r="M44" s="99">
        <f>Assumptions!$H29/12</f>
        <v>0</v>
      </c>
      <c r="N44" s="95">
        <f>Assumptions!$H29/12</f>
        <v>0</v>
      </c>
      <c r="O44" s="95">
        <f>Assumptions!$H29/12</f>
        <v>0</v>
      </c>
      <c r="P44" s="103">
        <f t="shared" si="110"/>
        <v>0</v>
      </c>
      <c r="Q44" s="91">
        <f>Assumptions!$I29/12</f>
        <v>0</v>
      </c>
      <c r="R44" s="99">
        <f>Assumptions!$I29/12</f>
        <v>0</v>
      </c>
      <c r="S44" s="99">
        <f>Assumptions!$I29/12</f>
        <v>0</v>
      </c>
      <c r="T44" s="99">
        <f>Assumptions!$I29/12</f>
        <v>0</v>
      </c>
      <c r="U44" s="99">
        <f>Assumptions!$I29/12</f>
        <v>0</v>
      </c>
      <c r="V44" s="99">
        <f>Assumptions!$I29/12</f>
        <v>0</v>
      </c>
      <c r="W44" s="99">
        <f>Assumptions!$I29/12</f>
        <v>0</v>
      </c>
      <c r="X44" s="99">
        <f>Assumptions!$I29/12</f>
        <v>0</v>
      </c>
      <c r="Y44" s="99">
        <f>Assumptions!$I29/12</f>
        <v>0</v>
      </c>
      <c r="Z44" s="99">
        <f>Assumptions!$I29/12</f>
        <v>0</v>
      </c>
      <c r="AA44" s="95">
        <f>Assumptions!$I29/12</f>
        <v>0</v>
      </c>
      <c r="AB44" s="107">
        <f>Assumptions!$I29/12</f>
        <v>0</v>
      </c>
      <c r="AC44" s="103">
        <f t="shared" si="111"/>
        <v>0</v>
      </c>
      <c r="AD44" s="91">
        <f>Assumptions!$J29/12</f>
        <v>0</v>
      </c>
      <c r="AE44" s="99">
        <f>Assumptions!$J29/12</f>
        <v>0</v>
      </c>
      <c r="AF44" s="99">
        <f>Assumptions!$J29/12</f>
        <v>0</v>
      </c>
      <c r="AG44" s="99">
        <f>Assumptions!$J29/12</f>
        <v>0</v>
      </c>
      <c r="AH44" s="99">
        <f>Assumptions!$J29/12</f>
        <v>0</v>
      </c>
      <c r="AI44" s="99">
        <f>Assumptions!$J29/12</f>
        <v>0</v>
      </c>
      <c r="AJ44" s="99">
        <f>Assumptions!$J29/12</f>
        <v>0</v>
      </c>
      <c r="AK44" s="99">
        <f>Assumptions!$J29/12</f>
        <v>0</v>
      </c>
      <c r="AL44" s="99">
        <f>Assumptions!$J29/12</f>
        <v>0</v>
      </c>
      <c r="AM44" s="99">
        <f>Assumptions!$J29/12</f>
        <v>0</v>
      </c>
      <c r="AN44" s="95">
        <f>Assumptions!$J29/12</f>
        <v>0</v>
      </c>
      <c r="AO44" s="107">
        <f>Assumptions!$J29/12</f>
        <v>0</v>
      </c>
      <c r="AP44" s="103">
        <f t="shared" si="112"/>
        <v>0</v>
      </c>
      <c r="AQ44" s="91">
        <f>Assumptions!$K29/12</f>
        <v>0</v>
      </c>
      <c r="AR44" s="99">
        <f>Assumptions!$K29/12</f>
        <v>0</v>
      </c>
      <c r="AS44" s="99">
        <f>Assumptions!$K29/12</f>
        <v>0</v>
      </c>
      <c r="AT44" s="99">
        <f>Assumptions!$K29/12</f>
        <v>0</v>
      </c>
      <c r="AU44" s="99">
        <f>Assumptions!$K29/12</f>
        <v>0</v>
      </c>
      <c r="AV44" s="99">
        <f>Assumptions!$K29/12</f>
        <v>0</v>
      </c>
      <c r="AW44" s="99">
        <f>Assumptions!$K29/12</f>
        <v>0</v>
      </c>
      <c r="AX44" s="99">
        <f>Assumptions!$K29/12</f>
        <v>0</v>
      </c>
      <c r="AY44" s="99">
        <f>Assumptions!$K29/12</f>
        <v>0</v>
      </c>
      <c r="AZ44" s="99">
        <f>Assumptions!$K29/12</f>
        <v>0</v>
      </c>
      <c r="BA44" s="95">
        <f>Assumptions!$K29/12</f>
        <v>0</v>
      </c>
      <c r="BB44" s="107">
        <f>Assumptions!$K29/12</f>
        <v>0</v>
      </c>
      <c r="BC44" s="103">
        <f t="shared" si="113"/>
        <v>0</v>
      </c>
      <c r="BD44" s="91">
        <f>Assumptions!$L29/12</f>
        <v>0</v>
      </c>
      <c r="BE44" s="99">
        <f>Assumptions!$L29/12</f>
        <v>0</v>
      </c>
      <c r="BF44" s="99">
        <f>Assumptions!$L29/12</f>
        <v>0</v>
      </c>
      <c r="BG44" s="99">
        <f>Assumptions!$L29/12</f>
        <v>0</v>
      </c>
      <c r="BH44" s="99">
        <f>Assumptions!$L29/12</f>
        <v>0</v>
      </c>
      <c r="BI44" s="99">
        <f>Assumptions!$L29/12</f>
        <v>0</v>
      </c>
      <c r="BJ44" s="99">
        <f>Assumptions!$L29/12</f>
        <v>0</v>
      </c>
      <c r="BK44" s="99">
        <f>Assumptions!$L29/12</f>
        <v>0</v>
      </c>
      <c r="BL44" s="99">
        <f>Assumptions!$L29/12</f>
        <v>0</v>
      </c>
      <c r="BM44" s="99">
        <f>Assumptions!$L29/12</f>
        <v>0</v>
      </c>
      <c r="BN44" s="95">
        <f>Assumptions!$L29/12</f>
        <v>0</v>
      </c>
      <c r="BO44" s="107">
        <f>Assumptions!$L29/12</f>
        <v>0</v>
      </c>
      <c r="BP44" s="103">
        <f t="shared" si="114"/>
        <v>0</v>
      </c>
      <c r="BQ44" s="91">
        <f>Assumptions!$M29/12</f>
        <v>0</v>
      </c>
      <c r="BR44" s="99">
        <f>Assumptions!$M29/12</f>
        <v>0</v>
      </c>
      <c r="BS44" s="99">
        <f>Assumptions!$M29/12</f>
        <v>0</v>
      </c>
      <c r="BT44" s="99">
        <f>Assumptions!$M29/12</f>
        <v>0</v>
      </c>
      <c r="BU44" s="99">
        <f>Assumptions!$M29/12</f>
        <v>0</v>
      </c>
      <c r="BV44" s="99">
        <f>Assumptions!$M29/12</f>
        <v>0</v>
      </c>
      <c r="BW44" s="99">
        <f>Assumptions!$M29/12</f>
        <v>0</v>
      </c>
      <c r="BX44" s="99">
        <f>Assumptions!$M29/12</f>
        <v>0</v>
      </c>
      <c r="BY44" s="99">
        <f>Assumptions!$M29/12</f>
        <v>0</v>
      </c>
      <c r="BZ44" s="99">
        <f>Assumptions!$M29/12</f>
        <v>0</v>
      </c>
      <c r="CA44" s="95">
        <f>Assumptions!$M29/12</f>
        <v>0</v>
      </c>
      <c r="CB44" s="107">
        <f>Assumptions!$M29/12</f>
        <v>0</v>
      </c>
      <c r="CC44" s="103">
        <f t="shared" si="115"/>
        <v>0</v>
      </c>
      <c r="CD44" s="91">
        <f>Assumptions!$N29/12</f>
        <v>0</v>
      </c>
      <c r="CE44" s="95">
        <f>Assumptions!$N29/12</f>
        <v>0</v>
      </c>
      <c r="CF44" s="95">
        <f>Assumptions!$N29/12</f>
        <v>0</v>
      </c>
      <c r="CG44" s="95">
        <f>Assumptions!$N29/12</f>
        <v>0</v>
      </c>
      <c r="CH44" s="99">
        <f>Assumptions!$N29/12</f>
        <v>0</v>
      </c>
      <c r="CI44" s="99">
        <f>Assumptions!$N29/12</f>
        <v>0</v>
      </c>
      <c r="CJ44" s="99">
        <f>Assumptions!$N29/12</f>
        <v>0</v>
      </c>
      <c r="CK44" s="99">
        <f>Assumptions!$N29/12</f>
        <v>0</v>
      </c>
      <c r="CL44" s="99">
        <f>Assumptions!$N29/12</f>
        <v>0</v>
      </c>
      <c r="CM44" s="99">
        <f>Assumptions!$N29/12</f>
        <v>0</v>
      </c>
      <c r="CN44" s="95">
        <f>Assumptions!$N29/12</f>
        <v>0</v>
      </c>
      <c r="CO44" s="107">
        <f>Assumptions!$N29/12</f>
        <v>0</v>
      </c>
      <c r="CP44" s="103">
        <f t="shared" si="116"/>
        <v>0</v>
      </c>
    </row>
    <row r="45" spans="2:94">
      <c r="B45" s="113" t="s">
        <v>236</v>
      </c>
      <c r="C45" s="383">
        <f>Assumptions!G30/12</f>
        <v>0</v>
      </c>
      <c r="D45" s="99">
        <f>Assumptions!$H30/12</f>
        <v>0</v>
      </c>
      <c r="E45" s="91">
        <f>Assumptions!$H30/12</f>
        <v>0</v>
      </c>
      <c r="F45" s="95">
        <f>Assumptions!$H30/12</f>
        <v>0</v>
      </c>
      <c r="G45" s="95">
        <f>Assumptions!$H30/12</f>
        <v>0</v>
      </c>
      <c r="H45" s="95">
        <f>Assumptions!$H30/12</f>
        <v>0</v>
      </c>
      <c r="I45" s="99">
        <f>Assumptions!$H30/12</f>
        <v>0</v>
      </c>
      <c r="J45" s="95">
        <f>Assumptions!$H30/12</f>
        <v>0</v>
      </c>
      <c r="K45" s="95">
        <f>Assumptions!$H30/12</f>
        <v>0</v>
      </c>
      <c r="L45" s="95">
        <f>Assumptions!$H30/12</f>
        <v>0</v>
      </c>
      <c r="M45" s="99">
        <f>Assumptions!$H30/12</f>
        <v>0</v>
      </c>
      <c r="N45" s="95">
        <f>Assumptions!$H30/12</f>
        <v>0</v>
      </c>
      <c r="O45" s="95">
        <f>Assumptions!$H30/12</f>
        <v>0</v>
      </c>
      <c r="P45" s="103">
        <f t="shared" si="110"/>
        <v>0</v>
      </c>
      <c r="Q45" s="91">
        <f>Assumptions!$I30/12</f>
        <v>0</v>
      </c>
      <c r="R45" s="99">
        <f>Assumptions!$I30/12</f>
        <v>0</v>
      </c>
      <c r="S45" s="99">
        <f>Assumptions!$I30/12</f>
        <v>0</v>
      </c>
      <c r="T45" s="99">
        <f>Assumptions!$I30/12</f>
        <v>0</v>
      </c>
      <c r="U45" s="99">
        <f>Assumptions!$I30/12</f>
        <v>0</v>
      </c>
      <c r="V45" s="99">
        <f>Assumptions!$I30/12</f>
        <v>0</v>
      </c>
      <c r="W45" s="99">
        <f>Assumptions!$I30/12</f>
        <v>0</v>
      </c>
      <c r="X45" s="99">
        <f>Assumptions!$I30/12</f>
        <v>0</v>
      </c>
      <c r="Y45" s="99">
        <f>Assumptions!$I30/12</f>
        <v>0</v>
      </c>
      <c r="Z45" s="99">
        <f>Assumptions!$I30/12</f>
        <v>0</v>
      </c>
      <c r="AA45" s="95">
        <f>Assumptions!$I30/12</f>
        <v>0</v>
      </c>
      <c r="AB45" s="107">
        <f>Assumptions!$I30/12</f>
        <v>0</v>
      </c>
      <c r="AC45" s="103">
        <f t="shared" si="111"/>
        <v>0</v>
      </c>
      <c r="AD45" s="91">
        <f>Assumptions!$J30/12</f>
        <v>0</v>
      </c>
      <c r="AE45" s="99">
        <f>Assumptions!$J30/12</f>
        <v>0</v>
      </c>
      <c r="AF45" s="99">
        <f>Assumptions!$J30/12</f>
        <v>0</v>
      </c>
      <c r="AG45" s="99">
        <f>Assumptions!$J30/12</f>
        <v>0</v>
      </c>
      <c r="AH45" s="99">
        <f>Assumptions!$J30/12</f>
        <v>0</v>
      </c>
      <c r="AI45" s="99">
        <f>Assumptions!$J30/12</f>
        <v>0</v>
      </c>
      <c r="AJ45" s="99">
        <f>Assumptions!$J30/12</f>
        <v>0</v>
      </c>
      <c r="AK45" s="99">
        <f>Assumptions!$J30/12</f>
        <v>0</v>
      </c>
      <c r="AL45" s="99">
        <f>Assumptions!$J30/12</f>
        <v>0</v>
      </c>
      <c r="AM45" s="99">
        <f>Assumptions!$J30/12</f>
        <v>0</v>
      </c>
      <c r="AN45" s="95">
        <f>Assumptions!$J30/12</f>
        <v>0</v>
      </c>
      <c r="AO45" s="107">
        <f>Assumptions!$J30/12</f>
        <v>0</v>
      </c>
      <c r="AP45" s="103">
        <f t="shared" si="112"/>
        <v>0</v>
      </c>
      <c r="AQ45" s="91">
        <f>Assumptions!$K30/12</f>
        <v>0</v>
      </c>
      <c r="AR45" s="99">
        <f>Assumptions!$K30/12</f>
        <v>0</v>
      </c>
      <c r="AS45" s="99">
        <f>Assumptions!$K30/12</f>
        <v>0</v>
      </c>
      <c r="AT45" s="99">
        <f>Assumptions!$K30/12</f>
        <v>0</v>
      </c>
      <c r="AU45" s="99">
        <f>Assumptions!$K30/12</f>
        <v>0</v>
      </c>
      <c r="AV45" s="99">
        <f>Assumptions!$K30/12</f>
        <v>0</v>
      </c>
      <c r="AW45" s="99">
        <f>Assumptions!$K30/12</f>
        <v>0</v>
      </c>
      <c r="AX45" s="99">
        <f>Assumptions!$K30/12</f>
        <v>0</v>
      </c>
      <c r="AY45" s="99">
        <f>Assumptions!$K30/12</f>
        <v>0</v>
      </c>
      <c r="AZ45" s="99">
        <f>Assumptions!$K30/12</f>
        <v>0</v>
      </c>
      <c r="BA45" s="95">
        <f>Assumptions!$K30/12</f>
        <v>0</v>
      </c>
      <c r="BB45" s="107">
        <f>Assumptions!$K30/12</f>
        <v>0</v>
      </c>
      <c r="BC45" s="103">
        <f t="shared" si="113"/>
        <v>0</v>
      </c>
      <c r="BD45" s="91">
        <f>Assumptions!$L30/12</f>
        <v>0</v>
      </c>
      <c r="BE45" s="99">
        <f>Assumptions!$L30/12</f>
        <v>0</v>
      </c>
      <c r="BF45" s="99">
        <f>Assumptions!$L30/12</f>
        <v>0</v>
      </c>
      <c r="BG45" s="99">
        <f>Assumptions!$L30/12</f>
        <v>0</v>
      </c>
      <c r="BH45" s="99">
        <f>Assumptions!$L30/12</f>
        <v>0</v>
      </c>
      <c r="BI45" s="99">
        <f>Assumptions!$L30/12</f>
        <v>0</v>
      </c>
      <c r="BJ45" s="99">
        <f>Assumptions!$L30/12</f>
        <v>0</v>
      </c>
      <c r="BK45" s="99">
        <f>Assumptions!$L30/12</f>
        <v>0</v>
      </c>
      <c r="BL45" s="99">
        <f>Assumptions!$L30/12</f>
        <v>0</v>
      </c>
      <c r="BM45" s="99">
        <f>Assumptions!$L30/12</f>
        <v>0</v>
      </c>
      <c r="BN45" s="95">
        <f>Assumptions!$L30/12</f>
        <v>0</v>
      </c>
      <c r="BO45" s="107">
        <f>Assumptions!$L30/12</f>
        <v>0</v>
      </c>
      <c r="BP45" s="103">
        <f t="shared" si="114"/>
        <v>0</v>
      </c>
      <c r="BQ45" s="91">
        <f>Assumptions!$M30/12</f>
        <v>0</v>
      </c>
      <c r="BR45" s="99">
        <f>Assumptions!$M30/12</f>
        <v>0</v>
      </c>
      <c r="BS45" s="99">
        <f>Assumptions!$M30/12</f>
        <v>0</v>
      </c>
      <c r="BT45" s="99">
        <f>Assumptions!$M30/12</f>
        <v>0</v>
      </c>
      <c r="BU45" s="99">
        <f>Assumptions!$M30/12</f>
        <v>0</v>
      </c>
      <c r="BV45" s="99">
        <f>Assumptions!$M30/12</f>
        <v>0</v>
      </c>
      <c r="BW45" s="99">
        <f>Assumptions!$M30/12</f>
        <v>0</v>
      </c>
      <c r="BX45" s="99">
        <f>Assumptions!$M30/12</f>
        <v>0</v>
      </c>
      <c r="BY45" s="99">
        <f>Assumptions!$M30/12</f>
        <v>0</v>
      </c>
      <c r="BZ45" s="99">
        <f>Assumptions!$M30/12</f>
        <v>0</v>
      </c>
      <c r="CA45" s="95">
        <f>Assumptions!$M30/12</f>
        <v>0</v>
      </c>
      <c r="CB45" s="107">
        <f>Assumptions!$M30/12</f>
        <v>0</v>
      </c>
      <c r="CC45" s="103">
        <f t="shared" si="115"/>
        <v>0</v>
      </c>
      <c r="CD45" s="91">
        <f>Assumptions!$N30/12</f>
        <v>0</v>
      </c>
      <c r="CE45" s="95">
        <f>Assumptions!$N30/12</f>
        <v>0</v>
      </c>
      <c r="CF45" s="95">
        <f>Assumptions!$N30/12</f>
        <v>0</v>
      </c>
      <c r="CG45" s="95">
        <f>Assumptions!$N30/12</f>
        <v>0</v>
      </c>
      <c r="CH45" s="99">
        <f>Assumptions!$N30/12</f>
        <v>0</v>
      </c>
      <c r="CI45" s="99">
        <f>Assumptions!$N30/12</f>
        <v>0</v>
      </c>
      <c r="CJ45" s="99">
        <f>Assumptions!$N30/12</f>
        <v>0</v>
      </c>
      <c r="CK45" s="99">
        <f>Assumptions!$N30/12</f>
        <v>0</v>
      </c>
      <c r="CL45" s="99">
        <f>Assumptions!$N30/12</f>
        <v>0</v>
      </c>
      <c r="CM45" s="99">
        <f>Assumptions!$N30/12</f>
        <v>0</v>
      </c>
      <c r="CN45" s="95">
        <f>Assumptions!$N30/12</f>
        <v>0</v>
      </c>
      <c r="CO45" s="107">
        <f>Assumptions!$N30/12</f>
        <v>0</v>
      </c>
      <c r="CP45" s="103">
        <f t="shared" si="116"/>
        <v>0</v>
      </c>
    </row>
    <row r="46" spans="2:94" ht="6" customHeight="1">
      <c r="B46" s="113"/>
      <c r="C46" s="383"/>
      <c r="D46" s="99"/>
      <c r="E46" s="91"/>
      <c r="F46" s="95"/>
      <c r="G46" s="95"/>
      <c r="H46" s="95"/>
      <c r="I46" s="99"/>
      <c r="J46" s="95"/>
      <c r="K46" s="95"/>
      <c r="L46" s="95"/>
      <c r="M46" s="99"/>
      <c r="N46" s="95"/>
      <c r="O46" s="95"/>
      <c r="P46" s="103"/>
      <c r="Q46" s="91"/>
      <c r="R46" s="99"/>
      <c r="S46" s="99"/>
      <c r="T46" s="99"/>
      <c r="U46" s="99"/>
      <c r="V46" s="99"/>
      <c r="W46" s="99"/>
      <c r="X46" s="99"/>
      <c r="Y46" s="99"/>
      <c r="Z46" s="99"/>
      <c r="AA46" s="95"/>
      <c r="AB46" s="107"/>
      <c r="AC46" s="103"/>
      <c r="AD46" s="91"/>
      <c r="AE46" s="99"/>
      <c r="AF46" s="99"/>
      <c r="AG46" s="99"/>
      <c r="AH46" s="99"/>
      <c r="AI46" s="99"/>
      <c r="AJ46" s="99"/>
      <c r="AK46" s="99"/>
      <c r="AL46" s="99"/>
      <c r="AM46" s="99"/>
      <c r="AN46" s="95"/>
      <c r="AO46" s="107"/>
      <c r="AP46" s="103"/>
      <c r="AQ46" s="91"/>
      <c r="AR46" s="99"/>
      <c r="AS46" s="99"/>
      <c r="AT46" s="99"/>
      <c r="AU46" s="99"/>
      <c r="AV46" s="99"/>
      <c r="AW46" s="99"/>
      <c r="AX46" s="99"/>
      <c r="AY46" s="99"/>
      <c r="AZ46" s="99"/>
      <c r="BA46" s="95"/>
      <c r="BB46" s="107"/>
      <c r="BC46" s="103"/>
      <c r="BD46" s="91"/>
      <c r="BE46" s="99"/>
      <c r="BF46" s="99"/>
      <c r="BG46" s="99"/>
      <c r="BH46" s="99"/>
      <c r="BI46" s="99"/>
      <c r="BJ46" s="99"/>
      <c r="BK46" s="99"/>
      <c r="BL46" s="99"/>
      <c r="BM46" s="99"/>
      <c r="BN46" s="95"/>
      <c r="BO46" s="107"/>
      <c r="BP46" s="103"/>
      <c r="BQ46" s="91"/>
      <c r="BR46" s="99"/>
      <c r="BS46" s="99"/>
      <c r="BT46" s="99"/>
      <c r="BU46" s="99"/>
      <c r="BV46" s="99"/>
      <c r="BW46" s="99"/>
      <c r="BX46" s="99"/>
      <c r="BY46" s="99"/>
      <c r="BZ46" s="99"/>
      <c r="CA46" s="95"/>
      <c r="CB46" s="107"/>
      <c r="CC46" s="103"/>
      <c r="CD46" s="91"/>
      <c r="CE46" s="95"/>
      <c r="CF46" s="95"/>
      <c r="CG46" s="95"/>
      <c r="CH46" s="99"/>
      <c r="CI46" s="99"/>
      <c r="CJ46" s="99"/>
      <c r="CK46" s="99"/>
      <c r="CL46" s="99"/>
      <c r="CM46" s="99"/>
      <c r="CN46" s="95"/>
      <c r="CO46" s="107"/>
      <c r="CP46" s="103"/>
    </row>
    <row r="47" spans="2:94">
      <c r="B47" s="155" t="s">
        <v>88</v>
      </c>
      <c r="C47" s="384">
        <f>SUM(C42:C45)</f>
        <v>1166.6666666666667</v>
      </c>
      <c r="D47" s="92">
        <f t="shared" ref="D47:BO47" si="117">SUM(D42:D45)</f>
        <v>1166.6666666666667</v>
      </c>
      <c r="E47" s="46">
        <f t="shared" si="117"/>
        <v>1166.6666666666667</v>
      </c>
      <c r="F47" s="96">
        <f t="shared" si="117"/>
        <v>1166.6666666666667</v>
      </c>
      <c r="G47" s="96">
        <f t="shared" si="117"/>
        <v>1166.6666666666667</v>
      </c>
      <c r="H47" s="96">
        <f t="shared" si="117"/>
        <v>1166.6666666666667</v>
      </c>
      <c r="I47" s="92">
        <f t="shared" si="117"/>
        <v>1166.6666666666667</v>
      </c>
      <c r="J47" s="96">
        <f t="shared" si="117"/>
        <v>1166.6666666666667</v>
      </c>
      <c r="K47" s="96">
        <f t="shared" si="117"/>
        <v>1166.6666666666667</v>
      </c>
      <c r="L47" s="96">
        <f t="shared" si="117"/>
        <v>1166.6666666666667</v>
      </c>
      <c r="M47" s="92">
        <f t="shared" si="117"/>
        <v>1166.6666666666667</v>
      </c>
      <c r="N47" s="96">
        <f t="shared" si="117"/>
        <v>1166.6666666666667</v>
      </c>
      <c r="O47" s="96">
        <f t="shared" si="117"/>
        <v>1166.6666666666667</v>
      </c>
      <c r="P47" s="104">
        <f t="shared" si="117"/>
        <v>13999.999999999998</v>
      </c>
      <c r="Q47" s="46">
        <f t="shared" si="117"/>
        <v>1195.8333333333333</v>
      </c>
      <c r="R47" s="92">
        <f t="shared" si="117"/>
        <v>1195.8333333333333</v>
      </c>
      <c r="S47" s="92">
        <f t="shared" si="117"/>
        <v>1195.8333333333333</v>
      </c>
      <c r="T47" s="92">
        <f t="shared" si="117"/>
        <v>1195.8333333333333</v>
      </c>
      <c r="U47" s="92">
        <f t="shared" si="117"/>
        <v>1195.8333333333333</v>
      </c>
      <c r="V47" s="92">
        <f t="shared" si="117"/>
        <v>1195.8333333333333</v>
      </c>
      <c r="W47" s="92">
        <f t="shared" si="117"/>
        <v>1195.8333333333333</v>
      </c>
      <c r="X47" s="92">
        <f t="shared" si="117"/>
        <v>1195.8333333333333</v>
      </c>
      <c r="Y47" s="92">
        <f t="shared" si="117"/>
        <v>1195.8333333333333</v>
      </c>
      <c r="Z47" s="92">
        <f t="shared" si="117"/>
        <v>1195.8333333333333</v>
      </c>
      <c r="AA47" s="96">
        <f t="shared" si="117"/>
        <v>1195.8333333333333</v>
      </c>
      <c r="AB47" s="108">
        <f t="shared" si="117"/>
        <v>1195.8333333333333</v>
      </c>
      <c r="AC47" s="104">
        <f t="shared" ref="AC47" si="118">SUM(AC42:AC45)</f>
        <v>14350.000000000002</v>
      </c>
      <c r="AD47" s="46">
        <f t="shared" si="117"/>
        <v>1225.7291666666663</v>
      </c>
      <c r="AE47" s="92">
        <f t="shared" si="117"/>
        <v>1225.7291666666663</v>
      </c>
      <c r="AF47" s="92">
        <f t="shared" si="117"/>
        <v>1225.7291666666663</v>
      </c>
      <c r="AG47" s="92">
        <f t="shared" si="117"/>
        <v>1225.7291666666663</v>
      </c>
      <c r="AH47" s="92">
        <f t="shared" si="117"/>
        <v>1225.7291666666663</v>
      </c>
      <c r="AI47" s="92">
        <f t="shared" si="117"/>
        <v>1225.7291666666663</v>
      </c>
      <c r="AJ47" s="92">
        <f t="shared" si="117"/>
        <v>1225.7291666666663</v>
      </c>
      <c r="AK47" s="92">
        <f t="shared" si="117"/>
        <v>1225.7291666666663</v>
      </c>
      <c r="AL47" s="92">
        <f t="shared" si="117"/>
        <v>1225.7291666666663</v>
      </c>
      <c r="AM47" s="92">
        <f t="shared" si="117"/>
        <v>1225.7291666666663</v>
      </c>
      <c r="AN47" s="96">
        <f t="shared" si="117"/>
        <v>1225.7291666666663</v>
      </c>
      <c r="AO47" s="108">
        <f t="shared" si="117"/>
        <v>1225.7291666666663</v>
      </c>
      <c r="AP47" s="104">
        <f t="shared" si="117"/>
        <v>14708.749999999995</v>
      </c>
      <c r="AQ47" s="46">
        <f t="shared" si="117"/>
        <v>1256.3723958333328</v>
      </c>
      <c r="AR47" s="92">
        <f t="shared" si="117"/>
        <v>1256.3723958333328</v>
      </c>
      <c r="AS47" s="92">
        <f t="shared" si="117"/>
        <v>1256.3723958333328</v>
      </c>
      <c r="AT47" s="92">
        <f t="shared" si="117"/>
        <v>1256.3723958333328</v>
      </c>
      <c r="AU47" s="92">
        <f t="shared" si="117"/>
        <v>1256.3723958333328</v>
      </c>
      <c r="AV47" s="92">
        <f t="shared" si="117"/>
        <v>1256.3723958333328</v>
      </c>
      <c r="AW47" s="92">
        <f t="shared" si="117"/>
        <v>1256.3723958333328</v>
      </c>
      <c r="AX47" s="92">
        <f t="shared" si="117"/>
        <v>1256.3723958333328</v>
      </c>
      <c r="AY47" s="92">
        <f t="shared" si="117"/>
        <v>1256.3723958333328</v>
      </c>
      <c r="AZ47" s="92">
        <f t="shared" si="117"/>
        <v>1256.3723958333328</v>
      </c>
      <c r="BA47" s="96">
        <f t="shared" si="117"/>
        <v>1256.3723958333328</v>
      </c>
      <c r="BB47" s="108">
        <f t="shared" si="117"/>
        <v>1256.3723958333328</v>
      </c>
      <c r="BC47" s="104">
        <f t="shared" si="117"/>
        <v>15076.468749999991</v>
      </c>
      <c r="BD47" s="46">
        <f t="shared" si="117"/>
        <v>1287.7817057291661</v>
      </c>
      <c r="BE47" s="92">
        <f t="shared" si="117"/>
        <v>1287.7817057291661</v>
      </c>
      <c r="BF47" s="92">
        <f t="shared" si="117"/>
        <v>1287.7817057291661</v>
      </c>
      <c r="BG47" s="92">
        <f t="shared" si="117"/>
        <v>1287.7817057291661</v>
      </c>
      <c r="BH47" s="92">
        <f t="shared" si="117"/>
        <v>1287.7817057291661</v>
      </c>
      <c r="BI47" s="92">
        <f t="shared" si="117"/>
        <v>1287.7817057291661</v>
      </c>
      <c r="BJ47" s="92">
        <f t="shared" si="117"/>
        <v>1287.7817057291661</v>
      </c>
      <c r="BK47" s="92">
        <f t="shared" si="117"/>
        <v>1287.7817057291661</v>
      </c>
      <c r="BL47" s="92">
        <f t="shared" si="117"/>
        <v>1287.7817057291661</v>
      </c>
      <c r="BM47" s="92">
        <f t="shared" si="117"/>
        <v>1287.7817057291661</v>
      </c>
      <c r="BN47" s="96">
        <f t="shared" si="117"/>
        <v>1287.7817057291661</v>
      </c>
      <c r="BO47" s="108">
        <f t="shared" si="117"/>
        <v>1287.7817057291661</v>
      </c>
      <c r="BP47" s="104">
        <f t="shared" ref="BP47" si="119">SUM(BP42:BP45)</f>
        <v>15453.380468749996</v>
      </c>
      <c r="BQ47" s="46">
        <f t="shared" ref="BQ47:CP47" si="120">SUM(BQ42:BQ45)</f>
        <v>1319.976248372395</v>
      </c>
      <c r="BR47" s="92">
        <f t="shared" si="120"/>
        <v>1319.976248372395</v>
      </c>
      <c r="BS47" s="92">
        <f t="shared" si="120"/>
        <v>1319.976248372395</v>
      </c>
      <c r="BT47" s="92">
        <f t="shared" si="120"/>
        <v>1319.976248372395</v>
      </c>
      <c r="BU47" s="92">
        <f t="shared" si="120"/>
        <v>1319.976248372395</v>
      </c>
      <c r="BV47" s="92">
        <f t="shared" si="120"/>
        <v>1319.976248372395</v>
      </c>
      <c r="BW47" s="92">
        <f t="shared" si="120"/>
        <v>1319.976248372395</v>
      </c>
      <c r="BX47" s="92">
        <f t="shared" si="120"/>
        <v>1319.976248372395</v>
      </c>
      <c r="BY47" s="92">
        <f t="shared" si="120"/>
        <v>1319.976248372395</v>
      </c>
      <c r="BZ47" s="92">
        <f t="shared" si="120"/>
        <v>1319.976248372395</v>
      </c>
      <c r="CA47" s="96">
        <f t="shared" si="120"/>
        <v>1319.976248372395</v>
      </c>
      <c r="CB47" s="108">
        <f t="shared" si="120"/>
        <v>1319.976248372395</v>
      </c>
      <c r="CC47" s="104">
        <f t="shared" si="120"/>
        <v>15839.714980468741</v>
      </c>
      <c r="CD47" s="46">
        <f t="shared" si="120"/>
        <v>1352.9756545817049</v>
      </c>
      <c r="CE47" s="96">
        <f t="shared" si="120"/>
        <v>1352.9756545817049</v>
      </c>
      <c r="CF47" s="96">
        <f t="shared" si="120"/>
        <v>1352.9756545817049</v>
      </c>
      <c r="CG47" s="96">
        <f t="shared" si="120"/>
        <v>1352.9756545817049</v>
      </c>
      <c r="CH47" s="92">
        <f t="shared" si="120"/>
        <v>1352.9756545817049</v>
      </c>
      <c r="CI47" s="92">
        <f t="shared" si="120"/>
        <v>1352.9756545817049</v>
      </c>
      <c r="CJ47" s="92">
        <f t="shared" si="120"/>
        <v>1352.9756545817049</v>
      </c>
      <c r="CK47" s="92">
        <f t="shared" si="120"/>
        <v>1352.9756545817049</v>
      </c>
      <c r="CL47" s="92">
        <f t="shared" si="120"/>
        <v>1352.9756545817049</v>
      </c>
      <c r="CM47" s="92">
        <f t="shared" si="120"/>
        <v>1352.9756545817049</v>
      </c>
      <c r="CN47" s="96">
        <f t="shared" si="120"/>
        <v>1352.9756545817049</v>
      </c>
      <c r="CO47" s="108">
        <f t="shared" si="120"/>
        <v>1352.9756545817049</v>
      </c>
      <c r="CP47" s="104">
        <f t="shared" si="120"/>
        <v>16235.707854980463</v>
      </c>
    </row>
    <row r="48" spans="2:94" ht="6" customHeight="1">
      <c r="B48" s="113"/>
      <c r="C48" s="383"/>
      <c r="D48" s="99"/>
      <c r="E48" s="91"/>
      <c r="F48" s="95"/>
      <c r="G48" s="95"/>
      <c r="H48" s="95"/>
      <c r="I48" s="99"/>
      <c r="J48" s="95"/>
      <c r="K48" s="95"/>
      <c r="L48" s="95"/>
      <c r="M48" s="99"/>
      <c r="N48" s="95"/>
      <c r="O48" s="95"/>
      <c r="P48" s="103"/>
      <c r="Q48" s="91"/>
      <c r="R48" s="99"/>
      <c r="S48" s="99"/>
      <c r="T48" s="99"/>
      <c r="U48" s="99"/>
      <c r="V48" s="99"/>
      <c r="W48" s="99"/>
      <c r="X48" s="99"/>
      <c r="Y48" s="99"/>
      <c r="Z48" s="99"/>
      <c r="AA48" s="95"/>
      <c r="AB48" s="107"/>
      <c r="AC48" s="103"/>
      <c r="AD48" s="91"/>
      <c r="AE48" s="99"/>
      <c r="AF48" s="99"/>
      <c r="AG48" s="99"/>
      <c r="AH48" s="99"/>
      <c r="AI48" s="99"/>
      <c r="AJ48" s="99"/>
      <c r="AK48" s="99"/>
      <c r="AL48" s="99"/>
      <c r="AM48" s="99"/>
      <c r="AN48" s="95"/>
      <c r="AO48" s="107"/>
      <c r="AP48" s="103"/>
      <c r="AQ48" s="91"/>
      <c r="AR48" s="99"/>
      <c r="AS48" s="99"/>
      <c r="AT48" s="99"/>
      <c r="AU48" s="99"/>
      <c r="AV48" s="99"/>
      <c r="AW48" s="99"/>
      <c r="AX48" s="99"/>
      <c r="AY48" s="99"/>
      <c r="AZ48" s="99"/>
      <c r="BA48" s="95"/>
      <c r="BB48" s="107"/>
      <c r="BC48" s="103"/>
      <c r="BD48" s="91"/>
      <c r="BE48" s="99"/>
      <c r="BF48" s="99"/>
      <c r="BG48" s="99"/>
      <c r="BH48" s="99"/>
      <c r="BI48" s="99"/>
      <c r="BJ48" s="99"/>
      <c r="BK48" s="99"/>
      <c r="BL48" s="99"/>
      <c r="BM48" s="99"/>
      <c r="BN48" s="95"/>
      <c r="BO48" s="107"/>
      <c r="BP48" s="103"/>
      <c r="BQ48" s="91"/>
      <c r="BR48" s="99"/>
      <c r="BS48" s="99"/>
      <c r="BT48" s="99"/>
      <c r="BU48" s="99"/>
      <c r="BV48" s="99"/>
      <c r="BW48" s="99"/>
      <c r="BX48" s="99"/>
      <c r="BY48" s="99"/>
      <c r="BZ48" s="99"/>
      <c r="CA48" s="95"/>
      <c r="CB48" s="107"/>
      <c r="CC48" s="103"/>
      <c r="CD48" s="91"/>
      <c r="CE48" s="95"/>
      <c r="CF48" s="95"/>
      <c r="CG48" s="95"/>
      <c r="CH48" s="99"/>
      <c r="CI48" s="99"/>
      <c r="CJ48" s="99"/>
      <c r="CK48" s="99"/>
      <c r="CL48" s="99"/>
      <c r="CM48" s="99"/>
      <c r="CN48" s="95"/>
      <c r="CO48" s="107"/>
      <c r="CP48" s="103"/>
    </row>
    <row r="49" spans="1:101">
      <c r="B49" s="113" t="s">
        <v>89</v>
      </c>
      <c r="C49" s="383">
        <f>Assumptions!G31/12</f>
        <v>1062.5</v>
      </c>
      <c r="D49" s="99">
        <f>Assumptions!$H31/12</f>
        <v>1062.5</v>
      </c>
      <c r="E49" s="91">
        <f>Assumptions!$H31/12</f>
        <v>1062.5</v>
      </c>
      <c r="F49" s="95">
        <f>Assumptions!$H31/12</f>
        <v>1062.5</v>
      </c>
      <c r="G49" s="95">
        <f>Assumptions!$H31/12</f>
        <v>1062.5</v>
      </c>
      <c r="H49" s="95">
        <f>Assumptions!$H31/12</f>
        <v>1062.5</v>
      </c>
      <c r="I49" s="99">
        <f>Assumptions!$H31/12</f>
        <v>1062.5</v>
      </c>
      <c r="J49" s="95">
        <f>Assumptions!$H31/12</f>
        <v>1062.5</v>
      </c>
      <c r="K49" s="95">
        <f>Assumptions!$H31/12</f>
        <v>1062.5</v>
      </c>
      <c r="L49" s="95">
        <f>Assumptions!$H31/12</f>
        <v>1062.5</v>
      </c>
      <c r="M49" s="99">
        <f>Assumptions!$H31/12</f>
        <v>1062.5</v>
      </c>
      <c r="N49" s="95">
        <f>Assumptions!$H31/12</f>
        <v>1062.5</v>
      </c>
      <c r="O49" s="95">
        <f>Assumptions!$H31/12</f>
        <v>1062.5</v>
      </c>
      <c r="P49" s="103">
        <f t="shared" ref="P49:P54" si="121">SUM(D49:O49)</f>
        <v>12750</v>
      </c>
      <c r="Q49" s="91">
        <f>Assumptions!$I31/12</f>
        <v>1089.0624999999998</v>
      </c>
      <c r="R49" s="99">
        <f>Assumptions!$I31/12</f>
        <v>1089.0624999999998</v>
      </c>
      <c r="S49" s="99">
        <f>Assumptions!$I31/12</f>
        <v>1089.0624999999998</v>
      </c>
      <c r="T49" s="99">
        <f>Assumptions!$I31/12</f>
        <v>1089.0624999999998</v>
      </c>
      <c r="U49" s="99">
        <f>Assumptions!$I31/12</f>
        <v>1089.0624999999998</v>
      </c>
      <c r="V49" s="99">
        <f>Assumptions!$I31/12</f>
        <v>1089.0624999999998</v>
      </c>
      <c r="W49" s="99">
        <f>Assumptions!$I31/12</f>
        <v>1089.0624999999998</v>
      </c>
      <c r="X49" s="99">
        <f>Assumptions!$I31/12</f>
        <v>1089.0624999999998</v>
      </c>
      <c r="Y49" s="99">
        <f>Assumptions!$I31/12</f>
        <v>1089.0624999999998</v>
      </c>
      <c r="Z49" s="99">
        <f>Assumptions!$I31/12</f>
        <v>1089.0624999999998</v>
      </c>
      <c r="AA49" s="95">
        <f>Assumptions!$I31/12</f>
        <v>1089.0624999999998</v>
      </c>
      <c r="AB49" s="107">
        <f>Assumptions!$I31/12</f>
        <v>1089.0624999999998</v>
      </c>
      <c r="AC49" s="103">
        <f t="shared" ref="AC49:AC54" si="122">SUM(Q49:AB49)</f>
        <v>13068.749999999998</v>
      </c>
      <c r="AD49" s="91">
        <f>Assumptions!$J31/12</f>
        <v>1116.2890624999998</v>
      </c>
      <c r="AE49" s="99">
        <f>Assumptions!$J31/12</f>
        <v>1116.2890624999998</v>
      </c>
      <c r="AF49" s="99">
        <f>Assumptions!$J31/12</f>
        <v>1116.2890624999998</v>
      </c>
      <c r="AG49" s="99">
        <f>Assumptions!$J31/12</f>
        <v>1116.2890624999998</v>
      </c>
      <c r="AH49" s="99">
        <f>Assumptions!$J31/12</f>
        <v>1116.2890624999998</v>
      </c>
      <c r="AI49" s="99">
        <f>Assumptions!$J31/12</f>
        <v>1116.2890624999998</v>
      </c>
      <c r="AJ49" s="99">
        <f>Assumptions!$J31/12</f>
        <v>1116.2890624999998</v>
      </c>
      <c r="AK49" s="99">
        <f>Assumptions!$J31/12</f>
        <v>1116.2890624999998</v>
      </c>
      <c r="AL49" s="99">
        <f>Assumptions!$J31/12</f>
        <v>1116.2890624999998</v>
      </c>
      <c r="AM49" s="99">
        <f>Assumptions!$J31/12</f>
        <v>1116.2890624999998</v>
      </c>
      <c r="AN49" s="95">
        <f>Assumptions!$J31/12</f>
        <v>1116.2890624999998</v>
      </c>
      <c r="AO49" s="107">
        <f>Assumptions!$J31/12</f>
        <v>1116.2890624999998</v>
      </c>
      <c r="AP49" s="103">
        <f t="shared" ref="AP49:AP54" si="123">SUM(AD49:AO49)</f>
        <v>13395.468749999998</v>
      </c>
      <c r="AQ49" s="91">
        <f>Assumptions!$K31/12</f>
        <v>1144.1962890624995</v>
      </c>
      <c r="AR49" s="99">
        <f>Assumptions!$K31/12</f>
        <v>1144.1962890624995</v>
      </c>
      <c r="AS49" s="99">
        <f>Assumptions!$K31/12</f>
        <v>1144.1962890624995</v>
      </c>
      <c r="AT49" s="99">
        <f>Assumptions!$K31/12</f>
        <v>1144.1962890624995</v>
      </c>
      <c r="AU49" s="99">
        <f>Assumptions!$K31/12</f>
        <v>1144.1962890624995</v>
      </c>
      <c r="AV49" s="99">
        <f>Assumptions!$K31/12</f>
        <v>1144.1962890624995</v>
      </c>
      <c r="AW49" s="99">
        <f>Assumptions!$K31/12</f>
        <v>1144.1962890624995</v>
      </c>
      <c r="AX49" s="99">
        <f>Assumptions!$K31/12</f>
        <v>1144.1962890624995</v>
      </c>
      <c r="AY49" s="99">
        <f>Assumptions!$K31/12</f>
        <v>1144.1962890624995</v>
      </c>
      <c r="AZ49" s="99">
        <f>Assumptions!$K31/12</f>
        <v>1144.1962890624995</v>
      </c>
      <c r="BA49" s="95">
        <f>Assumptions!$K31/12</f>
        <v>1144.1962890624995</v>
      </c>
      <c r="BB49" s="107">
        <f>Assumptions!$K31/12</f>
        <v>1144.1962890624995</v>
      </c>
      <c r="BC49" s="103">
        <f t="shared" ref="BC49:BC54" si="124">SUM(AQ49:BB49)</f>
        <v>13730.355468749998</v>
      </c>
      <c r="BD49" s="91">
        <f>Assumptions!$L31/12</f>
        <v>1172.8011962890619</v>
      </c>
      <c r="BE49" s="99">
        <f>Assumptions!$L31/12</f>
        <v>1172.8011962890619</v>
      </c>
      <c r="BF49" s="99">
        <f>Assumptions!$L31/12</f>
        <v>1172.8011962890619</v>
      </c>
      <c r="BG49" s="99">
        <f>Assumptions!$L31/12</f>
        <v>1172.8011962890619</v>
      </c>
      <c r="BH49" s="99">
        <f>Assumptions!$L31/12</f>
        <v>1172.8011962890619</v>
      </c>
      <c r="BI49" s="99">
        <f>Assumptions!$L31/12</f>
        <v>1172.8011962890619</v>
      </c>
      <c r="BJ49" s="99">
        <f>Assumptions!$L31/12</f>
        <v>1172.8011962890619</v>
      </c>
      <c r="BK49" s="99">
        <f>Assumptions!$L31/12</f>
        <v>1172.8011962890619</v>
      </c>
      <c r="BL49" s="99">
        <f>Assumptions!$L31/12</f>
        <v>1172.8011962890619</v>
      </c>
      <c r="BM49" s="99">
        <f>Assumptions!$L31/12</f>
        <v>1172.8011962890619</v>
      </c>
      <c r="BN49" s="95">
        <f>Assumptions!$L31/12</f>
        <v>1172.8011962890619</v>
      </c>
      <c r="BO49" s="107">
        <f>Assumptions!$L31/12</f>
        <v>1172.8011962890619</v>
      </c>
      <c r="BP49" s="103">
        <f t="shared" ref="BP49:BP54" si="125">SUM(BD49:BO49)</f>
        <v>14073.614355468739</v>
      </c>
      <c r="BQ49" s="91">
        <f>Assumptions!$M31/12</f>
        <v>1202.1212261962883</v>
      </c>
      <c r="BR49" s="99">
        <f>Assumptions!$M31/12</f>
        <v>1202.1212261962883</v>
      </c>
      <c r="BS49" s="99">
        <f>Assumptions!$M31/12</f>
        <v>1202.1212261962883</v>
      </c>
      <c r="BT49" s="99">
        <f>Assumptions!$M31/12</f>
        <v>1202.1212261962883</v>
      </c>
      <c r="BU49" s="99">
        <f>Assumptions!$M31/12</f>
        <v>1202.1212261962883</v>
      </c>
      <c r="BV49" s="99">
        <f>Assumptions!$M31/12</f>
        <v>1202.1212261962883</v>
      </c>
      <c r="BW49" s="99">
        <f>Assumptions!$M31/12</f>
        <v>1202.1212261962883</v>
      </c>
      <c r="BX49" s="99">
        <f>Assumptions!$M31/12</f>
        <v>1202.1212261962883</v>
      </c>
      <c r="BY49" s="99">
        <f>Assumptions!$M31/12</f>
        <v>1202.1212261962883</v>
      </c>
      <c r="BZ49" s="99">
        <f>Assumptions!$M31/12</f>
        <v>1202.1212261962883</v>
      </c>
      <c r="CA49" s="95">
        <f>Assumptions!$M31/12</f>
        <v>1202.1212261962883</v>
      </c>
      <c r="CB49" s="107">
        <f>Assumptions!$M31/12</f>
        <v>1202.1212261962883</v>
      </c>
      <c r="CC49" s="103">
        <f t="shared" ref="CC49:CC54" si="126">SUM(BQ49:CB49)</f>
        <v>14425.454714355459</v>
      </c>
      <c r="CD49" s="91">
        <f>Assumptions!$N31/12</f>
        <v>1232.1742568511954</v>
      </c>
      <c r="CE49" s="95">
        <f>Assumptions!$N31/12</f>
        <v>1232.1742568511954</v>
      </c>
      <c r="CF49" s="95">
        <f>Assumptions!$N31/12</f>
        <v>1232.1742568511954</v>
      </c>
      <c r="CG49" s="95">
        <f>Assumptions!$N31/12</f>
        <v>1232.1742568511954</v>
      </c>
      <c r="CH49" s="99">
        <f>Assumptions!$N31/12</f>
        <v>1232.1742568511954</v>
      </c>
      <c r="CI49" s="99">
        <f>Assumptions!$N31/12</f>
        <v>1232.1742568511954</v>
      </c>
      <c r="CJ49" s="99">
        <f>Assumptions!$N31/12</f>
        <v>1232.1742568511954</v>
      </c>
      <c r="CK49" s="99">
        <f>Assumptions!$N31/12</f>
        <v>1232.1742568511954</v>
      </c>
      <c r="CL49" s="99">
        <f>Assumptions!$N31/12</f>
        <v>1232.1742568511954</v>
      </c>
      <c r="CM49" s="99">
        <f>Assumptions!$N31/12</f>
        <v>1232.1742568511954</v>
      </c>
      <c r="CN49" s="95">
        <f>Assumptions!$N31/12</f>
        <v>1232.1742568511954</v>
      </c>
      <c r="CO49" s="107">
        <f>Assumptions!$N31/12</f>
        <v>1232.1742568511954</v>
      </c>
      <c r="CP49" s="103">
        <f t="shared" ref="CP49:CP54" si="127">SUM(CD49:CO49)</f>
        <v>14786.091082214341</v>
      </c>
    </row>
    <row r="50" spans="1:101">
      <c r="B50" s="113" t="s">
        <v>136</v>
      </c>
      <c r="C50" s="383">
        <f>Assumptions!G32/12</f>
        <v>0</v>
      </c>
      <c r="D50" s="99">
        <f>Assumptions!$H32/12</f>
        <v>0</v>
      </c>
      <c r="E50" s="91">
        <f>Assumptions!$H32/12</f>
        <v>0</v>
      </c>
      <c r="F50" s="95">
        <f>Assumptions!$H32/12</f>
        <v>0</v>
      </c>
      <c r="G50" s="95">
        <f>Assumptions!$H32/12</f>
        <v>0</v>
      </c>
      <c r="H50" s="95">
        <f>Assumptions!$H32/12</f>
        <v>0</v>
      </c>
      <c r="I50" s="99">
        <f>Assumptions!$H32/12</f>
        <v>0</v>
      </c>
      <c r="J50" s="95">
        <f>Assumptions!$H32/12</f>
        <v>0</v>
      </c>
      <c r="K50" s="95">
        <f>Assumptions!$H32/12</f>
        <v>0</v>
      </c>
      <c r="L50" s="95">
        <f>Assumptions!$H32/12</f>
        <v>0</v>
      </c>
      <c r="M50" s="99">
        <f>Assumptions!$H32/12</f>
        <v>0</v>
      </c>
      <c r="N50" s="95">
        <f>Assumptions!$H32/12</f>
        <v>0</v>
      </c>
      <c r="O50" s="95">
        <f>Assumptions!$H32/12</f>
        <v>0</v>
      </c>
      <c r="P50" s="103">
        <f t="shared" si="121"/>
        <v>0</v>
      </c>
      <c r="Q50" s="91">
        <f>Assumptions!$I32/12</f>
        <v>0</v>
      </c>
      <c r="R50" s="99">
        <f>Assumptions!$I32/12</f>
        <v>0</v>
      </c>
      <c r="S50" s="99">
        <f>Assumptions!$I32/12</f>
        <v>0</v>
      </c>
      <c r="T50" s="99">
        <f>Assumptions!$I32/12</f>
        <v>0</v>
      </c>
      <c r="U50" s="99">
        <f>Assumptions!$I32/12</f>
        <v>0</v>
      </c>
      <c r="V50" s="99">
        <f>Assumptions!$I32/12</f>
        <v>0</v>
      </c>
      <c r="W50" s="99">
        <f>Assumptions!$I32/12</f>
        <v>0</v>
      </c>
      <c r="X50" s="99">
        <f>Assumptions!$I32/12</f>
        <v>0</v>
      </c>
      <c r="Y50" s="99">
        <f>Assumptions!$I32/12</f>
        <v>0</v>
      </c>
      <c r="Z50" s="99">
        <f>Assumptions!$I32/12</f>
        <v>0</v>
      </c>
      <c r="AA50" s="95">
        <f>Assumptions!$I32/12</f>
        <v>0</v>
      </c>
      <c r="AB50" s="107">
        <f>Assumptions!$I32/12</f>
        <v>0</v>
      </c>
      <c r="AC50" s="103">
        <f t="shared" si="122"/>
        <v>0</v>
      </c>
      <c r="AD50" s="91">
        <f>Assumptions!$J32/12</f>
        <v>0</v>
      </c>
      <c r="AE50" s="99">
        <f>Assumptions!$J32/12</f>
        <v>0</v>
      </c>
      <c r="AF50" s="99">
        <f>Assumptions!$J32/12</f>
        <v>0</v>
      </c>
      <c r="AG50" s="99">
        <f>Assumptions!$J32/12</f>
        <v>0</v>
      </c>
      <c r="AH50" s="99">
        <f>Assumptions!$J32/12</f>
        <v>0</v>
      </c>
      <c r="AI50" s="99">
        <f>Assumptions!$J32/12</f>
        <v>0</v>
      </c>
      <c r="AJ50" s="99">
        <f>Assumptions!$J32/12</f>
        <v>0</v>
      </c>
      <c r="AK50" s="99">
        <f>Assumptions!$J32/12</f>
        <v>0</v>
      </c>
      <c r="AL50" s="99">
        <f>Assumptions!$J32/12</f>
        <v>0</v>
      </c>
      <c r="AM50" s="99">
        <f>Assumptions!$J32/12</f>
        <v>0</v>
      </c>
      <c r="AN50" s="95">
        <f>Assumptions!$J32/12</f>
        <v>0</v>
      </c>
      <c r="AO50" s="107">
        <f>Assumptions!$J32/12</f>
        <v>0</v>
      </c>
      <c r="AP50" s="103">
        <f t="shared" si="123"/>
        <v>0</v>
      </c>
      <c r="AQ50" s="91">
        <f>Assumptions!$K32/12</f>
        <v>708.33333333333337</v>
      </c>
      <c r="AR50" s="99">
        <f>Assumptions!$K32/12</f>
        <v>708.33333333333337</v>
      </c>
      <c r="AS50" s="99">
        <f>Assumptions!$K32/12</f>
        <v>708.33333333333337</v>
      </c>
      <c r="AT50" s="99">
        <f>Assumptions!$K32/12</f>
        <v>708.33333333333337</v>
      </c>
      <c r="AU50" s="99">
        <f>Assumptions!$K32/12</f>
        <v>708.33333333333337</v>
      </c>
      <c r="AV50" s="99">
        <f>Assumptions!$K32/12</f>
        <v>708.33333333333337</v>
      </c>
      <c r="AW50" s="99">
        <f>Assumptions!$K32/12</f>
        <v>708.33333333333337</v>
      </c>
      <c r="AX50" s="99">
        <f>Assumptions!$K32/12</f>
        <v>708.33333333333337</v>
      </c>
      <c r="AY50" s="99">
        <f>Assumptions!$K32/12</f>
        <v>708.33333333333337</v>
      </c>
      <c r="AZ50" s="99">
        <f>Assumptions!$K32/12</f>
        <v>708.33333333333337</v>
      </c>
      <c r="BA50" s="95">
        <f>Assumptions!$K32/12</f>
        <v>708.33333333333337</v>
      </c>
      <c r="BB50" s="107">
        <f>Assumptions!$K32/12</f>
        <v>708.33333333333337</v>
      </c>
      <c r="BC50" s="103">
        <f t="shared" si="124"/>
        <v>8499.9999999999982</v>
      </c>
      <c r="BD50" s="91">
        <f>Assumptions!$L32/12</f>
        <v>726.04166666666663</v>
      </c>
      <c r="BE50" s="99">
        <f>Assumptions!$L32/12</f>
        <v>726.04166666666663</v>
      </c>
      <c r="BF50" s="99">
        <f>Assumptions!$L32/12</f>
        <v>726.04166666666663</v>
      </c>
      <c r="BG50" s="99">
        <f>Assumptions!$L32/12</f>
        <v>726.04166666666663</v>
      </c>
      <c r="BH50" s="99">
        <f>Assumptions!$L32/12</f>
        <v>726.04166666666663</v>
      </c>
      <c r="BI50" s="99">
        <f>Assumptions!$L32/12</f>
        <v>726.04166666666663</v>
      </c>
      <c r="BJ50" s="99">
        <f>Assumptions!$L32/12</f>
        <v>726.04166666666663</v>
      </c>
      <c r="BK50" s="99">
        <f>Assumptions!$L32/12</f>
        <v>726.04166666666663</v>
      </c>
      <c r="BL50" s="99">
        <f>Assumptions!$L32/12</f>
        <v>726.04166666666663</v>
      </c>
      <c r="BM50" s="99">
        <f>Assumptions!$L32/12</f>
        <v>726.04166666666663</v>
      </c>
      <c r="BN50" s="95">
        <f>Assumptions!$L32/12</f>
        <v>726.04166666666663</v>
      </c>
      <c r="BO50" s="107">
        <f>Assumptions!$L32/12</f>
        <v>726.04166666666663</v>
      </c>
      <c r="BP50" s="103">
        <f t="shared" si="125"/>
        <v>8712.5000000000018</v>
      </c>
      <c r="BQ50" s="91">
        <f>Assumptions!$M32/12</f>
        <v>744.19270833333337</v>
      </c>
      <c r="BR50" s="99">
        <f>Assumptions!$M32/12</f>
        <v>744.19270833333337</v>
      </c>
      <c r="BS50" s="99">
        <f>Assumptions!$M32/12</f>
        <v>744.19270833333337</v>
      </c>
      <c r="BT50" s="99">
        <f>Assumptions!$M32/12</f>
        <v>744.19270833333337</v>
      </c>
      <c r="BU50" s="99">
        <f>Assumptions!$M32/12</f>
        <v>744.19270833333337</v>
      </c>
      <c r="BV50" s="99">
        <f>Assumptions!$M32/12</f>
        <v>744.19270833333337</v>
      </c>
      <c r="BW50" s="99">
        <f>Assumptions!$M32/12</f>
        <v>744.19270833333337</v>
      </c>
      <c r="BX50" s="99">
        <f>Assumptions!$M32/12</f>
        <v>744.19270833333337</v>
      </c>
      <c r="BY50" s="99">
        <f>Assumptions!$M32/12</f>
        <v>744.19270833333337</v>
      </c>
      <c r="BZ50" s="99">
        <f>Assumptions!$M32/12</f>
        <v>744.19270833333337</v>
      </c>
      <c r="CA50" s="95">
        <f>Assumptions!$M32/12</f>
        <v>744.19270833333337</v>
      </c>
      <c r="CB50" s="107">
        <f>Assumptions!$M32/12</f>
        <v>744.19270833333337</v>
      </c>
      <c r="CC50" s="103">
        <f t="shared" si="126"/>
        <v>8930.3124999999982</v>
      </c>
      <c r="CD50" s="91">
        <f>Assumptions!$N32/12</f>
        <v>762.79752604166663</v>
      </c>
      <c r="CE50" s="95">
        <f>Assumptions!$N32/12</f>
        <v>762.79752604166663</v>
      </c>
      <c r="CF50" s="95">
        <f>Assumptions!$N32/12</f>
        <v>762.79752604166663</v>
      </c>
      <c r="CG50" s="95">
        <f>Assumptions!$N32/12</f>
        <v>762.79752604166663</v>
      </c>
      <c r="CH50" s="99">
        <f>Assumptions!$N32/12</f>
        <v>762.79752604166663</v>
      </c>
      <c r="CI50" s="99">
        <f>Assumptions!$N32/12</f>
        <v>762.79752604166663</v>
      </c>
      <c r="CJ50" s="99">
        <f>Assumptions!$N32/12</f>
        <v>762.79752604166663</v>
      </c>
      <c r="CK50" s="99">
        <f>Assumptions!$N32/12</f>
        <v>762.79752604166663</v>
      </c>
      <c r="CL50" s="99">
        <f>Assumptions!$N32/12</f>
        <v>762.79752604166663</v>
      </c>
      <c r="CM50" s="99">
        <f>Assumptions!$N32/12</f>
        <v>762.79752604166663</v>
      </c>
      <c r="CN50" s="95">
        <f>Assumptions!$N32/12</f>
        <v>762.79752604166663</v>
      </c>
      <c r="CO50" s="107">
        <f>Assumptions!$N32/12</f>
        <v>762.79752604166663</v>
      </c>
      <c r="CP50" s="103">
        <f t="shared" si="127"/>
        <v>9153.5703125</v>
      </c>
    </row>
    <row r="51" spans="1:101">
      <c r="B51" s="113" t="s">
        <v>90</v>
      </c>
      <c r="C51" s="383">
        <f>Assumptions!G33/12</f>
        <v>291.66666666666669</v>
      </c>
      <c r="D51" s="99">
        <f>Assumptions!$H33/12</f>
        <v>291.66666666666669</v>
      </c>
      <c r="E51" s="91">
        <f>Assumptions!$H33/12</f>
        <v>291.66666666666669</v>
      </c>
      <c r="F51" s="95">
        <f>Assumptions!$H33/12</f>
        <v>291.66666666666669</v>
      </c>
      <c r="G51" s="95">
        <f>Assumptions!$H33/12</f>
        <v>291.66666666666669</v>
      </c>
      <c r="H51" s="95">
        <f>Assumptions!$H33/12</f>
        <v>291.66666666666669</v>
      </c>
      <c r="I51" s="99">
        <f>Assumptions!$H33/12</f>
        <v>291.66666666666669</v>
      </c>
      <c r="J51" s="95">
        <f>Assumptions!$H33/12</f>
        <v>291.66666666666669</v>
      </c>
      <c r="K51" s="95">
        <f>Assumptions!$H33/12</f>
        <v>291.66666666666669</v>
      </c>
      <c r="L51" s="95">
        <f>Assumptions!$H33/12</f>
        <v>291.66666666666669</v>
      </c>
      <c r="M51" s="99">
        <f>Assumptions!$H33/12</f>
        <v>291.66666666666669</v>
      </c>
      <c r="N51" s="95">
        <f>Assumptions!$H33/12</f>
        <v>291.66666666666669</v>
      </c>
      <c r="O51" s="95">
        <f>Assumptions!$H33/12</f>
        <v>291.66666666666669</v>
      </c>
      <c r="P51" s="103">
        <f t="shared" si="121"/>
        <v>3499.9999999999995</v>
      </c>
      <c r="Q51" s="91">
        <f>Assumptions!$I33/12</f>
        <v>298.95833333333331</v>
      </c>
      <c r="R51" s="99">
        <f>Assumptions!$I33/12</f>
        <v>298.95833333333331</v>
      </c>
      <c r="S51" s="99">
        <f>Assumptions!$I33/12</f>
        <v>298.95833333333331</v>
      </c>
      <c r="T51" s="99">
        <f>Assumptions!$I33/12</f>
        <v>298.95833333333331</v>
      </c>
      <c r="U51" s="99">
        <f>Assumptions!$I33/12</f>
        <v>298.95833333333331</v>
      </c>
      <c r="V51" s="99">
        <f>Assumptions!$I33/12</f>
        <v>298.95833333333331</v>
      </c>
      <c r="W51" s="99">
        <f>Assumptions!$I33/12</f>
        <v>298.95833333333331</v>
      </c>
      <c r="X51" s="99">
        <f>Assumptions!$I33/12</f>
        <v>298.95833333333331</v>
      </c>
      <c r="Y51" s="99">
        <f>Assumptions!$I33/12</f>
        <v>298.95833333333331</v>
      </c>
      <c r="Z51" s="99">
        <f>Assumptions!$I33/12</f>
        <v>298.95833333333331</v>
      </c>
      <c r="AA51" s="95">
        <f>Assumptions!$I33/12</f>
        <v>298.95833333333331</v>
      </c>
      <c r="AB51" s="107">
        <f>Assumptions!$I33/12</f>
        <v>298.95833333333331</v>
      </c>
      <c r="AC51" s="103">
        <f t="shared" si="122"/>
        <v>3587.5000000000005</v>
      </c>
      <c r="AD51" s="91">
        <f>Assumptions!$J33/12</f>
        <v>306.43229166666657</v>
      </c>
      <c r="AE51" s="99">
        <f>Assumptions!$J33/12</f>
        <v>306.43229166666657</v>
      </c>
      <c r="AF51" s="99">
        <f>Assumptions!$J33/12</f>
        <v>306.43229166666657</v>
      </c>
      <c r="AG51" s="99">
        <f>Assumptions!$J33/12</f>
        <v>306.43229166666657</v>
      </c>
      <c r="AH51" s="99">
        <f>Assumptions!$J33/12</f>
        <v>306.43229166666657</v>
      </c>
      <c r="AI51" s="99">
        <f>Assumptions!$J33/12</f>
        <v>306.43229166666657</v>
      </c>
      <c r="AJ51" s="99">
        <f>Assumptions!$J33/12</f>
        <v>306.43229166666657</v>
      </c>
      <c r="AK51" s="99">
        <f>Assumptions!$J33/12</f>
        <v>306.43229166666657</v>
      </c>
      <c r="AL51" s="99">
        <f>Assumptions!$J33/12</f>
        <v>306.43229166666657</v>
      </c>
      <c r="AM51" s="99">
        <f>Assumptions!$J33/12</f>
        <v>306.43229166666657</v>
      </c>
      <c r="AN51" s="95">
        <f>Assumptions!$J33/12</f>
        <v>306.43229166666657</v>
      </c>
      <c r="AO51" s="107">
        <f>Assumptions!$J33/12</f>
        <v>306.43229166666657</v>
      </c>
      <c r="AP51" s="103">
        <f t="shared" si="123"/>
        <v>3677.1874999999986</v>
      </c>
      <c r="AQ51" s="91">
        <f>Assumptions!$K33/12</f>
        <v>314.0930989583332</v>
      </c>
      <c r="AR51" s="99">
        <f>Assumptions!$K33/12</f>
        <v>314.0930989583332</v>
      </c>
      <c r="AS51" s="99">
        <f>Assumptions!$K33/12</f>
        <v>314.0930989583332</v>
      </c>
      <c r="AT51" s="99">
        <f>Assumptions!$K33/12</f>
        <v>314.0930989583332</v>
      </c>
      <c r="AU51" s="99">
        <f>Assumptions!$K33/12</f>
        <v>314.0930989583332</v>
      </c>
      <c r="AV51" s="99">
        <f>Assumptions!$K33/12</f>
        <v>314.0930989583332</v>
      </c>
      <c r="AW51" s="99">
        <f>Assumptions!$K33/12</f>
        <v>314.0930989583332</v>
      </c>
      <c r="AX51" s="99">
        <f>Assumptions!$K33/12</f>
        <v>314.0930989583332</v>
      </c>
      <c r="AY51" s="99">
        <f>Assumptions!$K33/12</f>
        <v>314.0930989583332</v>
      </c>
      <c r="AZ51" s="99">
        <f>Assumptions!$K33/12</f>
        <v>314.0930989583332</v>
      </c>
      <c r="BA51" s="95">
        <f>Assumptions!$K33/12</f>
        <v>314.0930989583332</v>
      </c>
      <c r="BB51" s="107">
        <f>Assumptions!$K33/12</f>
        <v>314.0930989583332</v>
      </c>
      <c r="BC51" s="103">
        <f t="shared" si="124"/>
        <v>3769.1171874999977</v>
      </c>
      <c r="BD51" s="91">
        <f>Assumptions!$L33/12</f>
        <v>321.94542643229153</v>
      </c>
      <c r="BE51" s="99">
        <f>Assumptions!$L33/12</f>
        <v>321.94542643229153</v>
      </c>
      <c r="BF51" s="99">
        <f>Assumptions!$L33/12</f>
        <v>321.94542643229153</v>
      </c>
      <c r="BG51" s="99">
        <f>Assumptions!$L33/12</f>
        <v>321.94542643229153</v>
      </c>
      <c r="BH51" s="99">
        <f>Assumptions!$L33/12</f>
        <v>321.94542643229153</v>
      </c>
      <c r="BI51" s="99">
        <f>Assumptions!$L33/12</f>
        <v>321.94542643229153</v>
      </c>
      <c r="BJ51" s="99">
        <f>Assumptions!$L33/12</f>
        <v>321.94542643229153</v>
      </c>
      <c r="BK51" s="99">
        <f>Assumptions!$L33/12</f>
        <v>321.94542643229153</v>
      </c>
      <c r="BL51" s="99">
        <f>Assumptions!$L33/12</f>
        <v>321.94542643229153</v>
      </c>
      <c r="BM51" s="99">
        <f>Assumptions!$L33/12</f>
        <v>321.94542643229153</v>
      </c>
      <c r="BN51" s="95">
        <f>Assumptions!$L33/12</f>
        <v>321.94542643229153</v>
      </c>
      <c r="BO51" s="107">
        <f>Assumptions!$L33/12</f>
        <v>321.94542643229153</v>
      </c>
      <c r="BP51" s="103">
        <f t="shared" si="125"/>
        <v>3863.345117187499</v>
      </c>
      <c r="BQ51" s="91">
        <f>Assumptions!$M33/12</f>
        <v>329.99406209309876</v>
      </c>
      <c r="BR51" s="99">
        <f>Assumptions!$M33/12</f>
        <v>329.99406209309876</v>
      </c>
      <c r="BS51" s="99">
        <f>Assumptions!$M33/12</f>
        <v>329.99406209309876</v>
      </c>
      <c r="BT51" s="99">
        <f>Assumptions!$M33/12</f>
        <v>329.99406209309876</v>
      </c>
      <c r="BU51" s="99">
        <f>Assumptions!$M33/12</f>
        <v>329.99406209309876</v>
      </c>
      <c r="BV51" s="99">
        <f>Assumptions!$M33/12</f>
        <v>329.99406209309876</v>
      </c>
      <c r="BW51" s="99">
        <f>Assumptions!$M33/12</f>
        <v>329.99406209309876</v>
      </c>
      <c r="BX51" s="99">
        <f>Assumptions!$M33/12</f>
        <v>329.99406209309876</v>
      </c>
      <c r="BY51" s="99">
        <f>Assumptions!$M33/12</f>
        <v>329.99406209309876</v>
      </c>
      <c r="BZ51" s="99">
        <f>Assumptions!$M33/12</f>
        <v>329.99406209309876</v>
      </c>
      <c r="CA51" s="95">
        <f>Assumptions!$M33/12</f>
        <v>329.99406209309876</v>
      </c>
      <c r="CB51" s="107">
        <f>Assumptions!$M33/12</f>
        <v>329.99406209309876</v>
      </c>
      <c r="CC51" s="103">
        <f t="shared" si="126"/>
        <v>3959.9287451171854</v>
      </c>
      <c r="CD51" s="91">
        <f>Assumptions!$N33/12</f>
        <v>338.24391364542623</v>
      </c>
      <c r="CE51" s="95">
        <f>Assumptions!$N33/12</f>
        <v>338.24391364542623</v>
      </c>
      <c r="CF51" s="95">
        <f>Assumptions!$N33/12</f>
        <v>338.24391364542623</v>
      </c>
      <c r="CG51" s="95">
        <f>Assumptions!$N33/12</f>
        <v>338.24391364542623</v>
      </c>
      <c r="CH51" s="99">
        <f>Assumptions!$N33/12</f>
        <v>338.24391364542623</v>
      </c>
      <c r="CI51" s="99">
        <f>Assumptions!$N33/12</f>
        <v>338.24391364542623</v>
      </c>
      <c r="CJ51" s="99">
        <f>Assumptions!$N33/12</f>
        <v>338.24391364542623</v>
      </c>
      <c r="CK51" s="99">
        <f>Assumptions!$N33/12</f>
        <v>338.24391364542623</v>
      </c>
      <c r="CL51" s="99">
        <f>Assumptions!$N33/12</f>
        <v>338.24391364542623</v>
      </c>
      <c r="CM51" s="99">
        <f>Assumptions!$N33/12</f>
        <v>338.24391364542623</v>
      </c>
      <c r="CN51" s="95">
        <f>Assumptions!$N33/12</f>
        <v>338.24391364542623</v>
      </c>
      <c r="CO51" s="107">
        <f>Assumptions!$N33/12</f>
        <v>338.24391364542623</v>
      </c>
      <c r="CP51" s="103">
        <f t="shared" si="127"/>
        <v>4058.9269637451157</v>
      </c>
    </row>
    <row r="52" spans="1:101">
      <c r="B52" s="113" t="s">
        <v>14</v>
      </c>
      <c r="C52" s="383">
        <f>Assumptions!G34/12</f>
        <v>125</v>
      </c>
      <c r="D52" s="99">
        <f>Assumptions!$H34/12</f>
        <v>125</v>
      </c>
      <c r="E52" s="91">
        <f>Assumptions!$H34/12</f>
        <v>125</v>
      </c>
      <c r="F52" s="95">
        <f>Assumptions!$H34/12</f>
        <v>125</v>
      </c>
      <c r="G52" s="95">
        <f>Assumptions!$H34/12</f>
        <v>125</v>
      </c>
      <c r="H52" s="95">
        <f>Assumptions!$H34/12</f>
        <v>125</v>
      </c>
      <c r="I52" s="99">
        <f>Assumptions!$H34/12</f>
        <v>125</v>
      </c>
      <c r="J52" s="95">
        <f>Assumptions!$H34/12</f>
        <v>125</v>
      </c>
      <c r="K52" s="95">
        <f>Assumptions!$H34/12</f>
        <v>125</v>
      </c>
      <c r="L52" s="95">
        <f>Assumptions!$H34/12</f>
        <v>125</v>
      </c>
      <c r="M52" s="99">
        <f>Assumptions!$H34/12</f>
        <v>125</v>
      </c>
      <c r="N52" s="95">
        <f>Assumptions!$H34/12</f>
        <v>125</v>
      </c>
      <c r="O52" s="95">
        <f>Assumptions!$H34/12</f>
        <v>125</v>
      </c>
      <c r="P52" s="103">
        <f t="shared" si="121"/>
        <v>1500</v>
      </c>
      <c r="Q52" s="91">
        <f>Assumptions!$I34/12</f>
        <v>128.12499999999997</v>
      </c>
      <c r="R52" s="99">
        <f>Assumptions!$I34/12</f>
        <v>128.12499999999997</v>
      </c>
      <c r="S52" s="99">
        <f>Assumptions!$I34/12</f>
        <v>128.12499999999997</v>
      </c>
      <c r="T52" s="99">
        <f>Assumptions!$I34/12</f>
        <v>128.12499999999997</v>
      </c>
      <c r="U52" s="99">
        <f>Assumptions!$I34/12</f>
        <v>128.12499999999997</v>
      </c>
      <c r="V52" s="99">
        <f>Assumptions!$I34/12</f>
        <v>128.12499999999997</v>
      </c>
      <c r="W52" s="99">
        <f>Assumptions!$I34/12</f>
        <v>128.12499999999997</v>
      </c>
      <c r="X52" s="99">
        <f>Assumptions!$I34/12</f>
        <v>128.12499999999997</v>
      </c>
      <c r="Y52" s="99">
        <f>Assumptions!$I34/12</f>
        <v>128.12499999999997</v>
      </c>
      <c r="Z52" s="99">
        <f>Assumptions!$I34/12</f>
        <v>128.12499999999997</v>
      </c>
      <c r="AA52" s="95">
        <f>Assumptions!$I34/12</f>
        <v>128.12499999999997</v>
      </c>
      <c r="AB52" s="107">
        <f>Assumptions!$I34/12</f>
        <v>128.12499999999997</v>
      </c>
      <c r="AC52" s="103">
        <f t="shared" si="122"/>
        <v>1537.4999999999998</v>
      </c>
      <c r="AD52" s="91">
        <f>Assumptions!$J34/12</f>
        <v>131.32812499999997</v>
      </c>
      <c r="AE52" s="99">
        <f>Assumptions!$J34/12</f>
        <v>131.32812499999997</v>
      </c>
      <c r="AF52" s="99">
        <f>Assumptions!$J34/12</f>
        <v>131.32812499999997</v>
      </c>
      <c r="AG52" s="99">
        <f>Assumptions!$J34/12</f>
        <v>131.32812499999997</v>
      </c>
      <c r="AH52" s="99">
        <f>Assumptions!$J34/12</f>
        <v>131.32812499999997</v>
      </c>
      <c r="AI52" s="99">
        <f>Assumptions!$J34/12</f>
        <v>131.32812499999997</v>
      </c>
      <c r="AJ52" s="99">
        <f>Assumptions!$J34/12</f>
        <v>131.32812499999997</v>
      </c>
      <c r="AK52" s="99">
        <f>Assumptions!$J34/12</f>
        <v>131.32812499999997</v>
      </c>
      <c r="AL52" s="99">
        <f>Assumptions!$J34/12</f>
        <v>131.32812499999997</v>
      </c>
      <c r="AM52" s="99">
        <f>Assumptions!$J34/12</f>
        <v>131.32812499999997</v>
      </c>
      <c r="AN52" s="95">
        <f>Assumptions!$J34/12</f>
        <v>131.32812499999997</v>
      </c>
      <c r="AO52" s="107">
        <f>Assumptions!$J34/12</f>
        <v>131.32812499999997</v>
      </c>
      <c r="AP52" s="103">
        <f t="shared" si="123"/>
        <v>1575.9374999999998</v>
      </c>
      <c r="AQ52" s="91">
        <f>Assumptions!$K34/12</f>
        <v>134.61132812499994</v>
      </c>
      <c r="AR52" s="99">
        <f>Assumptions!$K34/12</f>
        <v>134.61132812499994</v>
      </c>
      <c r="AS52" s="99">
        <f>Assumptions!$K34/12</f>
        <v>134.61132812499994</v>
      </c>
      <c r="AT52" s="99">
        <f>Assumptions!$K34/12</f>
        <v>134.61132812499994</v>
      </c>
      <c r="AU52" s="99">
        <f>Assumptions!$K34/12</f>
        <v>134.61132812499994</v>
      </c>
      <c r="AV52" s="99">
        <f>Assumptions!$K34/12</f>
        <v>134.61132812499994</v>
      </c>
      <c r="AW52" s="99">
        <f>Assumptions!$K34/12</f>
        <v>134.61132812499994</v>
      </c>
      <c r="AX52" s="99">
        <f>Assumptions!$K34/12</f>
        <v>134.61132812499994</v>
      </c>
      <c r="AY52" s="99">
        <f>Assumptions!$K34/12</f>
        <v>134.61132812499994</v>
      </c>
      <c r="AZ52" s="99">
        <f>Assumptions!$K34/12</f>
        <v>134.61132812499994</v>
      </c>
      <c r="BA52" s="95">
        <f>Assumptions!$K34/12</f>
        <v>134.61132812499994</v>
      </c>
      <c r="BB52" s="107">
        <f>Assumptions!$K34/12</f>
        <v>134.61132812499994</v>
      </c>
      <c r="BC52" s="103">
        <f t="shared" si="124"/>
        <v>1615.3359374999998</v>
      </c>
      <c r="BD52" s="91">
        <f>Assumptions!$L34/12</f>
        <v>137.97661132812493</v>
      </c>
      <c r="BE52" s="99">
        <f>Assumptions!$L34/12</f>
        <v>137.97661132812493</v>
      </c>
      <c r="BF52" s="99">
        <f>Assumptions!$L34/12</f>
        <v>137.97661132812493</v>
      </c>
      <c r="BG52" s="99">
        <f>Assumptions!$L34/12</f>
        <v>137.97661132812493</v>
      </c>
      <c r="BH52" s="99">
        <f>Assumptions!$L34/12</f>
        <v>137.97661132812493</v>
      </c>
      <c r="BI52" s="99">
        <f>Assumptions!$L34/12</f>
        <v>137.97661132812493</v>
      </c>
      <c r="BJ52" s="99">
        <f>Assumptions!$L34/12</f>
        <v>137.97661132812493</v>
      </c>
      <c r="BK52" s="99">
        <f>Assumptions!$L34/12</f>
        <v>137.97661132812493</v>
      </c>
      <c r="BL52" s="99">
        <f>Assumptions!$L34/12</f>
        <v>137.97661132812493</v>
      </c>
      <c r="BM52" s="99">
        <f>Assumptions!$L34/12</f>
        <v>137.97661132812493</v>
      </c>
      <c r="BN52" s="95">
        <f>Assumptions!$L34/12</f>
        <v>137.97661132812493</v>
      </c>
      <c r="BO52" s="107">
        <f>Assumptions!$L34/12</f>
        <v>137.97661132812493</v>
      </c>
      <c r="BP52" s="103">
        <f t="shared" si="125"/>
        <v>1655.7193359374987</v>
      </c>
      <c r="BQ52" s="91">
        <f>Assumptions!$M34/12</f>
        <v>141.42602661132804</v>
      </c>
      <c r="BR52" s="99">
        <f>Assumptions!$M34/12</f>
        <v>141.42602661132804</v>
      </c>
      <c r="BS52" s="99">
        <f>Assumptions!$M34/12</f>
        <v>141.42602661132804</v>
      </c>
      <c r="BT52" s="99">
        <f>Assumptions!$M34/12</f>
        <v>141.42602661132804</v>
      </c>
      <c r="BU52" s="99">
        <f>Assumptions!$M34/12</f>
        <v>141.42602661132804</v>
      </c>
      <c r="BV52" s="99">
        <f>Assumptions!$M34/12</f>
        <v>141.42602661132804</v>
      </c>
      <c r="BW52" s="99">
        <f>Assumptions!$M34/12</f>
        <v>141.42602661132804</v>
      </c>
      <c r="BX52" s="99">
        <f>Assumptions!$M34/12</f>
        <v>141.42602661132804</v>
      </c>
      <c r="BY52" s="99">
        <f>Assumptions!$M34/12</f>
        <v>141.42602661132804</v>
      </c>
      <c r="BZ52" s="99">
        <f>Assumptions!$M34/12</f>
        <v>141.42602661132804</v>
      </c>
      <c r="CA52" s="95">
        <f>Assumptions!$M34/12</f>
        <v>141.42602661132804</v>
      </c>
      <c r="CB52" s="107">
        <f>Assumptions!$M34/12</f>
        <v>141.42602661132804</v>
      </c>
      <c r="CC52" s="103">
        <f t="shared" si="126"/>
        <v>1697.1123193359369</v>
      </c>
      <c r="CD52" s="91">
        <f>Assumptions!$N34/12</f>
        <v>144.96167727661123</v>
      </c>
      <c r="CE52" s="95">
        <f>Assumptions!$N34/12</f>
        <v>144.96167727661123</v>
      </c>
      <c r="CF52" s="95">
        <f>Assumptions!$N34/12</f>
        <v>144.96167727661123</v>
      </c>
      <c r="CG52" s="95">
        <f>Assumptions!$N34/12</f>
        <v>144.96167727661123</v>
      </c>
      <c r="CH52" s="99">
        <f>Assumptions!$N34/12</f>
        <v>144.96167727661123</v>
      </c>
      <c r="CI52" s="99">
        <f>Assumptions!$N34/12</f>
        <v>144.96167727661123</v>
      </c>
      <c r="CJ52" s="99">
        <f>Assumptions!$N34/12</f>
        <v>144.96167727661123</v>
      </c>
      <c r="CK52" s="99">
        <f>Assumptions!$N34/12</f>
        <v>144.96167727661123</v>
      </c>
      <c r="CL52" s="99">
        <f>Assumptions!$N34/12</f>
        <v>144.96167727661123</v>
      </c>
      <c r="CM52" s="99">
        <f>Assumptions!$N34/12</f>
        <v>144.96167727661123</v>
      </c>
      <c r="CN52" s="95">
        <f>Assumptions!$N34/12</f>
        <v>144.96167727661123</v>
      </c>
      <c r="CO52" s="107">
        <f>Assumptions!$N34/12</f>
        <v>144.96167727661123</v>
      </c>
      <c r="CP52" s="103">
        <f t="shared" si="127"/>
        <v>1739.5401273193347</v>
      </c>
    </row>
    <row r="53" spans="1:101">
      <c r="B53" s="113" t="s">
        <v>91</v>
      </c>
      <c r="C53" s="383">
        <f>Assumptions!G35/12</f>
        <v>0</v>
      </c>
      <c r="D53" s="99">
        <f>Assumptions!$H35/12</f>
        <v>0</v>
      </c>
      <c r="E53" s="91">
        <f>Assumptions!$H35/12</f>
        <v>0</v>
      </c>
      <c r="F53" s="95">
        <f>Assumptions!$H35/12</f>
        <v>0</v>
      </c>
      <c r="G53" s="95">
        <f>Assumptions!$H35/12</f>
        <v>0</v>
      </c>
      <c r="H53" s="95">
        <f>Assumptions!$H35/12</f>
        <v>0</v>
      </c>
      <c r="I53" s="99">
        <f>Assumptions!$H35/12</f>
        <v>0</v>
      </c>
      <c r="J53" s="95">
        <f>Assumptions!$H35/12</f>
        <v>0</v>
      </c>
      <c r="K53" s="95">
        <f>Assumptions!$H35/12</f>
        <v>0</v>
      </c>
      <c r="L53" s="95">
        <f>Assumptions!$H35/12</f>
        <v>0</v>
      </c>
      <c r="M53" s="99">
        <f>Assumptions!$H35/12</f>
        <v>0</v>
      </c>
      <c r="N53" s="95">
        <f>Assumptions!$H35/12</f>
        <v>0</v>
      </c>
      <c r="O53" s="95">
        <f>Assumptions!$H35/12</f>
        <v>0</v>
      </c>
      <c r="P53" s="103">
        <f t="shared" si="121"/>
        <v>0</v>
      </c>
      <c r="Q53" s="91">
        <f>Assumptions!$I35/12</f>
        <v>0</v>
      </c>
      <c r="R53" s="99">
        <f>Assumptions!$I35/12</f>
        <v>0</v>
      </c>
      <c r="S53" s="99">
        <f>Assumptions!$I35/12</f>
        <v>0</v>
      </c>
      <c r="T53" s="99">
        <f>Assumptions!$I35/12</f>
        <v>0</v>
      </c>
      <c r="U53" s="99">
        <f>Assumptions!$I35/12</f>
        <v>0</v>
      </c>
      <c r="V53" s="99">
        <f>Assumptions!$I35/12</f>
        <v>0</v>
      </c>
      <c r="W53" s="99">
        <f>Assumptions!$I35/12</f>
        <v>0</v>
      </c>
      <c r="X53" s="99">
        <f>Assumptions!$I35/12</f>
        <v>0</v>
      </c>
      <c r="Y53" s="99">
        <f>Assumptions!$I35/12</f>
        <v>0</v>
      </c>
      <c r="Z53" s="99">
        <f>Assumptions!$I35/12</f>
        <v>0</v>
      </c>
      <c r="AA53" s="95">
        <f>Assumptions!$I35/12</f>
        <v>0</v>
      </c>
      <c r="AB53" s="107">
        <f>Assumptions!$I35/12</f>
        <v>0</v>
      </c>
      <c r="AC53" s="103">
        <f t="shared" si="122"/>
        <v>0</v>
      </c>
      <c r="AD53" s="91">
        <f>Assumptions!$J35/12</f>
        <v>0</v>
      </c>
      <c r="AE53" s="99">
        <f>Assumptions!$J35/12</f>
        <v>0</v>
      </c>
      <c r="AF53" s="99">
        <f>Assumptions!$J35/12</f>
        <v>0</v>
      </c>
      <c r="AG53" s="99">
        <f>Assumptions!$J35/12</f>
        <v>0</v>
      </c>
      <c r="AH53" s="99">
        <f>Assumptions!$J35/12</f>
        <v>0</v>
      </c>
      <c r="AI53" s="99">
        <f>Assumptions!$J35/12</f>
        <v>0</v>
      </c>
      <c r="AJ53" s="99">
        <f>Assumptions!$J35/12</f>
        <v>0</v>
      </c>
      <c r="AK53" s="99">
        <f>Assumptions!$J35/12</f>
        <v>0</v>
      </c>
      <c r="AL53" s="99">
        <f>Assumptions!$J35/12</f>
        <v>0</v>
      </c>
      <c r="AM53" s="99">
        <f>Assumptions!$J35/12</f>
        <v>0</v>
      </c>
      <c r="AN53" s="95">
        <f>Assumptions!$J35/12</f>
        <v>0</v>
      </c>
      <c r="AO53" s="107">
        <f>Assumptions!$J35/12</f>
        <v>0</v>
      </c>
      <c r="AP53" s="103">
        <f t="shared" si="123"/>
        <v>0</v>
      </c>
      <c r="AQ53" s="91">
        <f>Assumptions!$K35/12</f>
        <v>0</v>
      </c>
      <c r="AR53" s="99">
        <f>Assumptions!$K35/12</f>
        <v>0</v>
      </c>
      <c r="AS53" s="99">
        <f>Assumptions!$K35/12</f>
        <v>0</v>
      </c>
      <c r="AT53" s="99">
        <f>Assumptions!$K35/12</f>
        <v>0</v>
      </c>
      <c r="AU53" s="99">
        <f>Assumptions!$K35/12</f>
        <v>0</v>
      </c>
      <c r="AV53" s="99">
        <f>Assumptions!$K35/12</f>
        <v>0</v>
      </c>
      <c r="AW53" s="99">
        <f>Assumptions!$K35/12</f>
        <v>0</v>
      </c>
      <c r="AX53" s="99">
        <f>Assumptions!$K35/12</f>
        <v>0</v>
      </c>
      <c r="AY53" s="99">
        <f>Assumptions!$K35/12</f>
        <v>0</v>
      </c>
      <c r="AZ53" s="99">
        <f>Assumptions!$K35/12</f>
        <v>0</v>
      </c>
      <c r="BA53" s="95">
        <f>Assumptions!$K35/12</f>
        <v>0</v>
      </c>
      <c r="BB53" s="107">
        <f>Assumptions!$K35/12</f>
        <v>0</v>
      </c>
      <c r="BC53" s="103">
        <f t="shared" si="124"/>
        <v>0</v>
      </c>
      <c r="BD53" s="91">
        <f>Assumptions!$L35/12</f>
        <v>0</v>
      </c>
      <c r="BE53" s="99">
        <f>Assumptions!$L35/12</f>
        <v>0</v>
      </c>
      <c r="BF53" s="99">
        <f>Assumptions!$L35/12</f>
        <v>0</v>
      </c>
      <c r="BG53" s="99">
        <f>Assumptions!$L35/12</f>
        <v>0</v>
      </c>
      <c r="BH53" s="99">
        <f>Assumptions!$L35/12</f>
        <v>0</v>
      </c>
      <c r="BI53" s="99">
        <f>Assumptions!$L35/12</f>
        <v>0</v>
      </c>
      <c r="BJ53" s="99">
        <f>Assumptions!$L35/12</f>
        <v>0</v>
      </c>
      <c r="BK53" s="99">
        <f>Assumptions!$L35/12</f>
        <v>0</v>
      </c>
      <c r="BL53" s="99">
        <f>Assumptions!$L35/12</f>
        <v>0</v>
      </c>
      <c r="BM53" s="99">
        <f>Assumptions!$L35/12</f>
        <v>0</v>
      </c>
      <c r="BN53" s="95">
        <f>Assumptions!$L35/12</f>
        <v>0</v>
      </c>
      <c r="BO53" s="107">
        <f>Assumptions!$L35/12</f>
        <v>0</v>
      </c>
      <c r="BP53" s="103">
        <f t="shared" si="125"/>
        <v>0</v>
      </c>
      <c r="BQ53" s="91">
        <f>Assumptions!$M35/12</f>
        <v>0</v>
      </c>
      <c r="BR53" s="99">
        <f>Assumptions!$M35/12</f>
        <v>0</v>
      </c>
      <c r="BS53" s="99">
        <f>Assumptions!$M35/12</f>
        <v>0</v>
      </c>
      <c r="BT53" s="99">
        <f>Assumptions!$M35/12</f>
        <v>0</v>
      </c>
      <c r="BU53" s="99">
        <f>Assumptions!$M35/12</f>
        <v>0</v>
      </c>
      <c r="BV53" s="99">
        <f>Assumptions!$M35/12</f>
        <v>0</v>
      </c>
      <c r="BW53" s="99">
        <f>Assumptions!$M35/12</f>
        <v>0</v>
      </c>
      <c r="BX53" s="99">
        <f>Assumptions!$M35/12</f>
        <v>0</v>
      </c>
      <c r="BY53" s="99">
        <f>Assumptions!$M35/12</f>
        <v>0</v>
      </c>
      <c r="BZ53" s="99">
        <f>Assumptions!$M35/12</f>
        <v>0</v>
      </c>
      <c r="CA53" s="95">
        <f>Assumptions!$M35/12</f>
        <v>0</v>
      </c>
      <c r="CB53" s="107">
        <f>Assumptions!$M35/12</f>
        <v>0</v>
      </c>
      <c r="CC53" s="103">
        <f t="shared" si="126"/>
        <v>0</v>
      </c>
      <c r="CD53" s="91">
        <f>Assumptions!$N35/12</f>
        <v>0</v>
      </c>
      <c r="CE53" s="95">
        <f>Assumptions!$N35/12</f>
        <v>0</v>
      </c>
      <c r="CF53" s="95">
        <f>Assumptions!$N35/12</f>
        <v>0</v>
      </c>
      <c r="CG53" s="95">
        <f>Assumptions!$N35/12</f>
        <v>0</v>
      </c>
      <c r="CH53" s="99">
        <f>Assumptions!$N35/12</f>
        <v>0</v>
      </c>
      <c r="CI53" s="99">
        <f>Assumptions!$N35/12</f>
        <v>0</v>
      </c>
      <c r="CJ53" s="99">
        <f>Assumptions!$N35/12</f>
        <v>0</v>
      </c>
      <c r="CK53" s="99">
        <f>Assumptions!$N35/12</f>
        <v>0</v>
      </c>
      <c r="CL53" s="99">
        <f>Assumptions!$N35/12</f>
        <v>0</v>
      </c>
      <c r="CM53" s="99">
        <f>Assumptions!$N35/12</f>
        <v>0</v>
      </c>
      <c r="CN53" s="95">
        <f>Assumptions!$N35/12</f>
        <v>0</v>
      </c>
      <c r="CO53" s="107">
        <f>Assumptions!$N35/12</f>
        <v>0</v>
      </c>
      <c r="CP53" s="103">
        <f t="shared" si="127"/>
        <v>0</v>
      </c>
    </row>
    <row r="54" spans="1:101">
      <c r="B54" s="113" t="s">
        <v>345</v>
      </c>
      <c r="C54" s="383">
        <f>Assumptions!G36/12</f>
        <v>750</v>
      </c>
      <c r="D54" s="99">
        <f>Assumptions!$H36/12</f>
        <v>750</v>
      </c>
      <c r="E54" s="91">
        <f>Assumptions!$H36/12</f>
        <v>750</v>
      </c>
      <c r="F54" s="95">
        <f>Assumptions!$H36/12</f>
        <v>750</v>
      </c>
      <c r="G54" s="95">
        <f>Assumptions!$H36/12</f>
        <v>750</v>
      </c>
      <c r="H54" s="95">
        <f>Assumptions!$H36/12</f>
        <v>750</v>
      </c>
      <c r="I54" s="99">
        <f>Assumptions!$H36/12</f>
        <v>750</v>
      </c>
      <c r="J54" s="95">
        <f>Assumptions!$H36/12</f>
        <v>750</v>
      </c>
      <c r="K54" s="95">
        <f>Assumptions!$H36/12</f>
        <v>750</v>
      </c>
      <c r="L54" s="95">
        <f>Assumptions!$H36/12</f>
        <v>750</v>
      </c>
      <c r="M54" s="99">
        <f>Assumptions!$H36/12</f>
        <v>750</v>
      </c>
      <c r="N54" s="95">
        <f>Assumptions!$H36/12</f>
        <v>750</v>
      </c>
      <c r="O54" s="95">
        <f>Assumptions!$H36/12</f>
        <v>750</v>
      </c>
      <c r="P54" s="103">
        <f t="shared" si="121"/>
        <v>9000</v>
      </c>
      <c r="Q54" s="91">
        <f>Assumptions!$I36/12</f>
        <v>768.75</v>
      </c>
      <c r="R54" s="99">
        <f>Assumptions!$I36/12</f>
        <v>768.75</v>
      </c>
      <c r="S54" s="99">
        <f>Assumptions!$I36/12</f>
        <v>768.75</v>
      </c>
      <c r="T54" s="99">
        <f>Assumptions!$I36/12</f>
        <v>768.75</v>
      </c>
      <c r="U54" s="99">
        <f>Assumptions!$I36/12</f>
        <v>768.75</v>
      </c>
      <c r="V54" s="99">
        <f>Assumptions!$I36/12</f>
        <v>768.75</v>
      </c>
      <c r="W54" s="99">
        <f>Assumptions!$I36/12</f>
        <v>768.75</v>
      </c>
      <c r="X54" s="99">
        <f>Assumptions!$I36/12</f>
        <v>768.75</v>
      </c>
      <c r="Y54" s="99">
        <f>Assumptions!$I36/12</f>
        <v>768.75</v>
      </c>
      <c r="Z54" s="99">
        <f>Assumptions!$I36/12</f>
        <v>768.75</v>
      </c>
      <c r="AA54" s="95">
        <f>Assumptions!$I36/12</f>
        <v>768.75</v>
      </c>
      <c r="AB54" s="107">
        <f>Assumptions!$I36/12</f>
        <v>768.75</v>
      </c>
      <c r="AC54" s="103">
        <f t="shared" si="122"/>
        <v>9225</v>
      </c>
      <c r="AD54" s="91">
        <f>Assumptions!$J36/12</f>
        <v>787.96875</v>
      </c>
      <c r="AE54" s="99">
        <f>Assumptions!$J36/12</f>
        <v>787.96875</v>
      </c>
      <c r="AF54" s="99">
        <f>Assumptions!$J36/12</f>
        <v>787.96875</v>
      </c>
      <c r="AG54" s="99">
        <f>Assumptions!$J36/12</f>
        <v>787.96875</v>
      </c>
      <c r="AH54" s="99">
        <f>Assumptions!$J36/12</f>
        <v>787.96875</v>
      </c>
      <c r="AI54" s="99">
        <f>Assumptions!$J36/12</f>
        <v>787.96875</v>
      </c>
      <c r="AJ54" s="99">
        <f>Assumptions!$J36/12</f>
        <v>787.96875</v>
      </c>
      <c r="AK54" s="99">
        <f>Assumptions!$J36/12</f>
        <v>787.96875</v>
      </c>
      <c r="AL54" s="99">
        <f>Assumptions!$J36/12</f>
        <v>787.96875</v>
      </c>
      <c r="AM54" s="99">
        <f>Assumptions!$J36/12</f>
        <v>787.96875</v>
      </c>
      <c r="AN54" s="95">
        <f>Assumptions!$J36/12</f>
        <v>787.96875</v>
      </c>
      <c r="AO54" s="107">
        <f>Assumptions!$J36/12</f>
        <v>787.96875</v>
      </c>
      <c r="AP54" s="103">
        <f t="shared" si="123"/>
        <v>9455.625</v>
      </c>
      <c r="AQ54" s="91">
        <f>Assumptions!$K36/12</f>
        <v>807.66796875</v>
      </c>
      <c r="AR54" s="99">
        <f>Assumptions!$K36/12</f>
        <v>807.66796875</v>
      </c>
      <c r="AS54" s="99">
        <f>Assumptions!$K36/12</f>
        <v>807.66796875</v>
      </c>
      <c r="AT54" s="99">
        <f>Assumptions!$K36/12</f>
        <v>807.66796875</v>
      </c>
      <c r="AU54" s="99">
        <f>Assumptions!$K36/12</f>
        <v>807.66796875</v>
      </c>
      <c r="AV54" s="99">
        <f>Assumptions!$K36/12</f>
        <v>807.66796875</v>
      </c>
      <c r="AW54" s="99">
        <f>Assumptions!$K36/12</f>
        <v>807.66796875</v>
      </c>
      <c r="AX54" s="99">
        <f>Assumptions!$K36/12</f>
        <v>807.66796875</v>
      </c>
      <c r="AY54" s="99">
        <f>Assumptions!$K36/12</f>
        <v>807.66796875</v>
      </c>
      <c r="AZ54" s="99">
        <f>Assumptions!$K36/12</f>
        <v>807.66796875</v>
      </c>
      <c r="BA54" s="95">
        <f>Assumptions!$K36/12</f>
        <v>807.66796875</v>
      </c>
      <c r="BB54" s="107">
        <f>Assumptions!$K36/12</f>
        <v>807.66796875</v>
      </c>
      <c r="BC54" s="103">
        <f t="shared" si="124"/>
        <v>9692.015625</v>
      </c>
      <c r="BD54" s="91">
        <f>Assumptions!$L36/12</f>
        <v>827.85966796874993</v>
      </c>
      <c r="BE54" s="99">
        <f>Assumptions!$L36/12</f>
        <v>827.85966796874993</v>
      </c>
      <c r="BF54" s="99">
        <f>Assumptions!$L36/12</f>
        <v>827.85966796874993</v>
      </c>
      <c r="BG54" s="99">
        <f>Assumptions!$L36/12</f>
        <v>827.85966796874993</v>
      </c>
      <c r="BH54" s="99">
        <f>Assumptions!$L36/12</f>
        <v>827.85966796874993</v>
      </c>
      <c r="BI54" s="99">
        <f>Assumptions!$L36/12</f>
        <v>827.85966796874993</v>
      </c>
      <c r="BJ54" s="99">
        <f>Assumptions!$L36/12</f>
        <v>827.85966796874993</v>
      </c>
      <c r="BK54" s="99">
        <f>Assumptions!$L36/12</f>
        <v>827.85966796874993</v>
      </c>
      <c r="BL54" s="99">
        <f>Assumptions!$L36/12</f>
        <v>827.85966796874993</v>
      </c>
      <c r="BM54" s="99">
        <f>Assumptions!$L36/12</f>
        <v>827.85966796874993</v>
      </c>
      <c r="BN54" s="95">
        <f>Assumptions!$L36/12</f>
        <v>827.85966796874993</v>
      </c>
      <c r="BO54" s="107">
        <f>Assumptions!$L36/12</f>
        <v>827.85966796874993</v>
      </c>
      <c r="BP54" s="103">
        <f t="shared" si="125"/>
        <v>9934.3160156250015</v>
      </c>
      <c r="BQ54" s="91">
        <f>Assumptions!$M36/12</f>
        <v>848.55615966796859</v>
      </c>
      <c r="BR54" s="99">
        <f>Assumptions!$M36/12</f>
        <v>848.55615966796859</v>
      </c>
      <c r="BS54" s="99">
        <f>Assumptions!$M36/12</f>
        <v>848.55615966796859</v>
      </c>
      <c r="BT54" s="99">
        <f>Assumptions!$M36/12</f>
        <v>848.55615966796859</v>
      </c>
      <c r="BU54" s="99">
        <f>Assumptions!$M36/12</f>
        <v>848.55615966796859</v>
      </c>
      <c r="BV54" s="99">
        <f>Assumptions!$M36/12</f>
        <v>848.55615966796859</v>
      </c>
      <c r="BW54" s="99">
        <f>Assumptions!$M36/12</f>
        <v>848.55615966796859</v>
      </c>
      <c r="BX54" s="99">
        <f>Assumptions!$M36/12</f>
        <v>848.55615966796859</v>
      </c>
      <c r="BY54" s="99">
        <f>Assumptions!$M36/12</f>
        <v>848.55615966796859</v>
      </c>
      <c r="BZ54" s="99">
        <f>Assumptions!$M36/12</f>
        <v>848.55615966796859</v>
      </c>
      <c r="CA54" s="95">
        <f>Assumptions!$M36/12</f>
        <v>848.55615966796859</v>
      </c>
      <c r="CB54" s="107">
        <f>Assumptions!$M36/12</f>
        <v>848.55615966796859</v>
      </c>
      <c r="CC54" s="103">
        <f t="shared" si="126"/>
        <v>10182.673916015627</v>
      </c>
      <c r="CD54" s="91">
        <f>Assumptions!$N36/12</f>
        <v>869.7700636596677</v>
      </c>
      <c r="CE54" s="95">
        <f>Assumptions!$N36/12</f>
        <v>869.7700636596677</v>
      </c>
      <c r="CF54" s="95">
        <f>Assumptions!$N36/12</f>
        <v>869.7700636596677</v>
      </c>
      <c r="CG54" s="95">
        <f>Assumptions!$N36/12</f>
        <v>869.7700636596677</v>
      </c>
      <c r="CH54" s="99">
        <f>Assumptions!$N36/12</f>
        <v>869.7700636596677</v>
      </c>
      <c r="CI54" s="99">
        <f>Assumptions!$N36/12</f>
        <v>869.7700636596677</v>
      </c>
      <c r="CJ54" s="99">
        <f>Assumptions!$N36/12</f>
        <v>869.7700636596677</v>
      </c>
      <c r="CK54" s="99">
        <f>Assumptions!$N36/12</f>
        <v>869.7700636596677</v>
      </c>
      <c r="CL54" s="99">
        <f>Assumptions!$N36/12</f>
        <v>869.7700636596677</v>
      </c>
      <c r="CM54" s="99">
        <f>Assumptions!$N36/12</f>
        <v>869.7700636596677</v>
      </c>
      <c r="CN54" s="95">
        <f>Assumptions!$N36/12</f>
        <v>869.7700636596677</v>
      </c>
      <c r="CO54" s="107">
        <f>Assumptions!$N36/12</f>
        <v>869.7700636596677</v>
      </c>
      <c r="CP54" s="103">
        <f t="shared" si="127"/>
        <v>10437.24076391601</v>
      </c>
    </row>
    <row r="55" spans="1:101" ht="6" customHeight="1">
      <c r="B55" s="113"/>
      <c r="C55" s="383"/>
      <c r="D55" s="99"/>
      <c r="E55" s="91"/>
      <c r="F55" s="95"/>
      <c r="G55" s="95"/>
      <c r="H55" s="95"/>
      <c r="I55" s="99"/>
      <c r="J55" s="95"/>
      <c r="K55" s="95"/>
      <c r="L55" s="95"/>
      <c r="M55" s="99"/>
      <c r="N55" s="95"/>
      <c r="O55" s="95"/>
      <c r="P55" s="103"/>
      <c r="Q55" s="91"/>
      <c r="R55" s="99"/>
      <c r="S55" s="99"/>
      <c r="T55" s="99"/>
      <c r="U55" s="99"/>
      <c r="V55" s="99"/>
      <c r="W55" s="99"/>
      <c r="X55" s="99"/>
      <c r="Y55" s="99"/>
      <c r="Z55" s="99"/>
      <c r="AA55" s="95"/>
      <c r="AB55" s="107"/>
      <c r="AC55" s="103"/>
      <c r="AD55" s="91"/>
      <c r="AE55" s="99"/>
      <c r="AF55" s="99"/>
      <c r="AG55" s="99"/>
      <c r="AH55" s="99"/>
      <c r="AI55" s="99"/>
      <c r="AJ55" s="99"/>
      <c r="AK55" s="99"/>
      <c r="AL55" s="99"/>
      <c r="AM55" s="99"/>
      <c r="AN55" s="95"/>
      <c r="AO55" s="107"/>
      <c r="AP55" s="103"/>
      <c r="AQ55" s="91"/>
      <c r="AR55" s="99"/>
      <c r="AS55" s="99"/>
      <c r="AT55" s="99"/>
      <c r="AU55" s="99"/>
      <c r="AV55" s="99"/>
      <c r="AW55" s="99"/>
      <c r="AX55" s="99"/>
      <c r="AY55" s="99"/>
      <c r="AZ55" s="99"/>
      <c r="BA55" s="95"/>
      <c r="BB55" s="107"/>
      <c r="BC55" s="103"/>
      <c r="BD55" s="91"/>
      <c r="BE55" s="99"/>
      <c r="BF55" s="99"/>
      <c r="BG55" s="99"/>
      <c r="BH55" s="99"/>
      <c r="BI55" s="99"/>
      <c r="BJ55" s="99"/>
      <c r="BK55" s="99"/>
      <c r="BL55" s="99"/>
      <c r="BM55" s="99"/>
      <c r="BN55" s="95"/>
      <c r="BO55" s="107"/>
      <c r="BP55" s="103"/>
      <c r="BQ55" s="91"/>
      <c r="BR55" s="99"/>
      <c r="BS55" s="99"/>
      <c r="BT55" s="99"/>
      <c r="BU55" s="99"/>
      <c r="BV55" s="99"/>
      <c r="BW55" s="99"/>
      <c r="BX55" s="99"/>
      <c r="BY55" s="99"/>
      <c r="BZ55" s="99"/>
      <c r="CA55" s="95"/>
      <c r="CB55" s="107"/>
      <c r="CC55" s="103"/>
      <c r="CD55" s="91"/>
      <c r="CE55" s="95"/>
      <c r="CF55" s="95"/>
      <c r="CG55" s="95"/>
      <c r="CH55" s="99"/>
      <c r="CI55" s="99"/>
      <c r="CJ55" s="99"/>
      <c r="CK55" s="99"/>
      <c r="CL55" s="99"/>
      <c r="CM55" s="99"/>
      <c r="CN55" s="95"/>
      <c r="CO55" s="107"/>
      <c r="CP55" s="103"/>
    </row>
    <row r="56" spans="1:101">
      <c r="B56" s="155" t="s">
        <v>131</v>
      </c>
      <c r="C56" s="384">
        <f>SUM(C49:C54)</f>
        <v>2229.166666666667</v>
      </c>
      <c r="D56" s="92">
        <f t="shared" ref="D56:BO56" si="128">SUM(D49:D54)</f>
        <v>2229.166666666667</v>
      </c>
      <c r="E56" s="46">
        <f t="shared" si="128"/>
        <v>2229.166666666667</v>
      </c>
      <c r="F56" s="96">
        <f t="shared" si="128"/>
        <v>2229.166666666667</v>
      </c>
      <c r="G56" s="96">
        <f t="shared" si="128"/>
        <v>2229.166666666667</v>
      </c>
      <c r="H56" s="96">
        <f t="shared" si="128"/>
        <v>2229.166666666667</v>
      </c>
      <c r="I56" s="92">
        <f t="shared" si="128"/>
        <v>2229.166666666667</v>
      </c>
      <c r="J56" s="96">
        <f t="shared" si="128"/>
        <v>2229.166666666667</v>
      </c>
      <c r="K56" s="96">
        <f t="shared" si="128"/>
        <v>2229.166666666667</v>
      </c>
      <c r="L56" s="96">
        <f t="shared" si="128"/>
        <v>2229.166666666667</v>
      </c>
      <c r="M56" s="92">
        <f t="shared" si="128"/>
        <v>2229.166666666667</v>
      </c>
      <c r="N56" s="96">
        <f t="shared" si="128"/>
        <v>2229.166666666667</v>
      </c>
      <c r="O56" s="96">
        <f t="shared" si="128"/>
        <v>2229.166666666667</v>
      </c>
      <c r="P56" s="104">
        <f t="shared" si="128"/>
        <v>26750</v>
      </c>
      <c r="Q56" s="46">
        <f t="shared" si="128"/>
        <v>2284.895833333333</v>
      </c>
      <c r="R56" s="92">
        <f t="shared" si="128"/>
        <v>2284.895833333333</v>
      </c>
      <c r="S56" s="92">
        <f t="shared" si="128"/>
        <v>2284.895833333333</v>
      </c>
      <c r="T56" s="92">
        <f t="shared" si="128"/>
        <v>2284.895833333333</v>
      </c>
      <c r="U56" s="92">
        <f t="shared" si="128"/>
        <v>2284.895833333333</v>
      </c>
      <c r="V56" s="92">
        <f t="shared" si="128"/>
        <v>2284.895833333333</v>
      </c>
      <c r="W56" s="92">
        <f t="shared" si="128"/>
        <v>2284.895833333333</v>
      </c>
      <c r="X56" s="92">
        <f t="shared" si="128"/>
        <v>2284.895833333333</v>
      </c>
      <c r="Y56" s="92">
        <f t="shared" si="128"/>
        <v>2284.895833333333</v>
      </c>
      <c r="Z56" s="92">
        <f t="shared" si="128"/>
        <v>2284.895833333333</v>
      </c>
      <c r="AA56" s="96">
        <f t="shared" si="128"/>
        <v>2284.895833333333</v>
      </c>
      <c r="AB56" s="108">
        <f t="shared" si="128"/>
        <v>2284.895833333333</v>
      </c>
      <c r="AC56" s="104">
        <f t="shared" ref="AC56" si="129">SUM(AC49:AC54)</f>
        <v>27418.75</v>
      </c>
      <c r="AD56" s="46">
        <f t="shared" si="128"/>
        <v>2342.0182291666661</v>
      </c>
      <c r="AE56" s="92">
        <f t="shared" si="128"/>
        <v>2342.0182291666661</v>
      </c>
      <c r="AF56" s="92">
        <f t="shared" si="128"/>
        <v>2342.0182291666661</v>
      </c>
      <c r="AG56" s="92">
        <f t="shared" si="128"/>
        <v>2342.0182291666661</v>
      </c>
      <c r="AH56" s="92">
        <f t="shared" si="128"/>
        <v>2342.0182291666661</v>
      </c>
      <c r="AI56" s="92">
        <f t="shared" si="128"/>
        <v>2342.0182291666661</v>
      </c>
      <c r="AJ56" s="92">
        <f t="shared" si="128"/>
        <v>2342.0182291666661</v>
      </c>
      <c r="AK56" s="92">
        <f t="shared" si="128"/>
        <v>2342.0182291666661</v>
      </c>
      <c r="AL56" s="92">
        <f t="shared" si="128"/>
        <v>2342.0182291666661</v>
      </c>
      <c r="AM56" s="92">
        <f t="shared" si="128"/>
        <v>2342.0182291666661</v>
      </c>
      <c r="AN56" s="96">
        <f t="shared" si="128"/>
        <v>2342.0182291666661</v>
      </c>
      <c r="AO56" s="108">
        <f t="shared" si="128"/>
        <v>2342.0182291666661</v>
      </c>
      <c r="AP56" s="104">
        <f t="shared" si="128"/>
        <v>28104.218749999996</v>
      </c>
      <c r="AQ56" s="46">
        <f t="shared" si="128"/>
        <v>3108.9020182291661</v>
      </c>
      <c r="AR56" s="92">
        <f t="shared" si="128"/>
        <v>3108.9020182291661</v>
      </c>
      <c r="AS56" s="92">
        <f t="shared" si="128"/>
        <v>3108.9020182291661</v>
      </c>
      <c r="AT56" s="92">
        <f t="shared" si="128"/>
        <v>3108.9020182291661</v>
      </c>
      <c r="AU56" s="92">
        <f t="shared" si="128"/>
        <v>3108.9020182291661</v>
      </c>
      <c r="AV56" s="92">
        <f t="shared" si="128"/>
        <v>3108.9020182291661</v>
      </c>
      <c r="AW56" s="92">
        <f t="shared" si="128"/>
        <v>3108.9020182291661</v>
      </c>
      <c r="AX56" s="92">
        <f t="shared" si="128"/>
        <v>3108.9020182291661</v>
      </c>
      <c r="AY56" s="92">
        <f t="shared" si="128"/>
        <v>3108.9020182291661</v>
      </c>
      <c r="AZ56" s="92">
        <f t="shared" si="128"/>
        <v>3108.9020182291661</v>
      </c>
      <c r="BA56" s="96">
        <f t="shared" si="128"/>
        <v>3108.9020182291661</v>
      </c>
      <c r="BB56" s="108">
        <f t="shared" si="128"/>
        <v>3108.9020182291661</v>
      </c>
      <c r="BC56" s="104">
        <f t="shared" si="128"/>
        <v>37306.824218749993</v>
      </c>
      <c r="BD56" s="46">
        <f t="shared" si="128"/>
        <v>3186.6245686848947</v>
      </c>
      <c r="BE56" s="92">
        <f t="shared" si="128"/>
        <v>3186.6245686848947</v>
      </c>
      <c r="BF56" s="92">
        <f t="shared" si="128"/>
        <v>3186.6245686848947</v>
      </c>
      <c r="BG56" s="92">
        <f t="shared" si="128"/>
        <v>3186.6245686848947</v>
      </c>
      <c r="BH56" s="92">
        <f t="shared" si="128"/>
        <v>3186.6245686848947</v>
      </c>
      <c r="BI56" s="92">
        <f t="shared" si="128"/>
        <v>3186.6245686848947</v>
      </c>
      <c r="BJ56" s="92">
        <f t="shared" si="128"/>
        <v>3186.6245686848947</v>
      </c>
      <c r="BK56" s="92">
        <f t="shared" si="128"/>
        <v>3186.6245686848947</v>
      </c>
      <c r="BL56" s="92">
        <f t="shared" si="128"/>
        <v>3186.6245686848947</v>
      </c>
      <c r="BM56" s="92">
        <f t="shared" si="128"/>
        <v>3186.6245686848947</v>
      </c>
      <c r="BN56" s="96">
        <f t="shared" si="128"/>
        <v>3186.6245686848947</v>
      </c>
      <c r="BO56" s="108">
        <f t="shared" si="128"/>
        <v>3186.6245686848947</v>
      </c>
      <c r="BP56" s="104">
        <f t="shared" ref="BP56" si="130">SUM(BP49:BP54)</f>
        <v>38239.494824218738</v>
      </c>
      <c r="BQ56" s="46">
        <f t="shared" ref="BQ56:CP56" si="131">SUM(BQ49:BQ54)</f>
        <v>3266.290182902017</v>
      </c>
      <c r="BR56" s="92">
        <f t="shared" si="131"/>
        <v>3266.290182902017</v>
      </c>
      <c r="BS56" s="92">
        <f t="shared" si="131"/>
        <v>3266.290182902017</v>
      </c>
      <c r="BT56" s="92">
        <f t="shared" si="131"/>
        <v>3266.290182902017</v>
      </c>
      <c r="BU56" s="92">
        <f t="shared" si="131"/>
        <v>3266.290182902017</v>
      </c>
      <c r="BV56" s="92">
        <f t="shared" si="131"/>
        <v>3266.290182902017</v>
      </c>
      <c r="BW56" s="92">
        <f t="shared" si="131"/>
        <v>3266.290182902017</v>
      </c>
      <c r="BX56" s="92">
        <f t="shared" si="131"/>
        <v>3266.290182902017</v>
      </c>
      <c r="BY56" s="92">
        <f t="shared" si="131"/>
        <v>3266.290182902017</v>
      </c>
      <c r="BZ56" s="92">
        <f t="shared" si="131"/>
        <v>3266.290182902017</v>
      </c>
      <c r="CA56" s="96">
        <f t="shared" si="131"/>
        <v>3266.290182902017</v>
      </c>
      <c r="CB56" s="108">
        <f t="shared" si="131"/>
        <v>3266.290182902017</v>
      </c>
      <c r="CC56" s="104">
        <f t="shared" si="131"/>
        <v>39195.48219482421</v>
      </c>
      <c r="CD56" s="46">
        <f t="shared" si="131"/>
        <v>3347.9474374745673</v>
      </c>
      <c r="CE56" s="96">
        <f t="shared" si="131"/>
        <v>3347.9474374745673</v>
      </c>
      <c r="CF56" s="96">
        <f t="shared" si="131"/>
        <v>3347.9474374745673</v>
      </c>
      <c r="CG56" s="96">
        <f t="shared" si="131"/>
        <v>3347.9474374745673</v>
      </c>
      <c r="CH56" s="92">
        <f t="shared" si="131"/>
        <v>3347.9474374745673</v>
      </c>
      <c r="CI56" s="92">
        <f t="shared" si="131"/>
        <v>3347.9474374745673</v>
      </c>
      <c r="CJ56" s="92">
        <f t="shared" si="131"/>
        <v>3347.9474374745673</v>
      </c>
      <c r="CK56" s="92">
        <f t="shared" si="131"/>
        <v>3347.9474374745673</v>
      </c>
      <c r="CL56" s="92">
        <f t="shared" si="131"/>
        <v>3347.9474374745673</v>
      </c>
      <c r="CM56" s="92">
        <f t="shared" si="131"/>
        <v>3347.9474374745673</v>
      </c>
      <c r="CN56" s="96">
        <f t="shared" si="131"/>
        <v>3347.9474374745673</v>
      </c>
      <c r="CO56" s="108">
        <f t="shared" si="131"/>
        <v>3347.9474374745673</v>
      </c>
      <c r="CP56" s="104">
        <f t="shared" si="131"/>
        <v>40175.369249694799</v>
      </c>
    </row>
    <row r="57" spans="1:101" ht="14" customHeight="1">
      <c r="B57" s="139"/>
      <c r="C57" s="383"/>
      <c r="D57" s="99"/>
      <c r="E57" s="91"/>
      <c r="F57" s="95"/>
      <c r="G57" s="95"/>
      <c r="H57" s="95"/>
      <c r="I57" s="99"/>
      <c r="J57" s="95"/>
      <c r="K57" s="95"/>
      <c r="L57" s="95"/>
      <c r="M57" s="99"/>
      <c r="N57" s="95"/>
      <c r="O57" s="95"/>
      <c r="P57" s="103"/>
      <c r="Q57" s="91"/>
      <c r="R57" s="99"/>
      <c r="S57" s="99"/>
      <c r="T57" s="99"/>
      <c r="U57" s="99"/>
      <c r="V57" s="99"/>
      <c r="W57" s="99"/>
      <c r="X57" s="99"/>
      <c r="Y57" s="99"/>
      <c r="Z57" s="99"/>
      <c r="AA57" s="95"/>
      <c r="AB57" s="107"/>
      <c r="AC57" s="103"/>
      <c r="AD57" s="91"/>
      <c r="AE57" s="99"/>
      <c r="AF57" s="99"/>
      <c r="AG57" s="99"/>
      <c r="AH57" s="99"/>
      <c r="AI57" s="99"/>
      <c r="AJ57" s="99"/>
      <c r="AK57" s="99"/>
      <c r="AL57" s="99"/>
      <c r="AM57" s="99"/>
      <c r="AN57" s="95"/>
      <c r="AO57" s="107"/>
      <c r="AP57" s="103"/>
      <c r="AQ57" s="91"/>
      <c r="AR57" s="99"/>
      <c r="AS57" s="99"/>
      <c r="AT57" s="99"/>
      <c r="AU57" s="99"/>
      <c r="AV57" s="99"/>
      <c r="AW57" s="99"/>
      <c r="AX57" s="99"/>
      <c r="AY57" s="99"/>
      <c r="AZ57" s="99"/>
      <c r="BA57" s="95"/>
      <c r="BB57" s="107"/>
      <c r="BC57" s="103"/>
      <c r="BD57" s="91"/>
      <c r="BE57" s="99"/>
      <c r="BF57" s="99"/>
      <c r="BG57" s="99"/>
      <c r="BH57" s="99"/>
      <c r="BI57" s="99"/>
      <c r="BJ57" s="99"/>
      <c r="BK57" s="99"/>
      <c r="BL57" s="99"/>
      <c r="BM57" s="99"/>
      <c r="BN57" s="95"/>
      <c r="BO57" s="107"/>
      <c r="BP57" s="103"/>
      <c r="BQ57" s="91"/>
      <c r="BR57" s="99"/>
      <c r="BS57" s="99"/>
      <c r="BT57" s="99"/>
      <c r="BU57" s="99"/>
      <c r="BV57" s="99"/>
      <c r="BW57" s="99"/>
      <c r="BX57" s="99"/>
      <c r="BY57" s="99"/>
      <c r="BZ57" s="99"/>
      <c r="CA57" s="95"/>
      <c r="CB57" s="107"/>
      <c r="CC57" s="103"/>
      <c r="CD57" s="91"/>
      <c r="CE57" s="95"/>
      <c r="CF57" s="95"/>
      <c r="CG57" s="95"/>
      <c r="CH57" s="99"/>
      <c r="CI57" s="99"/>
      <c r="CJ57" s="99"/>
      <c r="CK57" s="99"/>
      <c r="CL57" s="99"/>
      <c r="CM57" s="99"/>
      <c r="CN57" s="95"/>
      <c r="CO57" s="107"/>
      <c r="CP57" s="103"/>
    </row>
    <row r="58" spans="1:101" s="1" customFormat="1" ht="15" customHeight="1" thickBot="1">
      <c r="B58" s="156" t="s">
        <v>128</v>
      </c>
      <c r="C58" s="385">
        <f>C40+C47+C56</f>
        <v>9126.7025000000012</v>
      </c>
      <c r="D58" s="100">
        <f t="shared" ref="D58:BO58" si="132">D40+D47+D56</f>
        <v>9163.9437500000022</v>
      </c>
      <c r="E58" s="47">
        <f t="shared" si="132"/>
        <v>9164.57577591886</v>
      </c>
      <c r="F58" s="97">
        <f t="shared" si="132"/>
        <v>9120.6847518350005</v>
      </c>
      <c r="G58" s="97">
        <f t="shared" si="132"/>
        <v>9076.7176518757842</v>
      </c>
      <c r="H58" s="97">
        <f t="shared" si="132"/>
        <v>9094.2083829990333</v>
      </c>
      <c r="I58" s="100">
        <f t="shared" si="132"/>
        <v>9111.7249379827736</v>
      </c>
      <c r="J58" s="97">
        <f t="shared" si="132"/>
        <v>9129.2673487681968</v>
      </c>
      <c r="K58" s="97">
        <f t="shared" si="132"/>
        <v>9146.8356473317144</v>
      </c>
      <c r="L58" s="97">
        <f t="shared" si="132"/>
        <v>9164.4298656850006</v>
      </c>
      <c r="M58" s="100">
        <f t="shared" si="132"/>
        <v>9182.0500358750251</v>
      </c>
      <c r="N58" s="97">
        <f t="shared" si="132"/>
        <v>9199.6961899840899</v>
      </c>
      <c r="O58" s="97">
        <f t="shared" si="132"/>
        <v>9217.3683601298635</v>
      </c>
      <c r="P58" s="105">
        <f t="shared" si="132"/>
        <v>109771.50269838533</v>
      </c>
      <c r="Q58" s="47">
        <f t="shared" si="132"/>
        <v>9431.3687427777368</v>
      </c>
      <c r="R58" s="100">
        <f t="shared" si="132"/>
        <v>9450.0756954805001</v>
      </c>
      <c r="S58" s="100">
        <f t="shared" si="132"/>
        <v>9466.852034236108</v>
      </c>
      <c r="T58" s="100">
        <f t="shared" si="132"/>
        <v>9485.6566966706559</v>
      </c>
      <c r="U58" s="100">
        <f t="shared" si="132"/>
        <v>9504.5281927457036</v>
      </c>
      <c r="V58" s="100">
        <f t="shared" si="132"/>
        <v>9398.75932562858</v>
      </c>
      <c r="W58" s="100">
        <f t="shared" si="132"/>
        <v>9542.4724968930113</v>
      </c>
      <c r="X58" s="100">
        <f t="shared" si="132"/>
        <v>9669.6040699086261</v>
      </c>
      <c r="Y58" s="100">
        <f t="shared" si="132"/>
        <v>9671.7490007335728</v>
      </c>
      <c r="Z58" s="100">
        <f t="shared" si="132"/>
        <v>9673.898349764826</v>
      </c>
      <c r="AA58" s="97">
        <f t="shared" si="132"/>
        <v>9676.0521261031736</v>
      </c>
      <c r="AB58" s="109">
        <f t="shared" si="132"/>
        <v>9678.2103388681389</v>
      </c>
      <c r="AC58" s="105">
        <f t="shared" ref="AC58" si="133">AC40+AC47+AC56</f>
        <v>114649.22706981064</v>
      </c>
      <c r="AD58" s="47">
        <f t="shared" si="132"/>
        <v>9860.8945216249995</v>
      </c>
      <c r="AE58" s="100">
        <f t="shared" si="132"/>
        <v>9863.0307375694501</v>
      </c>
      <c r="AF58" s="100">
        <f t="shared" si="132"/>
        <v>9863.0307375694501</v>
      </c>
      <c r="AG58" s="100">
        <f t="shared" si="132"/>
        <v>9865.171353768983</v>
      </c>
      <c r="AH58" s="100">
        <f t="shared" si="132"/>
        <v>9867.3163792874038</v>
      </c>
      <c r="AI58" s="100">
        <f t="shared" si="132"/>
        <v>9869.4658232071888</v>
      </c>
      <c r="AJ58" s="100">
        <f t="shared" si="132"/>
        <v>9871.6196946295167</v>
      </c>
      <c r="AK58" s="100">
        <f t="shared" si="132"/>
        <v>9873.7780026743239</v>
      </c>
      <c r="AL58" s="100">
        <f t="shared" si="132"/>
        <v>9875.9407564803223</v>
      </c>
      <c r="AM58" s="100">
        <f t="shared" si="132"/>
        <v>9878.1079652050521</v>
      </c>
      <c r="AN58" s="97">
        <f t="shared" si="132"/>
        <v>9880.2796380249183</v>
      </c>
      <c r="AO58" s="109">
        <f t="shared" si="132"/>
        <v>9882.4557841352253</v>
      </c>
      <c r="AP58" s="105">
        <f t="shared" si="132"/>
        <v>118451.09139417684</v>
      </c>
      <c r="AQ58" s="47">
        <f t="shared" si="132"/>
        <v>10788.765487998957</v>
      </c>
      <c r="AR58" s="100">
        <f t="shared" si="132"/>
        <v>10790.941907284912</v>
      </c>
      <c r="AS58" s="100">
        <f t="shared" si="132"/>
        <v>10790.941907284912</v>
      </c>
      <c r="AT58" s="100">
        <f t="shared" si="132"/>
        <v>10793.122809638249</v>
      </c>
      <c r="AU58" s="100">
        <f t="shared" si="132"/>
        <v>10795.308204293355</v>
      </c>
      <c r="AV58" s="100">
        <f t="shared" si="132"/>
        <v>10797.498100503635</v>
      </c>
      <c r="AW58" s="100">
        <f t="shared" si="132"/>
        <v>10799.692507541557</v>
      </c>
      <c r="AX58" s="100">
        <f t="shared" si="132"/>
        <v>10801.891434698686</v>
      </c>
      <c r="AY58" s="100">
        <f t="shared" si="132"/>
        <v>10804.094891285727</v>
      </c>
      <c r="AZ58" s="100">
        <f t="shared" si="132"/>
        <v>10806.302886632566</v>
      </c>
      <c r="BA58" s="97">
        <f t="shared" si="132"/>
        <v>10808.515430088304</v>
      </c>
      <c r="BB58" s="109">
        <f t="shared" si="132"/>
        <v>10810.732531021302</v>
      </c>
      <c r="BC58" s="105">
        <f t="shared" si="132"/>
        <v>129587.80809827216</v>
      </c>
      <c r="BD58" s="47">
        <f t="shared" si="132"/>
        <v>11031.10265747393</v>
      </c>
      <c r="BE58" s="100">
        <f t="shared" si="132"/>
        <v>11032.88075630427</v>
      </c>
      <c r="BF58" s="100">
        <f t="shared" si="132"/>
        <v>11032.88075630427</v>
      </c>
      <c r="BG58" s="100">
        <f t="shared" si="132"/>
        <v>11034.661791809391</v>
      </c>
      <c r="BH58" s="100">
        <f t="shared" si="132"/>
        <v>11036.445768839449</v>
      </c>
      <c r="BI58" s="100">
        <f t="shared" si="132"/>
        <v>11038.232692252614</v>
      </c>
      <c r="BJ58" s="100">
        <f t="shared" si="132"/>
        <v>11040.022566915075</v>
      </c>
      <c r="BK58" s="100">
        <f t="shared" si="132"/>
        <v>11041.815397701062</v>
      </c>
      <c r="BL58" s="100">
        <f t="shared" si="132"/>
        <v>11043.611189492853</v>
      </c>
      <c r="BM58" s="100">
        <f t="shared" si="132"/>
        <v>11045.409947180789</v>
      </c>
      <c r="BN58" s="97">
        <f t="shared" si="132"/>
        <v>11047.211675663289</v>
      </c>
      <c r="BO58" s="109">
        <f t="shared" si="132"/>
        <v>11049.016379846864</v>
      </c>
      <c r="BP58" s="105">
        <f t="shared" ref="BP58" si="134">BP40+BP47+BP56</f>
        <v>132473.29157978387</v>
      </c>
      <c r="BQ58" s="47">
        <f t="shared" ref="BQ58:CP58" si="135">BQ40+BQ47+BQ56</f>
        <v>11274.991909328814</v>
      </c>
      <c r="BR58" s="100">
        <f t="shared" si="135"/>
        <v>11276.797101784759</v>
      </c>
      <c r="BS58" s="100">
        <f t="shared" si="135"/>
        <v>11276.797101784759</v>
      </c>
      <c r="BT58" s="100">
        <f t="shared" si="135"/>
        <v>11278.605275662814</v>
      </c>
      <c r="BU58" s="100">
        <f t="shared" si="135"/>
        <v>11280.416435887035</v>
      </c>
      <c r="BV58" s="100">
        <f t="shared" si="135"/>
        <v>11282.230587389618</v>
      </c>
      <c r="BW58" s="100">
        <f t="shared" si="135"/>
        <v>11284.0477351109</v>
      </c>
      <c r="BX58" s="100">
        <f t="shared" si="135"/>
        <v>11285.867883999383</v>
      </c>
      <c r="BY58" s="100">
        <f t="shared" si="135"/>
        <v>11287.691039011735</v>
      </c>
      <c r="BZ58" s="100">
        <f t="shared" si="135"/>
        <v>11289.517205112817</v>
      </c>
      <c r="CA58" s="97">
        <f t="shared" si="135"/>
        <v>11291.346387275687</v>
      </c>
      <c r="CB58" s="109">
        <f t="shared" si="135"/>
        <v>11293.178590481613</v>
      </c>
      <c r="CC58" s="105">
        <f t="shared" si="135"/>
        <v>135401.48725282995</v>
      </c>
      <c r="CD58" s="47">
        <f t="shared" si="135"/>
        <v>11524.483083063427</v>
      </c>
      <c r="CE58" s="97">
        <f t="shared" si="135"/>
        <v>11526.315911017495</v>
      </c>
      <c r="CF58" s="97">
        <f t="shared" si="135"/>
        <v>11526.315911017495</v>
      </c>
      <c r="CG58" s="97">
        <f t="shared" si="135"/>
        <v>11528.151766035939</v>
      </c>
      <c r="CH58" s="100">
        <f t="shared" si="135"/>
        <v>11529.990653118206</v>
      </c>
      <c r="CI58" s="100">
        <f t="shared" si="135"/>
        <v>11531.832577271995</v>
      </c>
      <c r="CJ58" s="100">
        <f t="shared" si="135"/>
        <v>11533.677543513275</v>
      </c>
      <c r="CK58" s="100">
        <f t="shared" si="135"/>
        <v>11535.525556866303</v>
      </c>
      <c r="CL58" s="100">
        <f t="shared" si="135"/>
        <v>11537.376622363628</v>
      </c>
      <c r="CM58" s="100">
        <f t="shared" si="135"/>
        <v>11539.230745046119</v>
      </c>
      <c r="CN58" s="97">
        <f t="shared" si="135"/>
        <v>11541.087929962965</v>
      </c>
      <c r="CO58" s="109">
        <f t="shared" si="135"/>
        <v>11542.948182171691</v>
      </c>
      <c r="CP58" s="105">
        <f t="shared" si="135"/>
        <v>138396.93648144853</v>
      </c>
    </row>
    <row r="59" spans="1:101" ht="8.25" customHeight="1">
      <c r="B59" s="139"/>
      <c r="C59" s="383"/>
      <c r="D59" s="99"/>
      <c r="E59" s="91"/>
      <c r="F59" s="95"/>
      <c r="G59" s="95"/>
      <c r="H59" s="95"/>
      <c r="I59" s="99"/>
      <c r="J59" s="95"/>
      <c r="K59" s="95"/>
      <c r="L59" s="95"/>
      <c r="M59" s="99"/>
      <c r="N59" s="95"/>
      <c r="O59" s="95"/>
      <c r="P59" s="103"/>
      <c r="Q59" s="91"/>
      <c r="R59" s="99"/>
      <c r="S59" s="99"/>
      <c r="T59" s="99"/>
      <c r="U59" s="99"/>
      <c r="V59" s="99"/>
      <c r="W59" s="99"/>
      <c r="X59" s="99"/>
      <c r="Y59" s="99"/>
      <c r="Z59" s="99"/>
      <c r="AA59" s="95"/>
      <c r="AB59" s="107"/>
      <c r="AC59" s="103"/>
      <c r="AD59" s="91"/>
      <c r="AE59" s="99"/>
      <c r="AF59" s="99"/>
      <c r="AG59" s="99"/>
      <c r="AH59" s="99"/>
      <c r="AI59" s="99"/>
      <c r="AJ59" s="99"/>
      <c r="AK59" s="99"/>
      <c r="AL59" s="99"/>
      <c r="AM59" s="99"/>
      <c r="AN59" s="95"/>
      <c r="AO59" s="107"/>
      <c r="AP59" s="103"/>
      <c r="AQ59" s="91"/>
      <c r="AR59" s="99"/>
      <c r="AS59" s="99"/>
      <c r="AT59" s="99"/>
      <c r="AU59" s="99"/>
      <c r="AV59" s="99"/>
      <c r="AW59" s="99"/>
      <c r="AX59" s="99"/>
      <c r="AY59" s="99"/>
      <c r="AZ59" s="99"/>
      <c r="BA59" s="95"/>
      <c r="BB59" s="107"/>
      <c r="BC59" s="103"/>
      <c r="BD59" s="91"/>
      <c r="BE59" s="99"/>
      <c r="BF59" s="99"/>
      <c r="BG59" s="99"/>
      <c r="BH59" s="99"/>
      <c r="BI59" s="99"/>
      <c r="BJ59" s="99"/>
      <c r="BK59" s="99"/>
      <c r="BL59" s="99"/>
      <c r="BM59" s="99"/>
      <c r="BN59" s="95"/>
      <c r="BO59" s="107"/>
      <c r="BP59" s="103"/>
      <c r="BQ59" s="91"/>
      <c r="BR59" s="99"/>
      <c r="BS59" s="99"/>
      <c r="BT59" s="99"/>
      <c r="BU59" s="99"/>
      <c r="BV59" s="99"/>
      <c r="BW59" s="99"/>
      <c r="BX59" s="99"/>
      <c r="BY59" s="99"/>
      <c r="BZ59" s="99"/>
      <c r="CA59" s="95"/>
      <c r="CB59" s="107"/>
      <c r="CC59" s="103"/>
      <c r="CD59" s="91"/>
      <c r="CE59" s="95"/>
      <c r="CF59" s="95"/>
      <c r="CG59" s="95"/>
      <c r="CH59" s="99"/>
      <c r="CI59" s="99"/>
      <c r="CJ59" s="99"/>
      <c r="CK59" s="99"/>
      <c r="CL59" s="99"/>
      <c r="CM59" s="99"/>
      <c r="CN59" s="95"/>
      <c r="CO59" s="107"/>
      <c r="CP59" s="103"/>
    </row>
    <row r="60" spans="1:101" s="110" customFormat="1" ht="17.5" thickBot="1">
      <c r="A60" s="700">
        <f>C60*12</f>
        <v>188910.56999999998</v>
      </c>
      <c r="B60" s="149" t="s">
        <v>129</v>
      </c>
      <c r="C60" s="386">
        <f>C32-C58</f>
        <v>15742.547499999999</v>
      </c>
      <c r="D60" s="159">
        <f t="shared" ref="D60:BO60" si="136">D32-D58</f>
        <v>16946.681249999998</v>
      </c>
      <c r="E60" s="160">
        <f t="shared" si="136"/>
        <v>16967.116754709754</v>
      </c>
      <c r="F60" s="161">
        <f t="shared" si="136"/>
        <v>15547.973642665027</v>
      </c>
      <c r="G60" s="161">
        <f t="shared" si="136"/>
        <v>14126.37074398368</v>
      </c>
      <c r="H60" s="161">
        <f t="shared" si="136"/>
        <v>14691.904383635421</v>
      </c>
      <c r="I60" s="159">
        <f t="shared" si="136"/>
        <v>15258.272994776344</v>
      </c>
      <c r="J60" s="161">
        <f t="shared" si="136"/>
        <v>15825.477610171638</v>
      </c>
      <c r="K60" s="161">
        <f t="shared" si="136"/>
        <v>16393.519263725379</v>
      </c>
      <c r="L60" s="161">
        <f t="shared" si="136"/>
        <v>16962.398990481666</v>
      </c>
      <c r="M60" s="159">
        <f t="shared" si="136"/>
        <v>17532.117826625814</v>
      </c>
      <c r="N60" s="161">
        <f t="shared" si="136"/>
        <v>18102.676809485565</v>
      </c>
      <c r="O60" s="161">
        <f t="shared" si="136"/>
        <v>18674.076977532241</v>
      </c>
      <c r="P60" s="162">
        <f t="shared" si="136"/>
        <v>197028.58724779257</v>
      </c>
      <c r="Q60" s="160">
        <f t="shared" si="136"/>
        <v>19245.922683146873</v>
      </c>
      <c r="R60" s="159">
        <f t="shared" si="136"/>
        <v>19850.780820536205</v>
      </c>
      <c r="S60" s="159">
        <f t="shared" si="136"/>
        <v>20393.215773634183</v>
      </c>
      <c r="T60" s="159">
        <f t="shared" si="136"/>
        <v>21001.233192351261</v>
      </c>
      <c r="U60" s="159">
        <f t="shared" si="136"/>
        <v>21611.411565444407</v>
      </c>
      <c r="V60" s="159">
        <f t="shared" si="136"/>
        <v>18191.551528657437</v>
      </c>
      <c r="W60" s="159">
        <f t="shared" si="136"/>
        <v>22838.277399540741</v>
      </c>
      <c r="X60" s="159">
        <f t="shared" si="136"/>
        <v>26948.864927045604</v>
      </c>
      <c r="Y60" s="159">
        <f t="shared" si="136"/>
        <v>27018.217690385522</v>
      </c>
      <c r="Z60" s="159">
        <f t="shared" si="136"/>
        <v>27087.713309062772</v>
      </c>
      <c r="AA60" s="161">
        <f t="shared" si="136"/>
        <v>27157.352077335971</v>
      </c>
      <c r="AB60" s="163">
        <f t="shared" si="136"/>
        <v>27227.134290069855</v>
      </c>
      <c r="AC60" s="162">
        <f t="shared" ref="AC60" si="137">AC32-AC58</f>
        <v>278571.67525721074</v>
      </c>
      <c r="AD60" s="160">
        <f t="shared" si="136"/>
        <v>26640.462449208339</v>
      </c>
      <c r="AE60" s="159">
        <f t="shared" si="136"/>
        <v>26709.533431412248</v>
      </c>
      <c r="AF60" s="159">
        <f t="shared" si="136"/>
        <v>26709.533431412248</v>
      </c>
      <c r="AG60" s="159">
        <f t="shared" si="136"/>
        <v>26778.7466885305</v>
      </c>
      <c r="AH60" s="159">
        <f t="shared" si="136"/>
        <v>26848.102513626123</v>
      </c>
      <c r="AI60" s="159">
        <f t="shared" si="136"/>
        <v>26917.601200365796</v>
      </c>
      <c r="AJ60" s="159">
        <f t="shared" si="136"/>
        <v>26987.243043021124</v>
      </c>
      <c r="AK60" s="159">
        <f t="shared" si="136"/>
        <v>27057.028336469844</v>
      </c>
      <c r="AL60" s="159">
        <f t="shared" si="136"/>
        <v>27126.957376197115</v>
      </c>
      <c r="AM60" s="159">
        <f t="shared" si="136"/>
        <v>27197.030458296744</v>
      </c>
      <c r="AN60" s="161">
        <f t="shared" si="136"/>
        <v>27267.247879472408</v>
      </c>
      <c r="AO60" s="163">
        <f t="shared" si="136"/>
        <v>27337.609937038997</v>
      </c>
      <c r="AP60" s="162">
        <f t="shared" si="136"/>
        <v>323577.09674505144</v>
      </c>
      <c r="AQ60" s="160">
        <f t="shared" si="136"/>
        <v>26387.697282105211</v>
      </c>
      <c r="AR60" s="159">
        <f t="shared" si="136"/>
        <v>26458.06817235105</v>
      </c>
      <c r="AS60" s="159">
        <f t="shared" si="136"/>
        <v>26458.06817235105</v>
      </c>
      <c r="AT60" s="159">
        <f t="shared" si="136"/>
        <v>26528.584015108965</v>
      </c>
      <c r="AU60" s="159">
        <f t="shared" si="136"/>
        <v>26599.245108957388</v>
      </c>
      <c r="AV60" s="159">
        <f t="shared" si="136"/>
        <v>26670.051753089774</v>
      </c>
      <c r="AW60" s="159">
        <f t="shared" si="136"/>
        <v>26741.004247315905</v>
      </c>
      <c r="AX60" s="159">
        <f t="shared" si="136"/>
        <v>26812.102892063071</v>
      </c>
      <c r="AY60" s="159">
        <f t="shared" si="136"/>
        <v>26883.347988377434</v>
      </c>
      <c r="AZ60" s="159">
        <f t="shared" si="136"/>
        <v>26954.739837925223</v>
      </c>
      <c r="BA60" s="161">
        <f t="shared" si="136"/>
        <v>27026.278742994091</v>
      </c>
      <c r="BB60" s="163">
        <f t="shared" si="136"/>
        <v>27097.965006494316</v>
      </c>
      <c r="BC60" s="162">
        <f t="shared" si="136"/>
        <v>320617.15321913338</v>
      </c>
      <c r="BD60" s="160">
        <f t="shared" si="136"/>
        <v>26837.343556882843</v>
      </c>
      <c r="BE60" s="159">
        <f t="shared" si="136"/>
        <v>26894.835419063813</v>
      </c>
      <c r="BF60" s="159">
        <f t="shared" si="136"/>
        <v>26894.835419063813</v>
      </c>
      <c r="BG60" s="159">
        <f t="shared" si="136"/>
        <v>26952.422233729383</v>
      </c>
      <c r="BH60" s="159">
        <f t="shared" si="136"/>
        <v>27010.10415770128</v>
      </c>
      <c r="BI60" s="159">
        <f t="shared" si="136"/>
        <v>27067.881348060277</v>
      </c>
      <c r="BJ60" s="159">
        <f t="shared" si="136"/>
        <v>27125.75396214654</v>
      </c>
      <c r="BK60" s="159">
        <f t="shared" si="136"/>
        <v>27183.722157560125</v>
      </c>
      <c r="BL60" s="159">
        <f t="shared" si="136"/>
        <v>27241.786092161368</v>
      </c>
      <c r="BM60" s="159">
        <f t="shared" si="136"/>
        <v>27299.945924071308</v>
      </c>
      <c r="BN60" s="161">
        <f t="shared" si="136"/>
        <v>27358.201811672152</v>
      </c>
      <c r="BO60" s="163">
        <f t="shared" si="136"/>
        <v>27416.553913607684</v>
      </c>
      <c r="BP60" s="162">
        <f t="shared" ref="BP60" si="138">BP32-BP58</f>
        <v>325283.38599572051</v>
      </c>
      <c r="BQ60" s="160">
        <f t="shared" ref="BQ60:CP60" si="139">BQ32-BQ58</f>
        <v>27166.031856138012</v>
      </c>
      <c r="BR60" s="159">
        <f t="shared" si="139"/>
        <v>27224.399745546973</v>
      </c>
      <c r="BS60" s="159">
        <f t="shared" si="139"/>
        <v>27224.399745546973</v>
      </c>
      <c r="BT60" s="159">
        <f t="shared" si="139"/>
        <v>27282.864034270708</v>
      </c>
      <c r="BU60" s="159">
        <f t="shared" si="139"/>
        <v>27341.424881520528</v>
      </c>
      <c r="BV60" s="159">
        <f t="shared" si="139"/>
        <v>27400.082446770692</v>
      </c>
      <c r="BW60" s="159">
        <f t="shared" si="139"/>
        <v>27458.836889758837</v>
      </c>
      <c r="BX60" s="159">
        <f t="shared" si="139"/>
        <v>27517.68837048643</v>
      </c>
      <c r="BY60" s="159">
        <f t="shared" si="139"/>
        <v>27576.637049219185</v>
      </c>
      <c r="BZ60" s="159">
        <f t="shared" si="139"/>
        <v>27635.683086487501</v>
      </c>
      <c r="CA60" s="161">
        <f t="shared" si="139"/>
        <v>27694.826643086923</v>
      </c>
      <c r="CB60" s="163">
        <f t="shared" si="139"/>
        <v>27754.067880078554</v>
      </c>
      <c r="CC60" s="162">
        <f t="shared" si="139"/>
        <v>329276.94262891123</v>
      </c>
      <c r="CD60" s="160">
        <f t="shared" si="139"/>
        <v>27500.698562706228</v>
      </c>
      <c r="CE60" s="161">
        <f t="shared" si="139"/>
        <v>27559.959999887724</v>
      </c>
      <c r="CF60" s="161">
        <f t="shared" si="139"/>
        <v>27559.959999887724</v>
      </c>
      <c r="CG60" s="161">
        <f t="shared" si="139"/>
        <v>27619.319312150794</v>
      </c>
      <c r="CH60" s="159">
        <f t="shared" si="139"/>
        <v>27678.776661144097</v>
      </c>
      <c r="CI60" s="159">
        <f t="shared" si="139"/>
        <v>27738.332208783253</v>
      </c>
      <c r="CJ60" s="159">
        <f t="shared" si="139"/>
        <v>27797.986117251312</v>
      </c>
      <c r="CK60" s="159">
        <f t="shared" si="139"/>
        <v>27857.738548999194</v>
      </c>
      <c r="CL60" s="159">
        <f t="shared" si="139"/>
        <v>27917.589666746091</v>
      </c>
      <c r="CM60" s="159">
        <f t="shared" si="139"/>
        <v>27977.539633479963</v>
      </c>
      <c r="CN60" s="161">
        <f t="shared" si="139"/>
        <v>28037.588612457927</v>
      </c>
      <c r="CO60" s="163">
        <f t="shared" si="139"/>
        <v>28097.736767206785</v>
      </c>
      <c r="CP60" s="162">
        <f t="shared" si="139"/>
        <v>333343.22609070106</v>
      </c>
      <c r="CQ60" s="1"/>
      <c r="CR60" s="1"/>
      <c r="CS60" s="1"/>
      <c r="CT60" s="1"/>
      <c r="CU60" s="1"/>
      <c r="CV60" s="1"/>
      <c r="CW60" s="1"/>
    </row>
    <row r="61" spans="1:101">
      <c r="B61" s="93"/>
      <c r="C61" s="383"/>
      <c r="D61" s="99"/>
      <c r="E61" s="91"/>
      <c r="F61" s="95"/>
      <c r="G61" s="95"/>
      <c r="H61" s="95"/>
      <c r="I61" s="99"/>
      <c r="J61" s="95"/>
      <c r="K61" s="95"/>
      <c r="L61" s="95"/>
      <c r="M61" s="99"/>
      <c r="N61" s="95"/>
      <c r="O61" s="95"/>
      <c r="P61" s="103"/>
      <c r="Q61" s="91"/>
      <c r="R61" s="99"/>
      <c r="S61" s="99"/>
      <c r="T61" s="99"/>
      <c r="U61" s="99"/>
      <c r="V61" s="99"/>
      <c r="W61" s="99"/>
      <c r="X61" s="99"/>
      <c r="Y61" s="99"/>
      <c r="Z61" s="99"/>
      <c r="AA61" s="95"/>
      <c r="AB61" s="107"/>
      <c r="AC61" s="103"/>
      <c r="AD61" s="91"/>
      <c r="AE61" s="99"/>
      <c r="AF61" s="99"/>
      <c r="AG61" s="99"/>
      <c r="AH61" s="99"/>
      <c r="AI61" s="99"/>
      <c r="AJ61" s="99"/>
      <c r="AK61" s="99"/>
      <c r="AL61" s="99"/>
      <c r="AM61" s="99"/>
      <c r="AN61" s="95"/>
      <c r="AO61" s="107"/>
      <c r="AP61" s="103"/>
      <c r="AQ61" s="91"/>
      <c r="AR61" s="99"/>
      <c r="AS61" s="99"/>
      <c r="AT61" s="99"/>
      <c r="AU61" s="99"/>
      <c r="AV61" s="99"/>
      <c r="AW61" s="99"/>
      <c r="AX61" s="99"/>
      <c r="AY61" s="99"/>
      <c r="AZ61" s="99"/>
      <c r="BA61" s="95"/>
      <c r="BB61" s="107"/>
      <c r="BC61" s="103"/>
      <c r="BD61" s="91"/>
      <c r="BE61" s="99"/>
      <c r="BF61" s="99"/>
      <c r="BG61" s="99"/>
      <c r="BH61" s="99"/>
      <c r="BI61" s="99"/>
      <c r="BJ61" s="99"/>
      <c r="BK61" s="99"/>
      <c r="BL61" s="99"/>
      <c r="BM61" s="99"/>
      <c r="BN61" s="95"/>
      <c r="BO61" s="107"/>
      <c r="BP61" s="103"/>
      <c r="BQ61" s="91"/>
      <c r="BR61" s="99"/>
      <c r="BS61" s="99"/>
      <c r="BT61" s="99"/>
      <c r="BU61" s="99"/>
      <c r="BV61" s="99"/>
      <c r="BW61" s="99"/>
      <c r="BX61" s="99"/>
      <c r="BY61" s="99"/>
      <c r="BZ61" s="99"/>
      <c r="CA61" s="95"/>
      <c r="CB61" s="107"/>
      <c r="CC61" s="103"/>
      <c r="CD61" s="91"/>
      <c r="CE61" s="95"/>
      <c r="CF61" s="95"/>
      <c r="CG61" s="95"/>
      <c r="CH61" s="99"/>
      <c r="CI61" s="99"/>
      <c r="CJ61" s="99"/>
      <c r="CK61" s="99"/>
      <c r="CL61" s="99"/>
      <c r="CM61" s="99"/>
      <c r="CN61" s="95"/>
      <c r="CO61" s="107"/>
      <c r="CP61" s="103"/>
    </row>
    <row r="62" spans="1:101">
      <c r="B62" s="113" t="s">
        <v>133</v>
      </c>
      <c r="C62" s="383"/>
      <c r="D62" s="99">
        <f>Assumptions!$H37/12</f>
        <v>1666.6666666666667</v>
      </c>
      <c r="E62" s="91">
        <f>Assumptions!$H37/12</f>
        <v>1666.6666666666667</v>
      </c>
      <c r="F62" s="95">
        <f>Assumptions!$H37/12</f>
        <v>1666.6666666666667</v>
      </c>
      <c r="G62" s="95">
        <f>Assumptions!$H37/12</f>
        <v>1666.6666666666667</v>
      </c>
      <c r="H62" s="95">
        <f>Assumptions!$H37/12</f>
        <v>1666.6666666666667</v>
      </c>
      <c r="I62" s="99">
        <f>Assumptions!$H37/12</f>
        <v>1666.6666666666667</v>
      </c>
      <c r="J62" s="95">
        <f>Assumptions!$H37/12</f>
        <v>1666.6666666666667</v>
      </c>
      <c r="K62" s="95">
        <f>Assumptions!$H37/12</f>
        <v>1666.6666666666667</v>
      </c>
      <c r="L62" s="95">
        <f>Assumptions!$H37/12</f>
        <v>1666.6666666666667</v>
      </c>
      <c r="M62" s="99">
        <f>Assumptions!$H37/12</f>
        <v>1666.6666666666667</v>
      </c>
      <c r="N62" s="95">
        <f>Assumptions!$H37/12</f>
        <v>1666.6666666666667</v>
      </c>
      <c r="O62" s="95">
        <f>Assumptions!$H37/12</f>
        <v>1666.6666666666667</v>
      </c>
      <c r="P62" s="103">
        <f t="shared" ref="P62:P63" si="140">SUM(D62:O62)</f>
        <v>20000</v>
      </c>
      <c r="Q62" s="91">
        <f>Assumptions!$I37/12</f>
        <v>1708.3333333333333</v>
      </c>
      <c r="R62" s="99">
        <f>Assumptions!$I37/12</f>
        <v>1708.3333333333333</v>
      </c>
      <c r="S62" s="99">
        <f>Assumptions!$I37/12</f>
        <v>1708.3333333333333</v>
      </c>
      <c r="T62" s="99">
        <f>Assumptions!$I37/12</f>
        <v>1708.3333333333333</v>
      </c>
      <c r="U62" s="99">
        <f>Assumptions!$I37/12</f>
        <v>1708.3333333333333</v>
      </c>
      <c r="V62" s="99">
        <f>Assumptions!$I37/12</f>
        <v>1708.3333333333333</v>
      </c>
      <c r="W62" s="99">
        <f>Assumptions!$I37/12</f>
        <v>1708.3333333333333</v>
      </c>
      <c r="X62" s="99">
        <f>Assumptions!$I37/12</f>
        <v>1708.3333333333333</v>
      </c>
      <c r="Y62" s="99">
        <f>Assumptions!$I37/12</f>
        <v>1708.3333333333333</v>
      </c>
      <c r="Z62" s="99">
        <f>Assumptions!$I37/12</f>
        <v>1708.3333333333333</v>
      </c>
      <c r="AA62" s="95">
        <f>Assumptions!$I37/12</f>
        <v>1708.3333333333333</v>
      </c>
      <c r="AB62" s="107">
        <f>Assumptions!$I37/12</f>
        <v>1708.3333333333333</v>
      </c>
      <c r="AC62" s="103">
        <f t="shared" ref="AC62:AC63" si="141">SUM(Q62:AB62)</f>
        <v>20500</v>
      </c>
      <c r="AD62" s="91">
        <f>Assumptions!$J37/12</f>
        <v>1751.0416666666663</v>
      </c>
      <c r="AE62" s="99">
        <f>Assumptions!$J37/12</f>
        <v>1751.0416666666663</v>
      </c>
      <c r="AF62" s="99">
        <f>Assumptions!$J37/12</f>
        <v>1751.0416666666663</v>
      </c>
      <c r="AG62" s="99">
        <f>Assumptions!$J37/12</f>
        <v>1751.0416666666663</v>
      </c>
      <c r="AH62" s="99">
        <f>Assumptions!$J37/12</f>
        <v>1751.0416666666663</v>
      </c>
      <c r="AI62" s="99">
        <f>Assumptions!$J37/12</f>
        <v>1751.0416666666663</v>
      </c>
      <c r="AJ62" s="99">
        <f>Assumptions!$J37/12</f>
        <v>1751.0416666666663</v>
      </c>
      <c r="AK62" s="99">
        <f>Assumptions!$J37/12</f>
        <v>1751.0416666666663</v>
      </c>
      <c r="AL62" s="99">
        <f>Assumptions!$J37/12</f>
        <v>1751.0416666666663</v>
      </c>
      <c r="AM62" s="99">
        <f>Assumptions!$J37/12</f>
        <v>1751.0416666666663</v>
      </c>
      <c r="AN62" s="95">
        <f>Assumptions!$J37/12</f>
        <v>1751.0416666666663</v>
      </c>
      <c r="AO62" s="107">
        <f>Assumptions!$J37/12</f>
        <v>1751.0416666666663</v>
      </c>
      <c r="AP62" s="103">
        <f t="shared" ref="AP62:AP63" si="142">SUM(AD62:AO62)</f>
        <v>21012.5</v>
      </c>
      <c r="AQ62" s="91">
        <f>Assumptions!$K37/12</f>
        <v>1794.8177083333328</v>
      </c>
      <c r="AR62" s="99">
        <f>Assumptions!$K37/12</f>
        <v>1794.8177083333328</v>
      </c>
      <c r="AS62" s="99">
        <f>Assumptions!$K37/12</f>
        <v>1794.8177083333328</v>
      </c>
      <c r="AT62" s="99">
        <f>Assumptions!$K37/12</f>
        <v>1794.8177083333328</v>
      </c>
      <c r="AU62" s="99">
        <f>Assumptions!$K37/12</f>
        <v>1794.8177083333328</v>
      </c>
      <c r="AV62" s="99">
        <f>Assumptions!$K37/12</f>
        <v>1794.8177083333328</v>
      </c>
      <c r="AW62" s="99">
        <f>Assumptions!$K37/12</f>
        <v>1794.8177083333328</v>
      </c>
      <c r="AX62" s="99">
        <f>Assumptions!$K37/12</f>
        <v>1794.8177083333328</v>
      </c>
      <c r="AY62" s="99">
        <f>Assumptions!$K37/12</f>
        <v>1794.8177083333328</v>
      </c>
      <c r="AZ62" s="99">
        <f>Assumptions!$K37/12</f>
        <v>1794.8177083333328</v>
      </c>
      <c r="BA62" s="95">
        <f>Assumptions!$K37/12</f>
        <v>1794.8177083333328</v>
      </c>
      <c r="BB62" s="107">
        <f>Assumptions!$K37/12</f>
        <v>1794.8177083333328</v>
      </c>
      <c r="BC62" s="103">
        <f t="shared" ref="BC62:BC63" si="143">SUM(AQ62:BB62)</f>
        <v>21537.812499999989</v>
      </c>
      <c r="BD62" s="91">
        <f>Assumptions!$L37/12</f>
        <v>1839.6881510416658</v>
      </c>
      <c r="BE62" s="99">
        <f>Assumptions!$L37/12</f>
        <v>1839.6881510416658</v>
      </c>
      <c r="BF62" s="99">
        <f>Assumptions!$L37/12</f>
        <v>1839.6881510416658</v>
      </c>
      <c r="BG62" s="99">
        <f>Assumptions!$L37/12</f>
        <v>1839.6881510416658</v>
      </c>
      <c r="BH62" s="99">
        <f>Assumptions!$L37/12</f>
        <v>1839.6881510416658</v>
      </c>
      <c r="BI62" s="99">
        <f>Assumptions!$L37/12</f>
        <v>1839.6881510416658</v>
      </c>
      <c r="BJ62" s="99">
        <f>Assumptions!$L37/12</f>
        <v>1839.6881510416658</v>
      </c>
      <c r="BK62" s="99">
        <f>Assumptions!$L37/12</f>
        <v>1839.6881510416658</v>
      </c>
      <c r="BL62" s="99">
        <f>Assumptions!$L37/12</f>
        <v>1839.6881510416658</v>
      </c>
      <c r="BM62" s="99">
        <f>Assumptions!$L37/12</f>
        <v>1839.6881510416658</v>
      </c>
      <c r="BN62" s="95">
        <f>Assumptions!$L37/12</f>
        <v>1839.6881510416658</v>
      </c>
      <c r="BO62" s="107">
        <f>Assumptions!$L37/12</f>
        <v>1839.6881510416658</v>
      </c>
      <c r="BP62" s="103">
        <f t="shared" ref="BP62:BP63" si="144">SUM(BD62:BO62)</f>
        <v>22076.257812499985</v>
      </c>
      <c r="BQ62" s="91">
        <f>Assumptions!$M37/12</f>
        <v>1885.6803548177074</v>
      </c>
      <c r="BR62" s="99">
        <f>Assumptions!$M37/12</f>
        <v>1885.6803548177074</v>
      </c>
      <c r="BS62" s="99">
        <f>Assumptions!$M37/12</f>
        <v>1885.6803548177074</v>
      </c>
      <c r="BT62" s="99">
        <f>Assumptions!$M37/12</f>
        <v>1885.6803548177074</v>
      </c>
      <c r="BU62" s="99">
        <f>Assumptions!$M37/12</f>
        <v>1885.6803548177074</v>
      </c>
      <c r="BV62" s="99">
        <f>Assumptions!$M37/12</f>
        <v>1885.6803548177074</v>
      </c>
      <c r="BW62" s="99">
        <f>Assumptions!$M37/12</f>
        <v>1885.6803548177074</v>
      </c>
      <c r="BX62" s="99">
        <f>Assumptions!$M37/12</f>
        <v>1885.6803548177074</v>
      </c>
      <c r="BY62" s="99">
        <f>Assumptions!$M37/12</f>
        <v>1885.6803548177074</v>
      </c>
      <c r="BZ62" s="99">
        <f>Assumptions!$M37/12</f>
        <v>1885.6803548177074</v>
      </c>
      <c r="CA62" s="95">
        <f>Assumptions!$M37/12</f>
        <v>1885.6803548177074</v>
      </c>
      <c r="CB62" s="107">
        <f>Assumptions!$M37/12</f>
        <v>1885.6803548177074</v>
      </c>
      <c r="CC62" s="103">
        <f t="shared" ref="CC62:CC63" si="145">SUM(BQ62:CB62)</f>
        <v>22628.164257812492</v>
      </c>
      <c r="CD62" s="91">
        <f>Assumptions!$N37/12</f>
        <v>1932.8223636881501</v>
      </c>
      <c r="CE62" s="95">
        <f>Assumptions!$N37/12</f>
        <v>1932.8223636881501</v>
      </c>
      <c r="CF62" s="95">
        <f>Assumptions!$N37/12</f>
        <v>1932.8223636881501</v>
      </c>
      <c r="CG62" s="95">
        <f>Assumptions!$N37/12</f>
        <v>1932.8223636881501</v>
      </c>
      <c r="CH62" s="99">
        <f>Assumptions!$N37/12</f>
        <v>1932.8223636881501</v>
      </c>
      <c r="CI62" s="99">
        <f>Assumptions!$N37/12</f>
        <v>1932.8223636881501</v>
      </c>
      <c r="CJ62" s="99">
        <f>Assumptions!$N37/12</f>
        <v>1932.8223636881501</v>
      </c>
      <c r="CK62" s="99">
        <f>Assumptions!$N37/12</f>
        <v>1932.8223636881501</v>
      </c>
      <c r="CL62" s="99">
        <f>Assumptions!$N37/12</f>
        <v>1932.8223636881501</v>
      </c>
      <c r="CM62" s="99">
        <f>Assumptions!$N37/12</f>
        <v>1932.8223636881501</v>
      </c>
      <c r="CN62" s="95">
        <f>Assumptions!$N37/12</f>
        <v>1932.8223636881501</v>
      </c>
      <c r="CO62" s="107">
        <f>Assumptions!$N37/12</f>
        <v>1932.8223636881501</v>
      </c>
      <c r="CP62" s="103">
        <f t="shared" ref="CP62:CP63" si="146">SUM(CD62:CO62)</f>
        <v>23193.868364257796</v>
      </c>
    </row>
    <row r="63" spans="1:101">
      <c r="B63" s="113" t="s">
        <v>230</v>
      </c>
      <c r="C63" s="383"/>
      <c r="D63" s="99">
        <f ca="1">VLOOKUP(D6,'Loan Summary'!$F$2:$L$361,4)</f>
        <v>11492.8125</v>
      </c>
      <c r="E63" s="91">
        <f ca="1">VLOOKUP(E6,'Loan Summary'!$F$2:$L$361,4)</f>
        <v>11614.6875</v>
      </c>
      <c r="F63" s="95">
        <f ca="1">VLOOKUP(F6,'Loan Summary'!$F$2:$L$361,4)</f>
        <v>11729.615625</v>
      </c>
      <c r="G63" s="95">
        <f ca="1">VLOOKUP(G6,'Loan Summary'!$F$2:$L$361,4)</f>
        <v>11937.70643382353</v>
      </c>
      <c r="H63" s="95">
        <f ca="1">VLOOKUP(H6,'Loan Summary'!$F$2:$L$361,4)</f>
        <v>12145.797242647061</v>
      </c>
      <c r="I63" s="99">
        <f ca="1">VLOOKUP(I6,'Loan Summary'!$F$2:$L$361,4)</f>
        <v>12238.95992647059</v>
      </c>
      <c r="J63" s="95">
        <f ca="1">VLOOKUP(J6,'Loan Summary'!$F$2:$L$361,4)</f>
        <v>12332.12261029412</v>
      </c>
      <c r="K63" s="95">
        <f ca="1">VLOOKUP(K6,'Loan Summary'!$F$2:$L$361,4)</f>
        <v>12425.285294117652</v>
      </c>
      <c r="L63" s="95">
        <f ca="1">VLOOKUP(L6,'Loan Summary'!$F$2:$L$361,4)</f>
        <v>12518.447977941181</v>
      </c>
      <c r="M63" s="99">
        <f ca="1">VLOOKUP(M6,'Loan Summary'!$F$2:$L$361,4)</f>
        <v>12611.610661764711</v>
      </c>
      <c r="N63" s="95">
        <f ca="1">VLOOKUP(N6,'Loan Summary'!$F$2:$L$361,4)</f>
        <v>12704.773345588243</v>
      </c>
      <c r="O63" s="95">
        <f ca="1">VLOOKUP(O6,'Loan Summary'!$F$2:$L$361,4)</f>
        <v>12797.936029411772</v>
      </c>
      <c r="P63" s="103">
        <f t="shared" ca="1" si="140"/>
        <v>146549.75514705884</v>
      </c>
      <c r="Q63" s="91">
        <f ca="1">VLOOKUP(Q6,'Loan Summary'!$F$2:$L$361,4)</f>
        <v>12891.098713235302</v>
      </c>
      <c r="R63" s="99">
        <f ca="1">VLOOKUP(R6,'Loan Summary'!$F$2:$L$361,4)</f>
        <v>12984.261397058832</v>
      </c>
      <c r="S63" s="99">
        <f ca="1">VLOOKUP(S6,'Loan Summary'!$F$2:$L$361,4)</f>
        <v>13077.424080882363</v>
      </c>
      <c r="T63" s="99">
        <f ca="1">VLOOKUP(T6,'Loan Summary'!$F$2:$L$361,4)</f>
        <v>13170.586764705893</v>
      </c>
      <c r="U63" s="99">
        <f ca="1">VLOOKUP(U6,'Loan Summary'!$F$2:$L$361,4)</f>
        <v>13263.749448529423</v>
      </c>
      <c r="V63" s="99">
        <f ca="1">VLOOKUP(V6,'Loan Summary'!$F$2:$L$361,4)</f>
        <v>13356.912132352953</v>
      </c>
      <c r="W63" s="99">
        <f ca="1">VLOOKUP(W6,'Loan Summary'!$F$2:$L$361,4)</f>
        <v>13450.074816176484</v>
      </c>
      <c r="X63" s="99">
        <f ca="1">VLOOKUP(X6,'Loan Summary'!$F$2:$L$361,4)</f>
        <v>13543.237500000014</v>
      </c>
      <c r="Y63" s="99">
        <f ca="1">VLOOKUP(Y6,'Loan Summary'!$F$2:$L$361,4)</f>
        <v>13543.237500000014</v>
      </c>
      <c r="Z63" s="99">
        <f ca="1">VLOOKUP(Z6,'Loan Summary'!$F$2:$L$361,4)</f>
        <v>13543.237500000014</v>
      </c>
      <c r="AA63" s="95">
        <f ca="1">VLOOKUP(AA6,'Loan Summary'!$F$2:$L$361,4)</f>
        <v>13543.237500000014</v>
      </c>
      <c r="AB63" s="107">
        <f ca="1">VLOOKUP(AB6,'Loan Summary'!$F$2:$L$361,4)</f>
        <v>13543.237500000014</v>
      </c>
      <c r="AC63" s="103">
        <f t="shared" ca="1" si="141"/>
        <v>159910.29485294133</v>
      </c>
      <c r="AD63" s="91">
        <f ca="1">VLOOKUP(AD6,'Loan Summary'!$F$2:$L$361,4)</f>
        <v>13543.237500000014</v>
      </c>
      <c r="AE63" s="99">
        <f ca="1">VLOOKUP(AE6,'Loan Summary'!$F$2:$L$361,4)</f>
        <v>13543.237500000014</v>
      </c>
      <c r="AF63" s="99">
        <f ca="1">VLOOKUP(AF6,'Loan Summary'!$F$2:$L$361,4)</f>
        <v>13543.237500000014</v>
      </c>
      <c r="AG63" s="99">
        <f ca="1">VLOOKUP(AG6,'Loan Summary'!$F$2:$L$361,4)</f>
        <v>13543.237500000014</v>
      </c>
      <c r="AH63" s="99">
        <f ca="1">VLOOKUP(AH6,'Loan Summary'!$F$2:$L$361,4)</f>
        <v>13543.237500000014</v>
      </c>
      <c r="AI63" s="99">
        <f ca="1">VLOOKUP(AI6,'Loan Summary'!$F$2:$L$361,4)</f>
        <v>13543.237500000014</v>
      </c>
      <c r="AJ63" s="99">
        <f ca="1">VLOOKUP(AJ6,'Loan Summary'!$F$2:$L$361,4)</f>
        <v>13543.237500000014</v>
      </c>
      <c r="AK63" s="99">
        <f ca="1">VLOOKUP(AK6,'Loan Summary'!$F$2:$L$361,4)</f>
        <v>13543.237500000014</v>
      </c>
      <c r="AL63" s="99">
        <f ca="1">VLOOKUP(AL6,'Loan Summary'!$F$2:$L$361,4)</f>
        <v>13543.237500000014</v>
      </c>
      <c r="AM63" s="99">
        <f ca="1">VLOOKUP(AM6,'Loan Summary'!$F$2:$L$361,4)</f>
        <v>13543.237500000014</v>
      </c>
      <c r="AN63" s="95">
        <f>VLOOKUP(AN6,'Loan Summary'!$F$2:$L$361,4)</f>
        <v>17142.543486450741</v>
      </c>
      <c r="AO63" s="107">
        <f>VLOOKUP(AO6,'Loan Summary'!$F$2:$L$361,4)</f>
        <v>17142.543486450741</v>
      </c>
      <c r="AP63" s="103">
        <f t="shared" ca="1" si="142"/>
        <v>169717.46197290163</v>
      </c>
      <c r="AQ63" s="91">
        <f>VLOOKUP(AQ6,'Loan Summary'!$F$2:$L$361,4)</f>
        <v>17142.543486450741</v>
      </c>
      <c r="AR63" s="99">
        <f>VLOOKUP(AR6,'Loan Summary'!$F$2:$L$361,4)</f>
        <v>17142.543486450741</v>
      </c>
      <c r="AS63" s="99">
        <f>VLOOKUP(AS6,'Loan Summary'!$F$2:$L$361,4)</f>
        <v>17142.543486450741</v>
      </c>
      <c r="AT63" s="99">
        <f>VLOOKUP(AT6,'Loan Summary'!$F$2:$L$361,4)</f>
        <v>17142.543486450741</v>
      </c>
      <c r="AU63" s="99">
        <f>VLOOKUP(AU6,'Loan Summary'!$F$2:$L$361,4)</f>
        <v>17142.543486450741</v>
      </c>
      <c r="AV63" s="99">
        <f>VLOOKUP(AV6,'Loan Summary'!$F$2:$L$361,4)</f>
        <v>17142.543486450741</v>
      </c>
      <c r="AW63" s="99">
        <f>VLOOKUP(AW6,'Loan Summary'!$F$2:$L$361,4)</f>
        <v>17142.543486450741</v>
      </c>
      <c r="AX63" s="99">
        <f>VLOOKUP(AX6,'Loan Summary'!$F$2:$L$361,4)</f>
        <v>17142.543486450741</v>
      </c>
      <c r="AY63" s="99">
        <f>VLOOKUP(AY6,'Loan Summary'!$F$2:$L$361,4)</f>
        <v>17142.543486450741</v>
      </c>
      <c r="AZ63" s="99">
        <f>VLOOKUP(AZ6,'Loan Summary'!$F$2:$L$361,4)</f>
        <v>17142.543486450741</v>
      </c>
      <c r="BA63" s="95">
        <f>VLOOKUP(BA6,'Loan Summary'!$F$2:$L$361,4)</f>
        <v>17142.543486450741</v>
      </c>
      <c r="BB63" s="107">
        <f>VLOOKUP(BB6,'Loan Summary'!$F$2:$L$361,4)</f>
        <v>17142.543486450741</v>
      </c>
      <c r="BC63" s="103">
        <f t="shared" si="143"/>
        <v>205710.52183740889</v>
      </c>
      <c r="BD63" s="91">
        <f>VLOOKUP(BD6,'Loan Summary'!$F$2:$L$361,4)</f>
        <v>17142.543486450741</v>
      </c>
      <c r="BE63" s="99">
        <f>VLOOKUP(BE6,'Loan Summary'!$F$2:$L$361,4)</f>
        <v>17142.543486450741</v>
      </c>
      <c r="BF63" s="99">
        <f>VLOOKUP(BF6,'Loan Summary'!$F$2:$L$361,4)</f>
        <v>17142.543486450741</v>
      </c>
      <c r="BG63" s="99">
        <f>VLOOKUP(BG6,'Loan Summary'!$F$2:$L$361,4)</f>
        <v>17142.543486450741</v>
      </c>
      <c r="BH63" s="99">
        <f>VLOOKUP(BH6,'Loan Summary'!$F$2:$L$361,4)</f>
        <v>17142.543486450741</v>
      </c>
      <c r="BI63" s="99">
        <f>VLOOKUP(BI6,'Loan Summary'!$F$2:$L$361,4)</f>
        <v>17142.543486450741</v>
      </c>
      <c r="BJ63" s="99">
        <f>VLOOKUP(BJ6,'Loan Summary'!$F$2:$L$361,4)</f>
        <v>17142.543486450741</v>
      </c>
      <c r="BK63" s="99">
        <f>VLOOKUP(BK6,'Loan Summary'!$F$2:$L$361,4)</f>
        <v>17142.543486450741</v>
      </c>
      <c r="BL63" s="99">
        <f>VLOOKUP(BL6,'Loan Summary'!$F$2:$L$361,4)</f>
        <v>17142.543486450741</v>
      </c>
      <c r="BM63" s="99">
        <f>VLOOKUP(BM6,'Loan Summary'!$F$2:$L$361,4)</f>
        <v>17142.543486450741</v>
      </c>
      <c r="BN63" s="95">
        <f>VLOOKUP(BN6,'Loan Summary'!$F$2:$L$361,4)</f>
        <v>17142.543486450741</v>
      </c>
      <c r="BO63" s="107">
        <f>VLOOKUP(BO6,'Loan Summary'!$F$2:$L$361,4)</f>
        <v>17142.543486450741</v>
      </c>
      <c r="BP63" s="103">
        <f t="shared" si="144"/>
        <v>205710.52183740889</v>
      </c>
      <c r="BQ63" s="91">
        <f>VLOOKUP(BQ6,'Loan Summary'!$F$2:$L$361,4)</f>
        <v>17142.543486450741</v>
      </c>
      <c r="BR63" s="99">
        <f>VLOOKUP(BR6,'Loan Summary'!$F$2:$L$361,4)</f>
        <v>17142.543486450741</v>
      </c>
      <c r="BS63" s="99">
        <f>VLOOKUP(BS6,'Loan Summary'!$F$2:$L$361,4)</f>
        <v>17142.543486450741</v>
      </c>
      <c r="BT63" s="99">
        <f>VLOOKUP(BT6,'Loan Summary'!$F$2:$L$361,4)</f>
        <v>17142.543486450741</v>
      </c>
      <c r="BU63" s="99">
        <f>VLOOKUP(BU6,'Loan Summary'!$F$2:$L$361,4)</f>
        <v>17142.543486450741</v>
      </c>
      <c r="BV63" s="99">
        <f>VLOOKUP(BV6,'Loan Summary'!$F$2:$L$361,4)</f>
        <v>17142.543486450741</v>
      </c>
      <c r="BW63" s="99">
        <f>VLOOKUP(BW6,'Loan Summary'!$F$2:$L$361,4)</f>
        <v>17142.543486450741</v>
      </c>
      <c r="BX63" s="99">
        <f>VLOOKUP(BX6,'Loan Summary'!$F$2:$L$361,4)</f>
        <v>17142.543486450741</v>
      </c>
      <c r="BY63" s="99">
        <f>VLOOKUP(BY6,'Loan Summary'!$F$2:$L$361,4)</f>
        <v>17142.543486450741</v>
      </c>
      <c r="BZ63" s="99">
        <f>VLOOKUP(BZ6,'Loan Summary'!$F$2:$L$361,4)</f>
        <v>17142.543486450741</v>
      </c>
      <c r="CA63" s="95">
        <f>VLOOKUP(CA6,'Loan Summary'!$F$2:$L$361,4)</f>
        <v>17142.543486450741</v>
      </c>
      <c r="CB63" s="107">
        <f>VLOOKUP(CB6,'Loan Summary'!$F$2:$L$361,4)</f>
        <v>17142.543486450741</v>
      </c>
      <c r="CC63" s="103">
        <f t="shared" si="145"/>
        <v>205710.52183740889</v>
      </c>
      <c r="CD63" s="91">
        <f>VLOOKUP(CD6,'Loan Summary'!$F$2:$L$361,4)</f>
        <v>17142.543486450741</v>
      </c>
      <c r="CE63" s="95">
        <f>VLOOKUP(CE6,'Loan Summary'!$F$2:$L$361,4)</f>
        <v>17142.543486450741</v>
      </c>
      <c r="CF63" s="95">
        <f>VLOOKUP(CF6,'Loan Summary'!$F$2:$L$361,4)</f>
        <v>17142.543486450741</v>
      </c>
      <c r="CG63" s="95">
        <f>VLOOKUP(CG6,'Loan Summary'!$F$2:$L$361,4)</f>
        <v>17142.543486450741</v>
      </c>
      <c r="CH63" s="99">
        <f>VLOOKUP(CH6,'Loan Summary'!$F$2:$L$361,4)</f>
        <v>17142.543486450741</v>
      </c>
      <c r="CI63" s="99">
        <f>VLOOKUP(CI6,'Loan Summary'!$F$2:$L$361,4)</f>
        <v>17142.543486450741</v>
      </c>
      <c r="CJ63" s="99">
        <f>VLOOKUP(CJ6,'Loan Summary'!$F$2:$L$361,4)</f>
        <v>17142.543486450741</v>
      </c>
      <c r="CK63" s="99">
        <f>VLOOKUP(CK6,'Loan Summary'!$F$2:$L$361,4)</f>
        <v>17142.543486450741</v>
      </c>
      <c r="CL63" s="99">
        <f>VLOOKUP(CL6,'Loan Summary'!$F$2:$L$361,4)</f>
        <v>17142.543486450741</v>
      </c>
      <c r="CM63" s="99">
        <f>VLOOKUP(CM6,'Loan Summary'!$F$2:$L$361,4)</f>
        <v>17142.543486450741</v>
      </c>
      <c r="CN63" s="95">
        <f>VLOOKUP(CN6,'Loan Summary'!$F$2:$L$361,4)</f>
        <v>17142.543486450741</v>
      </c>
      <c r="CO63" s="107">
        <f>VLOOKUP(CO6,'Loan Summary'!$F$2:$L$361,4)</f>
        <v>17142.543486450741</v>
      </c>
      <c r="CP63" s="103">
        <f t="shared" si="146"/>
        <v>205710.52183740889</v>
      </c>
    </row>
    <row r="64" spans="1:101">
      <c r="B64" s="113" t="s">
        <v>231</v>
      </c>
      <c r="C64" s="383"/>
      <c r="D64" s="99">
        <f>VLOOKUP(D6,'Loan Summary'!$F$2:$L$361,5)</f>
        <v>0</v>
      </c>
      <c r="E64" s="91">
        <f>VLOOKUP(E6,'Loan Summary'!$F$2:$L$361,5)</f>
        <v>0</v>
      </c>
      <c r="F64" s="95">
        <f>VLOOKUP(F6,'Loan Summary'!$F$2:$L$361,5)</f>
        <v>0</v>
      </c>
      <c r="G64" s="95">
        <f>VLOOKUP(G6,'Loan Summary'!$F$2:$L$361,5)</f>
        <v>0</v>
      </c>
      <c r="H64" s="95">
        <f>VLOOKUP(H6,'Loan Summary'!$F$2:$L$361,5)</f>
        <v>0</v>
      </c>
      <c r="I64" s="99">
        <f>VLOOKUP(I6,'Loan Summary'!$F$2:$L$361,5)</f>
        <v>0</v>
      </c>
      <c r="J64" s="95">
        <f>VLOOKUP(J6,'Loan Summary'!$F$2:$L$361,5)</f>
        <v>0</v>
      </c>
      <c r="K64" s="95">
        <f>VLOOKUP(K6,'Loan Summary'!$F$2:$L$361,5)</f>
        <v>0</v>
      </c>
      <c r="L64" s="95">
        <f>VLOOKUP(L6,'Loan Summary'!$F$2:$L$361,5)</f>
        <v>0</v>
      </c>
      <c r="M64" s="99">
        <f>VLOOKUP(M6,'Loan Summary'!$F$2:$L$361,5)</f>
        <v>0</v>
      </c>
      <c r="N64" s="95">
        <f>VLOOKUP(N6,'Loan Summary'!$F$2:$L$361,5)</f>
        <v>0</v>
      </c>
      <c r="O64" s="95">
        <f>VLOOKUP(O6,'Loan Summary'!$F$2:$L$361,5)</f>
        <v>0</v>
      </c>
      <c r="P64" s="103">
        <f>SUM(D64:O64)</f>
        <v>0</v>
      </c>
      <c r="Q64" s="91">
        <f>VLOOKUP(Q6,'Loan Summary'!$F$2:$L$361,5)</f>
        <v>0</v>
      </c>
      <c r="R64" s="99">
        <f>VLOOKUP(R6,'Loan Summary'!$F$2:$L$361,5)</f>
        <v>0</v>
      </c>
      <c r="S64" s="99">
        <f>VLOOKUP(S6,'Loan Summary'!$F$2:$L$361,5)</f>
        <v>0</v>
      </c>
      <c r="T64" s="99">
        <f>VLOOKUP(T6,'Loan Summary'!$F$2:$L$361,5)</f>
        <v>0</v>
      </c>
      <c r="U64" s="99">
        <f>VLOOKUP(U6,'Loan Summary'!$F$2:$L$361,5)</f>
        <v>0</v>
      </c>
      <c r="V64" s="99">
        <f>VLOOKUP(V6,'Loan Summary'!$F$2:$L$361,5)</f>
        <v>0</v>
      </c>
      <c r="W64" s="99">
        <f>VLOOKUP(W6,'Loan Summary'!$F$2:$L$361,5)</f>
        <v>0</v>
      </c>
      <c r="X64" s="99">
        <f>VLOOKUP(X6,'Loan Summary'!$F$2:$L$361,5)</f>
        <v>0</v>
      </c>
      <c r="Y64" s="99">
        <f>VLOOKUP(Y6,'Loan Summary'!$F$2:$L$361,5)</f>
        <v>0</v>
      </c>
      <c r="Z64" s="99">
        <f>VLOOKUP(Z6,'Loan Summary'!$F$2:$L$361,5)</f>
        <v>0</v>
      </c>
      <c r="AA64" s="95">
        <f>VLOOKUP(AA6,'Loan Summary'!$F$2:$L$361,5)</f>
        <v>0</v>
      </c>
      <c r="AB64" s="107">
        <f>VLOOKUP(AB6,'Loan Summary'!$F$2:$L$361,5)</f>
        <v>0</v>
      </c>
      <c r="AC64" s="103">
        <f>SUM(Q64:AB64)</f>
        <v>0</v>
      </c>
      <c r="AD64" s="91">
        <f>VLOOKUP(AD6,'Loan Summary'!$F$2:$L$361,5)</f>
        <v>0</v>
      </c>
      <c r="AE64" s="99">
        <f>VLOOKUP(AE6,'Loan Summary'!$F$2:$L$361,5)</f>
        <v>0</v>
      </c>
      <c r="AF64" s="99">
        <f>VLOOKUP(AF6,'Loan Summary'!$F$2:$L$361,5)</f>
        <v>0</v>
      </c>
      <c r="AG64" s="99">
        <f>VLOOKUP(AG6,'Loan Summary'!$F$2:$L$361,5)</f>
        <v>0</v>
      </c>
      <c r="AH64" s="99">
        <f>VLOOKUP(AH6,'Loan Summary'!$F$2:$L$361,5)</f>
        <v>0</v>
      </c>
      <c r="AI64" s="99">
        <f>VLOOKUP(AI6,'Loan Summary'!$F$2:$L$361,5)</f>
        <v>0</v>
      </c>
      <c r="AJ64" s="99">
        <f>VLOOKUP(AJ6,'Loan Summary'!$F$2:$L$361,5)</f>
        <v>0</v>
      </c>
      <c r="AK64" s="99">
        <f>VLOOKUP(AK6,'Loan Summary'!$F$2:$L$361,5)</f>
        <v>0</v>
      </c>
      <c r="AL64" s="99">
        <f>VLOOKUP(AL6,'Loan Summary'!$F$2:$L$361,5)</f>
        <v>0</v>
      </c>
      <c r="AM64" s="99">
        <f>VLOOKUP(AM6,'Loan Summary'!$F$2:$L$361,5)</f>
        <v>0</v>
      </c>
      <c r="AN64" s="95">
        <f>VLOOKUP(AN6,'Loan Summary'!$F$2:$L$361,5)</f>
        <v>0</v>
      </c>
      <c r="AO64" s="107">
        <f>VLOOKUP(AO6,'Loan Summary'!$F$2:$L$361,5)</f>
        <v>0</v>
      </c>
      <c r="AP64" s="103">
        <f>SUM(AD64:AO64)</f>
        <v>0</v>
      </c>
      <c r="AQ64" s="91">
        <f>VLOOKUP(AQ6,'Loan Summary'!$F$2:$L$361,5)</f>
        <v>0</v>
      </c>
      <c r="AR64" s="99">
        <f>VLOOKUP(AR6,'Loan Summary'!$F$2:$L$361,5)</f>
        <v>0</v>
      </c>
      <c r="AS64" s="99">
        <f>VLOOKUP(AS6,'Loan Summary'!$F$2:$L$361,5)</f>
        <v>0</v>
      </c>
      <c r="AT64" s="99">
        <f>VLOOKUP(AT6,'Loan Summary'!$F$2:$L$361,5)</f>
        <v>0</v>
      </c>
      <c r="AU64" s="99">
        <f>VLOOKUP(AU6,'Loan Summary'!$F$2:$L$361,5)</f>
        <v>0</v>
      </c>
      <c r="AV64" s="99">
        <f>VLOOKUP(AV6,'Loan Summary'!$F$2:$L$361,5)</f>
        <v>0</v>
      </c>
      <c r="AW64" s="99">
        <f>VLOOKUP(AW6,'Loan Summary'!$F$2:$L$361,5)</f>
        <v>0</v>
      </c>
      <c r="AX64" s="99">
        <f>VLOOKUP(AX6,'Loan Summary'!$F$2:$L$361,5)</f>
        <v>0</v>
      </c>
      <c r="AY64" s="99">
        <f>VLOOKUP(AY6,'Loan Summary'!$F$2:$L$361,5)</f>
        <v>0</v>
      </c>
      <c r="AZ64" s="99">
        <f>VLOOKUP(AZ6,'Loan Summary'!$F$2:$L$361,5)</f>
        <v>0</v>
      </c>
      <c r="BA64" s="95">
        <f>VLOOKUP(BA6,'Loan Summary'!$F$2:$L$361,5)</f>
        <v>0</v>
      </c>
      <c r="BB64" s="107">
        <f>VLOOKUP(BB6,'Loan Summary'!$F$2:$L$361,5)</f>
        <v>0</v>
      </c>
      <c r="BC64" s="103">
        <f>SUM(AQ64:BB64)</f>
        <v>0</v>
      </c>
      <c r="BD64" s="91">
        <f>VLOOKUP(BD6,'Loan Summary'!$F$2:$L$361,5)</f>
        <v>0</v>
      </c>
      <c r="BE64" s="99">
        <f>VLOOKUP(BE6,'Loan Summary'!$F$2:$L$361,5)</f>
        <v>0</v>
      </c>
      <c r="BF64" s="99">
        <f>VLOOKUP(BF6,'Loan Summary'!$F$2:$L$361,5)</f>
        <v>0</v>
      </c>
      <c r="BG64" s="99">
        <f>VLOOKUP(BG6,'Loan Summary'!$F$2:$L$361,5)</f>
        <v>0</v>
      </c>
      <c r="BH64" s="99">
        <f>VLOOKUP(BH6,'Loan Summary'!$F$2:$L$361,5)</f>
        <v>0</v>
      </c>
      <c r="BI64" s="99">
        <f>VLOOKUP(BI6,'Loan Summary'!$F$2:$L$361,5)</f>
        <v>0</v>
      </c>
      <c r="BJ64" s="99">
        <f>VLOOKUP(BJ6,'Loan Summary'!$F$2:$L$361,5)</f>
        <v>0</v>
      </c>
      <c r="BK64" s="99">
        <f>VLOOKUP(BK6,'Loan Summary'!$F$2:$L$361,5)</f>
        <v>0</v>
      </c>
      <c r="BL64" s="99">
        <f>VLOOKUP(BL6,'Loan Summary'!$F$2:$L$361,5)</f>
        <v>0</v>
      </c>
      <c r="BM64" s="99">
        <f>VLOOKUP(BM6,'Loan Summary'!$F$2:$L$361,5)</f>
        <v>0</v>
      </c>
      <c r="BN64" s="95">
        <f>VLOOKUP(BN6,'Loan Summary'!$F$2:$L$361,5)</f>
        <v>0</v>
      </c>
      <c r="BO64" s="107">
        <f>VLOOKUP(BO6,'Loan Summary'!$F$2:$L$361,5)</f>
        <v>0</v>
      </c>
      <c r="BP64" s="103">
        <f>SUM(BD64:BO64)</f>
        <v>0</v>
      </c>
      <c r="BQ64" s="91">
        <f>VLOOKUP(BQ6,'Loan Summary'!$F$2:$L$361,5)</f>
        <v>0</v>
      </c>
      <c r="BR64" s="99">
        <f>VLOOKUP(BR6,'Loan Summary'!$F$2:$L$361,5)</f>
        <v>0</v>
      </c>
      <c r="BS64" s="99">
        <f>VLOOKUP(BS6,'Loan Summary'!$F$2:$L$361,5)</f>
        <v>0</v>
      </c>
      <c r="BT64" s="99">
        <f>VLOOKUP(BT6,'Loan Summary'!$F$2:$L$361,5)</f>
        <v>0</v>
      </c>
      <c r="BU64" s="99">
        <f>VLOOKUP(BU6,'Loan Summary'!$F$2:$L$361,5)</f>
        <v>0</v>
      </c>
      <c r="BV64" s="99">
        <f>VLOOKUP(BV6,'Loan Summary'!$F$2:$L$361,5)</f>
        <v>0</v>
      </c>
      <c r="BW64" s="99">
        <f>VLOOKUP(BW6,'Loan Summary'!$F$2:$L$361,5)</f>
        <v>0</v>
      </c>
      <c r="BX64" s="99">
        <f>VLOOKUP(BX6,'Loan Summary'!$F$2:$L$361,5)</f>
        <v>0</v>
      </c>
      <c r="BY64" s="99">
        <f>VLOOKUP(BY6,'Loan Summary'!$F$2:$L$361,5)</f>
        <v>0</v>
      </c>
      <c r="BZ64" s="99">
        <f>VLOOKUP(BZ6,'Loan Summary'!$F$2:$L$361,5)</f>
        <v>0</v>
      </c>
      <c r="CA64" s="95">
        <f>VLOOKUP(CA6,'Loan Summary'!$F$2:$L$361,5)</f>
        <v>0</v>
      </c>
      <c r="CB64" s="107">
        <f>VLOOKUP(CB6,'Loan Summary'!$F$2:$L$361,5)</f>
        <v>0</v>
      </c>
      <c r="CC64" s="103">
        <f>SUM(BQ64:CB64)</f>
        <v>0</v>
      </c>
      <c r="CD64" s="91">
        <f>VLOOKUP(CD6,'Loan Summary'!$F$2:$L$361,5)</f>
        <v>0</v>
      </c>
      <c r="CE64" s="95">
        <f>VLOOKUP(CE6,'Loan Summary'!$F$2:$L$361,5)</f>
        <v>0</v>
      </c>
      <c r="CF64" s="95">
        <f>VLOOKUP(CF6,'Loan Summary'!$F$2:$L$361,5)</f>
        <v>0</v>
      </c>
      <c r="CG64" s="95">
        <f>VLOOKUP(CG6,'Loan Summary'!$F$2:$L$361,5)</f>
        <v>0</v>
      </c>
      <c r="CH64" s="99">
        <f>VLOOKUP(CH6,'Loan Summary'!$F$2:$L$361,5)</f>
        <v>0</v>
      </c>
      <c r="CI64" s="99">
        <f>VLOOKUP(CI6,'Loan Summary'!$F$2:$L$361,5)</f>
        <v>0</v>
      </c>
      <c r="CJ64" s="99">
        <f>VLOOKUP(CJ6,'Loan Summary'!$F$2:$L$361,5)</f>
        <v>0</v>
      </c>
      <c r="CK64" s="99">
        <f>VLOOKUP(CK6,'Loan Summary'!$F$2:$L$361,5)</f>
        <v>0</v>
      </c>
      <c r="CL64" s="99">
        <f>VLOOKUP(CL6,'Loan Summary'!$F$2:$L$361,5)</f>
        <v>0</v>
      </c>
      <c r="CM64" s="99">
        <f>VLOOKUP(CM6,'Loan Summary'!$F$2:$L$361,5)</f>
        <v>0</v>
      </c>
      <c r="CN64" s="95">
        <f>VLOOKUP(CN6,'Loan Summary'!$F$2:$L$361,5)</f>
        <v>0</v>
      </c>
      <c r="CO64" s="107">
        <f>VLOOKUP(CO6,'Loan Summary'!$F$2:$L$361,5)</f>
        <v>0</v>
      </c>
      <c r="CP64" s="103">
        <f>SUM(CD64:CO64)</f>
        <v>0</v>
      </c>
    </row>
    <row r="65" spans="1:94">
      <c r="B65" s="113"/>
      <c r="C65" s="383"/>
      <c r="D65" s="99"/>
      <c r="E65" s="91"/>
      <c r="F65" s="95"/>
      <c r="G65" s="95"/>
      <c r="H65" s="95"/>
      <c r="I65" s="99"/>
      <c r="J65" s="95"/>
      <c r="K65" s="95"/>
      <c r="L65" s="95"/>
      <c r="M65" s="99"/>
      <c r="N65" s="95"/>
      <c r="O65" s="95"/>
      <c r="P65" s="103"/>
      <c r="Q65" s="91"/>
      <c r="R65" s="99"/>
      <c r="S65" s="99"/>
      <c r="T65" s="99"/>
      <c r="U65" s="99"/>
      <c r="V65" s="99"/>
      <c r="W65" s="99"/>
      <c r="X65" s="99"/>
      <c r="Y65" s="99"/>
      <c r="Z65" s="99"/>
      <c r="AA65" s="95"/>
      <c r="AB65" s="107"/>
      <c r="AC65" s="103"/>
      <c r="AD65" s="91"/>
      <c r="AE65" s="99"/>
      <c r="AF65" s="99"/>
      <c r="AG65" s="99"/>
      <c r="AH65" s="99"/>
      <c r="AI65" s="99"/>
      <c r="AJ65" s="99"/>
      <c r="AK65" s="99"/>
      <c r="AL65" s="99"/>
      <c r="AM65" s="99"/>
      <c r="AN65" s="95"/>
      <c r="AO65" s="107"/>
      <c r="AP65" s="103"/>
      <c r="AQ65" s="91"/>
      <c r="AR65" s="99"/>
      <c r="AS65" s="99"/>
      <c r="AT65" s="99"/>
      <c r="AU65" s="99"/>
      <c r="AV65" s="99"/>
      <c r="AW65" s="99"/>
      <c r="AX65" s="99"/>
      <c r="AY65" s="99"/>
      <c r="AZ65" s="99"/>
      <c r="BA65" s="95"/>
      <c r="BB65" s="107"/>
      <c r="BC65" s="103"/>
      <c r="BD65" s="91"/>
      <c r="BE65" s="99"/>
      <c r="BF65" s="99"/>
      <c r="BG65" s="99"/>
      <c r="BH65" s="99"/>
      <c r="BI65" s="99"/>
      <c r="BJ65" s="99"/>
      <c r="BK65" s="99"/>
      <c r="BL65" s="99"/>
      <c r="BM65" s="99"/>
      <c r="BN65" s="95"/>
      <c r="BO65" s="107"/>
      <c r="BP65" s="103"/>
      <c r="BQ65" s="91"/>
      <c r="BR65" s="99"/>
      <c r="BS65" s="99"/>
      <c r="BT65" s="99"/>
      <c r="BU65" s="99"/>
      <c r="BV65" s="99"/>
      <c r="BW65" s="99"/>
      <c r="BX65" s="99"/>
      <c r="BY65" s="99"/>
      <c r="BZ65" s="99"/>
      <c r="CA65" s="95"/>
      <c r="CB65" s="107"/>
      <c r="CC65" s="103"/>
      <c r="CD65" s="91"/>
      <c r="CE65" s="95"/>
      <c r="CF65" s="95"/>
      <c r="CG65" s="95"/>
      <c r="CH65" s="99"/>
      <c r="CI65" s="99"/>
      <c r="CJ65" s="99"/>
      <c r="CK65" s="99"/>
      <c r="CL65" s="99"/>
      <c r="CM65" s="99"/>
      <c r="CN65" s="95"/>
      <c r="CO65" s="107"/>
      <c r="CP65" s="103"/>
    </row>
    <row r="66" spans="1:94">
      <c r="B66" s="113" t="s">
        <v>286</v>
      </c>
      <c r="C66" s="383"/>
      <c r="D66" s="99">
        <f ca="1">(Assumptions!$C$36*Assumptions!$G$38)/12</f>
        <v>1872.0521900646499</v>
      </c>
      <c r="E66" s="99">
        <f ca="1">(Assumptions!$C$36*Assumptions!$G$38)/12</f>
        <v>1872.0521900646499</v>
      </c>
      <c r="F66" s="99">
        <f ca="1">(Assumptions!$C$36*Assumptions!$G$38)/12</f>
        <v>1872.0521900646499</v>
      </c>
      <c r="G66" s="99">
        <f ca="1">(Assumptions!$C$36*Assumptions!$G$38)/12</f>
        <v>1872.0521900646499</v>
      </c>
      <c r="H66" s="99">
        <f ca="1">(Assumptions!$C$36*Assumptions!$G$38)/12</f>
        <v>1872.0521900646499</v>
      </c>
      <c r="I66" s="99">
        <f ca="1">(Assumptions!$C$36*Assumptions!$G$38)/12</f>
        <v>1872.0521900646499</v>
      </c>
      <c r="J66" s="99">
        <f ca="1">(Assumptions!$C$36*Assumptions!$G$38)/12</f>
        <v>1872.0521900646499</v>
      </c>
      <c r="K66" s="99">
        <f ca="1">(Assumptions!$C$36*Assumptions!$G$38)/12</f>
        <v>1872.0521900646499</v>
      </c>
      <c r="L66" s="99">
        <f ca="1">(Assumptions!$C$36*Assumptions!$G$38)/12</f>
        <v>1872.0521900646499</v>
      </c>
      <c r="M66" s="99">
        <f ca="1">(Assumptions!$C$36*Assumptions!$G$38)/12</f>
        <v>1872.0521900646499</v>
      </c>
      <c r="N66" s="99">
        <f ca="1">(Assumptions!$C$36*Assumptions!$G$38)/12</f>
        <v>1872.0521900646499</v>
      </c>
      <c r="O66" s="99">
        <f ca="1">(Assumptions!$C$36*Assumptions!$G$38)/12</f>
        <v>1872.0521900646499</v>
      </c>
      <c r="P66" s="103">
        <f ca="1">SUM(D66:O66)</f>
        <v>22464.626280775792</v>
      </c>
      <c r="Q66" s="99">
        <f ca="1">(Assumptions!$C$36*Assumptions!$G$38)/12</f>
        <v>1872.0521900646499</v>
      </c>
      <c r="R66" s="99">
        <f ca="1">(Assumptions!$C$36*Assumptions!$G$38)/12</f>
        <v>1872.0521900646499</v>
      </c>
      <c r="S66" s="99">
        <f ca="1">(Assumptions!$C$36*Assumptions!$G$38)/12</f>
        <v>1872.0521900646499</v>
      </c>
      <c r="T66" s="99">
        <f ca="1">(Assumptions!$C$36*Assumptions!$G$38)/12</f>
        <v>1872.0521900646499</v>
      </c>
      <c r="U66" s="99">
        <f ca="1">(Assumptions!$C$36*Assumptions!$G$38)/12</f>
        <v>1872.0521900646499</v>
      </c>
      <c r="V66" s="99">
        <f ca="1">(Assumptions!$C$36*Assumptions!$G$38)/12</f>
        <v>1872.0521900646499</v>
      </c>
      <c r="W66" s="99">
        <f ca="1">(Assumptions!$C$36*Assumptions!$G$38)/12</f>
        <v>1872.0521900646499</v>
      </c>
      <c r="X66" s="99">
        <f ca="1">(Assumptions!$C$36*Assumptions!$G$38)/12</f>
        <v>1872.0521900646499</v>
      </c>
      <c r="Y66" s="99">
        <f ca="1">(Assumptions!$C$36*Assumptions!$G$38)/12</f>
        <v>1872.0521900646499</v>
      </c>
      <c r="Z66" s="99">
        <f ca="1">(Assumptions!$C$36*Assumptions!$G$38)/12</f>
        <v>1872.0521900646499</v>
      </c>
      <c r="AA66" s="99">
        <f ca="1">(Assumptions!$C$36*Assumptions!$G$38)/12</f>
        <v>1872.0521900646499</v>
      </c>
      <c r="AB66" s="99">
        <f ca="1">(Assumptions!$C$36*Assumptions!$G$38)/12</f>
        <v>1872.0521900646499</v>
      </c>
      <c r="AC66" s="103">
        <f ca="1">SUM(Q66:AB66)</f>
        <v>22464.626280775792</v>
      </c>
      <c r="AD66" s="99">
        <f ca="1">(Assumptions!$C$36*Assumptions!$G$38)/12</f>
        <v>1872.0521900646499</v>
      </c>
      <c r="AE66" s="99">
        <f ca="1">(Assumptions!$C$36*Assumptions!$G$38)/12</f>
        <v>1872.0521900646499</v>
      </c>
      <c r="AF66" s="99">
        <f ca="1">(Assumptions!$C$36*Assumptions!$G$38)/12</f>
        <v>1872.0521900646499</v>
      </c>
      <c r="AG66" s="99">
        <f ca="1">(Assumptions!$C$36*Assumptions!$G$38)/12</f>
        <v>1872.0521900646499</v>
      </c>
      <c r="AH66" s="99">
        <f ca="1">(Assumptions!$C$36*Assumptions!$G$38)/12</f>
        <v>1872.0521900646499</v>
      </c>
      <c r="AI66" s="99">
        <f ca="1">(Assumptions!$C$36*Assumptions!$G$38)/12</f>
        <v>1872.0521900646499</v>
      </c>
      <c r="AJ66" s="99">
        <f ca="1">(Assumptions!$C$36*Assumptions!$G$38)/12</f>
        <v>1872.0521900646499</v>
      </c>
      <c r="AK66" s="99">
        <f ca="1">(Assumptions!$C$36*Assumptions!$G$38)/12</f>
        <v>1872.0521900646499</v>
      </c>
      <c r="AL66" s="99">
        <f ca="1">(Assumptions!$C$36*Assumptions!$G$38)/12</f>
        <v>1872.0521900646499</v>
      </c>
      <c r="AM66" s="99">
        <f ca="1">(Assumptions!$C$36*Assumptions!$G$38)/12</f>
        <v>1872.0521900646499</v>
      </c>
      <c r="AN66" s="99">
        <f ca="1">(Assumptions!$C$36*Assumptions!$G$38)/12</f>
        <v>1872.0521900646499</v>
      </c>
      <c r="AO66" s="99">
        <f ca="1">(Assumptions!$C$36*Assumptions!$G$38)/12</f>
        <v>1872.0521900646499</v>
      </c>
      <c r="AP66" s="103">
        <f ca="1">SUM(AD66:AO66)</f>
        <v>22464.626280775792</v>
      </c>
      <c r="AQ66" s="99">
        <f ca="1">(Assumptions!$C$36*Assumptions!$G$38)/12</f>
        <v>1872.0521900646499</v>
      </c>
      <c r="AR66" s="99">
        <f ca="1">(Assumptions!$C$36*Assumptions!$G$38)/12</f>
        <v>1872.0521900646499</v>
      </c>
      <c r="AS66" s="99">
        <f ca="1">(Assumptions!$C$36*Assumptions!$G$38)/12</f>
        <v>1872.0521900646499</v>
      </c>
      <c r="AT66" s="99">
        <f ca="1">(Assumptions!$C$36*Assumptions!$G$38)/12</f>
        <v>1872.0521900646499</v>
      </c>
      <c r="AU66" s="99">
        <f ca="1">(Assumptions!$C$36*Assumptions!$G$38)/12</f>
        <v>1872.0521900646499</v>
      </c>
      <c r="AV66" s="99">
        <f ca="1">(Assumptions!$C$36*Assumptions!$G$38)/12</f>
        <v>1872.0521900646499</v>
      </c>
      <c r="AW66" s="99">
        <f ca="1">(Assumptions!$C$36*Assumptions!$G$38)/12</f>
        <v>1872.0521900646499</v>
      </c>
      <c r="AX66" s="99">
        <f ca="1">(Assumptions!$C$36*Assumptions!$G$38)/12</f>
        <v>1872.0521900646499</v>
      </c>
      <c r="AY66" s="99">
        <f ca="1">(Assumptions!$C$36*Assumptions!$G$38)/12</f>
        <v>1872.0521900646499</v>
      </c>
      <c r="AZ66" s="99">
        <f ca="1">(Assumptions!$C$36*Assumptions!$G$38)/12</f>
        <v>1872.0521900646499</v>
      </c>
      <c r="BA66" s="99">
        <f ca="1">(Assumptions!$C$36*Assumptions!$G$38)/12</f>
        <v>1872.0521900646499</v>
      </c>
      <c r="BB66" s="99">
        <f ca="1">(Assumptions!$C$36*Assumptions!$G$38)/12</f>
        <v>1872.0521900646499</v>
      </c>
      <c r="BC66" s="103">
        <f ca="1">SUM(AQ66:BB66)</f>
        <v>22464.626280775792</v>
      </c>
      <c r="BD66" s="99">
        <f ca="1">(Assumptions!$C$36*Assumptions!$G$38)/12</f>
        <v>1872.0521900646499</v>
      </c>
      <c r="BE66" s="99">
        <f ca="1">(Assumptions!$C$36*Assumptions!$G$38)/12</f>
        <v>1872.0521900646499</v>
      </c>
      <c r="BF66" s="99">
        <f ca="1">(Assumptions!$C$36*Assumptions!$G$38)/12</f>
        <v>1872.0521900646499</v>
      </c>
      <c r="BG66" s="99">
        <f ca="1">(Assumptions!$C$36*Assumptions!$G$38)/12</f>
        <v>1872.0521900646499</v>
      </c>
      <c r="BH66" s="99">
        <f ca="1">(Assumptions!$C$36*Assumptions!$G$38)/12</f>
        <v>1872.0521900646499</v>
      </c>
      <c r="BI66" s="99">
        <f ca="1">(Assumptions!$C$36*Assumptions!$G$38)/12</f>
        <v>1872.0521900646499</v>
      </c>
      <c r="BJ66" s="99">
        <f ca="1">(Assumptions!$C$36*Assumptions!$G$38)/12</f>
        <v>1872.0521900646499</v>
      </c>
      <c r="BK66" s="99">
        <f ca="1">(Assumptions!$C$36*Assumptions!$G$38)/12</f>
        <v>1872.0521900646499</v>
      </c>
      <c r="BL66" s="99">
        <f ca="1">(Assumptions!$C$36*Assumptions!$G$38)/12</f>
        <v>1872.0521900646499</v>
      </c>
      <c r="BM66" s="99">
        <f ca="1">(Assumptions!$C$36*Assumptions!$G$38)/12</f>
        <v>1872.0521900646499</v>
      </c>
      <c r="BN66" s="99">
        <f ca="1">(Assumptions!$C$36*Assumptions!$G$38)/12</f>
        <v>1872.0521900646499</v>
      </c>
      <c r="BO66" s="99">
        <f ca="1">(Assumptions!$C$36*Assumptions!$G$38)/12</f>
        <v>1872.0521900646499</v>
      </c>
      <c r="BP66" s="103">
        <f ca="1">SUM(BD66:BO66)</f>
        <v>22464.626280775792</v>
      </c>
      <c r="BQ66" s="99">
        <f ca="1">(Assumptions!$C$36*Assumptions!$G$38)/12</f>
        <v>1872.0521900646499</v>
      </c>
      <c r="BR66" s="99">
        <f ca="1">(Assumptions!$C$36*Assumptions!$G$38)/12</f>
        <v>1872.0521900646499</v>
      </c>
      <c r="BS66" s="99">
        <f ca="1">(Assumptions!$C$36*Assumptions!$G$38)/12</f>
        <v>1872.0521900646499</v>
      </c>
      <c r="BT66" s="99">
        <f ca="1">(Assumptions!$C$36*Assumptions!$G$38)/12</f>
        <v>1872.0521900646499</v>
      </c>
      <c r="BU66" s="99">
        <f ca="1">(Assumptions!$C$36*Assumptions!$G$38)/12</f>
        <v>1872.0521900646499</v>
      </c>
      <c r="BV66" s="99">
        <f ca="1">(Assumptions!$C$36*Assumptions!$G$38)/12</f>
        <v>1872.0521900646499</v>
      </c>
      <c r="BW66" s="99">
        <f ca="1">(Assumptions!$C$36*Assumptions!$G$38)/12</f>
        <v>1872.0521900646499</v>
      </c>
      <c r="BX66" s="99">
        <f ca="1">(Assumptions!$C$36*Assumptions!$G$38)/12</f>
        <v>1872.0521900646499</v>
      </c>
      <c r="BY66" s="99">
        <f ca="1">(Assumptions!$C$36*Assumptions!$G$38)/12</f>
        <v>1872.0521900646499</v>
      </c>
      <c r="BZ66" s="99">
        <f ca="1">(Assumptions!$C$36*Assumptions!$G$38)/12</f>
        <v>1872.0521900646499</v>
      </c>
      <c r="CA66" s="99">
        <f ca="1">(Assumptions!$C$36*Assumptions!$G$38)/12</f>
        <v>1872.0521900646499</v>
      </c>
      <c r="CB66" s="99">
        <f ca="1">(Assumptions!$C$36*Assumptions!$G$38)/12</f>
        <v>1872.0521900646499</v>
      </c>
      <c r="CC66" s="103">
        <f ca="1">SUM(BQ66:CB66)</f>
        <v>22464.626280775792</v>
      </c>
      <c r="CD66" s="99">
        <f ca="1">(Assumptions!$C$36*Assumptions!$G$38)/12</f>
        <v>1872.0521900646499</v>
      </c>
      <c r="CE66" s="99">
        <f ca="1">(Assumptions!$C$36*Assumptions!$G$38)/12</f>
        <v>1872.0521900646499</v>
      </c>
      <c r="CF66" s="99">
        <f ca="1">(Assumptions!$C$36*Assumptions!$G$38)/12</f>
        <v>1872.0521900646499</v>
      </c>
      <c r="CG66" s="99">
        <f ca="1">(Assumptions!$C$36*Assumptions!$G$38)/12</f>
        <v>1872.0521900646499</v>
      </c>
      <c r="CH66" s="99">
        <f ca="1">(Assumptions!$C$36*Assumptions!$G$38)/12</f>
        <v>1872.0521900646499</v>
      </c>
      <c r="CI66" s="99">
        <f ca="1">(Assumptions!$C$36*Assumptions!$G$38)/12</f>
        <v>1872.0521900646499</v>
      </c>
      <c r="CJ66" s="99">
        <f ca="1">(Assumptions!$C$36*Assumptions!$G$38)/12</f>
        <v>1872.0521900646499</v>
      </c>
      <c r="CK66" s="99">
        <f ca="1">(Assumptions!$C$36*Assumptions!$G$38)/12</f>
        <v>1872.0521900646499</v>
      </c>
      <c r="CL66" s="99">
        <f ca="1">(Assumptions!$C$36*Assumptions!$G$38)/12</f>
        <v>1872.0521900646499</v>
      </c>
      <c r="CM66" s="99">
        <f ca="1">(Assumptions!$C$36*Assumptions!$G$38)/12</f>
        <v>1872.0521900646499</v>
      </c>
      <c r="CN66" s="99">
        <f ca="1">(Assumptions!$C$36*Assumptions!$G$38)/12</f>
        <v>1872.0521900646499</v>
      </c>
      <c r="CO66" s="99">
        <f ca="1">(Assumptions!$C$36*Assumptions!$G$38)/12</f>
        <v>1872.0521900646499</v>
      </c>
      <c r="CP66" s="103">
        <f ca="1">SUM(CD66:CO66)</f>
        <v>22464.626280775792</v>
      </c>
    </row>
    <row r="67" spans="1:94">
      <c r="B67" s="93"/>
      <c r="C67" s="383"/>
      <c r="D67" s="99"/>
      <c r="E67" s="91"/>
      <c r="F67" s="95"/>
      <c r="G67" s="95"/>
      <c r="H67" s="95"/>
      <c r="I67" s="99"/>
      <c r="J67" s="95"/>
      <c r="K67" s="95"/>
      <c r="L67" s="95"/>
      <c r="M67" s="99"/>
      <c r="N67" s="95"/>
      <c r="O67" s="95"/>
      <c r="P67" s="103"/>
      <c r="Q67" s="91"/>
      <c r="R67" s="99"/>
      <c r="S67" s="99"/>
      <c r="T67" s="99"/>
      <c r="U67" s="99"/>
      <c r="V67" s="99"/>
      <c r="W67" s="99"/>
      <c r="X67" s="99"/>
      <c r="Y67" s="99"/>
      <c r="Z67" s="99"/>
      <c r="AA67" s="95"/>
      <c r="AB67" s="107"/>
      <c r="AC67" s="103"/>
      <c r="AD67" s="91"/>
      <c r="AE67" s="99"/>
      <c r="AF67" s="99"/>
      <c r="AG67" s="99"/>
      <c r="AH67" s="99"/>
      <c r="AI67" s="99"/>
      <c r="AJ67" s="99"/>
      <c r="AK67" s="99"/>
      <c r="AL67" s="99"/>
      <c r="AM67" s="99"/>
      <c r="AN67" s="95"/>
      <c r="AO67" s="107"/>
      <c r="AP67" s="103"/>
      <c r="AQ67" s="91"/>
      <c r="AR67" s="99"/>
      <c r="AS67" s="99"/>
      <c r="AT67" s="99"/>
      <c r="AU67" s="99"/>
      <c r="AV67" s="99"/>
      <c r="AW67" s="99"/>
      <c r="AX67" s="99"/>
      <c r="AY67" s="99"/>
      <c r="AZ67" s="99"/>
      <c r="BA67" s="95"/>
      <c r="BB67" s="107"/>
      <c r="BC67" s="103"/>
      <c r="BD67" s="91"/>
      <c r="BE67" s="99"/>
      <c r="BF67" s="99"/>
      <c r="BG67" s="99"/>
      <c r="BH67" s="99"/>
      <c r="BI67" s="99"/>
      <c r="BJ67" s="99"/>
      <c r="BK67" s="99"/>
      <c r="BL67" s="99"/>
      <c r="BM67" s="99"/>
      <c r="BN67" s="95"/>
      <c r="BO67" s="107"/>
      <c r="BP67" s="103"/>
      <c r="BQ67" s="91"/>
      <c r="BR67" s="99"/>
      <c r="BS67" s="99"/>
      <c r="BT67" s="99"/>
      <c r="BU67" s="99"/>
      <c r="BV67" s="99"/>
      <c r="BW67" s="99"/>
      <c r="BX67" s="99"/>
      <c r="BY67" s="99"/>
      <c r="BZ67" s="99"/>
      <c r="CA67" s="95"/>
      <c r="CB67" s="107"/>
      <c r="CC67" s="103"/>
      <c r="CD67" s="91"/>
      <c r="CE67" s="95"/>
      <c r="CF67" s="95"/>
      <c r="CG67" s="95"/>
      <c r="CH67" s="99"/>
      <c r="CI67" s="99"/>
      <c r="CJ67" s="99"/>
      <c r="CK67" s="99"/>
      <c r="CL67" s="99"/>
      <c r="CM67" s="99"/>
      <c r="CN67" s="95"/>
      <c r="CO67" s="107"/>
      <c r="CP67" s="103"/>
    </row>
    <row r="68" spans="1:94" s="110" customFormat="1" ht="17.5" thickBot="1">
      <c r="B68" s="149" t="s">
        <v>316</v>
      </c>
      <c r="C68" s="387">
        <f>C60-C62-C63-C64</f>
        <v>15742.547499999999</v>
      </c>
      <c r="D68" s="159">
        <f t="shared" ref="D68:AI68" ca="1" si="147">D60-D62-D63-D64-D66</f>
        <v>1915.1498932686818</v>
      </c>
      <c r="E68" s="159">
        <f t="shared" ca="1" si="147"/>
        <v>1813.7103979784379</v>
      </c>
      <c r="F68" s="159">
        <f t="shared" ca="1" si="147"/>
        <v>279.63916093371063</v>
      </c>
      <c r="G68" s="159">
        <f t="shared" ca="1" si="147"/>
        <v>-1350.0545465711666</v>
      </c>
      <c r="H68" s="159">
        <f t="shared" ca="1" si="147"/>
        <v>-992.61171574295531</v>
      </c>
      <c r="I68" s="159">
        <f t="shared" ca="1" si="147"/>
        <v>-519.4057884255626</v>
      </c>
      <c r="J68" s="159">
        <f t="shared" ca="1" si="147"/>
        <v>-45.363856853798097</v>
      </c>
      <c r="K68" s="159">
        <f t="shared" ca="1" si="147"/>
        <v>429.51511287641097</v>
      </c>
      <c r="L68" s="159">
        <f t="shared" ca="1" si="147"/>
        <v>905.23215580916894</v>
      </c>
      <c r="M68" s="159">
        <f t="shared" ca="1" si="147"/>
        <v>1381.7883081297869</v>
      </c>
      <c r="N68" s="159">
        <f t="shared" ca="1" si="147"/>
        <v>1859.1846071660048</v>
      </c>
      <c r="O68" s="159">
        <f t="shared" ca="1" si="147"/>
        <v>2337.4220913891504</v>
      </c>
      <c r="P68" s="162">
        <f t="shared" ca="1" si="147"/>
        <v>8014.2058199579442</v>
      </c>
      <c r="Q68" s="160">
        <f t="shared" ca="1" si="147"/>
        <v>2774.438446513589</v>
      </c>
      <c r="R68" s="159">
        <f t="shared" ca="1" si="147"/>
        <v>3286.1339000793914</v>
      </c>
      <c r="S68" s="159">
        <f t="shared" ca="1" si="147"/>
        <v>3735.4061693538379</v>
      </c>
      <c r="T68" s="159">
        <f t="shared" ca="1" si="147"/>
        <v>4250.260904247386</v>
      </c>
      <c r="U68" s="159">
        <f t="shared" ca="1" si="147"/>
        <v>4767.2765935170019</v>
      </c>
      <c r="V68" s="159">
        <f t="shared" ca="1" si="147"/>
        <v>1254.2538729065027</v>
      </c>
      <c r="W68" s="159">
        <f t="shared" ca="1" si="147"/>
        <v>5807.8170599662744</v>
      </c>
      <c r="X68" s="159">
        <f t="shared" ca="1" si="147"/>
        <v>9825.2419036476094</v>
      </c>
      <c r="Y68" s="159">
        <f t="shared" ca="1" si="147"/>
        <v>9894.5946669875266</v>
      </c>
      <c r="Z68" s="159">
        <f t="shared" ca="1" si="147"/>
        <v>9964.0902856647772</v>
      </c>
      <c r="AA68" s="161">
        <f t="shared" ca="1" si="147"/>
        <v>10033.729053937976</v>
      </c>
      <c r="AB68" s="163">
        <f t="shared" ca="1" si="147"/>
        <v>10103.51126667186</v>
      </c>
      <c r="AC68" s="162">
        <f t="shared" ca="1" si="147"/>
        <v>75696.754123493622</v>
      </c>
      <c r="AD68" s="160">
        <f t="shared" ca="1" si="147"/>
        <v>9474.1310924770078</v>
      </c>
      <c r="AE68" s="159">
        <f t="shared" ca="1" si="147"/>
        <v>9543.2020746809176</v>
      </c>
      <c r="AF68" s="159">
        <f t="shared" ca="1" si="147"/>
        <v>9543.2020746809176</v>
      </c>
      <c r="AG68" s="159">
        <f t="shared" ca="1" si="147"/>
        <v>9612.4153317991695</v>
      </c>
      <c r="AH68" s="159">
        <f t="shared" ca="1" si="147"/>
        <v>9681.7711568947925</v>
      </c>
      <c r="AI68" s="159">
        <f t="shared" ca="1" si="147"/>
        <v>9751.2698436344654</v>
      </c>
      <c r="AJ68" s="159">
        <f t="shared" ref="AJ68:BO68" ca="1" si="148">AJ60-AJ62-AJ63-AJ64-AJ66</f>
        <v>9820.9116862897936</v>
      </c>
      <c r="AK68" s="159">
        <f t="shared" ca="1" si="148"/>
        <v>9890.6969797385136</v>
      </c>
      <c r="AL68" s="159">
        <f t="shared" ca="1" si="148"/>
        <v>9960.6260194657843</v>
      </c>
      <c r="AM68" s="159">
        <f t="shared" ca="1" si="148"/>
        <v>10030.699101565413</v>
      </c>
      <c r="AN68" s="161">
        <f t="shared" ca="1" si="148"/>
        <v>6501.61053629035</v>
      </c>
      <c r="AO68" s="163">
        <f t="shared" ca="1" si="148"/>
        <v>6571.9725938569381</v>
      </c>
      <c r="AP68" s="162">
        <f t="shared" ca="1" si="148"/>
        <v>110382.50849137403</v>
      </c>
      <c r="AQ68" s="160">
        <f t="shared" ca="1" si="148"/>
        <v>5578.2838972564887</v>
      </c>
      <c r="AR68" s="159">
        <f t="shared" ca="1" si="148"/>
        <v>5648.6547875023271</v>
      </c>
      <c r="AS68" s="159">
        <f t="shared" ca="1" si="148"/>
        <v>5648.6547875023271</v>
      </c>
      <c r="AT68" s="159">
        <f t="shared" ca="1" si="148"/>
        <v>5719.1706302602424</v>
      </c>
      <c r="AU68" s="159">
        <f t="shared" ca="1" si="148"/>
        <v>5789.8317241086652</v>
      </c>
      <c r="AV68" s="159">
        <f t="shared" ca="1" si="148"/>
        <v>5860.6383682410515</v>
      </c>
      <c r="AW68" s="159">
        <f t="shared" ca="1" si="148"/>
        <v>5931.590862467182</v>
      </c>
      <c r="AX68" s="159">
        <f t="shared" ca="1" si="148"/>
        <v>6002.6895072143479</v>
      </c>
      <c r="AY68" s="159">
        <f t="shared" ca="1" si="148"/>
        <v>6073.9346035287117</v>
      </c>
      <c r="AZ68" s="159">
        <f t="shared" ca="1" si="148"/>
        <v>6145.3264530765</v>
      </c>
      <c r="BA68" s="161">
        <f t="shared" ca="1" si="148"/>
        <v>6216.8653581453682</v>
      </c>
      <c r="BB68" s="163">
        <f t="shared" ca="1" si="148"/>
        <v>6288.5516216455935</v>
      </c>
      <c r="BC68" s="162">
        <f t="shared" ca="1" si="148"/>
        <v>70904.192600948707</v>
      </c>
      <c r="BD68" s="160">
        <f t="shared" ca="1" si="148"/>
        <v>5983.0597293257879</v>
      </c>
      <c r="BE68" s="159">
        <f t="shared" ca="1" si="148"/>
        <v>6040.5515915067581</v>
      </c>
      <c r="BF68" s="159">
        <f t="shared" ca="1" si="148"/>
        <v>6040.5515915067581</v>
      </c>
      <c r="BG68" s="159">
        <f t="shared" ca="1" si="148"/>
        <v>6098.1384061723284</v>
      </c>
      <c r="BH68" s="159">
        <f t="shared" ca="1" si="148"/>
        <v>6155.8203301442254</v>
      </c>
      <c r="BI68" s="159">
        <f t="shared" ca="1" si="148"/>
        <v>6213.5975205032219</v>
      </c>
      <c r="BJ68" s="159">
        <f t="shared" ca="1" si="148"/>
        <v>6271.4701345894855</v>
      </c>
      <c r="BK68" s="159">
        <f t="shared" ca="1" si="148"/>
        <v>6329.4383300030704</v>
      </c>
      <c r="BL68" s="159">
        <f t="shared" ca="1" si="148"/>
        <v>6387.5022646043135</v>
      </c>
      <c r="BM68" s="159">
        <f t="shared" ca="1" si="148"/>
        <v>6445.6620965142529</v>
      </c>
      <c r="BN68" s="161">
        <f t="shared" ca="1" si="148"/>
        <v>6503.9179841150972</v>
      </c>
      <c r="BO68" s="163">
        <f t="shared" ca="1" si="148"/>
        <v>6562.2700860506293</v>
      </c>
      <c r="BP68" s="162">
        <f t="shared" ref="BP68:CO68" ca="1" si="149">BP60-BP62-BP63-BP64-BP66</f>
        <v>75031.980065035837</v>
      </c>
      <c r="BQ68" s="160">
        <f t="shared" ca="1" si="149"/>
        <v>6265.7558248049127</v>
      </c>
      <c r="BR68" s="159">
        <f t="shared" ca="1" si="149"/>
        <v>6324.1237142138734</v>
      </c>
      <c r="BS68" s="159">
        <f t="shared" ca="1" si="149"/>
        <v>6324.1237142138734</v>
      </c>
      <c r="BT68" s="159">
        <f t="shared" ca="1" si="149"/>
        <v>6382.5880029376085</v>
      </c>
      <c r="BU68" s="159">
        <f t="shared" ca="1" si="149"/>
        <v>6441.1488501874292</v>
      </c>
      <c r="BV68" s="159">
        <f t="shared" ca="1" si="149"/>
        <v>6499.8064154375925</v>
      </c>
      <c r="BW68" s="159">
        <f t="shared" ca="1" si="149"/>
        <v>6558.5608584257379</v>
      </c>
      <c r="BX68" s="159">
        <f t="shared" ca="1" si="149"/>
        <v>6617.4123391533312</v>
      </c>
      <c r="BY68" s="159">
        <f t="shared" ca="1" si="149"/>
        <v>6676.3610178860863</v>
      </c>
      <c r="BZ68" s="159">
        <f t="shared" ca="1" si="149"/>
        <v>6735.4070551544019</v>
      </c>
      <c r="CA68" s="161">
        <f t="shared" ca="1" si="149"/>
        <v>6794.5506117538234</v>
      </c>
      <c r="CB68" s="163">
        <f ca="1">CB60-CB62-CB63-CB64-CB66</f>
        <v>6853.7918487454544</v>
      </c>
      <c r="CC68" s="162">
        <f t="shared" ca="1" si="149"/>
        <v>78473.630252914067</v>
      </c>
      <c r="CD68" s="160">
        <f ca="1">CD60-CD62-CD63-CD64-CD66</f>
        <v>6553.2805225026887</v>
      </c>
      <c r="CE68" s="161">
        <f t="shared" ca="1" si="149"/>
        <v>6612.5419596841848</v>
      </c>
      <c r="CF68" s="161">
        <f t="shared" ca="1" si="149"/>
        <v>6612.5419596841848</v>
      </c>
      <c r="CG68" s="161">
        <f t="shared" ca="1" si="149"/>
        <v>6671.9012719472548</v>
      </c>
      <c r="CH68" s="159">
        <f t="shared" ca="1" si="149"/>
        <v>6731.3586209405576</v>
      </c>
      <c r="CI68" s="159">
        <f t="shared" ca="1" si="149"/>
        <v>6790.914168579714</v>
      </c>
      <c r="CJ68" s="159">
        <f t="shared" ca="1" si="149"/>
        <v>6850.5680770477729</v>
      </c>
      <c r="CK68" s="159">
        <f t="shared" ca="1" si="149"/>
        <v>6910.3205087956549</v>
      </c>
      <c r="CL68" s="159">
        <f t="shared" ca="1" si="149"/>
        <v>6970.1716265425521</v>
      </c>
      <c r="CM68" s="159">
        <f t="shared" ca="1" si="149"/>
        <v>7030.1215932764235</v>
      </c>
      <c r="CN68" s="161">
        <f t="shared" ca="1" si="149"/>
        <v>7090.1705722543875</v>
      </c>
      <c r="CO68" s="163">
        <f t="shared" ca="1" si="149"/>
        <v>7150.3187270032458</v>
      </c>
      <c r="CP68" s="162">
        <f ca="1">CP60-CP62-CP63-CP64-CP66</f>
        <v>81974.209608258592</v>
      </c>
    </row>
    <row r="69" spans="1:94" ht="5.4" customHeight="1">
      <c r="B69" s="93"/>
      <c r="C69" s="383"/>
      <c r="D69" s="99"/>
      <c r="E69" s="91"/>
      <c r="F69" s="95"/>
      <c r="G69" s="95"/>
      <c r="H69" s="95"/>
      <c r="I69" s="99"/>
      <c r="J69" s="95"/>
      <c r="K69" s="95"/>
      <c r="L69" s="95"/>
      <c r="M69" s="99"/>
      <c r="N69" s="95"/>
      <c r="O69" s="95"/>
      <c r="P69" s="103"/>
      <c r="Q69" s="91"/>
      <c r="R69" s="99"/>
      <c r="S69" s="99"/>
      <c r="T69" s="99"/>
      <c r="U69" s="99"/>
      <c r="V69" s="99"/>
      <c r="W69" s="99"/>
      <c r="X69" s="99"/>
      <c r="Y69" s="99"/>
      <c r="Z69" s="99"/>
      <c r="AA69" s="95"/>
      <c r="AB69" s="107"/>
      <c r="AC69" s="103"/>
      <c r="AD69" s="91"/>
      <c r="AE69" s="99"/>
      <c r="AF69" s="99"/>
      <c r="AG69" s="99"/>
      <c r="AH69" s="99"/>
      <c r="AI69" s="99"/>
      <c r="AJ69" s="99"/>
      <c r="AK69" s="99"/>
      <c r="AL69" s="99"/>
      <c r="AM69" s="99"/>
      <c r="AN69" s="95"/>
      <c r="AO69" s="107"/>
      <c r="AP69" s="103"/>
      <c r="AQ69" s="91"/>
      <c r="AR69" s="99"/>
      <c r="AS69" s="99"/>
      <c r="AT69" s="99"/>
      <c r="AU69" s="99"/>
      <c r="AV69" s="99"/>
      <c r="AW69" s="99"/>
      <c r="AX69" s="99"/>
      <c r="AY69" s="99"/>
      <c r="AZ69" s="99"/>
      <c r="BA69" s="95"/>
      <c r="BB69" s="107"/>
      <c r="BC69" s="103"/>
      <c r="BD69" s="91"/>
      <c r="BE69" s="99"/>
      <c r="BF69" s="99"/>
      <c r="BG69" s="99"/>
      <c r="BH69" s="99"/>
      <c r="BI69" s="99"/>
      <c r="BJ69" s="99"/>
      <c r="BK69" s="99"/>
      <c r="BL69" s="99"/>
      <c r="BM69" s="99"/>
      <c r="BN69" s="95"/>
      <c r="BO69" s="107"/>
      <c r="BP69" s="103"/>
      <c r="BQ69" s="91"/>
      <c r="BR69" s="99"/>
      <c r="BS69" s="99"/>
      <c r="BT69" s="99"/>
      <c r="BU69" s="99"/>
      <c r="BV69" s="99"/>
      <c r="BW69" s="99"/>
      <c r="BX69" s="99"/>
      <c r="BY69" s="99"/>
      <c r="BZ69" s="99"/>
      <c r="CA69" s="95"/>
      <c r="CB69" s="107"/>
      <c r="CC69" s="103"/>
      <c r="CD69" s="91"/>
      <c r="CE69" s="95"/>
      <c r="CF69" s="95"/>
      <c r="CG69" s="95"/>
      <c r="CH69" s="99"/>
      <c r="CI69" s="99"/>
      <c r="CJ69" s="99"/>
      <c r="CK69" s="99"/>
      <c r="CL69" s="99"/>
      <c r="CM69" s="99"/>
      <c r="CN69" s="95"/>
      <c r="CO69" s="107"/>
      <c r="CP69" s="103"/>
    </row>
    <row r="70" spans="1:94">
      <c r="B70" s="113" t="s">
        <v>315</v>
      </c>
      <c r="C70" s="383"/>
      <c r="D70" s="99">
        <f ca="1">-VLOOKUP(D6,'Loan Summary'!$R$2:$U$361,4,FALSE)</f>
        <v>0</v>
      </c>
      <c r="E70" s="99">
        <f ca="1">-VLOOKUP(E6,'Loan Summary'!$R$2:$U$361,4,FALSE)</f>
        <v>0</v>
      </c>
      <c r="F70" s="99">
        <f ca="1">-VLOOKUP(F6,'Loan Summary'!$R$2:$U$361,4,FALSE)</f>
        <v>0</v>
      </c>
      <c r="G70" s="99">
        <f ca="1">-VLOOKUP(G6,'Loan Summary'!$R$2:$U$361,4,FALSE)</f>
        <v>0</v>
      </c>
      <c r="H70" s="99">
        <f ca="1">-VLOOKUP(H6,'Loan Summary'!$R$2:$U$361,4,FALSE)</f>
        <v>0</v>
      </c>
      <c r="I70" s="99">
        <f ca="1">-VLOOKUP(I6,'Loan Summary'!$R$2:$U$361,4,FALSE)</f>
        <v>0</v>
      </c>
      <c r="J70" s="99">
        <f ca="1">-VLOOKUP(J6,'Loan Summary'!$R$2:$U$361,4,FALSE)</f>
        <v>0</v>
      </c>
      <c r="K70" s="99">
        <f ca="1">-VLOOKUP(K6,'Loan Summary'!$R$2:$U$361,4,FALSE)</f>
        <v>0</v>
      </c>
      <c r="L70" s="99">
        <f ca="1">-VLOOKUP(L6,'Loan Summary'!$R$2:$U$361,4,FALSE)</f>
        <v>0</v>
      </c>
      <c r="M70" s="99">
        <f ca="1">-VLOOKUP(M6,'Loan Summary'!$R$2:$U$361,4,FALSE)</f>
        <v>0</v>
      </c>
      <c r="N70" s="99">
        <f ca="1">-VLOOKUP(N6,'Loan Summary'!$R$2:$U$361,4,FALSE)</f>
        <v>0</v>
      </c>
      <c r="O70" s="99">
        <f ca="1">-VLOOKUP(O6,'Loan Summary'!$R$2:$U$361,4,FALSE)</f>
        <v>0</v>
      </c>
      <c r="P70" s="103">
        <f ca="1">SUM(D70:O70)</f>
        <v>0</v>
      </c>
      <c r="Q70" s="99">
        <f ca="1">-VLOOKUP(Q6,'Loan Summary'!$R$2:$U$361,4,FALSE)</f>
        <v>0</v>
      </c>
      <c r="R70" s="99">
        <f ca="1">-VLOOKUP(R6,'Loan Summary'!$R$2:$U$361,4,FALSE)</f>
        <v>0</v>
      </c>
      <c r="S70" s="99">
        <f ca="1">-VLOOKUP(S6,'Loan Summary'!$R$2:$U$361,4,FALSE)</f>
        <v>0</v>
      </c>
      <c r="T70" s="99">
        <f ca="1">-VLOOKUP(T6,'Loan Summary'!$R$2:$U$361,4,FALSE)</f>
        <v>0</v>
      </c>
      <c r="U70" s="99">
        <f ca="1">-VLOOKUP(U6,'Loan Summary'!$R$2:$U$361,4,FALSE)</f>
        <v>0</v>
      </c>
      <c r="V70" s="99">
        <f ca="1">-VLOOKUP(V6,'Loan Summary'!$R$2:$U$361,4,FALSE)</f>
        <v>0</v>
      </c>
      <c r="W70" s="99">
        <f ca="1">-VLOOKUP(W6,'Loan Summary'!$R$2:$U$361,4,FALSE)</f>
        <v>0</v>
      </c>
      <c r="X70" s="99">
        <f ca="1">-VLOOKUP(X6,'Loan Summary'!$R$2:$U$361,4,FALSE)</f>
        <v>0</v>
      </c>
      <c r="Y70" s="99">
        <f ca="1">-VLOOKUP(Y6,'Loan Summary'!$R$2:$U$361,4,FALSE)</f>
        <v>0</v>
      </c>
      <c r="Z70" s="99">
        <f ca="1">-VLOOKUP(Z6,'Loan Summary'!$R$2:$U$361,4,FALSE)</f>
        <v>0</v>
      </c>
      <c r="AA70" s="99">
        <f ca="1">-VLOOKUP(AA6,'Loan Summary'!$R$2:$U$361,4,FALSE)</f>
        <v>0</v>
      </c>
      <c r="AB70" s="99">
        <f ca="1">-VLOOKUP(AB6,'Loan Summary'!$R$2:$U$361,4,FALSE)</f>
        <v>0</v>
      </c>
      <c r="AC70" s="103">
        <f ca="1">SUM(Q70:AB70)</f>
        <v>0</v>
      </c>
      <c r="AD70" s="99">
        <f ca="1">-VLOOKUP(AD6,'Loan Summary'!$R$2:$U$361,4,FALSE)</f>
        <v>0</v>
      </c>
      <c r="AE70" s="99">
        <f ca="1">-VLOOKUP(AE6,'Loan Summary'!$R$2:$U$361,4,FALSE)</f>
        <v>0</v>
      </c>
      <c r="AF70" s="99">
        <f ca="1">-VLOOKUP(AF6,'Loan Summary'!$R$2:$U$361,4,FALSE)</f>
        <v>0</v>
      </c>
      <c r="AG70" s="99">
        <f ca="1">-VLOOKUP(AG6,'Loan Summary'!$R$2:$U$361,4,FALSE)</f>
        <v>0</v>
      </c>
      <c r="AH70" s="99">
        <f ca="1">-VLOOKUP(AH6,'Loan Summary'!$R$2:$U$361,4,FALSE)</f>
        <v>0</v>
      </c>
      <c r="AI70" s="99">
        <f ca="1">-VLOOKUP(AI6,'Loan Summary'!$R$2:$U$361,4,FALSE)</f>
        <v>0</v>
      </c>
      <c r="AJ70" s="99">
        <f ca="1">-VLOOKUP(AJ6,'Loan Summary'!$R$2:$U$361,4,FALSE)</f>
        <v>0</v>
      </c>
      <c r="AK70" s="99">
        <f ca="1">-VLOOKUP(AK6,'Loan Summary'!$R$2:$U$361,4,FALSE)</f>
        <v>0</v>
      </c>
      <c r="AL70" s="99">
        <f ca="1">-VLOOKUP(AL6,'Loan Summary'!$R$2:$U$361,4,FALSE)</f>
        <v>0</v>
      </c>
      <c r="AM70" s="99">
        <f ca="1">-VLOOKUP(AM6,'Loan Summary'!$R$2:$U$361,4,FALSE)</f>
        <v>0</v>
      </c>
      <c r="AN70" s="99">
        <f ca="1">-VLOOKUP(AN6,'Loan Summary'!$R$2:$U$361,4,FALSE)</f>
        <v>0</v>
      </c>
      <c r="AO70" s="99">
        <f ca="1">-VLOOKUP(AO6,'Loan Summary'!$R$2:$U$361,4,FALSE)</f>
        <v>0</v>
      </c>
      <c r="AP70" s="103">
        <f ca="1">SUM(AD70:AO70)</f>
        <v>0</v>
      </c>
      <c r="AQ70" s="99">
        <f ca="1">-VLOOKUP(AQ6,'Loan Summary'!$R$2:$U$361,4,FALSE)</f>
        <v>0</v>
      </c>
      <c r="AR70" s="99">
        <f ca="1">-VLOOKUP(AR6,'Loan Summary'!$R$2:$U$361,4,FALSE)</f>
        <v>0</v>
      </c>
      <c r="AS70" s="99">
        <f ca="1">-VLOOKUP(AS6,'Loan Summary'!$R$2:$U$361,4,FALSE)</f>
        <v>0</v>
      </c>
      <c r="AT70" s="99">
        <f ca="1">-VLOOKUP(AT6,'Loan Summary'!$R$2:$U$361,4,FALSE)</f>
        <v>0</v>
      </c>
      <c r="AU70" s="99">
        <f ca="1">-VLOOKUP(AU6,'Loan Summary'!$R$2:$U$361,4,FALSE)</f>
        <v>0</v>
      </c>
      <c r="AV70" s="99">
        <f ca="1">-VLOOKUP(AV6,'Loan Summary'!$R$2:$U$361,4,FALSE)</f>
        <v>0</v>
      </c>
      <c r="AW70" s="99">
        <f ca="1">-VLOOKUP(AW6,'Loan Summary'!$R$2:$U$361,4,FALSE)</f>
        <v>0</v>
      </c>
      <c r="AX70" s="99">
        <f ca="1">-VLOOKUP(AX6,'Loan Summary'!$R$2:$U$361,4,FALSE)</f>
        <v>0</v>
      </c>
      <c r="AY70" s="99">
        <f ca="1">-VLOOKUP(AY6,'Loan Summary'!$R$2:$U$361,4,FALSE)</f>
        <v>0</v>
      </c>
      <c r="AZ70" s="99">
        <f ca="1">-VLOOKUP(AZ6,'Loan Summary'!$R$2:$U$361,4,FALSE)</f>
        <v>0</v>
      </c>
      <c r="BA70" s="99">
        <f ca="1">-VLOOKUP(BA6,'Loan Summary'!$R$2:$U$361,4,FALSE)</f>
        <v>0</v>
      </c>
      <c r="BB70" s="99">
        <f ca="1">-VLOOKUP(BB6,'Loan Summary'!$R$2:$U$361,4,FALSE)</f>
        <v>0</v>
      </c>
      <c r="BC70" s="103">
        <f ca="1">SUM(AQ70:BB70)</f>
        <v>0</v>
      </c>
      <c r="BD70" s="99">
        <f ca="1">-VLOOKUP(BD6,'Loan Summary'!$R$2:$U$361,4,FALSE)</f>
        <v>0</v>
      </c>
      <c r="BE70" s="99">
        <f ca="1">-VLOOKUP(BE6,'Loan Summary'!$R$2:$U$361,4,FALSE)</f>
        <v>0</v>
      </c>
      <c r="BF70" s="99">
        <f ca="1">-VLOOKUP(BF6,'Loan Summary'!$R$2:$U$361,4,FALSE)</f>
        <v>0</v>
      </c>
      <c r="BG70" s="99">
        <f ca="1">-VLOOKUP(BG6,'Loan Summary'!$R$2:$U$361,4,FALSE)</f>
        <v>0</v>
      </c>
      <c r="BH70" s="99">
        <f ca="1">-VLOOKUP(BH6,'Loan Summary'!$R$2:$U$361,4,FALSE)</f>
        <v>0</v>
      </c>
      <c r="BI70" s="99">
        <f ca="1">-VLOOKUP(BI6,'Loan Summary'!$R$2:$U$361,4,FALSE)</f>
        <v>0</v>
      </c>
      <c r="BJ70" s="99">
        <f ca="1">-VLOOKUP(BJ6,'Loan Summary'!$R$2:$U$361,4,FALSE)</f>
        <v>0</v>
      </c>
      <c r="BK70" s="99">
        <f ca="1">-VLOOKUP(BK6,'Loan Summary'!$R$2:$U$361,4,FALSE)</f>
        <v>0</v>
      </c>
      <c r="BL70" s="99">
        <f ca="1">-VLOOKUP(BL6,'Loan Summary'!$R$2:$U$361,4,FALSE)</f>
        <v>0</v>
      </c>
      <c r="BM70" s="99">
        <f ca="1">-VLOOKUP(BM6,'Loan Summary'!$R$2:$U$361,4,FALSE)</f>
        <v>0</v>
      </c>
      <c r="BN70" s="99">
        <f ca="1">-VLOOKUP(BN6,'Loan Summary'!$R$2:$U$361,4,FALSE)</f>
        <v>0</v>
      </c>
      <c r="BO70" s="99">
        <f ca="1">-VLOOKUP(BO6,'Loan Summary'!$R$2:$U$361,4,FALSE)</f>
        <v>0</v>
      </c>
      <c r="BP70" s="103">
        <f ca="1">SUM(BD70:BO70)</f>
        <v>0</v>
      </c>
      <c r="BQ70" s="99">
        <f ca="1">-VLOOKUP(BQ6,'Loan Summary'!$R$2:$U$361,4,FALSE)</f>
        <v>0</v>
      </c>
      <c r="BR70" s="99">
        <f ca="1">-VLOOKUP(BR6,'Loan Summary'!$R$2:$U$361,4,FALSE)</f>
        <v>0</v>
      </c>
      <c r="BS70" s="99">
        <f ca="1">-VLOOKUP(BS6,'Loan Summary'!$R$2:$U$361,4,FALSE)</f>
        <v>0</v>
      </c>
      <c r="BT70" s="99">
        <f ca="1">-VLOOKUP(BT6,'Loan Summary'!$R$2:$U$361,4,FALSE)</f>
        <v>0</v>
      </c>
      <c r="BU70" s="99">
        <f ca="1">-VLOOKUP(BU6,'Loan Summary'!$R$2:$U$361,4,FALSE)</f>
        <v>0</v>
      </c>
      <c r="BV70" s="99">
        <f ca="1">-VLOOKUP(BV6,'Loan Summary'!$R$2:$U$361,4,FALSE)</f>
        <v>0</v>
      </c>
      <c r="BW70" s="99">
        <f ca="1">-VLOOKUP(BW6,'Loan Summary'!$R$2:$U$361,4,FALSE)</f>
        <v>0</v>
      </c>
      <c r="BX70" s="99">
        <f ca="1">-VLOOKUP(BX6,'Loan Summary'!$R$2:$U$361,4,FALSE)</f>
        <v>0</v>
      </c>
      <c r="BY70" s="99">
        <f ca="1">-VLOOKUP(BY6,'Loan Summary'!$R$2:$U$361,4,FALSE)</f>
        <v>0</v>
      </c>
      <c r="BZ70" s="99">
        <f ca="1">-VLOOKUP(BZ6,'Loan Summary'!$R$2:$U$361,4,FALSE)</f>
        <v>0</v>
      </c>
      <c r="CA70" s="99">
        <f ca="1">-VLOOKUP(CA6,'Loan Summary'!$R$2:$U$361,4,FALSE)</f>
        <v>0</v>
      </c>
      <c r="CB70" s="99">
        <f ca="1">-VLOOKUP(CB6,'Loan Summary'!$R$2:$U$361,4,FALSE)</f>
        <v>0</v>
      </c>
      <c r="CC70" s="103">
        <f ca="1">SUM(BQ70:CB70)</f>
        <v>0</v>
      </c>
      <c r="CD70" s="99">
        <f ca="1">-VLOOKUP(CD6,'Loan Summary'!$R$2:$U$361,4,FALSE)</f>
        <v>0</v>
      </c>
      <c r="CE70" s="99">
        <f ca="1">-VLOOKUP(CE6,'Loan Summary'!$R$2:$U$361,4,FALSE)</f>
        <v>0</v>
      </c>
      <c r="CF70" s="99">
        <f ca="1">-VLOOKUP(CF6,'Loan Summary'!$R$2:$U$361,4,FALSE)</f>
        <v>0</v>
      </c>
      <c r="CG70" s="99">
        <f ca="1">-VLOOKUP(CG6,'Loan Summary'!$R$2:$U$361,4,FALSE)</f>
        <v>0</v>
      </c>
      <c r="CH70" s="99">
        <f ca="1">-VLOOKUP(CH6,'Loan Summary'!$R$2:$U$361,4,FALSE)</f>
        <v>0</v>
      </c>
      <c r="CI70" s="99">
        <f ca="1">-VLOOKUP(CI6,'Loan Summary'!$R$2:$U$361,4,FALSE)</f>
        <v>0</v>
      </c>
      <c r="CJ70" s="99">
        <f ca="1">-VLOOKUP(CJ6,'Loan Summary'!$R$2:$U$361,4,FALSE)</f>
        <v>0</v>
      </c>
      <c r="CK70" s="99">
        <f ca="1">-VLOOKUP(CK6,'Loan Summary'!$R$2:$U$361,4,FALSE)</f>
        <v>0</v>
      </c>
      <c r="CL70" s="99">
        <f ca="1">-VLOOKUP(CL6,'Loan Summary'!$R$2:$U$361,4,FALSE)</f>
        <v>0</v>
      </c>
      <c r="CM70" s="99">
        <f ca="1">-VLOOKUP(CM6,'Loan Summary'!$R$2:$U$361,4,FALSE)</f>
        <v>0</v>
      </c>
      <c r="CN70" s="99">
        <f ca="1">-VLOOKUP(CN6,'Loan Summary'!$R$2:$U$361,4,FALSE)</f>
        <v>0</v>
      </c>
      <c r="CO70" s="99">
        <f ca="1">-VLOOKUP(CO6,'Loan Summary'!$R$2:$U$361,4,FALSE)</f>
        <v>0</v>
      </c>
      <c r="CP70" s="103">
        <f ca="1">SUM(CD70:CO70)</f>
        <v>0</v>
      </c>
    </row>
    <row r="71" spans="1:94" ht="5.4" customHeight="1">
      <c r="B71" s="93"/>
      <c r="C71" s="383"/>
      <c r="D71" s="99"/>
      <c r="E71" s="91"/>
      <c r="F71" s="95"/>
      <c r="G71" s="95"/>
      <c r="H71" s="95"/>
      <c r="I71" s="99"/>
      <c r="J71" s="95"/>
      <c r="K71" s="95"/>
      <c r="L71" s="95"/>
      <c r="M71" s="99"/>
      <c r="N71" s="95"/>
      <c r="O71" s="95"/>
      <c r="P71" s="103"/>
      <c r="Q71" s="91"/>
      <c r="R71" s="99"/>
      <c r="S71" s="99"/>
      <c r="T71" s="99"/>
      <c r="U71" s="99"/>
      <c r="V71" s="99"/>
      <c r="W71" s="99"/>
      <c r="X71" s="99"/>
      <c r="Y71" s="99"/>
      <c r="Z71" s="99"/>
      <c r="AA71" s="95"/>
      <c r="AB71" s="107"/>
      <c r="AC71" s="103"/>
      <c r="AD71" s="91"/>
      <c r="AE71" s="99"/>
      <c r="AF71" s="99"/>
      <c r="AG71" s="99"/>
      <c r="AH71" s="99"/>
      <c r="AI71" s="99"/>
      <c r="AJ71" s="99"/>
      <c r="AK71" s="99"/>
      <c r="AL71" s="99"/>
      <c r="AM71" s="99"/>
      <c r="AN71" s="95"/>
      <c r="AO71" s="107"/>
      <c r="AP71" s="103"/>
      <c r="AQ71" s="91"/>
      <c r="AR71" s="99"/>
      <c r="AS71" s="99"/>
      <c r="AT71" s="99"/>
      <c r="AU71" s="99"/>
      <c r="AV71" s="99"/>
      <c r="AW71" s="99"/>
      <c r="AX71" s="99"/>
      <c r="AY71" s="99"/>
      <c r="AZ71" s="99"/>
      <c r="BA71" s="95"/>
      <c r="BB71" s="107"/>
      <c r="BC71" s="103"/>
      <c r="BD71" s="91"/>
      <c r="BE71" s="99"/>
      <c r="BF71" s="99"/>
      <c r="BG71" s="99"/>
      <c r="BH71" s="99"/>
      <c r="BI71" s="99"/>
      <c r="BJ71" s="99"/>
      <c r="BK71" s="99"/>
      <c r="BL71" s="99"/>
      <c r="BM71" s="99"/>
      <c r="BN71" s="95"/>
      <c r="BO71" s="107"/>
      <c r="BP71" s="103"/>
      <c r="BQ71" s="91"/>
      <c r="BR71" s="99"/>
      <c r="BS71" s="99"/>
      <c r="BT71" s="99"/>
      <c r="BU71" s="99"/>
      <c r="BV71" s="99"/>
      <c r="BW71" s="99"/>
      <c r="BX71" s="99"/>
      <c r="BY71" s="99"/>
      <c r="BZ71" s="99"/>
      <c r="CA71" s="95"/>
      <c r="CB71" s="107"/>
      <c r="CC71" s="103"/>
      <c r="CD71" s="91"/>
      <c r="CE71" s="95"/>
      <c r="CF71" s="95"/>
      <c r="CG71" s="95"/>
      <c r="CH71" s="99"/>
      <c r="CI71" s="99"/>
      <c r="CJ71" s="99"/>
      <c r="CK71" s="99"/>
      <c r="CL71" s="99"/>
      <c r="CM71" s="99"/>
      <c r="CN71" s="95"/>
      <c r="CO71" s="107"/>
      <c r="CP71" s="103"/>
    </row>
    <row r="72" spans="1:94" s="110" customFormat="1" ht="17.5" thickBot="1">
      <c r="B72" s="149" t="s">
        <v>317</v>
      </c>
      <c r="C72" s="387"/>
      <c r="D72" s="159">
        <f ca="1">D68-D70</f>
        <v>1915.1498932686818</v>
      </c>
      <c r="E72" s="159">
        <f t="shared" ref="E72:BP72" ca="1" si="150">E68-E70</f>
        <v>1813.7103979784379</v>
      </c>
      <c r="F72" s="159">
        <f t="shared" ca="1" si="150"/>
        <v>279.63916093371063</v>
      </c>
      <c r="G72" s="159">
        <f t="shared" ca="1" si="150"/>
        <v>-1350.0545465711666</v>
      </c>
      <c r="H72" s="159">
        <f t="shared" ca="1" si="150"/>
        <v>-992.61171574295531</v>
      </c>
      <c r="I72" s="159">
        <f t="shared" ca="1" si="150"/>
        <v>-519.4057884255626</v>
      </c>
      <c r="J72" s="159">
        <f t="shared" ca="1" si="150"/>
        <v>-45.363856853798097</v>
      </c>
      <c r="K72" s="159">
        <f t="shared" ca="1" si="150"/>
        <v>429.51511287641097</v>
      </c>
      <c r="L72" s="159">
        <f t="shared" ca="1" si="150"/>
        <v>905.23215580916894</v>
      </c>
      <c r="M72" s="159">
        <f t="shared" ca="1" si="150"/>
        <v>1381.7883081297869</v>
      </c>
      <c r="N72" s="159">
        <f t="shared" ca="1" si="150"/>
        <v>1859.1846071660048</v>
      </c>
      <c r="O72" s="159">
        <f t="shared" ca="1" si="150"/>
        <v>2337.4220913891504</v>
      </c>
      <c r="P72" s="162">
        <f t="shared" ca="1" si="150"/>
        <v>8014.2058199579442</v>
      </c>
      <c r="Q72" s="160">
        <f t="shared" ca="1" si="150"/>
        <v>2774.438446513589</v>
      </c>
      <c r="R72" s="159">
        <f t="shared" ca="1" si="150"/>
        <v>3286.1339000793914</v>
      </c>
      <c r="S72" s="159">
        <f t="shared" ca="1" si="150"/>
        <v>3735.4061693538379</v>
      </c>
      <c r="T72" s="159">
        <f t="shared" ca="1" si="150"/>
        <v>4250.260904247386</v>
      </c>
      <c r="U72" s="159">
        <f t="shared" ca="1" si="150"/>
        <v>4767.2765935170019</v>
      </c>
      <c r="V72" s="159">
        <f t="shared" ca="1" si="150"/>
        <v>1254.2538729065027</v>
      </c>
      <c r="W72" s="159">
        <f t="shared" ca="1" si="150"/>
        <v>5807.8170599662744</v>
      </c>
      <c r="X72" s="159">
        <f t="shared" ca="1" si="150"/>
        <v>9825.2419036476094</v>
      </c>
      <c r="Y72" s="159">
        <f t="shared" ca="1" si="150"/>
        <v>9894.5946669875266</v>
      </c>
      <c r="Z72" s="159">
        <f t="shared" ca="1" si="150"/>
        <v>9964.0902856647772</v>
      </c>
      <c r="AA72" s="161">
        <f t="shared" ca="1" si="150"/>
        <v>10033.729053937976</v>
      </c>
      <c r="AB72" s="163">
        <f t="shared" ca="1" si="150"/>
        <v>10103.51126667186</v>
      </c>
      <c r="AC72" s="162">
        <f t="shared" ca="1" si="150"/>
        <v>75696.754123493622</v>
      </c>
      <c r="AD72" s="160">
        <f t="shared" ca="1" si="150"/>
        <v>9474.1310924770078</v>
      </c>
      <c r="AE72" s="159">
        <f t="shared" ca="1" si="150"/>
        <v>9543.2020746809176</v>
      </c>
      <c r="AF72" s="159">
        <f t="shared" ca="1" si="150"/>
        <v>9543.2020746809176</v>
      </c>
      <c r="AG72" s="159">
        <f t="shared" ca="1" si="150"/>
        <v>9612.4153317991695</v>
      </c>
      <c r="AH72" s="159">
        <f t="shared" ca="1" si="150"/>
        <v>9681.7711568947925</v>
      </c>
      <c r="AI72" s="159">
        <f t="shared" ca="1" si="150"/>
        <v>9751.2698436344654</v>
      </c>
      <c r="AJ72" s="159">
        <f t="shared" ca="1" si="150"/>
        <v>9820.9116862897936</v>
      </c>
      <c r="AK72" s="159">
        <f t="shared" ca="1" si="150"/>
        <v>9890.6969797385136</v>
      </c>
      <c r="AL72" s="159">
        <f t="shared" ca="1" si="150"/>
        <v>9960.6260194657843</v>
      </c>
      <c r="AM72" s="159">
        <f t="shared" ca="1" si="150"/>
        <v>10030.699101565413</v>
      </c>
      <c r="AN72" s="161">
        <f t="shared" ca="1" si="150"/>
        <v>6501.61053629035</v>
      </c>
      <c r="AO72" s="163">
        <f t="shared" ca="1" si="150"/>
        <v>6571.9725938569381</v>
      </c>
      <c r="AP72" s="162">
        <f t="shared" ca="1" si="150"/>
        <v>110382.50849137403</v>
      </c>
      <c r="AQ72" s="160">
        <f t="shared" ca="1" si="150"/>
        <v>5578.2838972564887</v>
      </c>
      <c r="AR72" s="159">
        <f t="shared" ca="1" si="150"/>
        <v>5648.6547875023271</v>
      </c>
      <c r="AS72" s="159">
        <f t="shared" ca="1" si="150"/>
        <v>5648.6547875023271</v>
      </c>
      <c r="AT72" s="159">
        <f t="shared" ca="1" si="150"/>
        <v>5719.1706302602424</v>
      </c>
      <c r="AU72" s="159">
        <f t="shared" ca="1" si="150"/>
        <v>5789.8317241086652</v>
      </c>
      <c r="AV72" s="159">
        <f t="shared" ca="1" si="150"/>
        <v>5860.6383682410515</v>
      </c>
      <c r="AW72" s="159">
        <f t="shared" ca="1" si="150"/>
        <v>5931.590862467182</v>
      </c>
      <c r="AX72" s="159">
        <f t="shared" ca="1" si="150"/>
        <v>6002.6895072143479</v>
      </c>
      <c r="AY72" s="159">
        <f t="shared" ca="1" si="150"/>
        <v>6073.9346035287117</v>
      </c>
      <c r="AZ72" s="159">
        <f t="shared" ca="1" si="150"/>
        <v>6145.3264530765</v>
      </c>
      <c r="BA72" s="161">
        <f t="shared" ca="1" si="150"/>
        <v>6216.8653581453682</v>
      </c>
      <c r="BB72" s="163">
        <f t="shared" ca="1" si="150"/>
        <v>6288.5516216455935</v>
      </c>
      <c r="BC72" s="162">
        <f t="shared" ca="1" si="150"/>
        <v>70904.192600948707</v>
      </c>
      <c r="BD72" s="160">
        <f t="shared" ca="1" si="150"/>
        <v>5983.0597293257879</v>
      </c>
      <c r="BE72" s="159">
        <f t="shared" ca="1" si="150"/>
        <v>6040.5515915067581</v>
      </c>
      <c r="BF72" s="159">
        <f t="shared" ca="1" si="150"/>
        <v>6040.5515915067581</v>
      </c>
      <c r="BG72" s="159">
        <f t="shared" ca="1" si="150"/>
        <v>6098.1384061723284</v>
      </c>
      <c r="BH72" s="159">
        <f t="shared" ca="1" si="150"/>
        <v>6155.8203301442254</v>
      </c>
      <c r="BI72" s="159">
        <f t="shared" ca="1" si="150"/>
        <v>6213.5975205032219</v>
      </c>
      <c r="BJ72" s="159">
        <f t="shared" ca="1" si="150"/>
        <v>6271.4701345894855</v>
      </c>
      <c r="BK72" s="159">
        <f t="shared" ca="1" si="150"/>
        <v>6329.4383300030704</v>
      </c>
      <c r="BL72" s="159">
        <f t="shared" ca="1" si="150"/>
        <v>6387.5022646043135</v>
      </c>
      <c r="BM72" s="159">
        <f t="shared" ca="1" si="150"/>
        <v>6445.6620965142529</v>
      </c>
      <c r="BN72" s="161">
        <f t="shared" ca="1" si="150"/>
        <v>6503.9179841150972</v>
      </c>
      <c r="BO72" s="163">
        <f t="shared" ca="1" si="150"/>
        <v>6562.2700860506293</v>
      </c>
      <c r="BP72" s="162">
        <f t="shared" ca="1" si="150"/>
        <v>75031.980065035837</v>
      </c>
      <c r="BQ72" s="160">
        <f t="shared" ref="BQ72:CP72" ca="1" si="151">BQ68-BQ70</f>
        <v>6265.7558248049127</v>
      </c>
      <c r="BR72" s="159">
        <f t="shared" ca="1" si="151"/>
        <v>6324.1237142138734</v>
      </c>
      <c r="BS72" s="159">
        <f t="shared" ca="1" si="151"/>
        <v>6324.1237142138734</v>
      </c>
      <c r="BT72" s="159">
        <f t="shared" ca="1" si="151"/>
        <v>6382.5880029376085</v>
      </c>
      <c r="BU72" s="159">
        <f t="shared" ca="1" si="151"/>
        <v>6441.1488501874292</v>
      </c>
      <c r="BV72" s="159">
        <f t="shared" ca="1" si="151"/>
        <v>6499.8064154375925</v>
      </c>
      <c r="BW72" s="159">
        <f t="shared" ca="1" si="151"/>
        <v>6558.5608584257379</v>
      </c>
      <c r="BX72" s="159">
        <f t="shared" ca="1" si="151"/>
        <v>6617.4123391533312</v>
      </c>
      <c r="BY72" s="159">
        <f t="shared" ca="1" si="151"/>
        <v>6676.3610178860863</v>
      </c>
      <c r="BZ72" s="159">
        <f t="shared" ca="1" si="151"/>
        <v>6735.4070551544019</v>
      </c>
      <c r="CA72" s="161">
        <f t="shared" ca="1" si="151"/>
        <v>6794.5506117538234</v>
      </c>
      <c r="CB72" s="163">
        <f t="shared" ca="1" si="151"/>
        <v>6853.7918487454544</v>
      </c>
      <c r="CC72" s="162">
        <f t="shared" ca="1" si="151"/>
        <v>78473.630252914067</v>
      </c>
      <c r="CD72" s="160">
        <f t="shared" ca="1" si="151"/>
        <v>6553.2805225026887</v>
      </c>
      <c r="CE72" s="161">
        <f t="shared" ca="1" si="151"/>
        <v>6612.5419596841848</v>
      </c>
      <c r="CF72" s="161">
        <f t="shared" ca="1" si="151"/>
        <v>6612.5419596841848</v>
      </c>
      <c r="CG72" s="161">
        <f t="shared" ca="1" si="151"/>
        <v>6671.9012719472548</v>
      </c>
      <c r="CH72" s="159">
        <f t="shared" ca="1" si="151"/>
        <v>6731.3586209405576</v>
      </c>
      <c r="CI72" s="159">
        <f t="shared" ca="1" si="151"/>
        <v>6790.914168579714</v>
      </c>
      <c r="CJ72" s="159">
        <f t="shared" ca="1" si="151"/>
        <v>6850.5680770477729</v>
      </c>
      <c r="CK72" s="159">
        <f t="shared" ca="1" si="151"/>
        <v>6910.3205087956549</v>
      </c>
      <c r="CL72" s="159">
        <f t="shared" ca="1" si="151"/>
        <v>6970.1716265425521</v>
      </c>
      <c r="CM72" s="159">
        <f t="shared" ca="1" si="151"/>
        <v>7030.1215932764235</v>
      </c>
      <c r="CN72" s="161">
        <f t="shared" ca="1" si="151"/>
        <v>7090.1705722543875</v>
      </c>
      <c r="CO72" s="163">
        <f t="shared" ca="1" si="151"/>
        <v>7150.3187270032458</v>
      </c>
      <c r="CP72" s="162">
        <f t="shared" ca="1" si="151"/>
        <v>81974.209608258592</v>
      </c>
    </row>
    <row r="73" spans="1:94" ht="5.4" customHeight="1">
      <c r="B73" s="93"/>
      <c r="C73" s="383"/>
      <c r="D73" s="99"/>
      <c r="E73" s="91"/>
      <c r="F73" s="95"/>
      <c r="G73" s="95"/>
      <c r="H73" s="95"/>
      <c r="I73" s="99"/>
      <c r="J73" s="95"/>
      <c r="K73" s="95"/>
      <c r="L73" s="95"/>
      <c r="M73" s="99"/>
      <c r="N73" s="95"/>
      <c r="O73" s="95"/>
      <c r="P73" s="103"/>
      <c r="Q73" s="91"/>
      <c r="R73" s="99"/>
      <c r="S73" s="99"/>
      <c r="T73" s="99"/>
      <c r="U73" s="99"/>
      <c r="V73" s="99"/>
      <c r="W73" s="99"/>
      <c r="X73" s="99"/>
      <c r="Y73" s="99"/>
      <c r="Z73" s="99"/>
      <c r="AA73" s="95"/>
      <c r="AB73" s="107"/>
      <c r="AC73" s="103"/>
      <c r="AD73" s="91"/>
      <c r="AE73" s="99"/>
      <c r="AF73" s="99"/>
      <c r="AG73" s="99"/>
      <c r="AH73" s="99"/>
      <c r="AI73" s="99"/>
      <c r="AJ73" s="99"/>
      <c r="AK73" s="99"/>
      <c r="AL73" s="99"/>
      <c r="AM73" s="99"/>
      <c r="AN73" s="95"/>
      <c r="AO73" s="107"/>
      <c r="AP73" s="103"/>
      <c r="AQ73" s="91"/>
      <c r="AR73" s="99"/>
      <c r="AS73" s="99"/>
      <c r="AT73" s="99"/>
      <c r="AU73" s="99"/>
      <c r="AV73" s="99"/>
      <c r="AW73" s="99"/>
      <c r="AX73" s="99"/>
      <c r="AY73" s="99"/>
      <c r="AZ73" s="99"/>
      <c r="BA73" s="95"/>
      <c r="BB73" s="107"/>
      <c r="BC73" s="103"/>
      <c r="BD73" s="91"/>
      <c r="BE73" s="99"/>
      <c r="BF73" s="99"/>
      <c r="BG73" s="99"/>
      <c r="BH73" s="99"/>
      <c r="BI73" s="99"/>
      <c r="BJ73" s="99"/>
      <c r="BK73" s="99"/>
      <c r="BL73" s="99"/>
      <c r="BM73" s="99"/>
      <c r="BN73" s="95"/>
      <c r="BO73" s="107"/>
      <c r="BP73" s="103"/>
      <c r="BQ73" s="91"/>
      <c r="BR73" s="99"/>
      <c r="BS73" s="99"/>
      <c r="BT73" s="99"/>
      <c r="BU73" s="99"/>
      <c r="BV73" s="99"/>
      <c r="BW73" s="99"/>
      <c r="BX73" s="99"/>
      <c r="BY73" s="99"/>
      <c r="BZ73" s="99"/>
      <c r="CA73" s="95"/>
      <c r="CB73" s="107"/>
      <c r="CC73" s="103"/>
      <c r="CD73" s="91"/>
      <c r="CE73" s="95"/>
      <c r="CF73" s="95"/>
      <c r="CG73" s="95"/>
      <c r="CH73" s="99"/>
      <c r="CI73" s="99"/>
      <c r="CJ73" s="99"/>
      <c r="CK73" s="99"/>
      <c r="CL73" s="99"/>
      <c r="CM73" s="99"/>
      <c r="CN73" s="95"/>
      <c r="CO73" s="107"/>
      <c r="CP73" s="103"/>
    </row>
    <row r="74" spans="1:94">
      <c r="B74" s="113" t="s">
        <v>19</v>
      </c>
      <c r="C74" s="383"/>
      <c r="D74" s="99">
        <f ca="1">-('Cash Flow Summary'!$D$29*'Cont. Dist.'!D21)/12</f>
        <v>0</v>
      </c>
      <c r="E74" s="99">
        <f ca="1">-('Cash Flow Summary'!$D$29*'Cont. Dist.'!E21)/12</f>
        <v>0</v>
      </c>
      <c r="F74" s="99">
        <f ca="1">-('Cash Flow Summary'!$D$29*'Cont. Dist.'!F21)/12</f>
        <v>0</v>
      </c>
      <c r="G74" s="99">
        <f ca="1">-('Cash Flow Summary'!$D$29*'Cont. Dist.'!G21)/12</f>
        <v>0</v>
      </c>
      <c r="H74" s="99">
        <f ca="1">-('Cash Flow Summary'!$D$29*'Cont. Dist.'!H21)/12</f>
        <v>0</v>
      </c>
      <c r="I74" s="99">
        <f ca="1">-('Cash Flow Summary'!$D$29*'Cont. Dist.'!I21)/12</f>
        <v>0</v>
      </c>
      <c r="J74" s="99">
        <f ca="1">-('Cash Flow Summary'!$D$29*'Cont. Dist.'!J21)/12</f>
        <v>0</v>
      </c>
      <c r="K74" s="99">
        <f ca="1">-('Cash Flow Summary'!$D$29*'Cont. Dist.'!K21)/12</f>
        <v>0</v>
      </c>
      <c r="L74" s="99">
        <f ca="1">-('Cash Flow Summary'!$D$29*'Cont. Dist.'!L21)/12</f>
        <v>0</v>
      </c>
      <c r="M74" s="99">
        <f ca="1">-('Cash Flow Summary'!$D$29*'Cont. Dist.'!M21)/12</f>
        <v>0</v>
      </c>
      <c r="N74" s="99">
        <f ca="1">-('Cash Flow Summary'!$D$29*'Cont. Dist.'!N21)/12</f>
        <v>0</v>
      </c>
      <c r="O74" s="99">
        <f ca="1">-('Cash Flow Summary'!$D$29*'Cont. Dist.'!O21)/12</f>
        <v>0</v>
      </c>
      <c r="P74" s="103">
        <f ca="1">SUM(D74:O74)</f>
        <v>0</v>
      </c>
      <c r="Q74" s="99">
        <f ca="1">-('Cash Flow Summary'!$E$29*'Cont. Dist.'!P21)/12</f>
        <v>6240.1739668821674</v>
      </c>
      <c r="R74" s="99">
        <f ca="1">-('Cash Flow Summary'!$E$29*'Cont. Dist.'!Q21)/12</f>
        <v>6240.1739668821674</v>
      </c>
      <c r="S74" s="99">
        <f ca="1">-('Cash Flow Summary'!$E$29*'Cont. Dist.'!R21)/12</f>
        <v>6240.1739668821674</v>
      </c>
      <c r="T74" s="99">
        <f ca="1">-('Cash Flow Summary'!$E$29*'Cont. Dist.'!S21)/12</f>
        <v>6240.1739668821674</v>
      </c>
      <c r="U74" s="99">
        <f ca="1">-('Cash Flow Summary'!$E$29*'Cont. Dist.'!T21)/12</f>
        <v>6240.1739668821674</v>
      </c>
      <c r="V74" s="99">
        <f ca="1">-('Cash Flow Summary'!$E$29*'Cont. Dist.'!U21)/12</f>
        <v>6240.1739668821674</v>
      </c>
      <c r="W74" s="99">
        <f ca="1">-('Cash Flow Summary'!$E$29*'Cont. Dist.'!V21)/12</f>
        <v>6240.1739668821674</v>
      </c>
      <c r="X74" s="99">
        <f ca="1">-('Cash Flow Summary'!$E$29*'Cont. Dist.'!W21)/12</f>
        <v>6240.1739668821674</v>
      </c>
      <c r="Y74" s="99">
        <f ca="1">-('Cash Flow Summary'!$E$29*'Cont. Dist.'!X21)/12</f>
        <v>6240.1739668821674</v>
      </c>
      <c r="Z74" s="99">
        <f ca="1">-('Cash Flow Summary'!$E$29*'Cont. Dist.'!Y21)/12</f>
        <v>6240.1739668821674</v>
      </c>
      <c r="AA74" s="99">
        <f ca="1">-('Cash Flow Summary'!$E$29*'Cont. Dist.'!Z21)/12</f>
        <v>6240.1739668821674</v>
      </c>
      <c r="AB74" s="99">
        <f ca="1">-('Cash Flow Summary'!$E$29*'Cont. Dist.'!AA21)/12</f>
        <v>6240.1739668821674</v>
      </c>
      <c r="AC74" s="103">
        <f ca="1">SUM(Q74:AB74)</f>
        <v>74882.087602586005</v>
      </c>
      <c r="AD74" s="91">
        <f ca="1">-('Cash Flow Summary'!$F$29*'Cont. Dist.'!AB21)/12</f>
        <v>9360.2609503232488</v>
      </c>
      <c r="AE74" s="95">
        <f ca="1">-('Cash Flow Summary'!$F$29*'Cont. Dist.'!AC21)/12</f>
        <v>9360.2609503232488</v>
      </c>
      <c r="AF74" s="95">
        <f ca="1">-('Cash Flow Summary'!$F$29*'Cont. Dist.'!AD21)/12</f>
        <v>9360.2609503232488</v>
      </c>
      <c r="AG74" s="95">
        <f ca="1">-('Cash Flow Summary'!$F$29*'Cont. Dist.'!AE21)/12</f>
        <v>9360.2609503232488</v>
      </c>
      <c r="AH74" s="99">
        <f ca="1">-('Cash Flow Summary'!$F$29*'Cont. Dist.'!AF21)/12</f>
        <v>9360.2609503232488</v>
      </c>
      <c r="AI74" s="99">
        <f ca="1">-('Cash Flow Summary'!$F$29*'Cont. Dist.'!AG21)/12</f>
        <v>9360.2609503232488</v>
      </c>
      <c r="AJ74" s="99">
        <f ca="1">-('Cash Flow Summary'!$F$29*'Cont. Dist.'!AH21)/12</f>
        <v>9360.2609503232488</v>
      </c>
      <c r="AK74" s="99">
        <f ca="1">-('Cash Flow Summary'!$F$29*'Cont. Dist.'!AI21)/12</f>
        <v>9360.2609503232488</v>
      </c>
      <c r="AL74" s="99">
        <f ca="1">-('Cash Flow Summary'!$F$29*'Cont. Dist.'!AJ21)/12</f>
        <v>9360.2609503232488</v>
      </c>
      <c r="AM74" s="99">
        <f ca="1">-('Cash Flow Summary'!$F$29*'Cont. Dist.'!AK21)/12</f>
        <v>9360.2609503232488</v>
      </c>
      <c r="AN74" s="95">
        <f ca="1">-('Cash Flow Summary'!$F$29*'Cont. Dist.'!AL21)/12</f>
        <v>3464.071265298056</v>
      </c>
      <c r="AO74" s="107">
        <f ca="1">-('Cash Flow Summary'!$F$29*'Cont. Dist.'!AM21)/12</f>
        <v>3464.071265298056</v>
      </c>
      <c r="AP74" s="103">
        <f ca="1">SUM(AD74:AO74)</f>
        <v>100530.75203382863</v>
      </c>
      <c r="AQ74" s="91">
        <f ca="1">-('Cash Flow Summary'!$G$29*'Cont. Dist.'!AN21)/12</f>
        <v>5542.5140244768891</v>
      </c>
      <c r="AR74" s="95">
        <f ca="1">-('Cash Flow Summary'!$G$29*'Cont. Dist.'!AO21)/12</f>
        <v>5542.5140244768891</v>
      </c>
      <c r="AS74" s="95">
        <f ca="1">-('Cash Flow Summary'!$G$29*'Cont. Dist.'!AP21)/12</f>
        <v>5542.5140244768891</v>
      </c>
      <c r="AT74" s="95">
        <f ca="1">-('Cash Flow Summary'!$G$29*'Cont. Dist.'!AQ21)/12</f>
        <v>5542.5140244768891</v>
      </c>
      <c r="AU74" s="99">
        <f ca="1">-('Cash Flow Summary'!$G$29*'Cont. Dist.'!AR21)/12</f>
        <v>5542.5140244768891</v>
      </c>
      <c r="AV74" s="99">
        <f ca="1">-('Cash Flow Summary'!$G$29*'Cont. Dist.'!AS21)/12</f>
        <v>5542.5140244768891</v>
      </c>
      <c r="AW74" s="99">
        <f ca="1">-('Cash Flow Summary'!$G$29*'Cont. Dist.'!AT21)/12</f>
        <v>5542.5140244768891</v>
      </c>
      <c r="AX74" s="99">
        <f ca="1">-('Cash Flow Summary'!$G$29*'Cont. Dist.'!AU21)/12</f>
        <v>5542.5140244768891</v>
      </c>
      <c r="AY74" s="99">
        <f ca="1">-('Cash Flow Summary'!$G$29*'Cont. Dist.'!AV21)/12</f>
        <v>5542.5140244768891</v>
      </c>
      <c r="AZ74" s="99">
        <f ca="1">-('Cash Flow Summary'!$G$29*'Cont. Dist.'!AW21)/12</f>
        <v>5542.5140244768891</v>
      </c>
      <c r="BA74" s="95">
        <f ca="1">-('Cash Flow Summary'!$G$29*'Cont. Dist.'!AX21)/12</f>
        <v>5542.5140244768891</v>
      </c>
      <c r="BB74" s="107">
        <f ca="1">-('Cash Flow Summary'!$G$29*'Cont. Dist.'!AY21)/12</f>
        <v>5542.5140244768891</v>
      </c>
      <c r="BC74" s="103">
        <f ca="1">SUM(AQ74:BB74)</f>
        <v>66510.168293722687</v>
      </c>
      <c r="BD74" s="91">
        <f ca="1">-('Cash Flow Summary'!$H$29*'Cont. Dist.'!AZ21)/12</f>
        <v>6004.3901931832979</v>
      </c>
      <c r="BE74" s="95">
        <f ca="1">-('Cash Flow Summary'!$H$29*'Cont. Dist.'!BA21)/12</f>
        <v>6004.3901931832979</v>
      </c>
      <c r="BF74" s="95">
        <f ca="1">-('Cash Flow Summary'!$H$29*'Cont. Dist.'!BB21)/12</f>
        <v>6004.3901931832979</v>
      </c>
      <c r="BG74" s="95">
        <f ca="1">-('Cash Flow Summary'!$H$29*'Cont. Dist.'!BC21)/12</f>
        <v>6004.3901931832979</v>
      </c>
      <c r="BH74" s="99">
        <f ca="1">-('Cash Flow Summary'!$H$29*'Cont. Dist.'!BD21)/12</f>
        <v>6004.3901931832979</v>
      </c>
      <c r="BI74" s="99">
        <f ca="1">-('Cash Flow Summary'!$H$29*'Cont. Dist.'!BE21)/12</f>
        <v>6004.3901931832979</v>
      </c>
      <c r="BJ74" s="99">
        <f ca="1">-('Cash Flow Summary'!$H$29*'Cont. Dist.'!BF21)/12</f>
        <v>6004.3901931832979</v>
      </c>
      <c r="BK74" s="99">
        <f ca="1">-('Cash Flow Summary'!$H$29*'Cont. Dist.'!BG21)/12</f>
        <v>6004.3901931832979</v>
      </c>
      <c r="BL74" s="99">
        <f ca="1">-('Cash Flow Summary'!$H$29*'Cont. Dist.'!BH21)/12</f>
        <v>6004.3901931832979</v>
      </c>
      <c r="BM74" s="99">
        <f ca="1">-('Cash Flow Summary'!$H$29*'Cont. Dist.'!BI21)/12</f>
        <v>6004.3901931832979</v>
      </c>
      <c r="BN74" s="95">
        <f ca="1">-('Cash Flow Summary'!$H$29*'Cont. Dist.'!BJ21)/12</f>
        <v>6004.3901931832979</v>
      </c>
      <c r="BO74" s="107">
        <f ca="1">-('Cash Flow Summary'!$H$29*'Cont. Dist.'!BK21)/12</f>
        <v>6004.3901931832979</v>
      </c>
      <c r="BP74" s="103">
        <f ca="1">SUM(BD74:BO74)</f>
        <v>72052.682318199557</v>
      </c>
      <c r="BQ74" s="91">
        <f ca="1">-('Cash Flow Summary'!$I$29*'Cont. Dist.'!BL21)/12</f>
        <v>6466.2663618897059</v>
      </c>
      <c r="BR74" s="95">
        <f ca="1">-('Cash Flow Summary'!$I$29*'Cont. Dist.'!BM21)/12</f>
        <v>6466.2663618897059</v>
      </c>
      <c r="BS74" s="95">
        <f ca="1">-('Cash Flow Summary'!$I$29*'Cont. Dist.'!BN21)/12</f>
        <v>6466.2663618897059</v>
      </c>
      <c r="BT74" s="95">
        <f ca="1">-('Cash Flow Summary'!$I$29*'Cont. Dist.'!BO21)/12</f>
        <v>6466.2663618897059</v>
      </c>
      <c r="BU74" s="99">
        <f ca="1">-('Cash Flow Summary'!$I$29*'Cont. Dist.'!BP21)/12</f>
        <v>6466.2663618897059</v>
      </c>
      <c r="BV74" s="99">
        <f ca="1">-('Cash Flow Summary'!$I$29*'Cont. Dist.'!BQ21)/12</f>
        <v>6466.2663618897059</v>
      </c>
      <c r="BW74" s="99">
        <f ca="1">-('Cash Flow Summary'!$I$29*'Cont. Dist.'!BR21)/12</f>
        <v>6466.2663618897059</v>
      </c>
      <c r="BX74" s="99">
        <f ca="1">-('Cash Flow Summary'!$I$29*'Cont. Dist.'!BS21)/12</f>
        <v>6466.2663618897059</v>
      </c>
      <c r="BY74" s="99">
        <f ca="1">-('Cash Flow Summary'!$I$29*'Cont. Dist.'!BT21)/12</f>
        <v>6466.2663618897059</v>
      </c>
      <c r="BZ74" s="99">
        <f ca="1">-('Cash Flow Summary'!$I$29*'Cont. Dist.'!BU21)/12</f>
        <v>6466.2663618897059</v>
      </c>
      <c r="CA74" s="95">
        <f ca="1">-('Cash Flow Summary'!$I$29*'Cont. Dist.'!BV21)/12</f>
        <v>6466.2663618897059</v>
      </c>
      <c r="CB74" s="107">
        <f ca="1">-('Cash Flow Summary'!$I$29*'Cont. Dist.'!BW21)/12</f>
        <v>6466.2663618897059</v>
      </c>
      <c r="CC74" s="103">
        <f ca="1">SUM(BQ74:CB74)</f>
        <v>77595.196342676471</v>
      </c>
      <c r="CD74" s="91">
        <f ca="1">-('Cash Flow Summary'!$J$29*'Cont. Dist.'!BX21)/12</f>
        <v>6928.142530596112</v>
      </c>
      <c r="CE74" s="95">
        <f ca="1">-('Cash Flow Summary'!$J$29*'Cont. Dist.'!BY21)/12</f>
        <v>6928.142530596112</v>
      </c>
      <c r="CF74" s="95">
        <f ca="1">-('Cash Flow Summary'!$J$29*'Cont. Dist.'!BZ21)/12</f>
        <v>6928.142530596112</v>
      </c>
      <c r="CG74" s="95">
        <f ca="1">-('Cash Flow Summary'!$J$29*'Cont. Dist.'!CA21)/12</f>
        <v>6928.142530596112</v>
      </c>
      <c r="CH74" s="99">
        <f ca="1">-('Cash Flow Summary'!$J$29*'Cont. Dist.'!CB21)/12</f>
        <v>6928.142530596112</v>
      </c>
      <c r="CI74" s="99">
        <f ca="1">-('Cash Flow Summary'!$J$29*'Cont. Dist.'!CC21)/12</f>
        <v>6928.142530596112</v>
      </c>
      <c r="CJ74" s="99">
        <f ca="1">-('Cash Flow Summary'!$J$29*'Cont. Dist.'!CD21)/12</f>
        <v>6928.142530596112</v>
      </c>
      <c r="CK74" s="99">
        <f ca="1">-('Cash Flow Summary'!$J$29*'Cont. Dist.'!CE21)/12</f>
        <v>6928.142530596112</v>
      </c>
      <c r="CL74" s="99">
        <f ca="1">-('Cash Flow Summary'!$J$29*'Cont. Dist.'!CF21)/12</f>
        <v>6928.142530596112</v>
      </c>
      <c r="CM74" s="99">
        <f ca="1">-('Cash Flow Summary'!$J$29*'Cont. Dist.'!CG21)/12</f>
        <v>6928.142530596112</v>
      </c>
      <c r="CN74" s="95">
        <f ca="1">-('Cash Flow Summary'!$J$29*'Cont. Dist.'!CH21)/12</f>
        <v>6928.142530596112</v>
      </c>
      <c r="CO74" s="107">
        <f ca="1">-('Cash Flow Summary'!$J$29*'Cont. Dist.'!CI21)/12</f>
        <v>6928.142530596112</v>
      </c>
      <c r="CP74" s="103">
        <f ca="1">SUM(CD74:CO74)</f>
        <v>83137.71036715334</v>
      </c>
    </row>
    <row r="75" spans="1:94" ht="5.4" customHeight="1">
      <c r="B75" s="93"/>
      <c r="C75" s="383"/>
      <c r="D75" s="99"/>
      <c r="E75" s="91"/>
      <c r="F75" s="95"/>
      <c r="G75" s="95"/>
      <c r="H75" s="95"/>
      <c r="I75" s="99"/>
      <c r="J75" s="95"/>
      <c r="K75" s="95"/>
      <c r="L75" s="95"/>
      <c r="M75" s="99"/>
      <c r="N75" s="95"/>
      <c r="O75" s="95"/>
      <c r="P75" s="103"/>
      <c r="Q75" s="91"/>
      <c r="R75" s="99"/>
      <c r="S75" s="99"/>
      <c r="T75" s="99"/>
      <c r="U75" s="99"/>
      <c r="V75" s="99"/>
      <c r="W75" s="99"/>
      <c r="X75" s="99"/>
      <c r="Y75" s="99"/>
      <c r="Z75" s="99"/>
      <c r="AA75" s="95"/>
      <c r="AB75" s="107"/>
      <c r="AC75" s="103"/>
      <c r="AD75" s="91"/>
      <c r="AE75" s="99"/>
      <c r="AF75" s="99"/>
      <c r="AG75" s="99"/>
      <c r="AH75" s="99"/>
      <c r="AI75" s="99"/>
      <c r="AJ75" s="99"/>
      <c r="AK75" s="99"/>
      <c r="AL75" s="99"/>
      <c r="AM75" s="99"/>
      <c r="AN75" s="95"/>
      <c r="AO75" s="107"/>
      <c r="AP75" s="103"/>
      <c r="AQ75" s="91"/>
      <c r="AR75" s="99"/>
      <c r="AS75" s="99"/>
      <c r="AT75" s="99"/>
      <c r="AU75" s="99"/>
      <c r="AV75" s="99"/>
      <c r="AW75" s="99"/>
      <c r="AX75" s="99"/>
      <c r="AY75" s="99"/>
      <c r="AZ75" s="99"/>
      <c r="BA75" s="95"/>
      <c r="BB75" s="107"/>
      <c r="BC75" s="103"/>
      <c r="BD75" s="91"/>
      <c r="BE75" s="99"/>
      <c r="BF75" s="99"/>
      <c r="BG75" s="99"/>
      <c r="BH75" s="99"/>
      <c r="BI75" s="99"/>
      <c r="BJ75" s="99"/>
      <c r="BK75" s="99"/>
      <c r="BL75" s="99"/>
      <c r="BM75" s="99"/>
      <c r="BN75" s="95"/>
      <c r="BO75" s="107"/>
      <c r="BP75" s="103"/>
      <c r="BQ75" s="91"/>
      <c r="BR75" s="99"/>
      <c r="BS75" s="99"/>
      <c r="BT75" s="99"/>
      <c r="BU75" s="99"/>
      <c r="BV75" s="99"/>
      <c r="BW75" s="99"/>
      <c r="BX75" s="99"/>
      <c r="BY75" s="99"/>
      <c r="BZ75" s="99"/>
      <c r="CA75" s="95"/>
      <c r="CB75" s="107"/>
      <c r="CC75" s="103"/>
      <c r="CD75" s="91"/>
      <c r="CE75" s="95"/>
      <c r="CF75" s="95"/>
      <c r="CG75" s="95"/>
      <c r="CH75" s="99"/>
      <c r="CI75" s="99"/>
      <c r="CJ75" s="99"/>
      <c r="CK75" s="99"/>
      <c r="CL75" s="99"/>
      <c r="CM75" s="99"/>
      <c r="CN75" s="95"/>
      <c r="CO75" s="107"/>
      <c r="CP75" s="103"/>
    </row>
    <row r="76" spans="1:94" s="110" customFormat="1" ht="17.5" thickBot="1">
      <c r="B76" s="149" t="s">
        <v>130</v>
      </c>
      <c r="C76" s="387"/>
      <c r="D76" s="159">
        <f ca="1">D72-D74</f>
        <v>1915.1498932686818</v>
      </c>
      <c r="E76" s="159">
        <f t="shared" ref="E76:BP76" ca="1" si="152">E72-E74</f>
        <v>1813.7103979784379</v>
      </c>
      <c r="F76" s="159">
        <f t="shared" ca="1" si="152"/>
        <v>279.63916093371063</v>
      </c>
      <c r="G76" s="159">
        <f t="shared" ca="1" si="152"/>
        <v>-1350.0545465711666</v>
      </c>
      <c r="H76" s="159">
        <f t="shared" ca="1" si="152"/>
        <v>-992.61171574295531</v>
      </c>
      <c r="I76" s="159">
        <f t="shared" ca="1" si="152"/>
        <v>-519.4057884255626</v>
      </c>
      <c r="J76" s="159">
        <f t="shared" ca="1" si="152"/>
        <v>-45.363856853798097</v>
      </c>
      <c r="K76" s="159">
        <f t="shared" ca="1" si="152"/>
        <v>429.51511287641097</v>
      </c>
      <c r="L76" s="159">
        <f t="shared" ca="1" si="152"/>
        <v>905.23215580916894</v>
      </c>
      <c r="M76" s="159">
        <f t="shared" ca="1" si="152"/>
        <v>1381.7883081297869</v>
      </c>
      <c r="N76" s="159">
        <f t="shared" ca="1" si="152"/>
        <v>1859.1846071660048</v>
      </c>
      <c r="O76" s="159">
        <f t="shared" ca="1" si="152"/>
        <v>2337.4220913891504</v>
      </c>
      <c r="P76" s="162">
        <f t="shared" ca="1" si="152"/>
        <v>8014.2058199579442</v>
      </c>
      <c r="Q76" s="160">
        <f t="shared" ca="1" si="152"/>
        <v>-3465.7355203685784</v>
      </c>
      <c r="R76" s="159">
        <f t="shared" ca="1" si="152"/>
        <v>-2954.040066802776</v>
      </c>
      <c r="S76" s="159">
        <f t="shared" ca="1" si="152"/>
        <v>-2504.7677975283295</v>
      </c>
      <c r="T76" s="159">
        <f t="shared" ca="1" si="152"/>
        <v>-1989.9130626347815</v>
      </c>
      <c r="U76" s="159">
        <f t="shared" ca="1" si="152"/>
        <v>-1472.8973733651655</v>
      </c>
      <c r="V76" s="159">
        <f t="shared" ca="1" si="152"/>
        <v>-4985.9200939756647</v>
      </c>
      <c r="W76" s="159">
        <f t="shared" ca="1" si="152"/>
        <v>-432.35690691589298</v>
      </c>
      <c r="X76" s="159">
        <f t="shared" ca="1" si="152"/>
        <v>3585.067936765442</v>
      </c>
      <c r="Y76" s="159">
        <f t="shared" ca="1" si="152"/>
        <v>3654.4207001053592</v>
      </c>
      <c r="Z76" s="159">
        <f t="shared" ca="1" si="152"/>
        <v>3723.9163187826098</v>
      </c>
      <c r="AA76" s="161">
        <f t="shared" ca="1" si="152"/>
        <v>3793.5550870558081</v>
      </c>
      <c r="AB76" s="163">
        <f t="shared" ca="1" si="152"/>
        <v>3863.3372997896922</v>
      </c>
      <c r="AC76" s="162">
        <f t="shared" ca="1" si="152"/>
        <v>814.66652090761636</v>
      </c>
      <c r="AD76" s="160">
        <f t="shared" ca="1" si="152"/>
        <v>113.87014215375893</v>
      </c>
      <c r="AE76" s="159">
        <f t="shared" ca="1" si="152"/>
        <v>182.94112435766874</v>
      </c>
      <c r="AF76" s="159">
        <f t="shared" ca="1" si="152"/>
        <v>182.94112435766874</v>
      </c>
      <c r="AG76" s="159">
        <f t="shared" ca="1" si="152"/>
        <v>252.15438147592067</v>
      </c>
      <c r="AH76" s="159">
        <f t="shared" ca="1" si="152"/>
        <v>321.51020657154368</v>
      </c>
      <c r="AI76" s="159">
        <f t="shared" ca="1" si="152"/>
        <v>391.00889331121653</v>
      </c>
      <c r="AJ76" s="159">
        <f t="shared" ca="1" si="152"/>
        <v>460.65073596654474</v>
      </c>
      <c r="AK76" s="159">
        <f t="shared" ca="1" si="152"/>
        <v>530.43602941526478</v>
      </c>
      <c r="AL76" s="159">
        <f t="shared" ca="1" si="152"/>
        <v>600.3650691425355</v>
      </c>
      <c r="AM76" s="159">
        <f t="shared" ca="1" si="152"/>
        <v>670.43815124216417</v>
      </c>
      <c r="AN76" s="161">
        <f t="shared" ca="1" si="152"/>
        <v>3037.539270992294</v>
      </c>
      <c r="AO76" s="163">
        <f t="shared" ca="1" si="152"/>
        <v>3107.9013285588821</v>
      </c>
      <c r="AP76" s="162">
        <f t="shared" ca="1" si="152"/>
        <v>9851.7564575454016</v>
      </c>
      <c r="AQ76" s="160">
        <f t="shared" ca="1" si="152"/>
        <v>35.769872779599609</v>
      </c>
      <c r="AR76" s="159">
        <f t="shared" ca="1" si="152"/>
        <v>106.14076302543799</v>
      </c>
      <c r="AS76" s="159">
        <f t="shared" ca="1" si="152"/>
        <v>106.14076302543799</v>
      </c>
      <c r="AT76" s="159">
        <f t="shared" ca="1" si="152"/>
        <v>176.65660578335337</v>
      </c>
      <c r="AU76" s="159">
        <f t="shared" ca="1" si="152"/>
        <v>247.31769963177612</v>
      </c>
      <c r="AV76" s="159">
        <f t="shared" ca="1" si="152"/>
        <v>318.1243437641624</v>
      </c>
      <c r="AW76" s="159">
        <f t="shared" ca="1" si="152"/>
        <v>389.07683799029292</v>
      </c>
      <c r="AX76" s="159">
        <f t="shared" ca="1" si="152"/>
        <v>460.17548273745888</v>
      </c>
      <c r="AY76" s="159">
        <f t="shared" ca="1" si="152"/>
        <v>531.42057905182264</v>
      </c>
      <c r="AZ76" s="159">
        <f t="shared" ca="1" si="152"/>
        <v>602.81242859961094</v>
      </c>
      <c r="BA76" s="161">
        <f t="shared" ca="1" si="152"/>
        <v>674.35133366847913</v>
      </c>
      <c r="BB76" s="163">
        <f t="shared" ca="1" si="152"/>
        <v>746.03759716870445</v>
      </c>
      <c r="BC76" s="162">
        <f t="shared" ca="1" si="152"/>
        <v>4394.02430722602</v>
      </c>
      <c r="BD76" s="160">
        <f t="shared" ca="1" si="152"/>
        <v>-21.33046385751004</v>
      </c>
      <c r="BE76" s="159">
        <f t="shared" ca="1" si="152"/>
        <v>36.161398323460162</v>
      </c>
      <c r="BF76" s="159">
        <f t="shared" ca="1" si="152"/>
        <v>36.161398323460162</v>
      </c>
      <c r="BG76" s="159">
        <f t="shared" ca="1" si="152"/>
        <v>93.748212989030435</v>
      </c>
      <c r="BH76" s="159">
        <f t="shared" ca="1" si="152"/>
        <v>151.43013696092748</v>
      </c>
      <c r="BI76" s="159">
        <f t="shared" ca="1" si="152"/>
        <v>209.20732731992393</v>
      </c>
      <c r="BJ76" s="159">
        <f t="shared" ca="1" si="152"/>
        <v>267.07994140618757</v>
      </c>
      <c r="BK76" s="159">
        <f t="shared" ca="1" si="152"/>
        <v>325.04813681977248</v>
      </c>
      <c r="BL76" s="159">
        <f t="shared" ca="1" si="152"/>
        <v>383.11207142101557</v>
      </c>
      <c r="BM76" s="159">
        <f t="shared" ca="1" si="152"/>
        <v>441.27190333095496</v>
      </c>
      <c r="BN76" s="161">
        <f t="shared" ca="1" si="152"/>
        <v>499.52779093179925</v>
      </c>
      <c r="BO76" s="163">
        <f t="shared" ca="1" si="152"/>
        <v>557.87989286733136</v>
      </c>
      <c r="BP76" s="162">
        <f t="shared" ca="1" si="152"/>
        <v>2979.2977468362806</v>
      </c>
      <c r="BQ76" s="160">
        <f t="shared" ref="BQ76:CP76" ca="1" si="153">BQ72-BQ74</f>
        <v>-200.51053708479321</v>
      </c>
      <c r="BR76" s="159">
        <f t="shared" ca="1" si="153"/>
        <v>-142.14264767583245</v>
      </c>
      <c r="BS76" s="159">
        <f t="shared" ca="1" si="153"/>
        <v>-142.14264767583245</v>
      </c>
      <c r="BT76" s="159">
        <f t="shared" ca="1" si="153"/>
        <v>-83.678358952097369</v>
      </c>
      <c r="BU76" s="159">
        <f t="shared" ca="1" si="153"/>
        <v>-25.117511702276715</v>
      </c>
      <c r="BV76" s="159">
        <f t="shared" ca="1" si="153"/>
        <v>33.5400535478866</v>
      </c>
      <c r="BW76" s="159">
        <f t="shared" ca="1" si="153"/>
        <v>92.294496536032057</v>
      </c>
      <c r="BX76" s="159">
        <f t="shared" ca="1" si="153"/>
        <v>151.14597726362535</v>
      </c>
      <c r="BY76" s="159">
        <f t="shared" ca="1" si="153"/>
        <v>210.09465599638042</v>
      </c>
      <c r="BZ76" s="159">
        <f t="shared" ca="1" si="153"/>
        <v>269.14069326469598</v>
      </c>
      <c r="CA76" s="161">
        <f t="shared" ca="1" si="153"/>
        <v>328.28424986411756</v>
      </c>
      <c r="CB76" s="163">
        <f t="shared" ca="1" si="153"/>
        <v>387.52548685574857</v>
      </c>
      <c r="CC76" s="162">
        <f t="shared" ca="1" si="153"/>
        <v>878.43391023759614</v>
      </c>
      <c r="CD76" s="160">
        <f t="shared" ca="1" si="153"/>
        <v>-374.86200809342336</v>
      </c>
      <c r="CE76" s="161">
        <f t="shared" ca="1" si="153"/>
        <v>-315.60057091192721</v>
      </c>
      <c r="CF76" s="161">
        <f t="shared" ca="1" si="153"/>
        <v>-315.60057091192721</v>
      </c>
      <c r="CG76" s="161">
        <f t="shared" ca="1" si="153"/>
        <v>-256.24125864885718</v>
      </c>
      <c r="CH76" s="159">
        <f t="shared" ca="1" si="153"/>
        <v>-196.78390965555445</v>
      </c>
      <c r="CI76" s="159">
        <f t="shared" ca="1" si="153"/>
        <v>-137.22836201639802</v>
      </c>
      <c r="CJ76" s="159">
        <f t="shared" ca="1" si="153"/>
        <v>-77.574453548339079</v>
      </c>
      <c r="CK76" s="159">
        <f t="shared" ca="1" si="153"/>
        <v>-17.822021800457151</v>
      </c>
      <c r="CL76" s="159">
        <f t="shared" ca="1" si="153"/>
        <v>42.029095946440066</v>
      </c>
      <c r="CM76" s="159">
        <f t="shared" ca="1" si="153"/>
        <v>101.97906268031147</v>
      </c>
      <c r="CN76" s="161">
        <f t="shared" ca="1" si="153"/>
        <v>162.02804165827547</v>
      </c>
      <c r="CO76" s="163">
        <f t="shared" ca="1" si="153"/>
        <v>222.17619640713383</v>
      </c>
      <c r="CP76" s="162">
        <f t="shared" ca="1" si="153"/>
        <v>-1163.5007588947483</v>
      </c>
    </row>
    <row r="77" spans="1:94" hidden="1">
      <c r="B77" s="706">
        <f ca="1">SUMIF(D77:CO77,"&lt;0",D77:CO77)</f>
        <v>-23019.702051719891</v>
      </c>
      <c r="D77" s="91">
        <f ca="1">D76</f>
        <v>1915.1498932686818</v>
      </c>
      <c r="E77" s="91">
        <f t="shared" ref="E77:O77" ca="1" si="154">E76</f>
        <v>1813.7103979784379</v>
      </c>
      <c r="F77" s="91">
        <f t="shared" ca="1" si="154"/>
        <v>279.63916093371063</v>
      </c>
      <c r="G77" s="91">
        <f t="shared" ca="1" si="154"/>
        <v>-1350.0545465711666</v>
      </c>
      <c r="H77" s="91">
        <f t="shared" ca="1" si="154"/>
        <v>-992.61171574295531</v>
      </c>
      <c r="I77" s="91">
        <f t="shared" ca="1" si="154"/>
        <v>-519.4057884255626</v>
      </c>
      <c r="J77" s="91">
        <f t="shared" ca="1" si="154"/>
        <v>-45.363856853798097</v>
      </c>
      <c r="K77" s="91">
        <f t="shared" ca="1" si="154"/>
        <v>429.51511287641097</v>
      </c>
      <c r="L77" s="91">
        <f t="shared" ca="1" si="154"/>
        <v>905.23215580916894</v>
      </c>
      <c r="M77" s="91">
        <f t="shared" ca="1" si="154"/>
        <v>1381.7883081297869</v>
      </c>
      <c r="N77" s="91">
        <f t="shared" ca="1" si="154"/>
        <v>1859.1846071660048</v>
      </c>
      <c r="O77" s="91">
        <f t="shared" ca="1" si="154"/>
        <v>2337.4220913891504</v>
      </c>
      <c r="Q77" s="91">
        <f ca="1">Q76</f>
        <v>-3465.7355203685784</v>
      </c>
      <c r="R77" s="91">
        <f t="shared" ref="R77" ca="1" si="155">R76</f>
        <v>-2954.040066802776</v>
      </c>
      <c r="S77" s="91">
        <f t="shared" ref="S77" ca="1" si="156">S76</f>
        <v>-2504.7677975283295</v>
      </c>
      <c r="T77" s="91">
        <f t="shared" ref="T77" ca="1" si="157">T76</f>
        <v>-1989.9130626347815</v>
      </c>
      <c r="U77" s="91">
        <f t="shared" ref="U77" ca="1" si="158">U76</f>
        <v>-1472.8973733651655</v>
      </c>
      <c r="V77" s="91">
        <f t="shared" ref="V77" ca="1" si="159">V76</f>
        <v>-4985.9200939756647</v>
      </c>
      <c r="W77" s="91">
        <f t="shared" ref="W77" ca="1" si="160">W76</f>
        <v>-432.35690691589298</v>
      </c>
      <c r="X77" s="91">
        <f t="shared" ref="X77" ca="1" si="161">X76</f>
        <v>3585.067936765442</v>
      </c>
      <c r="Y77" s="91">
        <f t="shared" ref="Y77" ca="1" si="162">Y76</f>
        <v>3654.4207001053592</v>
      </c>
      <c r="Z77" s="91">
        <f t="shared" ref="Z77" ca="1" si="163">Z76</f>
        <v>3723.9163187826098</v>
      </c>
      <c r="AA77" s="91">
        <f t="shared" ref="AA77" ca="1" si="164">AA76</f>
        <v>3793.5550870558081</v>
      </c>
      <c r="AB77" s="91">
        <f t="shared" ref="AB77" ca="1" si="165">AB76</f>
        <v>3863.3372997896922</v>
      </c>
      <c r="AD77" s="91">
        <f ca="1">AD76</f>
        <v>113.87014215375893</v>
      </c>
      <c r="AE77" s="91">
        <f t="shared" ref="AE77" ca="1" si="166">AE76</f>
        <v>182.94112435766874</v>
      </c>
      <c r="AF77" s="91">
        <f t="shared" ref="AF77" ca="1" si="167">AF76</f>
        <v>182.94112435766874</v>
      </c>
      <c r="AG77" s="91">
        <f t="shared" ref="AG77" ca="1" si="168">AG76</f>
        <v>252.15438147592067</v>
      </c>
      <c r="AH77" s="91">
        <f t="shared" ref="AH77" ca="1" si="169">AH76</f>
        <v>321.51020657154368</v>
      </c>
      <c r="AI77" s="91">
        <f t="shared" ref="AI77" ca="1" si="170">AI76</f>
        <v>391.00889331121653</v>
      </c>
      <c r="AJ77" s="91">
        <f t="shared" ref="AJ77" ca="1" si="171">AJ76</f>
        <v>460.65073596654474</v>
      </c>
      <c r="AK77" s="91">
        <f t="shared" ref="AK77" ca="1" si="172">AK76</f>
        <v>530.43602941526478</v>
      </c>
      <c r="AL77" s="91">
        <f t="shared" ref="AL77" ca="1" si="173">AL76</f>
        <v>600.3650691425355</v>
      </c>
      <c r="AM77" s="91">
        <f t="shared" ref="AM77" ca="1" si="174">AM76</f>
        <v>670.43815124216417</v>
      </c>
      <c r="AN77" s="91">
        <f t="shared" ref="AN77" ca="1" si="175">AN76</f>
        <v>3037.539270992294</v>
      </c>
      <c r="AO77" s="91">
        <f t="shared" ref="AO77" ca="1" si="176">AO76</f>
        <v>3107.9013285588821</v>
      </c>
      <c r="AQ77" s="91">
        <f ca="1">AQ76</f>
        <v>35.769872779599609</v>
      </c>
      <c r="AR77" s="91">
        <f t="shared" ref="AR77" ca="1" si="177">AR76</f>
        <v>106.14076302543799</v>
      </c>
      <c r="AS77" s="91">
        <f t="shared" ref="AS77" ca="1" si="178">AS76</f>
        <v>106.14076302543799</v>
      </c>
      <c r="AT77" s="91">
        <f t="shared" ref="AT77" ca="1" si="179">AT76</f>
        <v>176.65660578335337</v>
      </c>
      <c r="AU77" s="91">
        <f t="shared" ref="AU77" ca="1" si="180">AU76</f>
        <v>247.31769963177612</v>
      </c>
      <c r="AV77" s="91">
        <f t="shared" ref="AV77" ca="1" si="181">AV76</f>
        <v>318.1243437641624</v>
      </c>
      <c r="AW77" s="91">
        <f t="shared" ref="AW77" ca="1" si="182">AW76</f>
        <v>389.07683799029292</v>
      </c>
      <c r="AX77" s="91">
        <f t="shared" ref="AX77" ca="1" si="183">AX76</f>
        <v>460.17548273745888</v>
      </c>
      <c r="AY77" s="91">
        <f t="shared" ref="AY77" ca="1" si="184">AY76</f>
        <v>531.42057905182264</v>
      </c>
      <c r="AZ77" s="91">
        <f t="shared" ref="AZ77" ca="1" si="185">AZ76</f>
        <v>602.81242859961094</v>
      </c>
      <c r="BA77" s="91">
        <f t="shared" ref="BA77" ca="1" si="186">BA76</f>
        <v>674.35133366847913</v>
      </c>
      <c r="BB77" s="91">
        <f t="shared" ref="BB77" ca="1" si="187">BB76</f>
        <v>746.03759716870445</v>
      </c>
      <c r="BD77" s="91">
        <f ca="1">BD76</f>
        <v>-21.33046385751004</v>
      </c>
      <c r="BE77" s="91">
        <f t="shared" ref="BE77" ca="1" si="188">BE76</f>
        <v>36.161398323460162</v>
      </c>
      <c r="BF77" s="91">
        <f t="shared" ref="BF77" ca="1" si="189">BF76</f>
        <v>36.161398323460162</v>
      </c>
      <c r="BG77" s="91">
        <f t="shared" ref="BG77" ca="1" si="190">BG76</f>
        <v>93.748212989030435</v>
      </c>
      <c r="BH77" s="91">
        <f t="shared" ref="BH77" ca="1" si="191">BH76</f>
        <v>151.43013696092748</v>
      </c>
      <c r="BI77" s="91">
        <f t="shared" ref="BI77" ca="1" si="192">BI76</f>
        <v>209.20732731992393</v>
      </c>
      <c r="BJ77" s="91">
        <f t="shared" ref="BJ77" ca="1" si="193">BJ76</f>
        <v>267.07994140618757</v>
      </c>
      <c r="BK77" s="91">
        <f t="shared" ref="BK77" ca="1" si="194">BK76</f>
        <v>325.04813681977248</v>
      </c>
      <c r="BL77" s="91">
        <f t="shared" ref="BL77" ca="1" si="195">BL76</f>
        <v>383.11207142101557</v>
      </c>
      <c r="BM77" s="91">
        <f t="shared" ref="BM77" ca="1" si="196">BM76</f>
        <v>441.27190333095496</v>
      </c>
      <c r="BN77" s="91">
        <f t="shared" ref="BN77" ca="1" si="197">BN76</f>
        <v>499.52779093179925</v>
      </c>
      <c r="BO77" s="91">
        <f t="shared" ref="BO77" ca="1" si="198">BO76</f>
        <v>557.87989286733136</v>
      </c>
      <c r="BQ77" s="91">
        <f ca="1">BQ76</f>
        <v>-200.51053708479321</v>
      </c>
      <c r="BR77" s="91">
        <f t="shared" ref="BR77" ca="1" si="199">BR76</f>
        <v>-142.14264767583245</v>
      </c>
      <c r="BS77" s="91">
        <f t="shared" ref="BS77" ca="1" si="200">BS76</f>
        <v>-142.14264767583245</v>
      </c>
      <c r="BT77" s="91">
        <f t="shared" ref="BT77" ca="1" si="201">BT76</f>
        <v>-83.678358952097369</v>
      </c>
      <c r="BU77" s="91">
        <f t="shared" ref="BU77" ca="1" si="202">BU76</f>
        <v>-25.117511702276715</v>
      </c>
      <c r="BV77" s="91">
        <f t="shared" ref="BV77" ca="1" si="203">BV76</f>
        <v>33.5400535478866</v>
      </c>
      <c r="BW77" s="91">
        <f t="shared" ref="BW77" ca="1" si="204">BW76</f>
        <v>92.294496536032057</v>
      </c>
      <c r="BX77" s="91">
        <f t="shared" ref="BX77" ca="1" si="205">BX76</f>
        <v>151.14597726362535</v>
      </c>
      <c r="BY77" s="91">
        <f t="shared" ref="BY77" ca="1" si="206">BY76</f>
        <v>210.09465599638042</v>
      </c>
      <c r="BZ77" s="91">
        <f t="shared" ref="BZ77" ca="1" si="207">BZ76</f>
        <v>269.14069326469598</v>
      </c>
      <c r="CA77" s="91">
        <f t="shared" ref="CA77" ca="1" si="208">CA76</f>
        <v>328.28424986411756</v>
      </c>
      <c r="CB77" s="91">
        <f t="shared" ref="CB77" ca="1" si="209">CB76</f>
        <v>387.52548685574857</v>
      </c>
      <c r="CD77" s="91">
        <f ca="1">CD76</f>
        <v>-374.86200809342336</v>
      </c>
      <c r="CE77" s="91">
        <f t="shared" ref="CE77" ca="1" si="210">CE76</f>
        <v>-315.60057091192721</v>
      </c>
      <c r="CF77" s="91">
        <f t="shared" ref="CF77" ca="1" si="211">CF76</f>
        <v>-315.60057091192721</v>
      </c>
      <c r="CG77" s="91">
        <f t="shared" ref="CG77" ca="1" si="212">CG76</f>
        <v>-256.24125864885718</v>
      </c>
      <c r="CH77" s="91">
        <f t="shared" ref="CH77" ca="1" si="213">CH76</f>
        <v>-196.78390965555445</v>
      </c>
      <c r="CI77" s="91">
        <f t="shared" ref="CI77" ca="1" si="214">CI76</f>
        <v>-137.22836201639802</v>
      </c>
      <c r="CJ77" s="91">
        <f t="shared" ref="CJ77" ca="1" si="215">CJ76</f>
        <v>-77.574453548339079</v>
      </c>
      <c r="CK77" s="91">
        <f t="shared" ref="CK77" ca="1" si="216">CK76</f>
        <v>-17.822021800457151</v>
      </c>
      <c r="CL77" s="91">
        <f t="shared" ref="CL77" ca="1" si="217">CL76</f>
        <v>42.029095946440066</v>
      </c>
      <c r="CM77" s="91">
        <f t="shared" ref="CM77" ca="1" si="218">CM76</f>
        <v>101.97906268031147</v>
      </c>
      <c r="CN77" s="91">
        <f t="shared" ref="CN77" ca="1" si="219">CN76</f>
        <v>162.02804165827547</v>
      </c>
      <c r="CO77" s="91">
        <f t="shared" ref="CO77" ca="1" si="220">CO76</f>
        <v>222.17619640713383</v>
      </c>
    </row>
    <row r="78" spans="1:94" ht="15" thickBot="1">
      <c r="B78" s="111"/>
    </row>
    <row r="79" spans="1:94">
      <c r="B79" s="138"/>
      <c r="C79" s="140"/>
      <c r="D79" s="140">
        <v>1</v>
      </c>
      <c r="E79" s="137">
        <v>2</v>
      </c>
      <c r="F79" s="141">
        <v>3</v>
      </c>
      <c r="G79" s="141">
        <v>4</v>
      </c>
      <c r="H79" s="141">
        <v>5</v>
      </c>
      <c r="I79" s="140">
        <v>6</v>
      </c>
      <c r="J79" s="141">
        <v>7</v>
      </c>
      <c r="K79" s="141">
        <v>8</v>
      </c>
      <c r="L79" s="141">
        <v>9</v>
      </c>
      <c r="M79" s="140">
        <v>10</v>
      </c>
      <c r="N79" s="141">
        <v>11</v>
      </c>
      <c r="O79" s="141">
        <v>12</v>
      </c>
      <c r="P79" s="185"/>
      <c r="Q79" s="137">
        <v>13</v>
      </c>
      <c r="R79" s="142">
        <v>14</v>
      </c>
      <c r="S79" s="140">
        <v>15</v>
      </c>
      <c r="T79" s="140">
        <v>16</v>
      </c>
      <c r="U79" s="140">
        <v>17</v>
      </c>
      <c r="V79" s="140">
        <v>18</v>
      </c>
      <c r="W79" s="140">
        <v>19</v>
      </c>
      <c r="X79" s="140">
        <v>20</v>
      </c>
      <c r="Y79" s="140">
        <v>21</v>
      </c>
      <c r="Z79" s="140">
        <v>22</v>
      </c>
      <c r="AA79" s="141">
        <v>23</v>
      </c>
      <c r="AB79" s="137">
        <v>24</v>
      </c>
      <c r="AC79" s="182"/>
      <c r="AD79" s="137">
        <v>25</v>
      </c>
      <c r="AE79" s="140">
        <v>26</v>
      </c>
      <c r="AF79" s="140">
        <v>27</v>
      </c>
      <c r="AG79" s="140">
        <v>28</v>
      </c>
      <c r="AH79" s="140">
        <v>29</v>
      </c>
      <c r="AI79" s="140">
        <v>30</v>
      </c>
      <c r="AJ79" s="140">
        <v>31</v>
      </c>
      <c r="AK79" s="140">
        <v>32</v>
      </c>
      <c r="AL79" s="140">
        <v>33</v>
      </c>
      <c r="AM79" s="140">
        <v>34</v>
      </c>
      <c r="AN79" s="141">
        <v>35</v>
      </c>
      <c r="AO79" s="143">
        <v>36</v>
      </c>
      <c r="AP79" s="101"/>
      <c r="AQ79" s="137">
        <v>37</v>
      </c>
      <c r="AR79" s="140">
        <v>38</v>
      </c>
      <c r="AS79" s="140">
        <v>39</v>
      </c>
      <c r="AT79" s="140">
        <v>40</v>
      </c>
      <c r="AU79" s="140">
        <v>41</v>
      </c>
      <c r="AV79" s="140">
        <v>42</v>
      </c>
      <c r="AW79" s="140">
        <v>43</v>
      </c>
      <c r="AX79" s="140">
        <v>44</v>
      </c>
      <c r="AY79" s="140">
        <v>45</v>
      </c>
      <c r="AZ79" s="140">
        <v>46</v>
      </c>
      <c r="BA79" s="141">
        <v>47</v>
      </c>
      <c r="BB79" s="143">
        <v>48</v>
      </c>
      <c r="BC79" s="182"/>
      <c r="BD79" s="137">
        <v>49</v>
      </c>
      <c r="BE79" s="142">
        <v>50</v>
      </c>
      <c r="BF79" s="140">
        <v>51</v>
      </c>
      <c r="BG79" s="140">
        <v>52</v>
      </c>
      <c r="BH79" s="140">
        <v>53</v>
      </c>
      <c r="BI79" s="140">
        <v>54</v>
      </c>
      <c r="BJ79" s="140">
        <v>55</v>
      </c>
      <c r="BK79" s="140">
        <v>56</v>
      </c>
      <c r="BL79" s="140">
        <v>57</v>
      </c>
      <c r="BM79" s="140">
        <v>58</v>
      </c>
      <c r="BN79" s="141">
        <v>59</v>
      </c>
      <c r="BO79" s="143">
        <v>60</v>
      </c>
      <c r="BP79" s="182"/>
      <c r="BQ79" s="137">
        <v>61</v>
      </c>
      <c r="BR79" s="140">
        <v>62</v>
      </c>
      <c r="BS79" s="140">
        <v>63</v>
      </c>
      <c r="BT79" s="140">
        <v>64</v>
      </c>
      <c r="BU79" s="140">
        <v>65</v>
      </c>
      <c r="BV79" s="140">
        <v>66</v>
      </c>
      <c r="BW79" s="140">
        <v>67</v>
      </c>
      <c r="BX79" s="140">
        <v>68</v>
      </c>
      <c r="BY79" s="140">
        <v>69</v>
      </c>
      <c r="BZ79" s="140">
        <v>70</v>
      </c>
      <c r="CA79" s="141">
        <v>71</v>
      </c>
      <c r="CB79" s="143">
        <v>72</v>
      </c>
      <c r="CC79" s="182"/>
      <c r="CD79" s="137">
        <v>73</v>
      </c>
      <c r="CE79" s="141">
        <v>74</v>
      </c>
      <c r="CF79" s="141">
        <v>75</v>
      </c>
      <c r="CG79" s="141">
        <v>76</v>
      </c>
      <c r="CH79" s="140">
        <v>77</v>
      </c>
      <c r="CI79" s="140">
        <v>78</v>
      </c>
      <c r="CJ79" s="140">
        <v>79</v>
      </c>
      <c r="CK79" s="140">
        <v>80</v>
      </c>
      <c r="CL79" s="140">
        <v>81</v>
      </c>
      <c r="CM79" s="140">
        <v>82</v>
      </c>
      <c r="CN79" s="141">
        <v>83</v>
      </c>
      <c r="CO79" s="143">
        <v>84</v>
      </c>
      <c r="CP79" s="182"/>
    </row>
    <row r="80" spans="1:94" s="40" customFormat="1">
      <c r="A80" s="439"/>
      <c r="B80" s="177"/>
      <c r="C80" s="170"/>
      <c r="D80" s="171">
        <f>Assumptions!C7</f>
        <v>46204</v>
      </c>
      <c r="E80" s="172">
        <f>EDATE(D80,1)</f>
        <v>46235</v>
      </c>
      <c r="F80" s="173">
        <f t="shared" ref="F80" si="221">EDATE(E80,1)</f>
        <v>46266</v>
      </c>
      <c r="G80" s="173">
        <f t="shared" ref="G80" si="222">EDATE(F80,1)</f>
        <v>46296</v>
      </c>
      <c r="H80" s="173">
        <f t="shared" ref="H80" si="223">EDATE(G80,1)</f>
        <v>46327</v>
      </c>
      <c r="I80" s="171">
        <f t="shared" ref="I80" si="224">EDATE(H80,1)</f>
        <v>46357</v>
      </c>
      <c r="J80" s="173">
        <f t="shared" ref="J80" si="225">EDATE(I80,1)</f>
        <v>46388</v>
      </c>
      <c r="K80" s="173">
        <f t="shared" ref="K80" si="226">EDATE(J80,1)</f>
        <v>46419</v>
      </c>
      <c r="L80" s="173">
        <f t="shared" ref="L80" si="227">EDATE(K80,1)</f>
        <v>46447</v>
      </c>
      <c r="M80" s="171">
        <f t="shared" ref="M80" si="228">EDATE(L80,1)</f>
        <v>46478</v>
      </c>
      <c r="N80" s="173">
        <f t="shared" ref="N80" si="229">EDATE(M80,1)</f>
        <v>46508</v>
      </c>
      <c r="O80" s="173">
        <f t="shared" ref="O80" si="230">EDATE(N80,1)</f>
        <v>46539</v>
      </c>
      <c r="P80" s="183" t="s">
        <v>61</v>
      </c>
      <c r="Q80" s="172">
        <f>EDATE(O80,1)</f>
        <v>46569</v>
      </c>
      <c r="R80" s="175">
        <f t="shared" ref="R80" si="231">EDATE(Q80,1)</f>
        <v>46600</v>
      </c>
      <c r="S80" s="171">
        <f t="shared" ref="S80" si="232">EDATE(R80,1)</f>
        <v>46631</v>
      </c>
      <c r="T80" s="171">
        <f t="shared" ref="T80" si="233">EDATE(S80,1)</f>
        <v>46661</v>
      </c>
      <c r="U80" s="171">
        <f t="shared" ref="U80" si="234">EDATE(T80,1)</f>
        <v>46692</v>
      </c>
      <c r="V80" s="171">
        <f t="shared" ref="V80" si="235">EDATE(U80,1)</f>
        <v>46722</v>
      </c>
      <c r="W80" s="171">
        <f t="shared" ref="W80" si="236">EDATE(V80,1)</f>
        <v>46753</v>
      </c>
      <c r="X80" s="171">
        <f t="shared" ref="X80" si="237">EDATE(W80,1)</f>
        <v>46784</v>
      </c>
      <c r="Y80" s="171">
        <f t="shared" ref="Y80" si="238">EDATE(X80,1)</f>
        <v>46813</v>
      </c>
      <c r="Z80" s="171">
        <f t="shared" ref="Z80" si="239">EDATE(Y80,1)</f>
        <v>46844</v>
      </c>
      <c r="AA80" s="173">
        <f t="shared" ref="AA80" si="240">EDATE(Z80,1)</f>
        <v>46874</v>
      </c>
      <c r="AB80" s="176">
        <f t="shared" ref="AB80" si="241">EDATE(AA80,1)</f>
        <v>46905</v>
      </c>
      <c r="AC80" s="183" t="s">
        <v>61</v>
      </c>
      <c r="AD80" s="172">
        <f>EDATE(AB80,1)</f>
        <v>46935</v>
      </c>
      <c r="AE80" s="171">
        <f t="shared" ref="AE80" si="242">EDATE(AD80,1)</f>
        <v>46966</v>
      </c>
      <c r="AF80" s="171">
        <f t="shared" ref="AF80" si="243">EDATE(AE80,1)</f>
        <v>46997</v>
      </c>
      <c r="AG80" s="171">
        <f t="shared" ref="AG80" si="244">EDATE(AF80,1)</f>
        <v>47027</v>
      </c>
      <c r="AH80" s="171">
        <f t="shared" ref="AH80" si="245">EDATE(AG80,1)</f>
        <v>47058</v>
      </c>
      <c r="AI80" s="171">
        <f t="shared" ref="AI80" si="246">EDATE(AH80,1)</f>
        <v>47088</v>
      </c>
      <c r="AJ80" s="171">
        <f t="shared" ref="AJ80" si="247">EDATE(AI80,1)</f>
        <v>47119</v>
      </c>
      <c r="AK80" s="171">
        <f t="shared" ref="AK80" si="248">EDATE(AJ80,1)</f>
        <v>47150</v>
      </c>
      <c r="AL80" s="171">
        <f t="shared" ref="AL80" si="249">EDATE(AK80,1)</f>
        <v>47178</v>
      </c>
      <c r="AM80" s="171">
        <f t="shared" ref="AM80" si="250">EDATE(AL80,1)</f>
        <v>47209</v>
      </c>
      <c r="AN80" s="173">
        <f t="shared" ref="AN80" si="251">EDATE(AM80,1)</f>
        <v>47239</v>
      </c>
      <c r="AO80" s="176">
        <f t="shared" ref="AO80" si="252">EDATE(AN80,1)</f>
        <v>47270</v>
      </c>
      <c r="AP80" s="174" t="s">
        <v>61</v>
      </c>
      <c r="AQ80" s="172">
        <f>EDATE(AO80,1)</f>
        <v>47300</v>
      </c>
      <c r="AR80" s="171">
        <f t="shared" ref="AR80" si="253">EDATE(AQ80,1)</f>
        <v>47331</v>
      </c>
      <c r="AS80" s="171">
        <f t="shared" ref="AS80" si="254">EDATE(AR80,1)</f>
        <v>47362</v>
      </c>
      <c r="AT80" s="171">
        <f t="shared" ref="AT80" si="255">EDATE(AS80,1)</f>
        <v>47392</v>
      </c>
      <c r="AU80" s="171">
        <f t="shared" ref="AU80" si="256">EDATE(AT80,1)</f>
        <v>47423</v>
      </c>
      <c r="AV80" s="171">
        <f t="shared" ref="AV80" si="257">EDATE(AU80,1)</f>
        <v>47453</v>
      </c>
      <c r="AW80" s="171">
        <f t="shared" ref="AW80" si="258">EDATE(AV80,1)</f>
        <v>47484</v>
      </c>
      <c r="AX80" s="171">
        <f t="shared" ref="AX80" si="259">EDATE(AW80,1)</f>
        <v>47515</v>
      </c>
      <c r="AY80" s="171">
        <f t="shared" ref="AY80" si="260">EDATE(AX80,1)</f>
        <v>47543</v>
      </c>
      <c r="AZ80" s="171">
        <f t="shared" ref="AZ80" si="261">EDATE(AY80,1)</f>
        <v>47574</v>
      </c>
      <c r="BA80" s="173">
        <f t="shared" ref="BA80" si="262">EDATE(AZ80,1)</f>
        <v>47604</v>
      </c>
      <c r="BB80" s="176">
        <f t="shared" ref="BB80" si="263">EDATE(BA80,1)</f>
        <v>47635</v>
      </c>
      <c r="BC80" s="183" t="s">
        <v>61</v>
      </c>
      <c r="BD80" s="172">
        <f>EDATE(BB80,1)</f>
        <v>47665</v>
      </c>
      <c r="BE80" s="171">
        <f t="shared" ref="BE80" si="264">EDATE(BD80,1)</f>
        <v>47696</v>
      </c>
      <c r="BF80" s="171">
        <f t="shared" ref="BF80" si="265">EDATE(BE80,1)</f>
        <v>47727</v>
      </c>
      <c r="BG80" s="171">
        <f t="shared" ref="BG80" si="266">EDATE(BF80,1)</f>
        <v>47757</v>
      </c>
      <c r="BH80" s="171">
        <f t="shared" ref="BH80" si="267">EDATE(BG80,1)</f>
        <v>47788</v>
      </c>
      <c r="BI80" s="171">
        <f t="shared" ref="BI80" si="268">EDATE(BH80,1)</f>
        <v>47818</v>
      </c>
      <c r="BJ80" s="171">
        <f t="shared" ref="BJ80" si="269">EDATE(BI80,1)</f>
        <v>47849</v>
      </c>
      <c r="BK80" s="171">
        <f t="shared" ref="BK80" si="270">EDATE(BJ80,1)</f>
        <v>47880</v>
      </c>
      <c r="BL80" s="171">
        <f t="shared" ref="BL80" si="271">EDATE(BK80,1)</f>
        <v>47908</v>
      </c>
      <c r="BM80" s="171">
        <f t="shared" ref="BM80" si="272">EDATE(BL80,1)</f>
        <v>47939</v>
      </c>
      <c r="BN80" s="173">
        <f t="shared" ref="BN80" si="273">EDATE(BM80,1)</f>
        <v>47969</v>
      </c>
      <c r="BO80" s="176">
        <f t="shared" ref="BO80" si="274">EDATE(BN80,1)</f>
        <v>48000</v>
      </c>
      <c r="BP80" s="183" t="s">
        <v>61</v>
      </c>
      <c r="BQ80" s="172">
        <f>EDATE(BO80,1)</f>
        <v>48030</v>
      </c>
      <c r="BR80" s="171">
        <f t="shared" ref="BR80" si="275">EDATE(BQ80,1)</f>
        <v>48061</v>
      </c>
      <c r="BS80" s="171">
        <f t="shared" ref="BS80" si="276">EDATE(BR80,1)</f>
        <v>48092</v>
      </c>
      <c r="BT80" s="171">
        <f t="shared" ref="BT80" si="277">EDATE(BS80,1)</f>
        <v>48122</v>
      </c>
      <c r="BU80" s="171">
        <f t="shared" ref="BU80" si="278">EDATE(BT80,1)</f>
        <v>48153</v>
      </c>
      <c r="BV80" s="171">
        <f t="shared" ref="BV80" si="279">EDATE(BU80,1)</f>
        <v>48183</v>
      </c>
      <c r="BW80" s="171">
        <f t="shared" ref="BW80" si="280">EDATE(BV80,1)</f>
        <v>48214</v>
      </c>
      <c r="BX80" s="171">
        <f t="shared" ref="BX80" si="281">EDATE(BW80,1)</f>
        <v>48245</v>
      </c>
      <c r="BY80" s="171">
        <f t="shared" ref="BY80" si="282">EDATE(BX80,1)</f>
        <v>48274</v>
      </c>
      <c r="BZ80" s="171">
        <f t="shared" ref="BZ80" si="283">EDATE(BY80,1)</f>
        <v>48305</v>
      </c>
      <c r="CA80" s="173">
        <f t="shared" ref="CA80" si="284">EDATE(BZ80,1)</f>
        <v>48335</v>
      </c>
      <c r="CB80" s="176">
        <f t="shared" ref="CB80" si="285">EDATE(CA80,1)</f>
        <v>48366</v>
      </c>
      <c r="CC80" s="183" t="s">
        <v>61</v>
      </c>
      <c r="CD80" s="172">
        <f>EDATE(CB80,1)</f>
        <v>48396</v>
      </c>
      <c r="CE80" s="173">
        <f t="shared" ref="CE80" si="286">EDATE(CD80,1)</f>
        <v>48427</v>
      </c>
      <c r="CF80" s="173">
        <f t="shared" ref="CF80" si="287">EDATE(CE80,1)</f>
        <v>48458</v>
      </c>
      <c r="CG80" s="173">
        <f t="shared" ref="CG80" si="288">EDATE(CF80,1)</f>
        <v>48488</v>
      </c>
      <c r="CH80" s="171">
        <f t="shared" ref="CH80" si="289">EDATE(CG80,1)</f>
        <v>48519</v>
      </c>
      <c r="CI80" s="171">
        <f t="shared" ref="CI80" si="290">EDATE(CH80,1)</f>
        <v>48549</v>
      </c>
      <c r="CJ80" s="171">
        <f t="shared" ref="CJ80" si="291">EDATE(CI80,1)</f>
        <v>48580</v>
      </c>
      <c r="CK80" s="171">
        <f t="shared" ref="CK80" si="292">EDATE(CJ80,1)</f>
        <v>48611</v>
      </c>
      <c r="CL80" s="171">
        <f t="shared" ref="CL80" si="293">EDATE(CK80,1)</f>
        <v>48639</v>
      </c>
      <c r="CM80" s="171">
        <f t="shared" ref="CM80" si="294">EDATE(CL80,1)</f>
        <v>48670</v>
      </c>
      <c r="CN80" s="173">
        <f t="shared" ref="CN80" si="295">EDATE(CM80,1)</f>
        <v>48700</v>
      </c>
      <c r="CO80" s="176">
        <f t="shared" ref="CO80" si="296">EDATE(CN80,1)</f>
        <v>48731</v>
      </c>
      <c r="CP80" s="183" t="s">
        <v>61</v>
      </c>
    </row>
    <row r="81" spans="1:94">
      <c r="A81" s="6"/>
      <c r="B81" s="415" t="s">
        <v>250</v>
      </c>
      <c r="C81" s="383"/>
      <c r="D81" s="99">
        <f>D2*Assumptions!$C$50</f>
        <v>0</v>
      </c>
      <c r="E81" s="91">
        <f>(E2-D2)*Assumptions!$C$50</f>
        <v>0</v>
      </c>
      <c r="F81" s="95">
        <f>(F2-E2)*Assumptions!$C$50</f>
        <v>19110.294117647059</v>
      </c>
      <c r="G81" s="95">
        <f>(G2-F2)*Assumptions!$C$50</f>
        <v>19110.294117647059</v>
      </c>
      <c r="H81" s="95">
        <f>(H2-G2)*Assumptions!$C$50</f>
        <v>19110.294117647059</v>
      </c>
      <c r="I81" s="99">
        <f>(I2-H2)*Assumptions!$C$50</f>
        <v>19110.294117647059</v>
      </c>
      <c r="J81" s="95">
        <f>(J2-I2)*Assumptions!$C$50</f>
        <v>19110.294117647059</v>
      </c>
      <c r="K81" s="95">
        <f>(K2-J2)*Assumptions!$C$50</f>
        <v>19110.294117647059</v>
      </c>
      <c r="L81" s="95">
        <f>(L2-K2)*Assumptions!$C$50</f>
        <v>19110.294117647059</v>
      </c>
      <c r="M81" s="99">
        <f>(M2-L2)*Assumptions!$C$50</f>
        <v>19110.294117647059</v>
      </c>
      <c r="N81" s="95">
        <f>(N2-M2)*Assumptions!$C$50</f>
        <v>19110.294117647059</v>
      </c>
      <c r="O81" s="95">
        <f>(O2-N2)*Assumptions!$C$50</f>
        <v>19110.294117647059</v>
      </c>
      <c r="P81" s="103">
        <f>SUM(D81:O81)</f>
        <v>191102.94117647057</v>
      </c>
      <c r="Q81" s="91">
        <f>(Q2-O2)*Assumptions!$C$50</f>
        <v>19110.294117647059</v>
      </c>
      <c r="R81" s="99">
        <f>(R2-Q2)*Assumptions!$C$50</f>
        <v>19110.294117647059</v>
      </c>
      <c r="S81" s="99">
        <f>(S2-R2)*Assumptions!$C$50</f>
        <v>19110.294117647059</v>
      </c>
      <c r="T81" s="99">
        <f>(T2-S2)*Assumptions!$C$50</f>
        <v>19110.294117647059</v>
      </c>
      <c r="U81" s="99">
        <f>(U2-T2)*Assumptions!$C$50</f>
        <v>19110.294117647059</v>
      </c>
      <c r="V81" s="99">
        <f>(V2-U2)*Assumptions!$C$50</f>
        <v>19110.294117647059</v>
      </c>
      <c r="W81" s="99">
        <f>(W2-V2)*Assumptions!$C$50</f>
        <v>19110.294117647059</v>
      </c>
      <c r="X81" s="99">
        <f>(X2-W2)*Assumptions!$C$50</f>
        <v>0</v>
      </c>
      <c r="Y81" s="99">
        <f>(Y2-X2)*Assumptions!$C$50</f>
        <v>0</v>
      </c>
      <c r="Z81" s="99">
        <f>(Z2-Y2)*Assumptions!$C$50</f>
        <v>0</v>
      </c>
      <c r="AA81" s="95">
        <f>(AA2-Z2)*Assumptions!$C$50</f>
        <v>0</v>
      </c>
      <c r="AB81" s="107">
        <f>(AB2-AA2)*Assumptions!$C$50</f>
        <v>0</v>
      </c>
      <c r="AC81" s="103">
        <f>SUM(Q81:AB81)</f>
        <v>133772.05882352943</v>
      </c>
      <c r="AD81" s="91">
        <f>(AD2-AB2)*Assumptions!$C$50</f>
        <v>0</v>
      </c>
      <c r="AE81" s="99">
        <f>(AE2-AD2)*Assumptions!$C$50</f>
        <v>0</v>
      </c>
      <c r="AF81" s="99">
        <f>(AF2-AE2)*Assumptions!$C$50</f>
        <v>0</v>
      </c>
      <c r="AG81" s="99">
        <f>(AG2-AF2)*Assumptions!$C$50</f>
        <v>0</v>
      </c>
      <c r="AH81" s="99">
        <f>(AH2-AG2)*Assumptions!$C$50</f>
        <v>0</v>
      </c>
      <c r="AI81" s="99">
        <f>(AI2-AH2)*Assumptions!$C$50</f>
        <v>0</v>
      </c>
      <c r="AJ81" s="99">
        <f>(AJ2-AI2)*Assumptions!$C$50</f>
        <v>0</v>
      </c>
      <c r="AK81" s="99">
        <f>(AK2-AJ2)*Assumptions!$C$50</f>
        <v>0</v>
      </c>
      <c r="AL81" s="99">
        <f>(AL2-AK2)*Assumptions!$C$50</f>
        <v>0</v>
      </c>
      <c r="AM81" s="99">
        <f>(AM2-AL2)*Assumptions!$C$50</f>
        <v>0</v>
      </c>
      <c r="AN81" s="95">
        <f>(AN2-AM2)*Assumptions!$C$50</f>
        <v>0</v>
      </c>
      <c r="AO81" s="107">
        <f>(AO2-AN2)*Assumptions!$C$50</f>
        <v>0</v>
      </c>
      <c r="AP81" s="103">
        <f>SUM(AD81:AO81)</f>
        <v>0</v>
      </c>
      <c r="AQ81" s="91">
        <f>(AQ2-AO2)*Assumptions!$C$50</f>
        <v>0</v>
      </c>
      <c r="AR81" s="99">
        <f>(AR2-AQ2)*Assumptions!$C$50</f>
        <v>0</v>
      </c>
      <c r="AS81" s="99">
        <f>(AS2-AR2)*Assumptions!$C$50</f>
        <v>0</v>
      </c>
      <c r="AT81" s="99">
        <f>(AT2-AS2)*Assumptions!$C$50</f>
        <v>0</v>
      </c>
      <c r="AU81" s="99">
        <f>(AU2-AT2)*Assumptions!$C$50</f>
        <v>0</v>
      </c>
      <c r="AV81" s="99">
        <f>(AV2-AU2)*Assumptions!$C$50</f>
        <v>0</v>
      </c>
      <c r="AW81" s="99">
        <f>(AW2-AV2)*Assumptions!$C$50</f>
        <v>0</v>
      </c>
      <c r="AX81" s="99">
        <f>(AX2-AW2)*Assumptions!$C$50</f>
        <v>0</v>
      </c>
      <c r="AY81" s="99">
        <f>(AY2-AX2)*Assumptions!$C$50</f>
        <v>0</v>
      </c>
      <c r="AZ81" s="99">
        <f>(AZ2-AY2)*Assumptions!$C$50</f>
        <v>0</v>
      </c>
      <c r="BA81" s="95">
        <f>(BA2-AZ2)*Assumptions!$C$50</f>
        <v>0</v>
      </c>
      <c r="BB81" s="107">
        <f>(BB2-BA2)*Assumptions!$C$50</f>
        <v>0</v>
      </c>
      <c r="BC81" s="103">
        <f>SUM(AQ81:BB81)</f>
        <v>0</v>
      </c>
      <c r="BD81" s="91">
        <f>(BD2-BB2)*Assumptions!$C$50</f>
        <v>0</v>
      </c>
      <c r="BE81" s="99">
        <f>(BE2-BD2)*Assumptions!$C$50</f>
        <v>0</v>
      </c>
      <c r="BF81" s="99">
        <f>(BF2-BE2)*Assumptions!$C$50</f>
        <v>0</v>
      </c>
      <c r="BG81" s="99">
        <f>(BG2-BF2)*Assumptions!$C$50</f>
        <v>0</v>
      </c>
      <c r="BH81" s="99">
        <f>(BH2-BG2)*Assumptions!$C$50</f>
        <v>0</v>
      </c>
      <c r="BI81" s="99">
        <f>(BI2-BH2)*Assumptions!$C$50</f>
        <v>0</v>
      </c>
      <c r="BJ81" s="99">
        <f>(BJ2-BI2)*Assumptions!$C$50</f>
        <v>0</v>
      </c>
      <c r="BK81" s="99">
        <f>(BK2-BJ2)*Assumptions!$C$50</f>
        <v>0</v>
      </c>
      <c r="BL81" s="99">
        <f>(BL2-BK2)*Assumptions!$C$50</f>
        <v>0</v>
      </c>
      <c r="BM81" s="99">
        <f>(BM2-BL2)*Assumptions!$C$50</f>
        <v>0</v>
      </c>
      <c r="BN81" s="95">
        <f>(BN2-BM2)*Assumptions!$C$50</f>
        <v>0</v>
      </c>
      <c r="BO81" s="107">
        <f>(BO2-BN2)*Assumptions!$C$50</f>
        <v>0</v>
      </c>
      <c r="BP81" s="103">
        <f>SUM(BD81:BO81)</f>
        <v>0</v>
      </c>
      <c r="BQ81" s="91">
        <f>(BQ2-BO2)*Assumptions!$C$50</f>
        <v>0</v>
      </c>
      <c r="BR81" s="99">
        <f>(BR2-BQ2)*Assumptions!$C$50</f>
        <v>0</v>
      </c>
      <c r="BS81" s="99">
        <f>(BS2-BR2)*Assumptions!$C$50</f>
        <v>0</v>
      </c>
      <c r="BT81" s="99">
        <f>(BT2-BS2)*Assumptions!$C$50</f>
        <v>0</v>
      </c>
      <c r="BU81" s="99">
        <f>(BU2-BT2)*Assumptions!$C$50</f>
        <v>0</v>
      </c>
      <c r="BV81" s="99">
        <f>(BV2-BU2)*Assumptions!$C$50</f>
        <v>0</v>
      </c>
      <c r="BW81" s="99">
        <f>(BW2-BV2)*Assumptions!$C$50</f>
        <v>0</v>
      </c>
      <c r="BX81" s="99">
        <f>(BX2-BW2)*Assumptions!$C$50</f>
        <v>0</v>
      </c>
      <c r="BY81" s="99">
        <f>(BY2-BX2)*Assumptions!$C$50</f>
        <v>0</v>
      </c>
      <c r="BZ81" s="99">
        <f>(BZ2-BY2)*Assumptions!$C$50</f>
        <v>0</v>
      </c>
      <c r="CA81" s="95">
        <f>(CA2-BZ2)*Assumptions!$C$50</f>
        <v>0</v>
      </c>
      <c r="CB81" s="107">
        <f>(CB2-CA2)*Assumptions!$C$50</f>
        <v>0</v>
      </c>
      <c r="CC81" s="103">
        <f>SUM(BQ81:CB81)</f>
        <v>0</v>
      </c>
      <c r="CD81" s="91">
        <f>(CD2-CB2)*Assumptions!$C$50</f>
        <v>0</v>
      </c>
      <c r="CE81" s="95">
        <f>(CE2-CD2)*Assumptions!$C$50</f>
        <v>0</v>
      </c>
      <c r="CF81" s="95">
        <f>(CF2-CE2)*Assumptions!$C$50</f>
        <v>0</v>
      </c>
      <c r="CG81" s="95">
        <f>(CG2-CF2)*Assumptions!$C$50</f>
        <v>0</v>
      </c>
      <c r="CH81" s="99">
        <f>(CH2-CG2)*Assumptions!$C$50</f>
        <v>0</v>
      </c>
      <c r="CI81" s="99">
        <f>(CI2-CH2)*Assumptions!$C$50</f>
        <v>0</v>
      </c>
      <c r="CJ81" s="99">
        <f>(CJ2-CI2)*Assumptions!$C$50</f>
        <v>0</v>
      </c>
      <c r="CK81" s="99">
        <f>(CK2-CJ2)*Assumptions!$C$50</f>
        <v>0</v>
      </c>
      <c r="CL81" s="99">
        <f>(CL2-CK2)*Assumptions!$C$50</f>
        <v>0</v>
      </c>
      <c r="CM81" s="99">
        <f>(CM2-CL2)*Assumptions!$C$50</f>
        <v>0</v>
      </c>
      <c r="CN81" s="95">
        <f>(CN2-CM2)*Assumptions!$C$50</f>
        <v>0</v>
      </c>
      <c r="CO81" s="107">
        <f>(CO2-CN2)*Assumptions!$C$50</f>
        <v>0</v>
      </c>
      <c r="CP81" s="103">
        <f>SUM(CD81:CO81)</f>
        <v>0</v>
      </c>
    </row>
    <row r="82" spans="1:94">
      <c r="A82" s="6"/>
      <c r="B82" s="415" t="s">
        <v>249</v>
      </c>
      <c r="C82" s="383"/>
      <c r="D82" s="99">
        <f>Assumptions!$C$59*'Monthly Cash Flow'!D3</f>
        <v>23575.000000000004</v>
      </c>
      <c r="E82" s="91">
        <f>Assumptions!$C$59*('Monthly Cash Flow'!E3-D3)</f>
        <v>23575.000000000004</v>
      </c>
      <c r="F82" s="95">
        <f>Assumptions!$C$59*('Monthly Cash Flow'!F3-E3)</f>
        <v>23575.000000000004</v>
      </c>
      <c r="G82" s="95">
        <f>Assumptions!$C$59*('Monthly Cash Flow'!G3-F3)</f>
        <v>23575.000000000004</v>
      </c>
      <c r="H82" s="95">
        <f>Assumptions!$C$59*('Monthly Cash Flow'!H3-G3)</f>
        <v>0</v>
      </c>
      <c r="I82" s="99">
        <f>Assumptions!$C$59*('Monthly Cash Flow'!I3-H3)</f>
        <v>0</v>
      </c>
      <c r="J82" s="95">
        <f>Assumptions!$C$59*('Monthly Cash Flow'!J3-I3)</f>
        <v>0</v>
      </c>
      <c r="K82" s="95">
        <f>Assumptions!$C$59*('Monthly Cash Flow'!K3-J3)</f>
        <v>0</v>
      </c>
      <c r="L82" s="95">
        <f>Assumptions!$C$59*('Monthly Cash Flow'!L3-K3)</f>
        <v>0</v>
      </c>
      <c r="M82" s="99">
        <f>Assumptions!$C$59*('Monthly Cash Flow'!M3-L3)</f>
        <v>0</v>
      </c>
      <c r="N82" s="95">
        <f>Assumptions!$C$59*('Monthly Cash Flow'!N3-M3)</f>
        <v>0</v>
      </c>
      <c r="O82" s="95">
        <f>Assumptions!$C$59*('Monthly Cash Flow'!O3-N3)</f>
        <v>0</v>
      </c>
      <c r="P82" s="103">
        <f>SUM(D82:O82)</f>
        <v>94300.000000000015</v>
      </c>
      <c r="Q82" s="91">
        <f>Assumptions!$C$59*('Monthly Cash Flow'!Q3-O3)</f>
        <v>0</v>
      </c>
      <c r="R82" s="99">
        <f>Assumptions!$C$59*('Monthly Cash Flow'!R3-Q3)</f>
        <v>0</v>
      </c>
      <c r="S82" s="99">
        <f>Assumptions!$C$59*('Monthly Cash Flow'!S3-R3)</f>
        <v>0</v>
      </c>
      <c r="T82" s="99">
        <f>Assumptions!$C$59*('Monthly Cash Flow'!T3-S3)</f>
        <v>0</v>
      </c>
      <c r="U82" s="99">
        <f>Assumptions!$C$59*('Monthly Cash Flow'!U3-T3)</f>
        <v>0</v>
      </c>
      <c r="V82" s="99">
        <f>Assumptions!$C$59*('Monthly Cash Flow'!V3-U3)</f>
        <v>0</v>
      </c>
      <c r="W82" s="99">
        <f>Assumptions!$C$59*('Monthly Cash Flow'!W3-V3)</f>
        <v>0</v>
      </c>
      <c r="X82" s="99">
        <f>Assumptions!$C$59*('Monthly Cash Flow'!X3-W3)</f>
        <v>0</v>
      </c>
      <c r="Y82" s="99">
        <f>Assumptions!$C$59*('Monthly Cash Flow'!Y3-X3)</f>
        <v>0</v>
      </c>
      <c r="Z82" s="99">
        <f>Assumptions!$C$59*('Monthly Cash Flow'!Z3-Y3)</f>
        <v>0</v>
      </c>
      <c r="AA82" s="95">
        <f>Assumptions!$C$59*('Monthly Cash Flow'!AA3-Z3)</f>
        <v>0</v>
      </c>
      <c r="AB82" s="107">
        <f>Assumptions!$C$59*('Monthly Cash Flow'!AB3-AA3)</f>
        <v>0</v>
      </c>
      <c r="AC82" s="103">
        <f>SUM(Q82:AB82)</f>
        <v>0</v>
      </c>
      <c r="AD82" s="91"/>
      <c r="AE82" s="99"/>
      <c r="AF82" s="99"/>
      <c r="AG82" s="99"/>
      <c r="AH82" s="99"/>
      <c r="AI82" s="99"/>
      <c r="AJ82" s="99"/>
      <c r="AK82" s="99"/>
      <c r="AL82" s="99"/>
      <c r="AM82" s="99"/>
      <c r="AN82" s="95"/>
      <c r="AO82" s="107"/>
      <c r="AP82" s="103"/>
      <c r="AQ82" s="91"/>
      <c r="AR82" s="99"/>
      <c r="AS82" s="99"/>
      <c r="AT82" s="99"/>
      <c r="AU82" s="99"/>
      <c r="AV82" s="99"/>
      <c r="AW82" s="99"/>
      <c r="AX82" s="99"/>
      <c r="AY82" s="99"/>
      <c r="AZ82" s="99"/>
      <c r="BA82" s="95"/>
      <c r="BB82" s="107"/>
      <c r="BC82" s="103"/>
      <c r="BD82" s="91"/>
      <c r="BE82" s="99"/>
      <c r="BF82" s="99"/>
      <c r="BG82" s="99"/>
      <c r="BH82" s="99"/>
      <c r="BI82" s="99"/>
      <c r="BJ82" s="99"/>
      <c r="BK82" s="99"/>
      <c r="BL82" s="99"/>
      <c r="BM82" s="99"/>
      <c r="BN82" s="95"/>
      <c r="BO82" s="107"/>
      <c r="BP82" s="103"/>
      <c r="BQ82" s="91"/>
      <c r="BR82" s="99"/>
      <c r="BS82" s="99"/>
      <c r="BT82" s="99"/>
      <c r="BU82" s="99"/>
      <c r="BV82" s="99"/>
      <c r="BW82" s="99"/>
      <c r="BX82" s="99"/>
      <c r="BY82" s="99"/>
      <c r="BZ82" s="99"/>
      <c r="CA82" s="95"/>
      <c r="CB82" s="107"/>
      <c r="CC82" s="103"/>
      <c r="CD82" s="91"/>
      <c r="CE82" s="95"/>
      <c r="CF82" s="95"/>
      <c r="CG82" s="95"/>
      <c r="CH82" s="99"/>
      <c r="CI82" s="99"/>
      <c r="CJ82" s="99"/>
      <c r="CK82" s="99"/>
      <c r="CL82" s="99"/>
      <c r="CM82" s="99"/>
      <c r="CN82" s="95"/>
      <c r="CO82" s="107"/>
      <c r="CP82" s="103"/>
    </row>
    <row r="83" spans="1:94" s="110" customFormat="1" ht="17.5" thickBot="1">
      <c r="A83" s="440"/>
      <c r="B83" s="441" t="s">
        <v>252</v>
      </c>
      <c r="C83" s="387"/>
      <c r="D83" s="159">
        <f>D81+D82</f>
        <v>23575.000000000004</v>
      </c>
      <c r="E83" s="160">
        <f t="shared" ref="E83:BP83" si="297">E81+E82</f>
        <v>23575.000000000004</v>
      </c>
      <c r="F83" s="161">
        <f t="shared" si="297"/>
        <v>42685.294117647063</v>
      </c>
      <c r="G83" s="161">
        <f t="shared" si="297"/>
        <v>42685.294117647063</v>
      </c>
      <c r="H83" s="161">
        <f t="shared" si="297"/>
        <v>19110.294117647059</v>
      </c>
      <c r="I83" s="159">
        <f t="shared" si="297"/>
        <v>19110.294117647059</v>
      </c>
      <c r="J83" s="161">
        <f t="shared" si="297"/>
        <v>19110.294117647059</v>
      </c>
      <c r="K83" s="161">
        <f t="shared" si="297"/>
        <v>19110.294117647059</v>
      </c>
      <c r="L83" s="161">
        <f t="shared" si="297"/>
        <v>19110.294117647059</v>
      </c>
      <c r="M83" s="159">
        <f t="shared" si="297"/>
        <v>19110.294117647059</v>
      </c>
      <c r="N83" s="161">
        <f t="shared" si="297"/>
        <v>19110.294117647059</v>
      </c>
      <c r="O83" s="161">
        <f t="shared" si="297"/>
        <v>19110.294117647059</v>
      </c>
      <c r="P83" s="162">
        <f>P81+P82</f>
        <v>285402.9411764706</v>
      </c>
      <c r="Q83" s="160">
        <f>Q81+Q82</f>
        <v>19110.294117647059</v>
      </c>
      <c r="R83" s="159">
        <f t="shared" si="297"/>
        <v>19110.294117647059</v>
      </c>
      <c r="S83" s="159">
        <f t="shared" si="297"/>
        <v>19110.294117647059</v>
      </c>
      <c r="T83" s="159">
        <f t="shared" si="297"/>
        <v>19110.294117647059</v>
      </c>
      <c r="U83" s="159">
        <f t="shared" si="297"/>
        <v>19110.294117647059</v>
      </c>
      <c r="V83" s="159">
        <f t="shared" si="297"/>
        <v>19110.294117647059</v>
      </c>
      <c r="W83" s="159">
        <f t="shared" si="297"/>
        <v>19110.294117647059</v>
      </c>
      <c r="X83" s="159">
        <f t="shared" si="297"/>
        <v>0</v>
      </c>
      <c r="Y83" s="159">
        <f t="shared" si="297"/>
        <v>0</v>
      </c>
      <c r="Z83" s="159">
        <f t="shared" si="297"/>
        <v>0</v>
      </c>
      <c r="AA83" s="161">
        <f t="shared" si="297"/>
        <v>0</v>
      </c>
      <c r="AB83" s="163">
        <f t="shared" si="297"/>
        <v>0</v>
      </c>
      <c r="AC83" s="162">
        <f t="shared" si="297"/>
        <v>133772.05882352943</v>
      </c>
      <c r="AD83" s="160">
        <f t="shared" si="297"/>
        <v>0</v>
      </c>
      <c r="AE83" s="159">
        <f t="shared" si="297"/>
        <v>0</v>
      </c>
      <c r="AF83" s="159">
        <f t="shared" si="297"/>
        <v>0</v>
      </c>
      <c r="AG83" s="159">
        <f t="shared" si="297"/>
        <v>0</v>
      </c>
      <c r="AH83" s="159">
        <f t="shared" si="297"/>
        <v>0</v>
      </c>
      <c r="AI83" s="159">
        <f t="shared" si="297"/>
        <v>0</v>
      </c>
      <c r="AJ83" s="159">
        <f t="shared" si="297"/>
        <v>0</v>
      </c>
      <c r="AK83" s="159">
        <f t="shared" si="297"/>
        <v>0</v>
      </c>
      <c r="AL83" s="159">
        <f t="shared" si="297"/>
        <v>0</v>
      </c>
      <c r="AM83" s="159">
        <f t="shared" si="297"/>
        <v>0</v>
      </c>
      <c r="AN83" s="161">
        <f t="shared" si="297"/>
        <v>0</v>
      </c>
      <c r="AO83" s="163">
        <f t="shared" si="297"/>
        <v>0</v>
      </c>
      <c r="AP83" s="162">
        <f t="shared" si="297"/>
        <v>0</v>
      </c>
      <c r="AQ83" s="160">
        <f t="shared" si="297"/>
        <v>0</v>
      </c>
      <c r="AR83" s="159">
        <f t="shared" si="297"/>
        <v>0</v>
      </c>
      <c r="AS83" s="159">
        <f t="shared" si="297"/>
        <v>0</v>
      </c>
      <c r="AT83" s="159">
        <f t="shared" si="297"/>
        <v>0</v>
      </c>
      <c r="AU83" s="159">
        <f t="shared" si="297"/>
        <v>0</v>
      </c>
      <c r="AV83" s="159">
        <f t="shared" si="297"/>
        <v>0</v>
      </c>
      <c r="AW83" s="159">
        <f t="shared" si="297"/>
        <v>0</v>
      </c>
      <c r="AX83" s="159">
        <f t="shared" si="297"/>
        <v>0</v>
      </c>
      <c r="AY83" s="159">
        <f t="shared" si="297"/>
        <v>0</v>
      </c>
      <c r="AZ83" s="159">
        <f t="shared" si="297"/>
        <v>0</v>
      </c>
      <c r="BA83" s="161">
        <f t="shared" si="297"/>
        <v>0</v>
      </c>
      <c r="BB83" s="163">
        <f t="shared" si="297"/>
        <v>0</v>
      </c>
      <c r="BC83" s="162">
        <f t="shared" si="297"/>
        <v>0</v>
      </c>
      <c r="BD83" s="160">
        <f t="shared" si="297"/>
        <v>0</v>
      </c>
      <c r="BE83" s="159">
        <f t="shared" si="297"/>
        <v>0</v>
      </c>
      <c r="BF83" s="159">
        <f t="shared" si="297"/>
        <v>0</v>
      </c>
      <c r="BG83" s="159">
        <f t="shared" si="297"/>
        <v>0</v>
      </c>
      <c r="BH83" s="159">
        <f t="shared" si="297"/>
        <v>0</v>
      </c>
      <c r="BI83" s="159">
        <f t="shared" si="297"/>
        <v>0</v>
      </c>
      <c r="BJ83" s="159">
        <f t="shared" si="297"/>
        <v>0</v>
      </c>
      <c r="BK83" s="159">
        <f t="shared" si="297"/>
        <v>0</v>
      </c>
      <c r="BL83" s="159">
        <f t="shared" si="297"/>
        <v>0</v>
      </c>
      <c r="BM83" s="159">
        <f t="shared" si="297"/>
        <v>0</v>
      </c>
      <c r="BN83" s="161">
        <f t="shared" si="297"/>
        <v>0</v>
      </c>
      <c r="BO83" s="163">
        <f t="shared" si="297"/>
        <v>0</v>
      </c>
      <c r="BP83" s="162">
        <f t="shared" si="297"/>
        <v>0</v>
      </c>
      <c r="BQ83" s="160">
        <f t="shared" ref="BQ83:CP83" si="298">BQ81+BQ82</f>
        <v>0</v>
      </c>
      <c r="BR83" s="159">
        <f t="shared" si="298"/>
        <v>0</v>
      </c>
      <c r="BS83" s="159">
        <f t="shared" si="298"/>
        <v>0</v>
      </c>
      <c r="BT83" s="159">
        <f t="shared" si="298"/>
        <v>0</v>
      </c>
      <c r="BU83" s="159">
        <f t="shared" si="298"/>
        <v>0</v>
      </c>
      <c r="BV83" s="159">
        <f t="shared" si="298"/>
        <v>0</v>
      </c>
      <c r="BW83" s="159">
        <f t="shared" si="298"/>
        <v>0</v>
      </c>
      <c r="BX83" s="159">
        <f t="shared" si="298"/>
        <v>0</v>
      </c>
      <c r="BY83" s="159">
        <f t="shared" si="298"/>
        <v>0</v>
      </c>
      <c r="BZ83" s="159">
        <f t="shared" si="298"/>
        <v>0</v>
      </c>
      <c r="CA83" s="161">
        <f t="shared" si="298"/>
        <v>0</v>
      </c>
      <c r="CB83" s="163">
        <f t="shared" si="298"/>
        <v>0</v>
      </c>
      <c r="CC83" s="162">
        <f t="shared" si="298"/>
        <v>0</v>
      </c>
      <c r="CD83" s="160">
        <f t="shared" si="298"/>
        <v>0</v>
      </c>
      <c r="CE83" s="161">
        <f t="shared" si="298"/>
        <v>0</v>
      </c>
      <c r="CF83" s="161">
        <f t="shared" si="298"/>
        <v>0</v>
      </c>
      <c r="CG83" s="161">
        <f t="shared" si="298"/>
        <v>0</v>
      </c>
      <c r="CH83" s="159">
        <f t="shared" si="298"/>
        <v>0</v>
      </c>
      <c r="CI83" s="159">
        <f t="shared" si="298"/>
        <v>0</v>
      </c>
      <c r="CJ83" s="159">
        <f t="shared" si="298"/>
        <v>0</v>
      </c>
      <c r="CK83" s="159">
        <f t="shared" si="298"/>
        <v>0</v>
      </c>
      <c r="CL83" s="159">
        <f t="shared" si="298"/>
        <v>0</v>
      </c>
      <c r="CM83" s="159">
        <f t="shared" si="298"/>
        <v>0</v>
      </c>
      <c r="CN83" s="161">
        <f t="shared" si="298"/>
        <v>0</v>
      </c>
      <c r="CO83" s="163">
        <f t="shared" si="298"/>
        <v>0</v>
      </c>
      <c r="CP83" s="162">
        <f t="shared" si="298"/>
        <v>0</v>
      </c>
    </row>
    <row r="85" spans="1:94" ht="15" thickBot="1">
      <c r="AC85" s="91"/>
    </row>
    <row r="86" spans="1:94">
      <c r="B86" s="417" t="s">
        <v>264</v>
      </c>
      <c r="P86" s="91"/>
    </row>
    <row r="87" spans="1:94">
      <c r="A87" t="s">
        <v>267</v>
      </c>
      <c r="B87" s="415" t="s">
        <v>265</v>
      </c>
      <c r="C87" s="438">
        <v>100000</v>
      </c>
      <c r="D87" s="91">
        <f>-D83+D88+D89</f>
        <v>1424.9999999999964</v>
      </c>
      <c r="E87" s="91">
        <f ca="1">IF(AND(Assumptions!$W$2="Bridge",Assumptions!$W$27="Yes"),D87-E83+E88+E89+(IF(D76&gt;0,D76,0)),D87-E83+E88+E89+D76)</f>
        <v>3340.1498932686782</v>
      </c>
      <c r="F87" s="91">
        <f ca="1">IF(AND(Assumptions!$W$2="Bridge",Assumptions!$W$27="Yes"),E87-F83+F88+F89+(IF(E76&gt;0,E76,0)),E87-F83+F88+F89+E76)</f>
        <v>5153.8602912471188</v>
      </c>
      <c r="G87" s="91">
        <f ca="1">IF(AND(Assumptions!$W$2="Bridge",Assumptions!$W$27="Yes"),F87-G83+G88+G89+(IF(F76&gt;0,F76,0)),F87-G83+G88+G89+F76)</f>
        <v>5433.4994521808285</v>
      </c>
      <c r="H87" s="91">
        <f ca="1">IF(AND(Assumptions!$W$2="Bridge",Assumptions!$W$27="Yes"),G87-H83+H88+H89+(IF(G76&gt;0,G76,0)),G87-H83+H88+H89+G76)</f>
        <v>5433.4994521808294</v>
      </c>
      <c r="I87" s="91">
        <f ca="1">IF(AND(Assumptions!$W$2="Bridge",Assumptions!$W$27="Yes"),H87-I83+I88+I89+(IF(H76&gt;0,H76,0)),H87-I83+I88+I89+H76)</f>
        <v>5433.4994521808294</v>
      </c>
      <c r="J87" s="91">
        <f ca="1">IF(AND(Assumptions!$W$2="Bridge",Assumptions!$W$27="Yes"),I87-J83+J88+J89+(IF(I76&gt;0,I76,0)),I87-J83+J88+J89+I76)</f>
        <v>5433.4994521808294</v>
      </c>
      <c r="K87" s="91">
        <f ca="1">IF(AND(Assumptions!$W$2="Bridge",Assumptions!$W$27="Yes"),J87-K83+K88+K89+(IF(J76&gt;0,J76,0)),J87-K83+K88+K89+J76)</f>
        <v>5433.4994521808294</v>
      </c>
      <c r="L87" s="91">
        <f ca="1">IF(AND(Assumptions!$W$2="Bridge",Assumptions!$W$27="Yes"),K87-L83+L88+L89+(IF(K76&gt;0,K76,0)),K87-L83+L88+L89+K76)</f>
        <v>5863.0145650572404</v>
      </c>
      <c r="M87" s="91">
        <f ca="1">IF(AND(Assumptions!$W$2="Bridge",Assumptions!$W$27="Yes"),L87-M83+M88+M89+(IF(L76&gt;0,L76,0)),L87-M83+M88+M89+L76)</f>
        <v>6768.2467208664102</v>
      </c>
      <c r="N87" s="91">
        <f ca="1">IF(AND(Assumptions!$W$2="Bridge",Assumptions!$W$27="Yes"),M87-N83+N88+N89+(IF(M76&gt;0,M76,0)),M87-N83+N88+N89+M76)</f>
        <v>8150.0350289961962</v>
      </c>
      <c r="O87" s="91">
        <f ca="1">IF(AND(Assumptions!$W$2="Bridge",Assumptions!$W$27="Yes"),N87-O83+O88+O89+(IF(N76&gt;0,N76,0)),N87-O83+O88+O89+N76)</f>
        <v>10009.219636162201</v>
      </c>
      <c r="Q87" s="91">
        <f ca="1">IF(AND(Assumptions!$W$2="Bridge",Assumptions!$W$27="Yes"),O87-Q83+Q88+Q89+(IF(O76&gt;0,O76,0)),O87-Q83+Q88+Q89+O76)</f>
        <v>12346.641727551352</v>
      </c>
      <c r="R87" s="91">
        <f ca="1">IF(AND(Assumptions!$W$2="Bridge",Assumptions!$W$27="Yes"),Q87-R83+R88+R89+(IF(Q76&gt;0,Q76,0)),Q87-R83+R88+R89+Q76)</f>
        <v>12346.641727551352</v>
      </c>
      <c r="S87" s="91">
        <f ca="1">IF(AND(Assumptions!$W$2="Bridge",Assumptions!$W$27="Yes"),R87-S83+S88+S89+(IF(R76&gt;0,R76,0)),R87-S83+S88+S89+R76)</f>
        <v>12346.641727551352</v>
      </c>
      <c r="T87" s="91">
        <f ca="1">IF(AND(Assumptions!$W$2="Bridge",Assumptions!$W$27="Yes"),S87-T83+T88+T89+(IF(S76&gt;0,S76,0)),S87-T83+T88+T89+S76)</f>
        <v>12346.641727551352</v>
      </c>
      <c r="U87" s="91">
        <f ca="1">IF(AND(Assumptions!$W$2="Bridge",Assumptions!$W$27="Yes"),T87-U83+U88+U89+(IF(T76&gt;0,T76,0)),T87-U83+U88+U89+T76)</f>
        <v>12346.641727551352</v>
      </c>
      <c r="V87" s="91">
        <f ca="1">IF(AND(Assumptions!$W$2="Bridge",Assumptions!$W$27="Yes"),U87-V83+V88+V89+(IF(U76&gt;0,U76,0)),U87-V83+V88+V89+U76)</f>
        <v>12346.641727551352</v>
      </c>
      <c r="W87" s="91">
        <f ca="1">IF(AND(Assumptions!$W$2="Bridge",Assumptions!$W$27="Yes"),V87-W83+W88+W89+(IF(V76&gt;0,V76,0)),V87-W83+W88+W89+V76)</f>
        <v>12346.641727551352</v>
      </c>
      <c r="X87" s="91">
        <f ca="1">IF(AND(Assumptions!$W$2="Bridge",Assumptions!$W$27="Yes"),W87-X83+X88+X89+(IF(W76&gt;0,W76,0)),W87-X83+X88+X89+W76)</f>
        <v>12346.641727551352</v>
      </c>
      <c r="Y87" s="91">
        <f ca="1">IF(AND(Assumptions!$W$2="Bridge",Assumptions!$W$27="Yes"),X87-Y83+Y88+Y89+(IF(X76&gt;0,X76,0)),X87-Y83+Y88+Y89+X76)</f>
        <v>15931.709664316793</v>
      </c>
      <c r="Z87" s="91">
        <f ca="1">IF(AND(Assumptions!$W$2="Bridge",Assumptions!$W$27="Yes"),Y87-Z83+Z88+Z89+(IF(Y76&gt;0,Y76,0)),Y87-Z83+Z88+Z89+Y76)</f>
        <v>19586.130364422152</v>
      </c>
      <c r="AA87" s="91">
        <f ca="1">IF(AND(Assumptions!$W$2="Bridge",Assumptions!$W$27="Yes"),Z87-AA83+AA88+AA89+(IF(Z76&gt;0,Z76,0)),Z87-AA83+AA88+AA89+Z76)</f>
        <v>23310.04668320476</v>
      </c>
      <c r="AB87" s="91">
        <f ca="1">IF(AND(Assumptions!$W$2="Bridge",Assumptions!$W$27="Yes"),AA87-AB83+AB88+AB89+(IF(AA76&gt;0,AA76,0)),AA87-AB83+AB88+AB89+AA76)</f>
        <v>27103.601770260568</v>
      </c>
      <c r="AD87" s="91">
        <f ca="1">IF(AND(Assumptions!$W$2="Bridge",Assumptions!$W$27="Yes"),AB87-AD83+AD88+AD89+(IF(AB76&gt;0,AB76,0)),AB87-AD83+AD88+AD89+AB76)</f>
        <v>30966.939070050259</v>
      </c>
      <c r="AE87" s="91">
        <f ca="1">IF(AND(Assumptions!$W$2="Bridge",Assumptions!$W$27="Yes"),AD87-AE83+AE88+AE89+(IF(AD76&gt;0,AD76,0)),AD87-AE83+AE88+AE89+AD76)</f>
        <v>31080.809212204018</v>
      </c>
      <c r="AF87" s="91">
        <f ca="1">IF(AND(Assumptions!$W$2="Bridge",Assumptions!$W$27="Yes"),AE87-AF83+AF88+AF89+(IF(AE76&gt;0,AE76,0)),AE87-AF83+AF88+AF89+AE76)</f>
        <v>31263.750336561687</v>
      </c>
      <c r="AG87" s="91">
        <f ca="1">IF(AND(Assumptions!$W$2="Bridge",Assumptions!$W$27="Yes"),AF87-AG83+AG88+AG89+(IF(AF76&gt;0,AF76,0)),AF87-AG83+AG88+AG89+AF76)</f>
        <v>31446.691460919355</v>
      </c>
      <c r="AH87" s="91">
        <f ca="1">IF(AND(Assumptions!$W$2="Bridge",Assumptions!$W$27="Yes"),AG87-AH83+AH88+AH89+(IF(AG76&gt;0,AG76,0)),AG87-AH83+AH88+AH89+AG76)</f>
        <v>31698.845842395276</v>
      </c>
      <c r="AI87" s="91">
        <f ca="1">IF(AND(Assumptions!$W$2="Bridge",Assumptions!$W$27="Yes"),AH87-AI83+AI88+AI89+(IF(AH76&gt;0,AH76,0)),AH87-AI83+AI88+AI89+AH76)</f>
        <v>32020.35604896682</v>
      </c>
      <c r="AJ87" s="91">
        <f ca="1">IF(AND(Assumptions!$W$2="Bridge",Assumptions!$W$27="Yes"),AI87-AJ83+AJ88+AJ89+(IF(AI76&gt;0,AI76,0)),AI87-AJ83+AJ88+AJ89+AI76)</f>
        <v>32411.364942278036</v>
      </c>
      <c r="AK87" s="91">
        <f ca="1">IF(AND(Assumptions!$W$2="Bridge",Assumptions!$W$27="Yes"),AJ87-AK83+AK88+AK89+(IF(AJ76&gt;0,AJ76,0)),AJ87-AK83+AK88+AK89+AJ76)</f>
        <v>32872.015678244585</v>
      </c>
      <c r="AL87" s="91">
        <f ca="1">IF(AND(Assumptions!$W$2="Bridge",Assumptions!$W$27="Yes"),AK87-AL83+AL88+AL89+(IF(AK76&gt;0,AK76,0)),AK87-AL83+AL88+AL89+AK76)</f>
        <v>33402.451707659849</v>
      </c>
      <c r="AM87" s="91">
        <f ca="1">IF(AND(Assumptions!$W$2="Bridge",Assumptions!$W$27="Yes"),AL87-AM83+AM88+AM89+(IF(AL76&gt;0,AL76,0)),AL87-AM83+AM88+AM89+AL76)</f>
        <v>34002.816776802385</v>
      </c>
      <c r="AN87" s="91">
        <f ca="1">IF(AND(Assumptions!$W$2="Bridge",Assumptions!$W$27="Yes"),AM87-AN83+AN88+AN89+(IF(AM76&gt;0,AM76,0)),AM87-AN83+AN88+AN89+AM76)</f>
        <v>34673.254928044553</v>
      </c>
      <c r="AO87" s="91">
        <f ca="1">IF(AND(Assumptions!$W$2="Bridge",Assumptions!$W$27="Yes"),AN87-AO83+AO88+AO89+(IF(AN76&gt;0,AN76,0)),AN87-AO83+AO88+AO89+AN76)</f>
        <v>37710.794199036849</v>
      </c>
      <c r="AQ87" s="91">
        <f ca="1">IF(AND(Assumptions!$W$2="Bridge",Assumptions!$W$27="Yes"),AO87-AQ83+AQ88+AQ89+(IF(AO76&gt;0,AO76,0)),AO87-AQ83+AQ88+AQ89+AO76)</f>
        <v>40818.69552759573</v>
      </c>
      <c r="AR87" s="91">
        <f ca="1">IF(AND(Assumptions!$W$2="Bridge",Assumptions!$W$27="Yes"),AQ87-AR83+AR88+AR89+(IF(AQ76&gt;0,AQ76,0)),AQ87-AR83+AR88+AR89+AQ76)</f>
        <v>40854.465400375331</v>
      </c>
      <c r="AS87" s="91">
        <f ca="1">IF(AND(Assumptions!$W$2="Bridge",Assumptions!$W$27="Yes"),AR87-AS83+AS88+AS89+(IF(AR76&gt;0,AR76,0)),AR87-AS83+AS88+AS89+AR76)</f>
        <v>40960.606163400771</v>
      </c>
      <c r="AT87" s="91">
        <f ca="1">IF(AND(Assumptions!$W$2="Bridge",Assumptions!$W$27="Yes"),AS87-AT83+AT88+AT89+(IF(AS76&gt;0,AS76,0)),AS87-AT83+AT88+AT89+AS76)</f>
        <v>41066.746926426211</v>
      </c>
      <c r="AU87" s="91">
        <f ca="1">IF(AND(Assumptions!$W$2="Bridge",Assumptions!$W$27="Yes"),AT87-AU83+AU88+AU89+(IF(AT76&gt;0,AT76,0)),AT87-AU83+AU88+AU89+AT76)</f>
        <v>41243.403532209566</v>
      </c>
      <c r="AV87" s="91">
        <f ca="1">IF(AND(Assumptions!$W$2="Bridge",Assumptions!$W$27="Yes"),AU87-AV83+AV88+AV89+(IF(AU76&gt;0,AU76,0)),AU87-AV83+AV88+AV89+AU76)</f>
        <v>41490.721231841344</v>
      </c>
      <c r="AW87" s="91">
        <f ca="1">IF(AND(Assumptions!$W$2="Bridge",Assumptions!$W$27="Yes"),AV87-AW83+AW88+AW89+(IF(AV76&gt;0,AV76,0)),AV87-AW83+AW88+AW89+AV76)</f>
        <v>41808.845575605505</v>
      </c>
      <c r="AX87" s="91">
        <f ca="1">IF(AND(Assumptions!$W$2="Bridge",Assumptions!$W$27="Yes"),AW87-AX83+AX88+AX89+(IF(AW76&gt;0,AW76,0)),AW87-AX83+AX88+AX89+AW76)</f>
        <v>42197.922413595799</v>
      </c>
      <c r="AY87" s="91">
        <f ca="1">IF(AND(Assumptions!$W$2="Bridge",Assumptions!$W$27="Yes"),AX87-AY83+AY88+AY89+(IF(AX76&gt;0,AX76,0)),AX87-AY83+AY88+AY89+AX76)</f>
        <v>42658.09789633326</v>
      </c>
      <c r="AZ87" s="91">
        <f ca="1">IF(AND(Assumptions!$W$2="Bridge",Assumptions!$W$27="Yes"),AY87-AZ83+AZ88+AZ89+(IF(AY76&gt;0,AY76,0)),AY87-AZ83+AZ88+AZ89+AY76)</f>
        <v>43189.518475385084</v>
      </c>
      <c r="BA87" s="91">
        <f ca="1">IF(AND(Assumptions!$W$2="Bridge",Assumptions!$W$27="Yes"),AZ87-BA83+BA88+BA89+(IF(AZ76&gt;0,AZ76,0)),AZ87-BA83+BA88+BA89+AZ76)</f>
        <v>43792.330903984694</v>
      </c>
      <c r="BB87" s="91">
        <f ca="1">IF(AND(Assumptions!$W$2="Bridge",Assumptions!$W$27="Yes"),BA87-BB83+BB88+BB89+(IF(BA76&gt;0,BA76,0)),BA87-BB83+BB88+BB89+BA76)</f>
        <v>44466.682237653171</v>
      </c>
      <c r="BD87" s="91">
        <f ca="1">IF(AND(Assumptions!$W$2="Bridge",Assumptions!$W$27="Yes"),BB87-BD83+BD88+BD89+(IF(BB76&gt;0,BB76,0)),BB87-BD83+BD88+BD89+BB76)</f>
        <v>45212.719834821874</v>
      </c>
      <c r="BE87" s="91">
        <f ca="1">IF(AND(Assumptions!$W$2="Bridge",Assumptions!$W$27="Yes"),BD87-BE83+BE88+BE89+(IF(BD76&gt;0,BD76,0)),BD87-BE83+BE88+BE89+BD76)</f>
        <v>45212.719834821874</v>
      </c>
      <c r="BF87" s="91">
        <f ca="1">IF(AND(Assumptions!$W$2="Bridge",Assumptions!$W$27="Yes"),BE87-BF83+BF88+BF89+(IF(BE76&gt;0,BE76,0)),BE87-BF83+BF88+BF89+BE76)</f>
        <v>45248.881233145337</v>
      </c>
      <c r="BG87" s="91">
        <f ca="1">IF(AND(Assumptions!$W$2="Bridge",Assumptions!$W$27="Yes"),BF87-BG83+BG88+BG89+(IF(BF76&gt;0,BF76,0)),BF87-BG83+BG88+BG89+BF76)</f>
        <v>45285.042631468794</v>
      </c>
      <c r="BH87" s="91">
        <f ca="1">IF(AND(Assumptions!$W$2="Bridge",Assumptions!$W$27="Yes"),BG87-BH83+BH88+BH89+(IF(BG76&gt;0,BG76,0)),BG87-BH83+BH88+BH89+BG76)</f>
        <v>45378.790844457821</v>
      </c>
      <c r="BI87" s="91">
        <f ca="1">IF(AND(Assumptions!$W$2="Bridge",Assumptions!$W$27="Yes"),BH87-BI83+BI88+BI89+(IF(BH76&gt;0,BH76,0)),BH87-BI83+BI88+BI89+BH76)</f>
        <v>45530.220981418752</v>
      </c>
      <c r="BJ87" s="91">
        <f ca="1">IF(AND(Assumptions!$W$2="Bridge",Assumptions!$W$27="Yes"),BI87-BJ83+BJ88+BJ89+(IF(BI76&gt;0,BI76,0)),BI87-BJ83+BJ88+BJ89+BI76)</f>
        <v>45739.428308738672</v>
      </c>
      <c r="BK87" s="91">
        <f ca="1">IF(AND(Assumptions!$W$2="Bridge",Assumptions!$W$27="Yes"),BJ87-BK83+BK88+BK89+(IF(BJ76&gt;0,BJ76,0)),BJ87-BK83+BK88+BK89+BJ76)</f>
        <v>46006.508250144863</v>
      </c>
      <c r="BL87" s="91">
        <f ca="1">IF(AND(Assumptions!$W$2="Bridge",Assumptions!$W$27="Yes"),BK87-BL83+BL88+BL89+(IF(BK76&gt;0,BK76,0)),BK87-BL83+BL88+BL89+BK76)</f>
        <v>46331.556386964636</v>
      </c>
      <c r="BM87" s="91">
        <f ca="1">IF(AND(Assumptions!$W$2="Bridge",Assumptions!$W$27="Yes"),BL87-BM83+BM88+BM89+(IF(BL76&gt;0,BL76,0)),BL87-BM83+BM88+BM89+BL76)</f>
        <v>46714.668458385655</v>
      </c>
      <c r="BN87" s="91">
        <f ca="1">IF(AND(Assumptions!$W$2="Bridge",Assumptions!$W$27="Yes"),BM87-BN83+BN88+BN89+(IF(BM76&gt;0,BM76,0)),BM87-BN83+BN88+BN89+BM76)</f>
        <v>47155.94036171661</v>
      </c>
      <c r="BO87" s="91">
        <f ca="1">IF(AND(Assumptions!$W$2="Bridge",Assumptions!$W$27="Yes"),BN87-BO83+BO88+BO89+(IF(BN76&gt;0,BN76,0)),BN87-BO83+BO88+BO89+BN76)</f>
        <v>47655.468152648406</v>
      </c>
      <c r="BQ87" s="91">
        <f ca="1">IF(AND(Assumptions!$W$2="Bridge",Assumptions!$W$27="Yes"),BO87-BQ83+BQ88+BQ89+(IF(BO76&gt;0,BO76,0)),BO87-BQ83+BQ88+BQ89+BO76)</f>
        <v>48213.348045515741</v>
      </c>
      <c r="BR87" s="91">
        <f ca="1">IF(AND(Assumptions!$W$2="Bridge",Assumptions!$W$27="Yes"),BQ87-BR83+BR88+BR89+(IF(BQ76&gt;0,BQ76,0)),BQ87-BR83+BR88+BR89+BQ76)</f>
        <v>48213.348045515741</v>
      </c>
      <c r="BS87" s="91">
        <f ca="1">IF(AND(Assumptions!$W$2="Bridge",Assumptions!$W$27="Yes"),BR87-BS83+BS88+BS89+(IF(BR76&gt;0,BR76,0)),BR87-BS83+BS88+BS89+BR76)</f>
        <v>48213.348045515741</v>
      </c>
      <c r="BT87" s="91">
        <f ca="1">IF(AND(Assumptions!$W$2="Bridge",Assumptions!$W$27="Yes"),BS87-BT83+BT88+BT89+(IF(BS76&gt;0,BS76,0)),BS87-BT83+BT88+BT89+BS76)</f>
        <v>48213.348045515741</v>
      </c>
      <c r="BU87" s="91">
        <f ca="1">IF(AND(Assumptions!$W$2="Bridge",Assumptions!$W$27="Yes"),BT87-BU83+BU88+BU89+(IF(BT76&gt;0,BT76,0)),BT87-BU83+BU88+BU89+BT76)</f>
        <v>48213.348045515741</v>
      </c>
      <c r="BV87" s="91">
        <f ca="1">IF(AND(Assumptions!$W$2="Bridge",Assumptions!$W$27="Yes"),BU87-BV83+BV88+BV89+(IF(BU76&gt;0,BU76,0)),BU87-BV83+BV88+BV89+BU76)</f>
        <v>48213.348045515741</v>
      </c>
      <c r="BW87" s="91">
        <f ca="1">IF(AND(Assumptions!$W$2="Bridge",Assumptions!$W$27="Yes"),BV87-BW83+BW88+BW89+(IF(BV76&gt;0,BV76,0)),BV87-BW83+BW88+BW89+BV76)</f>
        <v>48246.888099063624</v>
      </c>
      <c r="BX87" s="91">
        <f ca="1">IF(AND(Assumptions!$W$2="Bridge",Assumptions!$W$27="Yes"),BW87-BX83+BX88+BX89+(IF(BW76&gt;0,BW76,0)),BW87-BX83+BX88+BX89+BW76)</f>
        <v>48339.182595599654</v>
      </c>
      <c r="BY87" s="91">
        <f ca="1">IF(AND(Assumptions!$W$2="Bridge",Assumptions!$W$27="Yes"),BX87-BY83+BY88+BY89+(IF(BX76&gt;0,BX76,0)),BX87-BY83+BY88+BY89+BX76)</f>
        <v>48490.328572863276</v>
      </c>
      <c r="BZ87" s="91">
        <f ca="1">IF(AND(Assumptions!$W$2="Bridge",Assumptions!$W$27="Yes"),BY87-BZ83+BZ88+BZ89+(IF(BY76&gt;0,BY76,0)),BY87-BZ83+BZ88+BZ89+BY76)</f>
        <v>48700.423228859654</v>
      </c>
      <c r="CA87" s="91">
        <f ca="1">IF(AND(Assumptions!$W$2="Bridge",Assumptions!$W$27="Yes"),BZ87-CA83+CA88+CA89+(IF(BZ76&gt;0,BZ76,0)),BZ87-CA83+CA88+CA89+BZ76)</f>
        <v>48969.563922124347</v>
      </c>
      <c r="CB87" s="91">
        <f ca="1">IF(AND(Assumptions!$W$2="Bridge",Assumptions!$W$27="Yes"),CA87-CB83+CB88+CB89+(IF(CA76&gt;0,CA76,0)),CA87-CB83+CB88+CB89+CA76)</f>
        <v>49297.848171988466</v>
      </c>
      <c r="CD87" s="91">
        <f ca="1">IF(AND(Assumptions!$W$2="Bridge",Assumptions!$W$27="Yes"),CB87-CD83+CD88+CD89+(IF(CB76&gt;0,CB76,0)),CB87-CD83+CD88+CD89+CB76)</f>
        <v>49685.373658844212</v>
      </c>
      <c r="CE87" s="91">
        <f ca="1">IF(AND(Assumptions!$W$2="Bridge",Assumptions!$W$27="Yes"),CD87-CE83+CE88+CE89+(IF(CD76&gt;0,CD76,0)),CD87-CE83+CE88+CE89+CD76)</f>
        <v>49685.373658844212</v>
      </c>
      <c r="CF87" s="91">
        <f ca="1">IF(AND(Assumptions!$W$2="Bridge",Assumptions!$W$27="Yes"),CE87-CF83+CF88+CF89+(IF(CE76&gt;0,CE76,0)),CE87-CF83+CF88+CF89+CE76)</f>
        <v>49685.373658844212</v>
      </c>
      <c r="CG87" s="91">
        <f ca="1">IF(AND(Assumptions!$W$2="Bridge",Assumptions!$W$27="Yes"),CF87-CG83+CG88+CG89+(IF(CF76&gt;0,CF76,0)),CF87-CG83+CG88+CG89+CF76)</f>
        <v>49685.373658844212</v>
      </c>
      <c r="CH87" s="91">
        <f ca="1">IF(AND(Assumptions!$W$2="Bridge",Assumptions!$W$27="Yes"),CG87-CH83+CH88+CH89+(IF(CG76&gt;0,CG76,0)),CG87-CH83+CH88+CH89+CG76)</f>
        <v>49685.373658844212</v>
      </c>
      <c r="CI87" s="91">
        <f ca="1">IF(AND(Assumptions!$W$2="Bridge",Assumptions!$W$27="Yes"),CH87-CI83+CI88+CI89+(IF(CH76&gt;0,CH76,0)),CH87-CI83+CI88+CI89+CH76)</f>
        <v>49685.373658844212</v>
      </c>
      <c r="CJ87" s="91">
        <f ca="1">IF(AND(Assumptions!$W$2="Bridge",Assumptions!$W$27="Yes"),CI87-CJ83+CJ88+CJ89+(IF(CI76&gt;0,CI76,0)),CI87-CJ83+CJ88+CJ89+CI76)</f>
        <v>49685.373658844212</v>
      </c>
      <c r="CK87" s="91">
        <f ca="1">IF(AND(Assumptions!$W$2="Bridge",Assumptions!$W$27="Yes"),CJ87-CK83+CK88+CK89+(IF(CJ76&gt;0,CJ76,0)),CJ87-CK83+CK88+CK89+CJ76)</f>
        <v>49685.373658844212</v>
      </c>
      <c r="CL87" s="91">
        <f ca="1">IF(AND(Assumptions!$W$2="Bridge",Assumptions!$W$27="Yes"),CK87-CL83+CL88+CL89+(IF(CK76&gt;0,CK76,0)),CK87-CL83+CL88+CL89+CK76)</f>
        <v>49685.373658844212</v>
      </c>
      <c r="CM87" s="91">
        <f ca="1">IF(AND(Assumptions!$W$2="Bridge",Assumptions!$W$27="Yes"),CL87-CM83+CM88+CM89+(IF(CL76&gt;0,CL76,0)),CL87-CM83+CM88+CM89+CL76)</f>
        <v>49727.402754790652</v>
      </c>
      <c r="CN87" s="91">
        <f ca="1">IF(AND(Assumptions!$W$2="Bridge",Assumptions!$W$27="Yes"),CM87-CN83+CN88+CN89+(IF(CM76&gt;0,CM76,0)),CM87-CN83+CN88+CN89+CM76)</f>
        <v>49829.38181747096</v>
      </c>
      <c r="CO87" s="91">
        <f ca="1">IF(AND(Assumptions!$W$2="Bridge",Assumptions!$W$27="Yes"),CN87-CO83+CO88+CO89+(IF(CN76&gt;0,CN76,0)),CN87-CO83+CO88+CO89+CN76)</f>
        <v>49991.409859129235</v>
      </c>
    </row>
    <row r="88" spans="1:94">
      <c r="A88" s="438">
        <v>150000</v>
      </c>
      <c r="B88" s="415" t="s">
        <v>266</v>
      </c>
      <c r="C88" s="437" t="s">
        <v>268</v>
      </c>
      <c r="D88" s="560">
        <v>25000</v>
      </c>
      <c r="E88" s="91">
        <f>IF($C$88="Equity Contribution",IF(D87-E83&lt;$C$87,MAX($A$88,0),0),E83)</f>
        <v>23575.000000000004</v>
      </c>
      <c r="F88" s="91">
        <f t="shared" ref="F88:O88" si="299">IF($C$88="Equity Contribution",IF(E87-F83&lt;$C$87,MAX($A$88,0),0),F83)</f>
        <v>42685.294117647063</v>
      </c>
      <c r="G88" s="91">
        <f t="shared" si="299"/>
        <v>42685.294117647063</v>
      </c>
      <c r="H88" s="91">
        <f t="shared" si="299"/>
        <v>19110.294117647059</v>
      </c>
      <c r="I88" s="91">
        <f t="shared" si="299"/>
        <v>19110.294117647059</v>
      </c>
      <c r="J88" s="91">
        <f t="shared" si="299"/>
        <v>19110.294117647059</v>
      </c>
      <c r="K88" s="91">
        <f t="shared" si="299"/>
        <v>19110.294117647059</v>
      </c>
      <c r="L88" s="91">
        <f t="shared" si="299"/>
        <v>19110.294117647059</v>
      </c>
      <c r="M88" s="91">
        <f t="shared" si="299"/>
        <v>19110.294117647059</v>
      </c>
      <c r="N88" s="91">
        <f t="shared" si="299"/>
        <v>19110.294117647059</v>
      </c>
      <c r="O88" s="91">
        <f t="shared" si="299"/>
        <v>19110.294117647059</v>
      </c>
      <c r="Q88" s="91">
        <f>IF($C$88="Equity Contribution",IF(O87-Q83&lt;$C$87,MAX($A$88,0),0),Q83)</f>
        <v>19110.294117647059</v>
      </c>
      <c r="R88" s="91">
        <f t="shared" ref="R88:AB88" si="300">IF($C$88="Equity Contribution",IF(Q87-R83&lt;$C$87,MAX($A$88,0),0),R83)</f>
        <v>19110.294117647059</v>
      </c>
      <c r="S88" s="91">
        <f t="shared" si="300"/>
        <v>19110.294117647059</v>
      </c>
      <c r="T88" s="91">
        <f t="shared" si="300"/>
        <v>19110.294117647059</v>
      </c>
      <c r="U88" s="91">
        <f t="shared" si="300"/>
        <v>19110.294117647059</v>
      </c>
      <c r="V88" s="91">
        <f t="shared" si="300"/>
        <v>19110.294117647059</v>
      </c>
      <c r="W88" s="91">
        <f t="shared" si="300"/>
        <v>19110.294117647059</v>
      </c>
      <c r="X88" s="91">
        <f t="shared" si="300"/>
        <v>0</v>
      </c>
      <c r="Y88" s="91">
        <f t="shared" si="300"/>
        <v>0</v>
      </c>
      <c r="Z88" s="91">
        <f t="shared" si="300"/>
        <v>0</v>
      </c>
      <c r="AA88" s="91">
        <f t="shared" si="300"/>
        <v>0</v>
      </c>
      <c r="AB88" s="91">
        <f t="shared" si="300"/>
        <v>0</v>
      </c>
      <c r="AD88" s="91">
        <f>IF($C$88="Equity Contribution",IF(AB87-AD83&lt;$C$87,MAX($A$88,0),0),AD83)</f>
        <v>0</v>
      </c>
      <c r="AE88" s="91">
        <f t="shared" ref="AE88:AO88" si="301">IF($C$88="Equity Contribution",IF(AD87-AE83&lt;$C$87,MAX($A$88,0),0),AE83)</f>
        <v>0</v>
      </c>
      <c r="AF88" s="91">
        <f t="shared" si="301"/>
        <v>0</v>
      </c>
      <c r="AG88" s="91">
        <f t="shared" si="301"/>
        <v>0</v>
      </c>
      <c r="AH88" s="91">
        <f t="shared" si="301"/>
        <v>0</v>
      </c>
      <c r="AI88" s="91">
        <f t="shared" si="301"/>
        <v>0</v>
      </c>
      <c r="AJ88" s="91">
        <f t="shared" si="301"/>
        <v>0</v>
      </c>
      <c r="AK88" s="91">
        <f t="shared" si="301"/>
        <v>0</v>
      </c>
      <c r="AL88" s="91">
        <f t="shared" si="301"/>
        <v>0</v>
      </c>
      <c r="AM88" s="91">
        <f t="shared" si="301"/>
        <v>0</v>
      </c>
      <c r="AN88" s="91">
        <f t="shared" si="301"/>
        <v>0</v>
      </c>
      <c r="AO88" s="91">
        <f t="shared" si="301"/>
        <v>0</v>
      </c>
      <c r="AQ88" s="91">
        <f>IF($C$88="Equity Contribution",IF(AO87-AQ83&lt;$C$87,MAX($A$88,0),0),AQ83)</f>
        <v>0</v>
      </c>
      <c r="AR88" s="91">
        <f t="shared" ref="AR88:BB88" si="302">IF($C$88="Equity Contribution",IF(AQ87-AR83&lt;$C$87,MAX($A$88,0),0),AR83)</f>
        <v>0</v>
      </c>
      <c r="AS88" s="91">
        <f t="shared" si="302"/>
        <v>0</v>
      </c>
      <c r="AT88" s="91">
        <f t="shared" si="302"/>
        <v>0</v>
      </c>
      <c r="AU88" s="91">
        <f t="shared" si="302"/>
        <v>0</v>
      </c>
      <c r="AV88" s="91">
        <f t="shared" si="302"/>
        <v>0</v>
      </c>
      <c r="AW88" s="91">
        <f t="shared" si="302"/>
        <v>0</v>
      </c>
      <c r="AX88" s="91">
        <f t="shared" si="302"/>
        <v>0</v>
      </c>
      <c r="AY88" s="91">
        <f t="shared" si="302"/>
        <v>0</v>
      </c>
      <c r="AZ88" s="91">
        <f t="shared" si="302"/>
        <v>0</v>
      </c>
      <c r="BA88" s="91">
        <f t="shared" si="302"/>
        <v>0</v>
      </c>
      <c r="BB88" s="91">
        <f t="shared" si="302"/>
        <v>0</v>
      </c>
      <c r="BD88" s="91">
        <f>IF($C$88="Equity Contribution",IF(BB87-BD83&lt;$C$87,MAX($A$88,0),0),BD83)</f>
        <v>0</v>
      </c>
      <c r="BE88" s="91">
        <f t="shared" ref="BE88:BO88" si="303">IF($C$88="Equity Contribution",IF(BD87-BE83&lt;$C$87,MAX($A$88,0),0),BE83)</f>
        <v>0</v>
      </c>
      <c r="BF88" s="91">
        <f t="shared" si="303"/>
        <v>0</v>
      </c>
      <c r="BG88" s="91">
        <f t="shared" si="303"/>
        <v>0</v>
      </c>
      <c r="BH88" s="91">
        <f t="shared" si="303"/>
        <v>0</v>
      </c>
      <c r="BI88" s="91">
        <f t="shared" si="303"/>
        <v>0</v>
      </c>
      <c r="BJ88" s="91">
        <f t="shared" si="303"/>
        <v>0</v>
      </c>
      <c r="BK88" s="91">
        <f t="shared" si="303"/>
        <v>0</v>
      </c>
      <c r="BL88" s="91">
        <f t="shared" si="303"/>
        <v>0</v>
      </c>
      <c r="BM88" s="91">
        <f t="shared" si="303"/>
        <v>0</v>
      </c>
      <c r="BN88" s="91">
        <f t="shared" si="303"/>
        <v>0</v>
      </c>
      <c r="BO88" s="91">
        <f t="shared" si="303"/>
        <v>0</v>
      </c>
      <c r="BQ88" s="91">
        <f>IF($C$88="Equity Contribution",IF(BO87-BQ83&lt;$C$87,MAX($A$88,0),0),BQ83)</f>
        <v>0</v>
      </c>
      <c r="BR88" s="91">
        <f t="shared" ref="BR88:CB88" si="304">IF($C$88="Equity Contribution",IF(BQ87-BR83&lt;$C$87,MAX($A$88,0),0),BR83)</f>
        <v>0</v>
      </c>
      <c r="BS88" s="91">
        <f t="shared" si="304"/>
        <v>0</v>
      </c>
      <c r="BT88" s="91">
        <f t="shared" si="304"/>
        <v>0</v>
      </c>
      <c r="BU88" s="91">
        <f t="shared" si="304"/>
        <v>0</v>
      </c>
      <c r="BV88" s="91">
        <f t="shared" si="304"/>
        <v>0</v>
      </c>
      <c r="BW88" s="91">
        <f t="shared" si="304"/>
        <v>0</v>
      </c>
      <c r="BX88" s="91">
        <f t="shared" si="304"/>
        <v>0</v>
      </c>
      <c r="BY88" s="91">
        <f t="shared" si="304"/>
        <v>0</v>
      </c>
      <c r="BZ88" s="91">
        <f t="shared" si="304"/>
        <v>0</v>
      </c>
      <c r="CA88" s="91">
        <f t="shared" si="304"/>
        <v>0</v>
      </c>
      <c r="CB88" s="91">
        <f t="shared" si="304"/>
        <v>0</v>
      </c>
      <c r="CD88" s="91">
        <f>IF($C$88="Equity Contribution",IF(CB87-CD83&lt;$C$87,MAX($A$88,0),0),CD83)</f>
        <v>0</v>
      </c>
      <c r="CE88" s="91">
        <f t="shared" ref="CE88:CO88" si="305">IF($C$88="Equity Contribution",IF(CD87-CE83&lt;$C$87,MAX($A$88,0),0),CE83)</f>
        <v>0</v>
      </c>
      <c r="CF88" s="91">
        <f t="shared" si="305"/>
        <v>0</v>
      </c>
      <c r="CG88" s="91">
        <f t="shared" si="305"/>
        <v>0</v>
      </c>
      <c r="CH88" s="91">
        <f t="shared" si="305"/>
        <v>0</v>
      </c>
      <c r="CI88" s="91">
        <f t="shared" si="305"/>
        <v>0</v>
      </c>
      <c r="CJ88" s="91">
        <f t="shared" si="305"/>
        <v>0</v>
      </c>
      <c r="CK88" s="91">
        <f t="shared" si="305"/>
        <v>0</v>
      </c>
      <c r="CL88" s="91">
        <f t="shared" si="305"/>
        <v>0</v>
      </c>
      <c r="CM88" s="91">
        <f t="shared" si="305"/>
        <v>0</v>
      </c>
      <c r="CN88" s="91">
        <f t="shared" si="305"/>
        <v>0</v>
      </c>
      <c r="CO88" s="91">
        <f t="shared" si="305"/>
        <v>0</v>
      </c>
    </row>
    <row r="89" spans="1:94">
      <c r="B89" s="415" t="s">
        <v>266</v>
      </c>
      <c r="C89" s="437" t="s">
        <v>268</v>
      </c>
    </row>
    <row r="93" spans="1:94">
      <c r="B93" s="515">
        <f>SUM(D93:CO93)</f>
        <v>420599.99999999988</v>
      </c>
      <c r="D93">
        <f>IF(D79&lt;='Sale Analysis'!$E$3,'Monthly Cash Flow'!D88,0)</f>
        <v>25000</v>
      </c>
      <c r="E93">
        <f>IF(E79&lt;='Sale Analysis'!$E$3,'Monthly Cash Flow'!E88,0)</f>
        <v>23575.000000000004</v>
      </c>
      <c r="F93">
        <f>IF(F79&lt;='Sale Analysis'!$E$3,'Monthly Cash Flow'!F88,0)</f>
        <v>42685.294117647063</v>
      </c>
      <c r="G93">
        <f>IF(G79&lt;='Sale Analysis'!$E$3,'Monthly Cash Flow'!G88,0)</f>
        <v>42685.294117647063</v>
      </c>
      <c r="H93">
        <f>IF(H79&lt;='Sale Analysis'!$E$3,'Monthly Cash Flow'!H88,0)</f>
        <v>19110.294117647059</v>
      </c>
      <c r="I93">
        <f>IF(I79&lt;='Sale Analysis'!$E$3,'Monthly Cash Flow'!I88,0)</f>
        <v>19110.294117647059</v>
      </c>
      <c r="J93">
        <f>IF(J79&lt;='Sale Analysis'!$E$3,'Monthly Cash Flow'!J88,0)</f>
        <v>19110.294117647059</v>
      </c>
      <c r="K93">
        <f>IF(K79&lt;='Sale Analysis'!$E$3,'Monthly Cash Flow'!K88,0)</f>
        <v>19110.294117647059</v>
      </c>
      <c r="L93">
        <f>IF(L79&lt;='Sale Analysis'!$E$3,'Monthly Cash Flow'!L88,0)</f>
        <v>19110.294117647059</v>
      </c>
      <c r="M93">
        <f>IF(M79&lt;='Sale Analysis'!$E$3,'Monthly Cash Flow'!M88,0)</f>
        <v>19110.294117647059</v>
      </c>
      <c r="N93">
        <f>IF(N79&lt;='Sale Analysis'!$E$3,'Monthly Cash Flow'!N88,0)</f>
        <v>19110.294117647059</v>
      </c>
      <c r="O93">
        <f>IF(O79&lt;='Sale Analysis'!$E$3,'Monthly Cash Flow'!O88,0)</f>
        <v>19110.294117647059</v>
      </c>
      <c r="Q93">
        <f>IF(Q79&lt;='Sale Analysis'!$E$3,'Monthly Cash Flow'!Q88,0)</f>
        <v>19110.294117647059</v>
      </c>
      <c r="R93">
        <f>IF(R79&lt;='Sale Analysis'!$E$3,'Monthly Cash Flow'!R88,0)</f>
        <v>19110.294117647059</v>
      </c>
      <c r="S93">
        <f>IF(S79&lt;='Sale Analysis'!$E$3,'Monthly Cash Flow'!S88,0)</f>
        <v>19110.294117647059</v>
      </c>
      <c r="T93">
        <f>IF(T79&lt;='Sale Analysis'!$E$3,'Monthly Cash Flow'!T88,0)</f>
        <v>19110.294117647059</v>
      </c>
      <c r="U93">
        <f>IF(U79&lt;='Sale Analysis'!$E$3,'Monthly Cash Flow'!U88,0)</f>
        <v>19110.294117647059</v>
      </c>
      <c r="V93">
        <f>IF(V79&lt;='Sale Analysis'!$E$3,'Monthly Cash Flow'!V88,0)</f>
        <v>19110.294117647059</v>
      </c>
      <c r="W93">
        <f>IF(W79&lt;='Sale Analysis'!$E$3,'Monthly Cash Flow'!W88,0)</f>
        <v>19110.294117647059</v>
      </c>
      <c r="X93">
        <f>IF(X79&lt;='Sale Analysis'!$E$3,'Monthly Cash Flow'!X88,0)</f>
        <v>0</v>
      </c>
      <c r="Y93">
        <f>IF(Y79&lt;='Sale Analysis'!$E$3,'Monthly Cash Flow'!Y88,0)</f>
        <v>0</v>
      </c>
      <c r="Z93">
        <f>IF(Z79&lt;='Sale Analysis'!$E$3,'Monthly Cash Flow'!Z88,0)</f>
        <v>0</v>
      </c>
      <c r="AA93">
        <f>IF(AA79&lt;='Sale Analysis'!$E$3,'Monthly Cash Flow'!AA88,0)</f>
        <v>0</v>
      </c>
      <c r="AB93">
        <f>IF(AB79&lt;='Sale Analysis'!$E$3,'Monthly Cash Flow'!AB88,0)</f>
        <v>0</v>
      </c>
      <c r="AD93">
        <f>IF(AD79&lt;='Sale Analysis'!$E$3,'Monthly Cash Flow'!AD88,0)</f>
        <v>0</v>
      </c>
      <c r="AE93">
        <f>IF(AE79&lt;='Sale Analysis'!$E$3,'Monthly Cash Flow'!AE88,0)</f>
        <v>0</v>
      </c>
      <c r="AF93">
        <f>IF(AF79&lt;='Sale Analysis'!$E$3,'Monthly Cash Flow'!AF88,0)</f>
        <v>0</v>
      </c>
      <c r="AG93">
        <f>IF(AG79&lt;='Sale Analysis'!$E$3,'Monthly Cash Flow'!AG88,0)</f>
        <v>0</v>
      </c>
      <c r="AH93">
        <f>IF(AH79&lt;='Sale Analysis'!$E$3,'Monthly Cash Flow'!AH88,0)</f>
        <v>0</v>
      </c>
      <c r="AI93">
        <f>IF(AI79&lt;='Sale Analysis'!$E$3,'Monthly Cash Flow'!AI88,0)</f>
        <v>0</v>
      </c>
      <c r="AJ93">
        <f>IF(AJ79&lt;='Sale Analysis'!$E$3,'Monthly Cash Flow'!AJ88,0)</f>
        <v>0</v>
      </c>
      <c r="AK93">
        <f>IF(AK79&lt;='Sale Analysis'!$E$3,'Monthly Cash Flow'!AK88,0)</f>
        <v>0</v>
      </c>
      <c r="AL93">
        <f>IF(AL79&lt;='Sale Analysis'!$E$3,'Monthly Cash Flow'!AL88,0)</f>
        <v>0</v>
      </c>
      <c r="AM93">
        <f>IF(AM79&lt;='Sale Analysis'!$E$3,'Monthly Cash Flow'!AM88,0)</f>
        <v>0</v>
      </c>
      <c r="AN93">
        <f>IF(AN79&lt;='Sale Analysis'!$E$3,'Monthly Cash Flow'!AN88,0)</f>
        <v>0</v>
      </c>
      <c r="AO93">
        <f>IF(AO79&lt;='Sale Analysis'!$E$3,'Monthly Cash Flow'!AO88,0)</f>
        <v>0</v>
      </c>
      <c r="AQ93">
        <f>IF(AQ79&lt;='Sale Analysis'!$E$3,'Monthly Cash Flow'!AQ88,0)</f>
        <v>0</v>
      </c>
      <c r="AR93">
        <f>IF(AR79&lt;='Sale Analysis'!$E$3,'Monthly Cash Flow'!AR88,0)</f>
        <v>0</v>
      </c>
      <c r="AS93">
        <f>IF(AS79&lt;='Sale Analysis'!$E$3,'Monthly Cash Flow'!AS88,0)</f>
        <v>0</v>
      </c>
      <c r="AT93">
        <f>IF(AT79&lt;='Sale Analysis'!$E$3,'Monthly Cash Flow'!AT88,0)</f>
        <v>0</v>
      </c>
      <c r="AU93">
        <f>IF(AU79&lt;='Sale Analysis'!$E$3,'Monthly Cash Flow'!AU88,0)</f>
        <v>0</v>
      </c>
      <c r="AV93">
        <f>IF(AV79&lt;='Sale Analysis'!$E$3,'Monthly Cash Flow'!AV88,0)</f>
        <v>0</v>
      </c>
      <c r="AW93">
        <f>IF(AW79&lt;='Sale Analysis'!$E$3,'Monthly Cash Flow'!AW88,0)</f>
        <v>0</v>
      </c>
      <c r="AX93">
        <f>IF(AX79&lt;='Sale Analysis'!$E$3,'Monthly Cash Flow'!AX88,0)</f>
        <v>0</v>
      </c>
      <c r="AY93">
        <f>IF(AY79&lt;='Sale Analysis'!$E$3,'Monthly Cash Flow'!AY88,0)</f>
        <v>0</v>
      </c>
      <c r="AZ93">
        <f>IF(AZ79&lt;='Sale Analysis'!$E$3,'Monthly Cash Flow'!AZ88,0)</f>
        <v>0</v>
      </c>
      <c r="BA93">
        <f>IF(BA79&lt;='Sale Analysis'!$E$3,'Monthly Cash Flow'!BA88,0)</f>
        <v>0</v>
      </c>
      <c r="BB93">
        <f>IF(BB79&lt;='Sale Analysis'!$E$3,'Monthly Cash Flow'!BB88,0)</f>
        <v>0</v>
      </c>
      <c r="BD93">
        <f>IF(BD79&lt;='Sale Analysis'!$E$3,'Monthly Cash Flow'!BD88,0)</f>
        <v>0</v>
      </c>
      <c r="BE93">
        <f>IF(BE79&lt;='Sale Analysis'!$E$3,'Monthly Cash Flow'!BE88,0)</f>
        <v>0</v>
      </c>
      <c r="BF93">
        <f>IF(BF79&lt;='Sale Analysis'!$E$3,'Monthly Cash Flow'!BF88,0)</f>
        <v>0</v>
      </c>
      <c r="BG93">
        <f>IF(BG79&lt;='Sale Analysis'!$E$3,'Monthly Cash Flow'!BG88,0)</f>
        <v>0</v>
      </c>
      <c r="BH93">
        <f>IF(BH79&lt;='Sale Analysis'!$E$3,'Monthly Cash Flow'!BH88,0)</f>
        <v>0</v>
      </c>
      <c r="BI93">
        <f>IF(BI79&lt;='Sale Analysis'!$E$3,'Monthly Cash Flow'!BI88,0)</f>
        <v>0</v>
      </c>
      <c r="BJ93">
        <f>IF(BJ79&lt;='Sale Analysis'!$E$3,'Monthly Cash Flow'!BJ88,0)</f>
        <v>0</v>
      </c>
      <c r="BK93">
        <f>IF(BK79&lt;='Sale Analysis'!$E$3,'Monthly Cash Flow'!BK88,0)</f>
        <v>0</v>
      </c>
      <c r="BL93">
        <f>IF(BL79&lt;='Sale Analysis'!$E$3,'Monthly Cash Flow'!BL88,0)</f>
        <v>0</v>
      </c>
      <c r="BM93">
        <f>IF(BM79&lt;='Sale Analysis'!$E$3,'Monthly Cash Flow'!BM88,0)</f>
        <v>0</v>
      </c>
      <c r="BN93">
        <f>IF(BN79&lt;='Sale Analysis'!$E$3,'Monthly Cash Flow'!BN88,0)</f>
        <v>0</v>
      </c>
      <c r="BO93">
        <f>IF(BO79&lt;='Sale Analysis'!$E$3,'Monthly Cash Flow'!BO88,0)</f>
        <v>0</v>
      </c>
      <c r="BQ93">
        <f>IF(BQ79&lt;='Sale Analysis'!$E$3,'Monthly Cash Flow'!BQ88,0)</f>
        <v>0</v>
      </c>
      <c r="BR93">
        <f>IF(BR79&lt;='Sale Analysis'!$E$3,'Monthly Cash Flow'!BR88,0)</f>
        <v>0</v>
      </c>
      <c r="BS93">
        <f>IF(BS79&lt;='Sale Analysis'!$E$3,'Monthly Cash Flow'!BS88,0)</f>
        <v>0</v>
      </c>
      <c r="BT93">
        <f>IF(BT79&lt;='Sale Analysis'!$E$3,'Monthly Cash Flow'!BT88,0)</f>
        <v>0</v>
      </c>
      <c r="BU93">
        <f>IF(BU79&lt;='Sale Analysis'!$E$3,'Monthly Cash Flow'!BU88,0)</f>
        <v>0</v>
      </c>
      <c r="BV93">
        <f>IF(BV79&lt;='Sale Analysis'!$E$3,'Monthly Cash Flow'!BV88,0)</f>
        <v>0</v>
      </c>
      <c r="BW93">
        <f>IF(BW79&lt;='Sale Analysis'!$E$3,'Monthly Cash Flow'!BW88,0)</f>
        <v>0</v>
      </c>
      <c r="BX93">
        <f>IF(BX79&lt;='Sale Analysis'!$E$3,'Monthly Cash Flow'!BX88,0)</f>
        <v>0</v>
      </c>
      <c r="BY93">
        <f>IF(BY79&lt;='Sale Analysis'!$E$3,'Monthly Cash Flow'!BY88,0)</f>
        <v>0</v>
      </c>
      <c r="BZ93">
        <f>IF(BZ79&lt;='Sale Analysis'!$E$3,'Monthly Cash Flow'!BZ88,0)</f>
        <v>0</v>
      </c>
      <c r="CA93">
        <f>IF(CA79&lt;='Sale Analysis'!$E$3,'Monthly Cash Flow'!CA88,0)</f>
        <v>0</v>
      </c>
      <c r="CB93">
        <f>IF(CB79&lt;='Sale Analysis'!$E$3,'Monthly Cash Flow'!CB88,0)</f>
        <v>0</v>
      </c>
      <c r="CD93">
        <f>IF(CD79&lt;='Sale Analysis'!$E$3,'Monthly Cash Flow'!CD88,0)</f>
        <v>0</v>
      </c>
      <c r="CE93">
        <f>IF(CE79&lt;='Sale Analysis'!$E$3,'Monthly Cash Flow'!CE88,0)</f>
        <v>0</v>
      </c>
      <c r="CF93">
        <f>IF(CF79&lt;='Sale Analysis'!$E$3,'Monthly Cash Flow'!CF88,0)</f>
        <v>0</v>
      </c>
      <c r="CG93">
        <f>IF(CG79&lt;='Sale Analysis'!$E$3,'Monthly Cash Flow'!CG88,0)</f>
        <v>0</v>
      </c>
      <c r="CH93">
        <f>IF(CH79&lt;='Sale Analysis'!$E$3,'Monthly Cash Flow'!CH88,0)</f>
        <v>0</v>
      </c>
      <c r="CI93">
        <f>IF(CI79&lt;='Sale Analysis'!$E$3,'Monthly Cash Flow'!CI88,0)</f>
        <v>0</v>
      </c>
      <c r="CJ93">
        <f>IF(CJ79&lt;='Sale Analysis'!$E$3,'Monthly Cash Flow'!CJ88,0)</f>
        <v>0</v>
      </c>
      <c r="CK93">
        <f>IF(CK79&lt;='Sale Analysis'!$E$3,'Monthly Cash Flow'!CK88,0)</f>
        <v>0</v>
      </c>
      <c r="CL93">
        <f>IF(CL79&lt;='Sale Analysis'!$E$3,'Monthly Cash Flow'!CL88,0)</f>
        <v>0</v>
      </c>
      <c r="CM93">
        <f>IF(CM79&lt;='Sale Analysis'!$E$3,'Monthly Cash Flow'!CM88,0)</f>
        <v>0</v>
      </c>
      <c r="CN93">
        <f>IF(CN79&lt;='Sale Analysis'!$E$3,'Monthly Cash Flow'!CN88,0)</f>
        <v>0</v>
      </c>
      <c r="CO93">
        <f>IF(CO79&lt;='Sale Analysis'!$E$3,'Monthly Cash Flow'!CO88,0)</f>
        <v>0</v>
      </c>
    </row>
    <row r="94" spans="1:94">
      <c r="AD94" s="91"/>
    </row>
  </sheetData>
  <conditionalFormatting sqref="A88">
    <cfRule type="expression" dxfId="17" priority="1">
      <formula>A88=""</formula>
    </cfRule>
  </conditionalFormatting>
  <conditionalFormatting sqref="C87">
    <cfRule type="expression" dxfId="16" priority="2">
      <formula>C87=""</formula>
    </cfRule>
  </conditionalFormatting>
  <conditionalFormatting sqref="D4:O4">
    <cfRule type="cellIs" dxfId="15" priority="31" operator="equal">
      <formula>0</formula>
    </cfRule>
    <cfRule type="cellIs" dxfId="14" priority="32" operator="greaterThan">
      <formula>0</formula>
    </cfRule>
  </conditionalFormatting>
  <conditionalFormatting sqref="Q4:AB4">
    <cfRule type="cellIs" dxfId="13" priority="27" operator="equal">
      <formula>0</formula>
    </cfRule>
    <cfRule type="cellIs" dxfId="12" priority="28" operator="greaterThan">
      <formula>0</formula>
    </cfRule>
  </conditionalFormatting>
  <conditionalFormatting sqref="AD4:AO4">
    <cfRule type="cellIs" dxfId="11" priority="21" operator="equal">
      <formula>0</formula>
    </cfRule>
    <cfRule type="cellIs" dxfId="10" priority="22" operator="greaterThan">
      <formula>0</formula>
    </cfRule>
  </conditionalFormatting>
  <conditionalFormatting sqref="AQ4:BB4">
    <cfRule type="cellIs" dxfId="9" priority="15" operator="equal">
      <formula>0</formula>
    </cfRule>
    <cfRule type="cellIs" dxfId="8" priority="16" operator="greaterThan">
      <formula>0</formula>
    </cfRule>
  </conditionalFormatting>
  <conditionalFormatting sqref="BD4:BO4">
    <cfRule type="cellIs" dxfId="7" priority="11" operator="equal">
      <formula>0</formula>
    </cfRule>
    <cfRule type="cellIs" dxfId="6" priority="12" operator="greaterThan">
      <formula>0</formula>
    </cfRule>
  </conditionalFormatting>
  <conditionalFormatting sqref="BQ4:CB4">
    <cfRule type="cellIs" dxfId="5" priority="7" operator="equal">
      <formula>0</formula>
    </cfRule>
    <cfRule type="cellIs" dxfId="4" priority="8" operator="greaterThan">
      <formula>0</formula>
    </cfRule>
  </conditionalFormatting>
  <conditionalFormatting sqref="CD4:CO4">
    <cfRule type="cellIs" dxfId="3" priority="3" operator="equal">
      <formula>0</formula>
    </cfRule>
    <cfRule type="cellIs" dxfId="2" priority="4" operator="greaterThan">
      <formula>0</formula>
    </cfRule>
  </conditionalFormatting>
  <dataValidations count="1">
    <dataValidation type="list" allowBlank="1" showInputMessage="1" showErrorMessage="1" sqref="C88:C89" xr:uid="{CC0B41E6-EF5C-442A-BFA3-37F1C5D8BE9C}">
      <formula1>"Equity Contribution,Lender Draw"</formula1>
    </dataValidation>
  </dataValidations>
  <pageMargins left="0.7" right="0.7" top="0.75" bottom="0.75" header="0.3" footer="0.3"/>
  <legacyDrawing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9B451-FC05-4768-AA9C-B160DB01E183}">
  <sheetPr>
    <tabColor theme="4" tint="-0.499984740745262"/>
  </sheetPr>
  <dimension ref="A1:CI62"/>
  <sheetViews>
    <sheetView topLeftCell="B1" workbookViewId="0">
      <selection activeCell="C7" sqref="C7"/>
    </sheetView>
  </sheetViews>
  <sheetFormatPr defaultRowHeight="14.5"/>
  <cols>
    <col min="2" max="2" width="26.54296875" bestFit="1" customWidth="1"/>
    <col min="3" max="3" width="12.36328125" customWidth="1"/>
    <col min="4" max="4" width="11.6328125" bestFit="1" customWidth="1"/>
    <col min="5" max="51" width="9.54296875" bestFit="1" customWidth="1"/>
    <col min="52" max="52" width="12.08984375" bestFit="1" customWidth="1"/>
    <col min="53" max="57" width="9.54296875" bestFit="1" customWidth="1"/>
    <col min="58" max="58" width="13" bestFit="1" customWidth="1"/>
    <col min="59" max="87" width="9.54296875" bestFit="1" customWidth="1"/>
  </cols>
  <sheetData>
    <row r="1" spans="2:87">
      <c r="B1" s="908" t="s">
        <v>287</v>
      </c>
      <c r="C1" s="908"/>
      <c r="D1" s="908"/>
      <c r="E1" s="908"/>
      <c r="F1" s="908"/>
      <c r="G1" s="908"/>
      <c r="H1" s="908"/>
      <c r="I1" s="908"/>
      <c r="J1" s="908"/>
      <c r="K1" s="908"/>
      <c r="L1" s="908"/>
      <c r="M1" s="908"/>
      <c r="N1" s="908"/>
    </row>
    <row r="2" spans="2:87" ht="15" thickBot="1">
      <c r="B2" s="908"/>
      <c r="C2" s="908"/>
      <c r="D2" s="908"/>
      <c r="E2" s="908"/>
      <c r="F2" s="908"/>
      <c r="G2" s="908"/>
      <c r="H2" s="908"/>
      <c r="I2" s="908"/>
      <c r="J2" s="908"/>
      <c r="K2" s="908"/>
      <c r="L2" s="908"/>
      <c r="M2" s="908"/>
      <c r="N2" s="908"/>
    </row>
    <row r="3" spans="2:87">
      <c r="C3" s="140">
        <v>0</v>
      </c>
      <c r="D3" s="140">
        <v>1</v>
      </c>
      <c r="E3" s="137">
        <v>2</v>
      </c>
      <c r="F3" s="141">
        <v>3</v>
      </c>
      <c r="G3" s="141">
        <v>4</v>
      </c>
      <c r="H3" s="141">
        <v>5</v>
      </c>
      <c r="I3" s="140">
        <v>6</v>
      </c>
      <c r="J3" s="141">
        <v>7</v>
      </c>
      <c r="K3" s="141">
        <v>8</v>
      </c>
      <c r="L3" s="141">
        <v>9</v>
      </c>
      <c r="M3" s="140">
        <v>10</v>
      </c>
      <c r="N3" s="141">
        <v>11</v>
      </c>
      <c r="O3" s="141">
        <v>12</v>
      </c>
      <c r="P3" s="140">
        <v>13</v>
      </c>
      <c r="Q3" s="137">
        <v>14</v>
      </c>
      <c r="R3" s="141">
        <v>15</v>
      </c>
      <c r="S3" s="141">
        <v>16</v>
      </c>
      <c r="T3" s="141">
        <v>17</v>
      </c>
      <c r="U3" s="140">
        <v>18</v>
      </c>
      <c r="V3" s="141">
        <v>19</v>
      </c>
      <c r="W3" s="141">
        <v>20</v>
      </c>
      <c r="X3" s="141">
        <v>21</v>
      </c>
      <c r="Y3" s="140">
        <v>22</v>
      </c>
      <c r="Z3" s="141">
        <v>23</v>
      </c>
      <c r="AA3" s="141">
        <v>24</v>
      </c>
      <c r="AB3" s="140">
        <v>25</v>
      </c>
      <c r="AC3" s="137">
        <v>26</v>
      </c>
      <c r="AD3" s="141">
        <v>27</v>
      </c>
      <c r="AE3" s="141">
        <v>28</v>
      </c>
      <c r="AF3" s="141">
        <v>29</v>
      </c>
      <c r="AG3" s="140">
        <v>30</v>
      </c>
      <c r="AH3" s="141">
        <v>31</v>
      </c>
      <c r="AI3" s="141">
        <v>32</v>
      </c>
      <c r="AJ3" s="141">
        <v>33</v>
      </c>
      <c r="AK3" s="140">
        <v>34</v>
      </c>
      <c r="AL3" s="141">
        <v>35</v>
      </c>
      <c r="AM3" s="141">
        <v>36</v>
      </c>
      <c r="AN3" s="140">
        <v>37</v>
      </c>
      <c r="AO3" s="137">
        <v>38</v>
      </c>
      <c r="AP3" s="141">
        <v>39</v>
      </c>
      <c r="AQ3" s="141">
        <v>40</v>
      </c>
      <c r="AR3" s="141">
        <v>41</v>
      </c>
      <c r="AS3" s="140">
        <v>42</v>
      </c>
      <c r="AT3" s="141">
        <v>43</v>
      </c>
      <c r="AU3" s="141">
        <v>44</v>
      </c>
      <c r="AV3" s="141">
        <v>45</v>
      </c>
      <c r="AW3" s="140">
        <v>46</v>
      </c>
      <c r="AX3" s="141">
        <v>47</v>
      </c>
      <c r="AY3" s="141">
        <v>48</v>
      </c>
      <c r="AZ3" s="140">
        <v>49</v>
      </c>
      <c r="BA3" s="137">
        <v>50</v>
      </c>
      <c r="BB3" s="141">
        <v>51</v>
      </c>
      <c r="BC3" s="141">
        <v>52</v>
      </c>
      <c r="BD3" s="141">
        <v>53</v>
      </c>
      <c r="BE3" s="140">
        <v>54</v>
      </c>
      <c r="BF3" s="141">
        <v>55</v>
      </c>
      <c r="BG3" s="141">
        <v>56</v>
      </c>
      <c r="BH3" s="141">
        <v>57</v>
      </c>
      <c r="BI3" s="140">
        <v>58</v>
      </c>
      <c r="BJ3" s="141">
        <v>59</v>
      </c>
      <c r="BK3" s="141">
        <v>60</v>
      </c>
      <c r="BL3" s="140">
        <v>61</v>
      </c>
      <c r="BM3" s="137">
        <v>62</v>
      </c>
      <c r="BN3" s="141">
        <v>63</v>
      </c>
      <c r="BO3" s="141">
        <v>64</v>
      </c>
      <c r="BP3" s="141">
        <v>65</v>
      </c>
      <c r="BQ3" s="140">
        <v>66</v>
      </c>
      <c r="BR3" s="141">
        <v>67</v>
      </c>
      <c r="BS3" s="141">
        <v>68</v>
      </c>
      <c r="BT3" s="141">
        <v>69</v>
      </c>
      <c r="BU3" s="140">
        <v>70</v>
      </c>
      <c r="BV3" s="141">
        <v>71</v>
      </c>
      <c r="BW3" s="140">
        <v>72</v>
      </c>
      <c r="BX3" s="141">
        <v>73</v>
      </c>
      <c r="BY3" s="141">
        <v>74</v>
      </c>
      <c r="BZ3" s="141">
        <v>75</v>
      </c>
      <c r="CA3" s="140">
        <v>76</v>
      </c>
      <c r="CB3" s="141">
        <v>77</v>
      </c>
      <c r="CC3" s="140">
        <v>78</v>
      </c>
      <c r="CD3" s="141">
        <v>79</v>
      </c>
      <c r="CE3" s="141">
        <v>80</v>
      </c>
      <c r="CF3" s="141">
        <v>81</v>
      </c>
      <c r="CG3" s="141">
        <v>82</v>
      </c>
      <c r="CH3" s="140">
        <v>83</v>
      </c>
      <c r="CI3" s="141">
        <v>84</v>
      </c>
    </row>
    <row r="4" spans="2:87">
      <c r="C4" s="170"/>
      <c r="D4" s="171">
        <f>Assumptions!C7</f>
        <v>46204</v>
      </c>
      <c r="E4" s="172">
        <f>EDATE(D4,1)</f>
        <v>46235</v>
      </c>
      <c r="F4" s="173">
        <f t="shared" ref="F4:O4" si="0">EDATE(E4,1)</f>
        <v>46266</v>
      </c>
      <c r="G4" s="173">
        <f t="shared" si="0"/>
        <v>46296</v>
      </c>
      <c r="H4" s="173">
        <f t="shared" si="0"/>
        <v>46327</v>
      </c>
      <c r="I4" s="171">
        <f t="shared" si="0"/>
        <v>46357</v>
      </c>
      <c r="J4" s="173">
        <f t="shared" si="0"/>
        <v>46388</v>
      </c>
      <c r="K4" s="173">
        <f t="shared" si="0"/>
        <v>46419</v>
      </c>
      <c r="L4" s="173">
        <f t="shared" si="0"/>
        <v>46447</v>
      </c>
      <c r="M4" s="171">
        <f t="shared" si="0"/>
        <v>46478</v>
      </c>
      <c r="N4" s="173">
        <f t="shared" si="0"/>
        <v>46508</v>
      </c>
      <c r="O4" s="173">
        <f t="shared" si="0"/>
        <v>46539</v>
      </c>
      <c r="P4" s="173">
        <f t="shared" ref="P4" si="1">EDATE(O4,1)</f>
        <v>46569</v>
      </c>
      <c r="Q4" s="173">
        <f t="shared" ref="Q4" si="2">EDATE(P4,1)</f>
        <v>46600</v>
      </c>
      <c r="R4" s="173">
        <f t="shared" ref="R4" si="3">EDATE(Q4,1)</f>
        <v>46631</v>
      </c>
      <c r="S4" s="173">
        <f t="shared" ref="S4" si="4">EDATE(R4,1)</f>
        <v>46661</v>
      </c>
      <c r="T4" s="173">
        <f t="shared" ref="T4" si="5">EDATE(S4,1)</f>
        <v>46692</v>
      </c>
      <c r="U4" s="173">
        <f t="shared" ref="U4" si="6">EDATE(T4,1)</f>
        <v>46722</v>
      </c>
      <c r="V4" s="173">
        <f t="shared" ref="V4" si="7">EDATE(U4,1)</f>
        <v>46753</v>
      </c>
      <c r="W4" s="173">
        <f t="shared" ref="W4" si="8">EDATE(V4,1)</f>
        <v>46784</v>
      </c>
      <c r="X4" s="173">
        <f t="shared" ref="X4" si="9">EDATE(W4,1)</f>
        <v>46813</v>
      </c>
      <c r="Y4" s="173">
        <f t="shared" ref="Y4" si="10">EDATE(X4,1)</f>
        <v>46844</v>
      </c>
      <c r="Z4" s="173">
        <f t="shared" ref="Z4" si="11">EDATE(Y4,1)</f>
        <v>46874</v>
      </c>
      <c r="AA4" s="173">
        <f t="shared" ref="AA4" si="12">EDATE(Z4,1)</f>
        <v>46905</v>
      </c>
      <c r="AB4" s="173">
        <f t="shared" ref="AB4" si="13">EDATE(AA4,1)</f>
        <v>46935</v>
      </c>
      <c r="AC4" s="173">
        <f t="shared" ref="AC4" si="14">EDATE(AB4,1)</f>
        <v>46966</v>
      </c>
      <c r="AD4" s="173">
        <f t="shared" ref="AD4" si="15">EDATE(AC4,1)</f>
        <v>46997</v>
      </c>
      <c r="AE4" s="173">
        <f t="shared" ref="AE4" si="16">EDATE(AD4,1)</f>
        <v>47027</v>
      </c>
      <c r="AF4" s="173">
        <f t="shared" ref="AF4" si="17">EDATE(AE4,1)</f>
        <v>47058</v>
      </c>
      <c r="AG4" s="173">
        <f t="shared" ref="AG4" si="18">EDATE(AF4,1)</f>
        <v>47088</v>
      </c>
      <c r="AH4" s="173">
        <f t="shared" ref="AH4" si="19">EDATE(AG4,1)</f>
        <v>47119</v>
      </c>
      <c r="AI4" s="173">
        <f t="shared" ref="AI4" si="20">EDATE(AH4,1)</f>
        <v>47150</v>
      </c>
      <c r="AJ4" s="173">
        <f t="shared" ref="AJ4" si="21">EDATE(AI4,1)</f>
        <v>47178</v>
      </c>
      <c r="AK4" s="173">
        <f t="shared" ref="AK4" si="22">EDATE(AJ4,1)</f>
        <v>47209</v>
      </c>
      <c r="AL4" s="173">
        <f t="shared" ref="AL4" si="23">EDATE(AK4,1)</f>
        <v>47239</v>
      </c>
      <c r="AM4" s="173">
        <f t="shared" ref="AM4" si="24">EDATE(AL4,1)</f>
        <v>47270</v>
      </c>
      <c r="AN4" s="173">
        <f t="shared" ref="AN4" si="25">EDATE(AM4,1)</f>
        <v>47300</v>
      </c>
      <c r="AO4" s="173">
        <f t="shared" ref="AO4" si="26">EDATE(AN4,1)</f>
        <v>47331</v>
      </c>
      <c r="AP4" s="173">
        <f t="shared" ref="AP4" si="27">EDATE(AO4,1)</f>
        <v>47362</v>
      </c>
      <c r="AQ4" s="173">
        <f t="shared" ref="AQ4" si="28">EDATE(AP4,1)</f>
        <v>47392</v>
      </c>
      <c r="AR4" s="173">
        <f t="shared" ref="AR4" si="29">EDATE(AQ4,1)</f>
        <v>47423</v>
      </c>
      <c r="AS4" s="173">
        <f t="shared" ref="AS4" si="30">EDATE(AR4,1)</f>
        <v>47453</v>
      </c>
      <c r="AT4" s="173">
        <f t="shared" ref="AT4" si="31">EDATE(AS4,1)</f>
        <v>47484</v>
      </c>
      <c r="AU4" s="173">
        <f t="shared" ref="AU4" si="32">EDATE(AT4,1)</f>
        <v>47515</v>
      </c>
      <c r="AV4" s="173">
        <f t="shared" ref="AV4" si="33">EDATE(AU4,1)</f>
        <v>47543</v>
      </c>
      <c r="AW4" s="173">
        <f t="shared" ref="AW4" si="34">EDATE(AV4,1)</f>
        <v>47574</v>
      </c>
      <c r="AX4" s="173">
        <f t="shared" ref="AX4" si="35">EDATE(AW4,1)</f>
        <v>47604</v>
      </c>
      <c r="AY4" s="173">
        <f t="shared" ref="AY4" si="36">EDATE(AX4,1)</f>
        <v>47635</v>
      </c>
      <c r="AZ4" s="173">
        <f t="shared" ref="AZ4" si="37">EDATE(AY4,1)</f>
        <v>47665</v>
      </c>
      <c r="BA4" s="173">
        <f t="shared" ref="BA4" si="38">EDATE(AZ4,1)</f>
        <v>47696</v>
      </c>
      <c r="BB4" s="173">
        <f t="shared" ref="BB4" si="39">EDATE(BA4,1)</f>
        <v>47727</v>
      </c>
      <c r="BC4" s="173">
        <f t="shared" ref="BC4" si="40">EDATE(BB4,1)</f>
        <v>47757</v>
      </c>
      <c r="BD4" s="173">
        <f t="shared" ref="BD4" si="41">EDATE(BC4,1)</f>
        <v>47788</v>
      </c>
      <c r="BE4" s="173">
        <f t="shared" ref="BE4" si="42">EDATE(BD4,1)</f>
        <v>47818</v>
      </c>
      <c r="BF4" s="173">
        <f t="shared" ref="BF4" si="43">EDATE(BE4,1)</f>
        <v>47849</v>
      </c>
      <c r="BG4" s="173">
        <f t="shared" ref="BG4" si="44">EDATE(BF4,1)</f>
        <v>47880</v>
      </c>
      <c r="BH4" s="173">
        <f t="shared" ref="BH4" si="45">EDATE(BG4,1)</f>
        <v>47908</v>
      </c>
      <c r="BI4" s="173">
        <f t="shared" ref="BI4" si="46">EDATE(BH4,1)</f>
        <v>47939</v>
      </c>
      <c r="BJ4" s="173">
        <f t="shared" ref="BJ4" si="47">EDATE(BI4,1)</f>
        <v>47969</v>
      </c>
      <c r="BK4" s="173">
        <f t="shared" ref="BK4" si="48">EDATE(BJ4,1)</f>
        <v>48000</v>
      </c>
      <c r="BL4" s="173">
        <f t="shared" ref="BL4" si="49">EDATE(BK4,1)</f>
        <v>48030</v>
      </c>
      <c r="BM4" s="173">
        <f t="shared" ref="BM4" si="50">EDATE(BL4,1)</f>
        <v>48061</v>
      </c>
      <c r="BN4" s="173">
        <f t="shared" ref="BN4" si="51">EDATE(BM4,1)</f>
        <v>48092</v>
      </c>
      <c r="BO4" s="173">
        <f t="shared" ref="BO4" si="52">EDATE(BN4,1)</f>
        <v>48122</v>
      </c>
      <c r="BP4" s="173">
        <f t="shared" ref="BP4" si="53">EDATE(BO4,1)</f>
        <v>48153</v>
      </c>
      <c r="BQ4" s="173">
        <f t="shared" ref="BQ4" si="54">EDATE(BP4,1)</f>
        <v>48183</v>
      </c>
      <c r="BR4" s="173">
        <f t="shared" ref="BR4" si="55">EDATE(BQ4,1)</f>
        <v>48214</v>
      </c>
      <c r="BS4" s="173">
        <f t="shared" ref="BS4" si="56">EDATE(BR4,1)</f>
        <v>48245</v>
      </c>
      <c r="BT4" s="173">
        <f t="shared" ref="BT4" si="57">EDATE(BS4,1)</f>
        <v>48274</v>
      </c>
      <c r="BU4" s="173">
        <f t="shared" ref="BU4" si="58">EDATE(BT4,1)</f>
        <v>48305</v>
      </c>
      <c r="BV4" s="173">
        <f t="shared" ref="BV4" si="59">EDATE(BU4,1)</f>
        <v>48335</v>
      </c>
      <c r="BW4" s="173">
        <f t="shared" ref="BW4" si="60">EDATE(BV4,1)</f>
        <v>48366</v>
      </c>
      <c r="BX4" s="173">
        <f t="shared" ref="BX4" si="61">EDATE(BW4,1)</f>
        <v>48396</v>
      </c>
      <c r="BY4" s="173">
        <f t="shared" ref="BY4" si="62">EDATE(BX4,1)</f>
        <v>48427</v>
      </c>
      <c r="BZ4" s="173">
        <f t="shared" ref="BZ4" si="63">EDATE(BY4,1)</f>
        <v>48458</v>
      </c>
      <c r="CA4" s="173">
        <f t="shared" ref="CA4" si="64">EDATE(BZ4,1)</f>
        <v>48488</v>
      </c>
      <c r="CB4" s="173">
        <f t="shared" ref="CB4" si="65">EDATE(CA4,1)</f>
        <v>48519</v>
      </c>
      <c r="CC4" s="173">
        <f t="shared" ref="CC4" si="66">EDATE(CB4,1)</f>
        <v>48549</v>
      </c>
      <c r="CD4" s="173">
        <f t="shared" ref="CD4" si="67">EDATE(CC4,1)</f>
        <v>48580</v>
      </c>
      <c r="CE4" s="173">
        <f t="shared" ref="CE4" si="68">EDATE(CD4,1)</f>
        <v>48611</v>
      </c>
      <c r="CF4" s="173">
        <f t="shared" ref="CF4" si="69">EDATE(CE4,1)</f>
        <v>48639</v>
      </c>
      <c r="CG4" s="173">
        <f t="shared" ref="CG4" si="70">EDATE(CF4,1)</f>
        <v>48670</v>
      </c>
      <c r="CH4" s="173">
        <f t="shared" ref="CH4" si="71">EDATE(CG4,1)</f>
        <v>48700</v>
      </c>
      <c r="CI4" s="173">
        <f t="shared" ref="CI4" si="72">EDATE(CH4,1)</f>
        <v>48731</v>
      </c>
    </row>
    <row r="5" spans="2:87">
      <c r="B5" s="1" t="s">
        <v>1</v>
      </c>
      <c r="C5" s="397"/>
      <c r="D5" s="397"/>
      <c r="E5" s="397"/>
      <c r="F5" s="397"/>
      <c r="G5" s="397"/>
      <c r="H5" s="397"/>
      <c r="I5" s="397"/>
      <c r="J5" s="397"/>
      <c r="K5" s="397"/>
      <c r="L5" s="397"/>
      <c r="M5" s="397"/>
      <c r="N5" s="397"/>
      <c r="O5" s="397"/>
      <c r="P5" s="397"/>
      <c r="Q5" s="397"/>
      <c r="R5" s="397"/>
      <c r="S5" s="397"/>
      <c r="T5" s="397"/>
      <c r="U5" s="397"/>
      <c r="V5" s="397"/>
      <c r="W5" s="397"/>
      <c r="X5" s="397"/>
      <c r="Y5" s="397"/>
      <c r="Z5" s="397"/>
      <c r="AA5" s="397"/>
      <c r="AB5" s="397"/>
      <c r="AC5" s="397"/>
      <c r="AD5" s="397"/>
      <c r="AE5" s="397"/>
      <c r="AF5" s="397"/>
      <c r="AG5" s="397"/>
      <c r="AH5" s="397"/>
      <c r="AI5" s="397"/>
      <c r="AJ5" s="397"/>
      <c r="AK5" s="397"/>
      <c r="AL5" s="397"/>
      <c r="AM5" s="397"/>
      <c r="AN5" s="397"/>
      <c r="AO5" s="397"/>
      <c r="AP5" s="397"/>
      <c r="AQ5" s="397"/>
      <c r="AR5" s="397"/>
      <c r="AS5" s="397"/>
      <c r="AT5" s="397"/>
      <c r="AU5" s="397"/>
      <c r="AV5" s="397"/>
      <c r="AW5" s="397"/>
      <c r="AX5" s="397"/>
      <c r="AY5" s="397"/>
      <c r="AZ5" s="397"/>
      <c r="BA5" s="397"/>
      <c r="BB5" s="397"/>
      <c r="BC5" s="397"/>
      <c r="BD5" s="397"/>
      <c r="BE5" s="397"/>
      <c r="BF5" s="397"/>
      <c r="BG5" s="397"/>
      <c r="BH5" s="397"/>
      <c r="BI5" s="397"/>
      <c r="BJ5" s="397"/>
      <c r="BK5" s="397"/>
      <c r="BL5" s="397"/>
      <c r="BM5" s="397"/>
      <c r="BN5" s="397"/>
      <c r="BO5" s="397"/>
      <c r="BP5" s="397"/>
      <c r="BQ5" s="397"/>
      <c r="BR5" s="397"/>
      <c r="BS5" s="397"/>
      <c r="BT5" s="397"/>
      <c r="BU5" s="397"/>
      <c r="BV5" s="397"/>
      <c r="BW5" s="397"/>
      <c r="BX5" s="397"/>
      <c r="BY5" s="397"/>
      <c r="BZ5" s="397"/>
      <c r="CA5" s="397"/>
      <c r="CB5" s="397"/>
      <c r="CC5" s="397"/>
      <c r="CD5" s="397"/>
      <c r="CE5" s="397"/>
      <c r="CF5" s="397"/>
      <c r="CG5" s="397"/>
      <c r="CH5" s="397"/>
      <c r="CI5" s="397"/>
    </row>
    <row r="6" spans="2:87">
      <c r="B6" t="s">
        <v>271</v>
      </c>
      <c r="C6" s="397">
        <f ca="1">-Assumptions!C32-Assumptions!C34</f>
        <v>-1497641.7520517199</v>
      </c>
      <c r="D6" s="397"/>
      <c r="E6" s="397"/>
      <c r="F6" s="397"/>
      <c r="G6" s="397"/>
      <c r="H6" s="397"/>
      <c r="I6" s="397"/>
      <c r="J6" s="397"/>
      <c r="K6" s="397"/>
      <c r="L6" s="397"/>
      <c r="M6" s="397"/>
      <c r="N6" s="397"/>
      <c r="O6" s="397"/>
      <c r="P6" s="397"/>
      <c r="Q6" s="397"/>
      <c r="R6" s="397"/>
      <c r="S6" s="397"/>
      <c r="T6" s="397"/>
      <c r="U6" s="397"/>
      <c r="V6" s="397"/>
      <c r="W6" s="397"/>
      <c r="X6" s="397"/>
      <c r="Y6" s="397"/>
      <c r="Z6" s="397"/>
      <c r="AA6" s="397"/>
      <c r="AB6" s="397"/>
      <c r="AC6" s="397"/>
      <c r="AD6" s="397"/>
      <c r="AE6" s="397"/>
      <c r="AF6" s="397"/>
      <c r="AG6" s="397"/>
      <c r="AH6" s="397"/>
      <c r="AI6" s="397"/>
      <c r="AJ6" s="397"/>
      <c r="AK6" s="397"/>
      <c r="AL6" s="397"/>
      <c r="AM6" s="397"/>
      <c r="AN6" s="397"/>
      <c r="AO6" s="397"/>
      <c r="AP6" s="397"/>
      <c r="AQ6" s="397"/>
      <c r="AR6" s="397"/>
      <c r="AS6" s="397"/>
      <c r="AT6" s="397"/>
      <c r="AU6" s="397"/>
      <c r="AV6" s="397"/>
      <c r="AW6" s="397"/>
      <c r="AX6" s="397"/>
      <c r="AY6" s="397"/>
      <c r="AZ6" s="397"/>
      <c r="BA6" s="397"/>
      <c r="BB6" s="397"/>
      <c r="BC6" s="397"/>
      <c r="BD6" s="397"/>
      <c r="BE6" s="397"/>
      <c r="BF6" s="397"/>
      <c r="BG6" s="397"/>
      <c r="BH6" s="397"/>
      <c r="BI6" s="397"/>
      <c r="BJ6" s="397"/>
      <c r="BK6" s="397"/>
      <c r="BL6" s="397"/>
      <c r="BM6" s="397"/>
      <c r="BN6" s="397"/>
      <c r="BO6" s="397"/>
      <c r="BP6" s="397"/>
      <c r="BQ6" s="397"/>
      <c r="BR6" s="397"/>
      <c r="BS6" s="397"/>
      <c r="BT6" s="397"/>
      <c r="BU6" s="397"/>
      <c r="BV6" s="397"/>
      <c r="BW6" s="397"/>
      <c r="BX6" s="397"/>
      <c r="BY6" s="397"/>
      <c r="BZ6" s="397"/>
      <c r="CA6" s="397"/>
      <c r="CB6" s="397"/>
      <c r="CC6" s="397"/>
      <c r="CD6" s="397"/>
      <c r="CE6" s="397"/>
      <c r="CF6" s="397"/>
      <c r="CG6" s="397"/>
      <c r="CH6" s="397"/>
      <c r="CI6" s="397"/>
    </row>
    <row r="7" spans="2:87">
      <c r="B7" t="s">
        <v>266</v>
      </c>
      <c r="C7" s="397"/>
      <c r="D7" s="397">
        <f>IF(D3&lt;='Sale Analysis'!$E$3,-IF('Monthly Cash Flow'!$C$88="Equity Contribution",HLOOKUP(D3,'Monthly Cash Flow'!D79:CP89,10),0),0)</f>
        <v>0</v>
      </c>
      <c r="E7" s="397">
        <f>IF(E3&lt;='Sale Analysis'!$E$3,-IF('Monthly Cash Flow'!$C$88="Equity Contribution",HLOOKUP(E3,'Monthly Cash Flow'!E79:CQ89,10),0),0)</f>
        <v>0</v>
      </c>
      <c r="F7" s="397">
        <f>IF(F3&lt;='Sale Analysis'!$E$3,-IF('Monthly Cash Flow'!$C$88="Equity Contribution",HLOOKUP(F3,'Monthly Cash Flow'!F79:CR89,10),0),0)</f>
        <v>0</v>
      </c>
      <c r="G7" s="397">
        <f>IF(G3&lt;='Sale Analysis'!$E$3,-IF('Monthly Cash Flow'!$C$88="Equity Contribution",HLOOKUP(G3,'Monthly Cash Flow'!G79:CS89,10),0),0)</f>
        <v>0</v>
      </c>
      <c r="H7" s="397">
        <f>IF(H3&lt;='Sale Analysis'!$E$3,-IF('Monthly Cash Flow'!$C$88="Equity Contribution",HLOOKUP(H3,'Monthly Cash Flow'!H79:CT89,10),0),0)</f>
        <v>0</v>
      </c>
      <c r="I7" s="397">
        <f>IF(I3&lt;='Sale Analysis'!$E$3,-IF('Monthly Cash Flow'!$C$88="Equity Contribution",HLOOKUP(I3,'Monthly Cash Flow'!I79:CU89,10),0),0)</f>
        <v>0</v>
      </c>
      <c r="J7" s="397">
        <f>IF(J3&lt;='Sale Analysis'!$E$3,-IF('Monthly Cash Flow'!$C$88="Equity Contribution",HLOOKUP(J3,'Monthly Cash Flow'!J79:CV89,10),0),0)</f>
        <v>0</v>
      </c>
      <c r="K7" s="397">
        <f>IF(K3&lt;='Sale Analysis'!$E$3,-IF('Monthly Cash Flow'!$C$88="Equity Contribution",HLOOKUP(K3,'Monthly Cash Flow'!K79:CW89,10),0),0)</f>
        <v>0</v>
      </c>
      <c r="L7" s="397">
        <f>IF(L3&lt;='Sale Analysis'!$E$3,-IF('Monthly Cash Flow'!$C$88="Equity Contribution",HLOOKUP(L3,'Monthly Cash Flow'!L79:CX89,10),0),0)</f>
        <v>0</v>
      </c>
      <c r="M7" s="397">
        <f>IF(M3&lt;='Sale Analysis'!$E$3,-IF('Monthly Cash Flow'!$C$88="Equity Contribution",HLOOKUP(M3,'Monthly Cash Flow'!M79:CY89,10),0),0)</f>
        <v>0</v>
      </c>
      <c r="N7" s="397">
        <f>IF(N3&lt;='Sale Analysis'!$E$3,-IF('Monthly Cash Flow'!$C$88="Equity Contribution",HLOOKUP(N3,'Monthly Cash Flow'!N79:CZ89,10),0),0)</f>
        <v>0</v>
      </c>
      <c r="O7" s="397">
        <f>IF(O3&lt;='Sale Analysis'!$E$3,-IF('Monthly Cash Flow'!$C$88="Equity Contribution",HLOOKUP(O3,'Monthly Cash Flow'!O79:DA89,10),0),0)</f>
        <v>0</v>
      </c>
      <c r="P7" s="397">
        <f>IF(P3&lt;='Sale Analysis'!$E$3,-IF('Monthly Cash Flow'!$C$88="Equity Contribution",HLOOKUP(P3,'Monthly Cash Flow'!P79:DB89,10),0),0)</f>
        <v>0</v>
      </c>
      <c r="Q7" s="397">
        <f>IF(Q3&lt;='Sale Analysis'!$E$3,-IF('Monthly Cash Flow'!$C$88="Equity Contribution",HLOOKUP(Q3,'Monthly Cash Flow'!Q79:DC89,10),0),0)</f>
        <v>0</v>
      </c>
      <c r="R7" s="397">
        <f>IF(R3&lt;='Sale Analysis'!$E$3,-IF('Monthly Cash Flow'!$C$88="Equity Contribution",HLOOKUP(R3,'Monthly Cash Flow'!R79:DD89,10),0),0)</f>
        <v>0</v>
      </c>
      <c r="S7" s="397">
        <f>IF(S3&lt;='Sale Analysis'!$E$3,-IF('Monthly Cash Flow'!$C$88="Equity Contribution",HLOOKUP(S3,'Monthly Cash Flow'!S79:DE89,10),0),0)</f>
        <v>0</v>
      </c>
      <c r="T7" s="397">
        <f>IF(T3&lt;='Sale Analysis'!$E$3,-IF('Monthly Cash Flow'!$C$88="Equity Contribution",HLOOKUP(T3,'Monthly Cash Flow'!T79:DF89,10),0),0)</f>
        <v>0</v>
      </c>
      <c r="U7" s="397">
        <f>IF(U3&lt;='Sale Analysis'!$E$3,-IF('Monthly Cash Flow'!$C$88="Equity Contribution",HLOOKUP(U3,'Monthly Cash Flow'!U79:DG89,10),0),0)</f>
        <v>0</v>
      </c>
      <c r="V7" s="397">
        <f>IF(V3&lt;='Sale Analysis'!$E$3,-IF('Monthly Cash Flow'!$C$88="Equity Contribution",HLOOKUP(V3,'Monthly Cash Flow'!V79:DH89,10),0),0)</f>
        <v>0</v>
      </c>
      <c r="W7" s="397">
        <f>IF(W3&lt;='Sale Analysis'!$E$3,-IF('Monthly Cash Flow'!$C$88="Equity Contribution",HLOOKUP(W3,'Monthly Cash Flow'!W79:DI89,10),0),0)</f>
        <v>0</v>
      </c>
      <c r="X7" s="397">
        <f>IF(X3&lt;='Sale Analysis'!$E$3,-IF('Monthly Cash Flow'!$C$88="Equity Contribution",HLOOKUP(X3,'Monthly Cash Flow'!X79:DJ89,10),0),0)</f>
        <v>0</v>
      </c>
      <c r="Y7" s="397">
        <f>IF(Y3&lt;='Sale Analysis'!$E$3,-IF('Monthly Cash Flow'!$C$88="Equity Contribution",HLOOKUP(Y3,'Monthly Cash Flow'!Y79:DK89,10),0),0)</f>
        <v>0</v>
      </c>
      <c r="Z7" s="397">
        <f>IF(Z3&lt;='Sale Analysis'!$E$3,-IF('Monthly Cash Flow'!$C$88="Equity Contribution",HLOOKUP(Z3,'Monthly Cash Flow'!Z79:DL89,10),0),0)</f>
        <v>0</v>
      </c>
      <c r="AA7" s="397">
        <f>IF(AA3&lt;='Sale Analysis'!$E$3,-IF('Monthly Cash Flow'!$C$88="Equity Contribution",HLOOKUP(AA3,'Monthly Cash Flow'!AA79:DM89,10),0),0)</f>
        <v>0</v>
      </c>
      <c r="AB7" s="397">
        <f>IF(AB3&lt;='Sale Analysis'!$E$3,-IF('Monthly Cash Flow'!$C$88="Equity Contribution",HLOOKUP(AB3,'Monthly Cash Flow'!AB79:DN89,10),0),0)</f>
        <v>0</v>
      </c>
      <c r="AC7" s="397">
        <f>IF(AC3&lt;='Sale Analysis'!$E$3,-IF('Monthly Cash Flow'!$C$88="Equity Contribution",HLOOKUP(AC3,'Monthly Cash Flow'!AC79:DO89,10),0),0)</f>
        <v>0</v>
      </c>
      <c r="AD7" s="397">
        <f>IF(AD3&lt;='Sale Analysis'!$E$3,-IF('Monthly Cash Flow'!$C$88="Equity Contribution",HLOOKUP(AD3,'Monthly Cash Flow'!AD79:DP89,10),0),0)</f>
        <v>0</v>
      </c>
      <c r="AE7" s="397">
        <f>IF(AE3&lt;='Sale Analysis'!$E$3,-IF('Monthly Cash Flow'!$C$88="Equity Contribution",HLOOKUP(AE3,'Monthly Cash Flow'!AE79:DQ89,10),0),0)</f>
        <v>0</v>
      </c>
      <c r="AF7" s="397">
        <f>IF(AF3&lt;='Sale Analysis'!$E$3,-IF('Monthly Cash Flow'!$C$88="Equity Contribution",HLOOKUP(AF3,'Monthly Cash Flow'!AF79:DR89,10),0),0)</f>
        <v>0</v>
      </c>
      <c r="AG7" s="397">
        <f>IF(AG3&lt;='Sale Analysis'!$E$3,-IF('Monthly Cash Flow'!$C$88="Equity Contribution",HLOOKUP(AG3,'Monthly Cash Flow'!AG79:DS89,10),0),0)</f>
        <v>0</v>
      </c>
      <c r="AH7" s="397">
        <f>IF(AH3&lt;='Sale Analysis'!$E$3,-IF('Monthly Cash Flow'!$C$88="Equity Contribution",HLOOKUP(AH3,'Monthly Cash Flow'!AH79:DT89,10),0),0)</f>
        <v>0</v>
      </c>
      <c r="AI7" s="397">
        <f>IF(AI3&lt;='Sale Analysis'!$E$3,-IF('Monthly Cash Flow'!$C$88="Equity Contribution",HLOOKUP(AI3,'Monthly Cash Flow'!AI79:DU89,10),0),0)</f>
        <v>0</v>
      </c>
      <c r="AJ7" s="397">
        <f>IF(AJ3&lt;='Sale Analysis'!$E$3,-IF('Monthly Cash Flow'!$C$88="Equity Contribution",HLOOKUP(AJ3,'Monthly Cash Flow'!AJ79:DV89,10),0),0)</f>
        <v>0</v>
      </c>
      <c r="AK7" s="397">
        <f>IF(AK3&lt;='Sale Analysis'!$E$3,-IF('Monthly Cash Flow'!$C$88="Equity Contribution",HLOOKUP(AK3,'Monthly Cash Flow'!AK79:DW89,10),0),0)</f>
        <v>0</v>
      </c>
      <c r="AL7" s="397">
        <f>IF(AL3&lt;='Sale Analysis'!$E$3,-IF('Monthly Cash Flow'!$C$88="Equity Contribution",HLOOKUP(AL3,'Monthly Cash Flow'!AL79:DX89,10),0),0)</f>
        <v>0</v>
      </c>
      <c r="AM7" s="397">
        <f>IF(AM3&lt;='Sale Analysis'!$E$3,-IF('Monthly Cash Flow'!$C$88="Equity Contribution",HLOOKUP(AM3,'Monthly Cash Flow'!AM79:DY89,10),0),0)</f>
        <v>0</v>
      </c>
      <c r="AN7" s="397">
        <f>IF(AN3&lt;='Sale Analysis'!$E$3,-IF('Monthly Cash Flow'!$C$88="Equity Contribution",HLOOKUP(AN3,'Monthly Cash Flow'!AN79:DZ89,10),0),0)</f>
        <v>0</v>
      </c>
      <c r="AO7" s="397">
        <f>IF(AO3&lt;='Sale Analysis'!$E$3,-IF('Monthly Cash Flow'!$C$88="Equity Contribution",HLOOKUP(AO3,'Monthly Cash Flow'!AO79:EA89,10),0),0)</f>
        <v>0</v>
      </c>
      <c r="AP7" s="397">
        <f>IF(AP3&lt;='Sale Analysis'!$E$3,-IF('Monthly Cash Flow'!$C$88="Equity Contribution",HLOOKUP(AP3,'Monthly Cash Flow'!AP79:EB89,10),0),0)</f>
        <v>0</v>
      </c>
      <c r="AQ7" s="397">
        <f>IF(AQ3&lt;='Sale Analysis'!$E$3,-IF('Monthly Cash Flow'!$C$88="Equity Contribution",HLOOKUP(AQ3,'Monthly Cash Flow'!AQ79:EC89,10),0),0)</f>
        <v>0</v>
      </c>
      <c r="AR7" s="397">
        <f>IF(AR3&lt;='Sale Analysis'!$E$3,-IF('Monthly Cash Flow'!$C$88="Equity Contribution",HLOOKUP(AR3,'Monthly Cash Flow'!AR79:ED89,10),0),0)</f>
        <v>0</v>
      </c>
      <c r="AS7" s="397">
        <f>IF(AS3&lt;='Sale Analysis'!$E$3,-IF('Monthly Cash Flow'!$C$88="Equity Contribution",HLOOKUP(AS3,'Monthly Cash Flow'!AS79:EE89,10),0),0)</f>
        <v>0</v>
      </c>
      <c r="AT7" s="397">
        <f>IF(AT3&lt;='Sale Analysis'!$E$3,-IF('Monthly Cash Flow'!$C$88="Equity Contribution",HLOOKUP(AT3,'Monthly Cash Flow'!AT79:EF89,10),0),0)</f>
        <v>0</v>
      </c>
      <c r="AU7" s="397">
        <f>IF(AU3&lt;='Sale Analysis'!$E$3,-IF('Monthly Cash Flow'!$C$88="Equity Contribution",HLOOKUP(AU3,'Monthly Cash Flow'!AU79:EG89,10),0),0)</f>
        <v>0</v>
      </c>
      <c r="AV7" s="397">
        <f>IF(AV3&lt;='Sale Analysis'!$E$3,-IF('Monthly Cash Flow'!$C$88="Equity Contribution",HLOOKUP(AV3,'Monthly Cash Flow'!AV79:EH89,10),0),0)</f>
        <v>0</v>
      </c>
      <c r="AW7" s="397">
        <f>IF(AW3&lt;='Sale Analysis'!$E$3,-IF('Monthly Cash Flow'!$C$88="Equity Contribution",HLOOKUP(AW3,'Monthly Cash Flow'!AW79:EI89,10),0),0)</f>
        <v>0</v>
      </c>
      <c r="AX7" s="397">
        <f>IF(AX3&lt;='Sale Analysis'!$E$3,-IF('Monthly Cash Flow'!$C$88="Equity Contribution",HLOOKUP(AX3,'Monthly Cash Flow'!AX79:EJ89,10),0),0)</f>
        <v>0</v>
      </c>
      <c r="AY7" s="397">
        <f>IF(AY3&lt;='Sale Analysis'!$E$3,-IF('Monthly Cash Flow'!$C$88="Equity Contribution",HLOOKUP(AY3,'Monthly Cash Flow'!AY79:EK89,10),0),0)</f>
        <v>0</v>
      </c>
      <c r="AZ7" s="397">
        <f>IF(AZ3&lt;='Sale Analysis'!$E$3,-IF('Monthly Cash Flow'!$C$88="Equity Contribution",HLOOKUP(AZ3,'Monthly Cash Flow'!AZ79:EL89,10),0),0)</f>
        <v>0</v>
      </c>
      <c r="BA7" s="397">
        <f>IF(BA3&lt;='Sale Analysis'!$E$3,-IF('Monthly Cash Flow'!$C$88="Equity Contribution",HLOOKUP(BA3,'Monthly Cash Flow'!BA79:EM89,10),0),0)</f>
        <v>0</v>
      </c>
      <c r="BB7" s="397">
        <f>IF(BB3&lt;='Sale Analysis'!$E$3,-IF('Monthly Cash Flow'!$C$88="Equity Contribution",HLOOKUP(BB3,'Monthly Cash Flow'!BB79:EN89,10),0),0)</f>
        <v>0</v>
      </c>
      <c r="BC7" s="397">
        <f>IF(BC3&lt;='Sale Analysis'!$E$3,-IF('Monthly Cash Flow'!$C$88="Equity Contribution",HLOOKUP(BC3,'Monthly Cash Flow'!BC79:EO89,10),0),0)</f>
        <v>0</v>
      </c>
      <c r="BD7" s="397">
        <f>IF(BD3&lt;='Sale Analysis'!$E$3,-IF('Monthly Cash Flow'!$C$88="Equity Contribution",HLOOKUP(BD3,'Monthly Cash Flow'!BD79:EP89,10),0),0)</f>
        <v>0</v>
      </c>
      <c r="BE7" s="397">
        <f>IF(BE3&lt;='Sale Analysis'!$E$3,-IF('Monthly Cash Flow'!$C$88="Equity Contribution",HLOOKUP(BE3,'Monthly Cash Flow'!BE79:EQ89,10),0),0)</f>
        <v>0</v>
      </c>
      <c r="BF7" s="397">
        <f>IF(BF3&lt;='Sale Analysis'!$E$3,-IF('Monthly Cash Flow'!$C$88="Equity Contribution",HLOOKUP(BF3,'Monthly Cash Flow'!BF79:ER89,10),0),0)</f>
        <v>0</v>
      </c>
      <c r="BG7" s="397">
        <f>IF(BG3&lt;='Sale Analysis'!$E$3,-IF('Monthly Cash Flow'!$C$88="Equity Contribution",HLOOKUP(BG3,'Monthly Cash Flow'!BG79:ES89,10),0),0)</f>
        <v>0</v>
      </c>
      <c r="BH7" s="397">
        <f>IF(BH3&lt;='Sale Analysis'!$E$3,-IF('Monthly Cash Flow'!$C$88="Equity Contribution",HLOOKUP(BH3,'Monthly Cash Flow'!BH79:ET89,10),0),0)</f>
        <v>0</v>
      </c>
      <c r="BI7" s="397">
        <f>IF(BI3&lt;='Sale Analysis'!$E$3,-IF('Monthly Cash Flow'!$C$88="Equity Contribution",HLOOKUP(BI3,'Monthly Cash Flow'!BI79:EU89,10),0),0)</f>
        <v>0</v>
      </c>
      <c r="BJ7" s="397">
        <f>IF(BJ3&lt;='Sale Analysis'!$E$3,-IF('Monthly Cash Flow'!$C$88="Equity Contribution",HLOOKUP(BJ3,'Monthly Cash Flow'!BJ79:EV89,10),0),0)</f>
        <v>0</v>
      </c>
      <c r="BK7" s="397">
        <f>IF(BK3&lt;='Sale Analysis'!$E$3,-IF('Monthly Cash Flow'!$C$88="Equity Contribution",HLOOKUP(BK3,'Monthly Cash Flow'!BK79:EW89,10),0),0)</f>
        <v>0</v>
      </c>
      <c r="BL7" s="397">
        <f>IF(BL3&lt;='Sale Analysis'!$E$3,-IF('Monthly Cash Flow'!$C$88="Equity Contribution",HLOOKUP(BL3,'Monthly Cash Flow'!BL79:EX89,10),0),0)</f>
        <v>0</v>
      </c>
      <c r="BM7" s="397">
        <f>IF(BM3&lt;='Sale Analysis'!$E$3,-IF('Monthly Cash Flow'!$C$88="Equity Contribution",HLOOKUP(BM3,'Monthly Cash Flow'!BM79:EY89,10),0),0)</f>
        <v>0</v>
      </c>
      <c r="BN7" s="397">
        <f>IF(BN3&lt;='Sale Analysis'!$E$3,-IF('Monthly Cash Flow'!$C$88="Equity Contribution",HLOOKUP(BN3,'Monthly Cash Flow'!BN79:EZ89,10),0),0)</f>
        <v>0</v>
      </c>
      <c r="BO7" s="397">
        <f>IF(BO3&lt;='Sale Analysis'!$E$3,-IF('Monthly Cash Flow'!$C$88="Equity Contribution",HLOOKUP(BO3,'Monthly Cash Flow'!BO79:FA89,10),0),0)</f>
        <v>0</v>
      </c>
      <c r="BP7" s="397">
        <f>IF(BP3&lt;='Sale Analysis'!$E$3,-IF('Monthly Cash Flow'!$C$88="Equity Contribution",HLOOKUP(BP3,'Monthly Cash Flow'!BP79:FB89,10),0),0)</f>
        <v>0</v>
      </c>
      <c r="BQ7" s="397">
        <f>IF(BQ3&lt;='Sale Analysis'!$E$3,-IF('Monthly Cash Flow'!$C$88="Equity Contribution",HLOOKUP(BQ3,'Monthly Cash Flow'!BQ79:FC89,10),0),0)</f>
        <v>0</v>
      </c>
      <c r="BR7" s="397">
        <f>IF(BR3&lt;='Sale Analysis'!$E$3,-IF('Monthly Cash Flow'!$C$88="Equity Contribution",HLOOKUP(BR3,'Monthly Cash Flow'!BR79:FD89,10),0),0)</f>
        <v>0</v>
      </c>
      <c r="BS7" s="397">
        <f>IF(BS3&lt;='Sale Analysis'!$E$3,-IF('Monthly Cash Flow'!$C$88="Equity Contribution",HLOOKUP(BS3,'Monthly Cash Flow'!BS79:FE89,10),0),0)</f>
        <v>0</v>
      </c>
      <c r="BT7" s="397">
        <f>IF(BT3&lt;='Sale Analysis'!$E$3,-IF('Monthly Cash Flow'!$C$88="Equity Contribution",HLOOKUP(BT3,'Monthly Cash Flow'!BT79:FF89,10),0),0)</f>
        <v>0</v>
      </c>
      <c r="BU7" s="397">
        <f>IF(BU3&lt;='Sale Analysis'!$E$3,-IF('Monthly Cash Flow'!$C$88="Equity Contribution",HLOOKUP(BU3,'Monthly Cash Flow'!BU79:FG89,10),0),0)</f>
        <v>0</v>
      </c>
      <c r="BV7" s="397">
        <f>IF(BV3&lt;='Sale Analysis'!$E$3,-IF('Monthly Cash Flow'!$C$88="Equity Contribution",HLOOKUP(BV3,'Monthly Cash Flow'!BV79:FH89,10),0),0)</f>
        <v>0</v>
      </c>
      <c r="BW7" s="397">
        <f>IF(BW3&lt;='Sale Analysis'!$E$3,-IF('Monthly Cash Flow'!$C$88="Equity Contribution",HLOOKUP(BW3,'Monthly Cash Flow'!BW79:FI89,10),0),0)</f>
        <v>0</v>
      </c>
      <c r="BX7" s="397">
        <f>IF(BX3&lt;='Sale Analysis'!$E$3,-IF('Monthly Cash Flow'!$C$88="Equity Contribution",HLOOKUP(BX3,'Monthly Cash Flow'!BX79:FJ89,10),0),0)</f>
        <v>0</v>
      </c>
      <c r="BY7" s="397">
        <f>IF(BY3&lt;='Sale Analysis'!$E$3,-IF('Monthly Cash Flow'!$C$88="Equity Contribution",HLOOKUP(BY3,'Monthly Cash Flow'!BY79:FK89,10),0),0)</f>
        <v>0</v>
      </c>
      <c r="BZ7" s="397">
        <f>IF(BZ3&lt;='Sale Analysis'!$E$3,-IF('Monthly Cash Flow'!$C$88="Equity Contribution",HLOOKUP(BZ3,'Monthly Cash Flow'!BZ79:FL89,10),0),0)</f>
        <v>0</v>
      </c>
      <c r="CA7" s="397">
        <f>IF(CA3&lt;='Sale Analysis'!$E$3,-IF('Monthly Cash Flow'!$C$88="Equity Contribution",HLOOKUP(CA3,'Monthly Cash Flow'!CA79:FM89,10),0),0)</f>
        <v>0</v>
      </c>
      <c r="CB7" s="397">
        <f>IF(CB3&lt;='Sale Analysis'!$E$3,-IF('Monthly Cash Flow'!$C$88="Equity Contribution",HLOOKUP(CB3,'Monthly Cash Flow'!CB79:FN89,10),0),0)</f>
        <v>0</v>
      </c>
      <c r="CC7" s="397">
        <f>IF(CC3&lt;='Sale Analysis'!$E$3,-IF('Monthly Cash Flow'!$C$88="Equity Contribution",HLOOKUP(CC3,'Monthly Cash Flow'!CC79:FO89,10),0),0)</f>
        <v>0</v>
      </c>
      <c r="CD7" s="397">
        <f>IF(CD3&lt;='Sale Analysis'!$E$3,-IF('Monthly Cash Flow'!$C$88="Equity Contribution",HLOOKUP(CD3,'Monthly Cash Flow'!CD79:FP89,10),0),0)</f>
        <v>0</v>
      </c>
      <c r="CE7" s="397">
        <f>IF(CE3&lt;='Sale Analysis'!$E$3,-IF('Monthly Cash Flow'!$C$88="Equity Contribution",HLOOKUP(CE3,'Monthly Cash Flow'!CE79:FQ89,10),0),0)</f>
        <v>0</v>
      </c>
      <c r="CF7" s="397">
        <f>IF(CF3&lt;='Sale Analysis'!$E$3,-IF('Monthly Cash Flow'!$C$88="Equity Contribution",HLOOKUP(CF3,'Monthly Cash Flow'!CF79:FR89,10),0),0)</f>
        <v>0</v>
      </c>
      <c r="CG7" s="397">
        <f>IF(CG3&lt;='Sale Analysis'!$E$3,-IF('Monthly Cash Flow'!$C$88="Equity Contribution",HLOOKUP(CG3,'Monthly Cash Flow'!CG79:FS89,10),0),0)</f>
        <v>0</v>
      </c>
      <c r="CH7" s="397">
        <f>IF(CH3&lt;='Sale Analysis'!$E$3,-IF('Monthly Cash Flow'!$C$88="Equity Contribution",HLOOKUP(CH3,'Monthly Cash Flow'!CH79:FT89,10),0),0)</f>
        <v>0</v>
      </c>
      <c r="CI7" s="397">
        <f>IF(CI3&lt;='Sale Analysis'!$E$3,-IF('Monthly Cash Flow'!$C$88="Equity Contribution",HLOOKUP(CI3,'Monthly Cash Flow'!CI79:FU89,10),0),0)</f>
        <v>0</v>
      </c>
    </row>
    <row r="8" spans="2:87">
      <c r="B8" t="s">
        <v>278</v>
      </c>
      <c r="C8" s="397">
        <f ca="1">SUM(C6:C7)</f>
        <v>-1497641.7520517199</v>
      </c>
      <c r="D8" s="397">
        <f ca="1">C8+D6+D7</f>
        <v>-1497641.7520517199</v>
      </c>
      <c r="E8" s="397">
        <f ca="1">D8+E6+E7</f>
        <v>-1497641.7520517199</v>
      </c>
      <c r="F8" s="397">
        <f t="shared" ref="F8:K8" ca="1" si="73">E8+F6+F7</f>
        <v>-1497641.7520517199</v>
      </c>
      <c r="G8" s="397">
        <f t="shared" ca="1" si="73"/>
        <v>-1497641.7520517199</v>
      </c>
      <c r="H8" s="397">
        <f t="shared" ca="1" si="73"/>
        <v>-1497641.7520517199</v>
      </c>
      <c r="I8" s="397">
        <f t="shared" ca="1" si="73"/>
        <v>-1497641.7520517199</v>
      </c>
      <c r="J8" s="397">
        <f t="shared" ca="1" si="73"/>
        <v>-1497641.7520517199</v>
      </c>
      <c r="K8" s="397">
        <f t="shared" ca="1" si="73"/>
        <v>-1497641.7520517199</v>
      </c>
      <c r="L8" s="397">
        <f t="shared" ref="L8:BW8" ca="1" si="74">K8+L6+L7</f>
        <v>-1497641.7520517199</v>
      </c>
      <c r="M8" s="397">
        <f t="shared" ca="1" si="74"/>
        <v>-1497641.7520517199</v>
      </c>
      <c r="N8" s="397">
        <f t="shared" ca="1" si="74"/>
        <v>-1497641.7520517199</v>
      </c>
      <c r="O8" s="397">
        <f t="shared" ca="1" si="74"/>
        <v>-1497641.7520517199</v>
      </c>
      <c r="P8" s="397">
        <f t="shared" ca="1" si="74"/>
        <v>-1497641.7520517199</v>
      </c>
      <c r="Q8" s="397">
        <f t="shared" ca="1" si="74"/>
        <v>-1497641.7520517199</v>
      </c>
      <c r="R8" s="397">
        <f t="shared" ca="1" si="74"/>
        <v>-1497641.7520517199</v>
      </c>
      <c r="S8" s="397">
        <f t="shared" ca="1" si="74"/>
        <v>-1497641.7520517199</v>
      </c>
      <c r="T8" s="397">
        <f t="shared" ca="1" si="74"/>
        <v>-1497641.7520517199</v>
      </c>
      <c r="U8" s="397">
        <f t="shared" ca="1" si="74"/>
        <v>-1497641.7520517199</v>
      </c>
      <c r="V8" s="397">
        <f t="shared" ca="1" si="74"/>
        <v>-1497641.7520517199</v>
      </c>
      <c r="W8" s="397">
        <f t="shared" ca="1" si="74"/>
        <v>-1497641.7520517199</v>
      </c>
      <c r="X8" s="397">
        <f t="shared" ca="1" si="74"/>
        <v>-1497641.7520517199</v>
      </c>
      <c r="Y8" s="397">
        <f t="shared" ca="1" si="74"/>
        <v>-1497641.7520517199</v>
      </c>
      <c r="Z8" s="397">
        <f t="shared" ca="1" si="74"/>
        <v>-1497641.7520517199</v>
      </c>
      <c r="AA8" s="397">
        <f t="shared" ca="1" si="74"/>
        <v>-1497641.7520517199</v>
      </c>
      <c r="AB8" s="397">
        <f t="shared" ca="1" si="74"/>
        <v>-1497641.7520517199</v>
      </c>
      <c r="AC8" s="397">
        <f t="shared" ca="1" si="74"/>
        <v>-1497641.7520517199</v>
      </c>
      <c r="AD8" s="397">
        <f t="shared" ca="1" si="74"/>
        <v>-1497641.7520517199</v>
      </c>
      <c r="AE8" s="397">
        <f t="shared" ca="1" si="74"/>
        <v>-1497641.7520517199</v>
      </c>
      <c r="AF8" s="397">
        <f t="shared" ca="1" si="74"/>
        <v>-1497641.7520517199</v>
      </c>
      <c r="AG8" s="397">
        <f t="shared" ca="1" si="74"/>
        <v>-1497641.7520517199</v>
      </c>
      <c r="AH8" s="397">
        <f t="shared" ca="1" si="74"/>
        <v>-1497641.7520517199</v>
      </c>
      <c r="AI8" s="397">
        <f t="shared" ca="1" si="74"/>
        <v>-1497641.7520517199</v>
      </c>
      <c r="AJ8" s="397">
        <f t="shared" ca="1" si="74"/>
        <v>-1497641.7520517199</v>
      </c>
      <c r="AK8" s="397">
        <f t="shared" ca="1" si="74"/>
        <v>-1497641.7520517199</v>
      </c>
      <c r="AL8" s="397">
        <f t="shared" ca="1" si="74"/>
        <v>-1497641.7520517199</v>
      </c>
      <c r="AM8" s="397">
        <f t="shared" ca="1" si="74"/>
        <v>-1497641.7520517199</v>
      </c>
      <c r="AN8" s="397">
        <f t="shared" ca="1" si="74"/>
        <v>-1497641.7520517199</v>
      </c>
      <c r="AO8" s="397">
        <f t="shared" ca="1" si="74"/>
        <v>-1497641.7520517199</v>
      </c>
      <c r="AP8" s="397">
        <f t="shared" ca="1" si="74"/>
        <v>-1497641.7520517199</v>
      </c>
      <c r="AQ8" s="397">
        <f t="shared" ca="1" si="74"/>
        <v>-1497641.7520517199</v>
      </c>
      <c r="AR8" s="397">
        <f t="shared" ca="1" si="74"/>
        <v>-1497641.7520517199</v>
      </c>
      <c r="AS8" s="397">
        <f t="shared" ca="1" si="74"/>
        <v>-1497641.7520517199</v>
      </c>
      <c r="AT8" s="397">
        <f t="shared" ca="1" si="74"/>
        <v>-1497641.7520517199</v>
      </c>
      <c r="AU8" s="397">
        <f t="shared" ca="1" si="74"/>
        <v>-1497641.7520517199</v>
      </c>
      <c r="AV8" s="397">
        <f t="shared" ca="1" si="74"/>
        <v>-1497641.7520517199</v>
      </c>
      <c r="AW8" s="397">
        <f t="shared" ca="1" si="74"/>
        <v>-1497641.7520517199</v>
      </c>
      <c r="AX8" s="397">
        <f t="shared" ca="1" si="74"/>
        <v>-1497641.7520517199</v>
      </c>
      <c r="AY8" s="397">
        <f t="shared" ca="1" si="74"/>
        <v>-1497641.7520517199</v>
      </c>
      <c r="AZ8" s="397">
        <f t="shared" ca="1" si="74"/>
        <v>-1497641.7520517199</v>
      </c>
      <c r="BA8" s="397">
        <f t="shared" ca="1" si="74"/>
        <v>-1497641.7520517199</v>
      </c>
      <c r="BB8" s="397">
        <f t="shared" ca="1" si="74"/>
        <v>-1497641.7520517199</v>
      </c>
      <c r="BC8" s="397">
        <f t="shared" ca="1" si="74"/>
        <v>-1497641.7520517199</v>
      </c>
      <c r="BD8" s="397">
        <f t="shared" ca="1" si="74"/>
        <v>-1497641.7520517199</v>
      </c>
      <c r="BE8" s="397">
        <f t="shared" ca="1" si="74"/>
        <v>-1497641.7520517199</v>
      </c>
      <c r="BF8" s="397">
        <f t="shared" ca="1" si="74"/>
        <v>-1497641.7520517199</v>
      </c>
      <c r="BG8" s="397">
        <f t="shared" ca="1" si="74"/>
        <v>-1497641.7520517199</v>
      </c>
      <c r="BH8" s="397">
        <f t="shared" ca="1" si="74"/>
        <v>-1497641.7520517199</v>
      </c>
      <c r="BI8" s="397">
        <f t="shared" ca="1" si="74"/>
        <v>-1497641.7520517199</v>
      </c>
      <c r="BJ8" s="397">
        <f t="shared" ca="1" si="74"/>
        <v>-1497641.7520517199</v>
      </c>
      <c r="BK8" s="397">
        <f t="shared" ca="1" si="74"/>
        <v>-1497641.7520517199</v>
      </c>
      <c r="BL8" s="397">
        <f t="shared" ca="1" si="74"/>
        <v>-1497641.7520517199</v>
      </c>
      <c r="BM8" s="397">
        <f t="shared" ca="1" si="74"/>
        <v>-1497641.7520517199</v>
      </c>
      <c r="BN8" s="397">
        <f t="shared" ca="1" si="74"/>
        <v>-1497641.7520517199</v>
      </c>
      <c r="BO8" s="397">
        <f t="shared" ca="1" si="74"/>
        <v>-1497641.7520517199</v>
      </c>
      <c r="BP8" s="397">
        <f t="shared" ca="1" si="74"/>
        <v>-1497641.7520517199</v>
      </c>
      <c r="BQ8" s="397">
        <f t="shared" ca="1" si="74"/>
        <v>-1497641.7520517199</v>
      </c>
      <c r="BR8" s="397">
        <f t="shared" ca="1" si="74"/>
        <v>-1497641.7520517199</v>
      </c>
      <c r="BS8" s="397">
        <f t="shared" ca="1" si="74"/>
        <v>-1497641.7520517199</v>
      </c>
      <c r="BT8" s="397">
        <f t="shared" ca="1" si="74"/>
        <v>-1497641.7520517199</v>
      </c>
      <c r="BU8" s="397">
        <f t="shared" ca="1" si="74"/>
        <v>-1497641.7520517199</v>
      </c>
      <c r="BV8" s="397">
        <f t="shared" ca="1" si="74"/>
        <v>-1497641.7520517199</v>
      </c>
      <c r="BW8" s="397">
        <f t="shared" ca="1" si="74"/>
        <v>-1497641.7520517199</v>
      </c>
      <c r="BX8" s="397">
        <f t="shared" ref="BX8:CI8" ca="1" si="75">BW8+BX6+BX7</f>
        <v>-1497641.7520517199</v>
      </c>
      <c r="BY8" s="397">
        <f t="shared" ca="1" si="75"/>
        <v>-1497641.7520517199</v>
      </c>
      <c r="BZ8" s="397">
        <f t="shared" ca="1" si="75"/>
        <v>-1497641.7520517199</v>
      </c>
      <c r="CA8" s="397">
        <f t="shared" ca="1" si="75"/>
        <v>-1497641.7520517199</v>
      </c>
      <c r="CB8" s="397">
        <f t="shared" ca="1" si="75"/>
        <v>-1497641.7520517199</v>
      </c>
      <c r="CC8" s="397">
        <f t="shared" ca="1" si="75"/>
        <v>-1497641.7520517199</v>
      </c>
      <c r="CD8" s="397">
        <f t="shared" ca="1" si="75"/>
        <v>-1497641.7520517199</v>
      </c>
      <c r="CE8" s="397">
        <f t="shared" ca="1" si="75"/>
        <v>-1497641.7520517199</v>
      </c>
      <c r="CF8" s="397">
        <f t="shared" ca="1" si="75"/>
        <v>-1497641.7520517199</v>
      </c>
      <c r="CG8" s="397">
        <f t="shared" ca="1" si="75"/>
        <v>-1497641.7520517199</v>
      </c>
      <c r="CH8" s="397">
        <f t="shared" ca="1" si="75"/>
        <v>-1497641.7520517199</v>
      </c>
      <c r="CI8" s="397">
        <f t="shared" ca="1" si="75"/>
        <v>-1497641.7520517199</v>
      </c>
    </row>
    <row r="9" spans="2:87">
      <c r="C9" s="397"/>
      <c r="D9" s="397"/>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7"/>
      <c r="AH9" s="397"/>
      <c r="AI9" s="397"/>
      <c r="AJ9" s="397"/>
      <c r="AK9" s="397"/>
      <c r="AL9" s="397"/>
      <c r="AM9" s="397"/>
      <c r="AN9" s="397"/>
      <c r="AO9" s="397"/>
      <c r="AP9" s="397"/>
      <c r="AQ9" s="397"/>
      <c r="AR9" s="397"/>
      <c r="AS9" s="397"/>
      <c r="AT9" s="397"/>
      <c r="AU9" s="397"/>
      <c r="AV9" s="397"/>
      <c r="AW9" s="397"/>
      <c r="AX9" s="397"/>
      <c r="AY9" s="397"/>
      <c r="AZ9" s="397"/>
      <c r="BA9" s="397"/>
      <c r="BB9" s="397"/>
      <c r="BC9" s="397"/>
      <c r="BD9" s="397"/>
      <c r="BE9" s="397"/>
      <c r="BF9" s="397"/>
      <c r="BG9" s="397"/>
      <c r="BH9" s="397"/>
      <c r="BI9" s="397"/>
      <c r="BJ9" s="397"/>
      <c r="BK9" s="397"/>
      <c r="BL9" s="397"/>
      <c r="BM9" s="397"/>
      <c r="BN9" s="397"/>
      <c r="BO9" s="397"/>
      <c r="BP9" s="397"/>
      <c r="BQ9" s="397"/>
      <c r="BR9" s="397"/>
      <c r="BS9" s="397"/>
      <c r="BT9" s="397"/>
      <c r="BU9" s="397"/>
      <c r="BV9" s="397"/>
      <c r="BW9" s="397"/>
      <c r="BX9" s="397"/>
      <c r="BY9" s="397"/>
      <c r="BZ9" s="397"/>
      <c r="CA9" s="397"/>
      <c r="CB9" s="397"/>
      <c r="CC9" s="397"/>
      <c r="CD9" s="397"/>
      <c r="CE9" s="397"/>
      <c r="CF9" s="397"/>
      <c r="CG9" s="397"/>
      <c r="CH9" s="397"/>
      <c r="CI9" s="397"/>
    </row>
    <row r="10" spans="2:87">
      <c r="C10" s="397"/>
      <c r="D10" s="397"/>
      <c r="E10" s="397"/>
      <c r="F10" s="397"/>
      <c r="G10" s="397"/>
      <c r="H10" s="397"/>
      <c r="I10" s="397"/>
      <c r="J10" s="397"/>
      <c r="K10" s="397"/>
      <c r="L10" s="397"/>
      <c r="M10" s="397"/>
      <c r="N10" s="397"/>
      <c r="O10" s="397"/>
      <c r="P10" s="397"/>
      <c r="Q10" s="397"/>
      <c r="R10" s="397"/>
      <c r="S10" s="397"/>
      <c r="T10" s="397"/>
      <c r="U10" s="397"/>
      <c r="V10" s="397"/>
      <c r="W10" s="397"/>
      <c r="X10" s="397"/>
      <c r="Y10" s="397"/>
      <c r="Z10" s="397"/>
      <c r="AA10" s="397"/>
      <c r="AB10" s="397"/>
      <c r="AC10" s="397"/>
      <c r="AD10" s="397"/>
      <c r="AE10" s="397"/>
      <c r="AF10" s="397"/>
      <c r="AG10" s="397"/>
      <c r="AH10" s="397"/>
      <c r="AI10" s="397"/>
      <c r="AJ10" s="397"/>
      <c r="AK10" s="397"/>
      <c r="AL10" s="397"/>
      <c r="AM10" s="397"/>
      <c r="AN10" s="397"/>
      <c r="AO10" s="397"/>
      <c r="AP10" s="397"/>
      <c r="AQ10" s="397"/>
      <c r="AR10" s="397"/>
      <c r="AS10" s="397"/>
      <c r="AT10" s="397"/>
      <c r="AU10" s="397"/>
      <c r="AV10" s="397"/>
      <c r="AW10" s="397"/>
      <c r="AX10" s="397"/>
      <c r="AY10" s="397"/>
      <c r="AZ10" s="397"/>
      <c r="BA10" s="397"/>
      <c r="BB10" s="397"/>
      <c r="BC10" s="397"/>
      <c r="BD10" s="397"/>
      <c r="BE10" s="397"/>
      <c r="BF10" s="397"/>
      <c r="BG10" s="397"/>
      <c r="BH10" s="397"/>
      <c r="BI10" s="397"/>
      <c r="BJ10" s="397"/>
      <c r="BK10" s="397"/>
      <c r="BL10" s="397"/>
      <c r="BM10" s="397"/>
      <c r="BN10" s="397"/>
      <c r="BO10" s="397"/>
      <c r="BP10" s="397"/>
      <c r="BQ10" s="397"/>
      <c r="BR10" s="397"/>
      <c r="BS10" s="397"/>
      <c r="BT10" s="397"/>
      <c r="BU10" s="397"/>
      <c r="BV10" s="397"/>
      <c r="BW10" s="397"/>
      <c r="BX10" s="397"/>
      <c r="BY10" s="397"/>
      <c r="BZ10" s="397"/>
      <c r="CA10" s="397"/>
      <c r="CB10" s="397"/>
      <c r="CC10" s="397"/>
      <c r="CD10" s="397"/>
      <c r="CE10" s="397"/>
      <c r="CF10" s="397"/>
      <c r="CG10" s="397"/>
      <c r="CH10" s="397"/>
      <c r="CI10" s="397"/>
    </row>
    <row r="11" spans="2:87">
      <c r="B11" s="1" t="s">
        <v>19</v>
      </c>
      <c r="C11" s="397"/>
      <c r="D11" s="397"/>
      <c r="E11" s="397"/>
      <c r="F11" s="397"/>
      <c r="G11" s="397"/>
      <c r="H11" s="397"/>
      <c r="I11" s="397"/>
      <c r="J11" s="397"/>
      <c r="K11" s="397"/>
      <c r="L11" s="397"/>
      <c r="M11" s="397"/>
      <c r="N11" s="397"/>
      <c r="O11" s="397"/>
      <c r="P11" s="397"/>
      <c r="Q11" s="397"/>
      <c r="R11" s="397"/>
      <c r="S11" s="397"/>
      <c r="T11" s="397"/>
      <c r="U11" s="397"/>
      <c r="V11" s="397"/>
      <c r="W11" s="397"/>
      <c r="X11" s="397"/>
      <c r="Y11" s="397"/>
      <c r="Z11" s="397"/>
      <c r="AA11" s="397"/>
      <c r="AB11" s="397"/>
      <c r="AC11" s="397"/>
      <c r="AD11" s="397"/>
      <c r="AE11" s="397"/>
      <c r="AF11" s="397"/>
      <c r="AG11" s="397"/>
      <c r="AH11" s="397"/>
      <c r="AI11" s="397"/>
      <c r="AJ11" s="397"/>
      <c r="AK11" s="397"/>
      <c r="AL11" s="397"/>
      <c r="AM11" s="397"/>
      <c r="AN11" s="397"/>
      <c r="AO11" s="397"/>
      <c r="AP11" s="397"/>
      <c r="AQ11" s="397"/>
      <c r="AR11" s="397"/>
      <c r="AS11" s="397"/>
      <c r="AT11" s="397"/>
      <c r="AU11" s="397"/>
      <c r="AV11" s="397"/>
      <c r="AW11" s="397"/>
      <c r="AX11" s="397"/>
      <c r="AY11" s="397"/>
      <c r="AZ11" s="397"/>
      <c r="BA11" s="397"/>
      <c r="BB11" s="397"/>
      <c r="BC11" s="397"/>
      <c r="BD11" s="397"/>
      <c r="BE11" s="397"/>
      <c r="BF11" s="397"/>
      <c r="BG11" s="397"/>
      <c r="BH11" s="397"/>
      <c r="BI11" s="397"/>
      <c r="BJ11" s="397"/>
      <c r="BK11" s="397"/>
      <c r="BL11" s="397"/>
      <c r="BM11" s="397"/>
      <c r="BN11" s="397"/>
      <c r="BO11" s="397"/>
      <c r="BP11" s="397"/>
      <c r="BQ11" s="397"/>
      <c r="BR11" s="397"/>
      <c r="BS11" s="397"/>
      <c r="BT11" s="397"/>
      <c r="BU11" s="397"/>
      <c r="BV11" s="397"/>
      <c r="BW11" s="397"/>
      <c r="BX11" s="397"/>
      <c r="BY11" s="397"/>
      <c r="BZ11" s="397"/>
      <c r="CA11" s="397"/>
      <c r="CB11" s="397"/>
      <c r="CC11" s="397"/>
      <c r="CD11" s="397"/>
      <c r="CE11" s="397"/>
      <c r="CF11" s="397"/>
      <c r="CG11" s="397"/>
      <c r="CH11" s="397"/>
      <c r="CI11" s="397"/>
    </row>
    <row r="12" spans="2:87">
      <c r="B12" t="s">
        <v>272</v>
      </c>
      <c r="C12" s="397"/>
      <c r="D12" s="397">
        <f ca="1">IF(D3&lt;='Sale Analysis'!$E$3,HLOOKUP(D$3,'Monthly Cash Flow'!$D$6:$CP$76,69,FALSE),0)</f>
        <v>0</v>
      </c>
      <c r="E12" s="397">
        <f ca="1">IF(E3&lt;='Sale Analysis'!$E$3,HLOOKUP(E$3,'Monthly Cash Flow'!$D$6:$CP$76,69,FALSE),0)</f>
        <v>0</v>
      </c>
      <c r="F12" s="397">
        <f ca="1">IF(F3&lt;='Sale Analysis'!$E$3,HLOOKUP(F$3,'Monthly Cash Flow'!$D$6:$CP$76,69,FALSE),0)</f>
        <v>0</v>
      </c>
      <c r="G12" s="397">
        <f ca="1">IF(G3&lt;='Sale Analysis'!$E$3,HLOOKUP(G$3,'Monthly Cash Flow'!$D$6:$CP$76,69,FALSE),0)</f>
        <v>0</v>
      </c>
      <c r="H12" s="397">
        <f ca="1">IF(H3&lt;='Sale Analysis'!$E$3,HLOOKUP(H$3,'Monthly Cash Flow'!$D$6:$CP$76,69,FALSE),0)</f>
        <v>0</v>
      </c>
      <c r="I12" s="397">
        <f ca="1">IF(I3&lt;='Sale Analysis'!$E$3,HLOOKUP(I$3,'Monthly Cash Flow'!$D$6:$CP$76,69,FALSE),0)</f>
        <v>0</v>
      </c>
      <c r="J12" s="397">
        <f ca="1">IF(J3&lt;='Sale Analysis'!$E$3,HLOOKUP(J$3,'Monthly Cash Flow'!$D$6:$CP$76,69,FALSE),0)</f>
        <v>0</v>
      </c>
      <c r="K12" s="397">
        <f ca="1">IF(K3&lt;='Sale Analysis'!$E$3,HLOOKUP(K$3,'Monthly Cash Flow'!$D$6:$CP$76,69,FALSE),0)</f>
        <v>0</v>
      </c>
      <c r="L12" s="397">
        <f ca="1">IF(L3&lt;='Sale Analysis'!$E$3,HLOOKUP(L$3,'Monthly Cash Flow'!$D$6:$CP$76,69,FALSE),0)</f>
        <v>0</v>
      </c>
      <c r="M12" s="397">
        <f ca="1">IF(M3&lt;='Sale Analysis'!$E$3,HLOOKUP(M$3,'Monthly Cash Flow'!$D$6:$CP$76,69,FALSE),0)</f>
        <v>0</v>
      </c>
      <c r="N12" s="397">
        <f ca="1">IF(N3&lt;='Sale Analysis'!$E$3,HLOOKUP(N$3,'Monthly Cash Flow'!$D$6:$CP$76,69,FALSE),0)</f>
        <v>0</v>
      </c>
      <c r="O12" s="397">
        <f ca="1">IF(O3&lt;='Sale Analysis'!$E$3,HLOOKUP(O$3,'Monthly Cash Flow'!$D$6:$CP$76,69,FALSE),0)</f>
        <v>0</v>
      </c>
      <c r="P12" s="397">
        <f ca="1">IF(P3&lt;='Sale Analysis'!$E$3,HLOOKUP(P$3,'Monthly Cash Flow'!$D$6:$CP$76,69,FALSE),0)</f>
        <v>6240.1739668821674</v>
      </c>
      <c r="Q12" s="397">
        <f ca="1">IF(Q3&lt;='Sale Analysis'!$E$3,HLOOKUP(Q$3,'Monthly Cash Flow'!$D$6:$CP$76,69,FALSE),0)</f>
        <v>6240.1739668821674</v>
      </c>
      <c r="R12" s="397">
        <f ca="1">IF(R3&lt;='Sale Analysis'!$E$3,HLOOKUP(R$3,'Monthly Cash Flow'!$D$6:$CP$76,69,FALSE),0)</f>
        <v>6240.1739668821674</v>
      </c>
      <c r="S12" s="397">
        <f ca="1">IF(S3&lt;='Sale Analysis'!$E$3,HLOOKUP(S$3,'Monthly Cash Flow'!$D$6:$CP$76,69,FALSE),0)</f>
        <v>6240.1739668821674</v>
      </c>
      <c r="T12" s="397">
        <f ca="1">IF(T3&lt;='Sale Analysis'!$E$3,HLOOKUP(T$3,'Monthly Cash Flow'!$D$6:$CP$76,69,FALSE),0)</f>
        <v>6240.1739668821674</v>
      </c>
      <c r="U12" s="397">
        <f ca="1">IF(U3&lt;='Sale Analysis'!$E$3,HLOOKUP(U$3,'Monthly Cash Flow'!$D$6:$CP$76,69,FALSE),0)</f>
        <v>6240.1739668821674</v>
      </c>
      <c r="V12" s="397">
        <f ca="1">IF(V3&lt;='Sale Analysis'!$E$3,HLOOKUP(V$3,'Monthly Cash Flow'!$D$6:$CP$76,69,FALSE),0)</f>
        <v>6240.1739668821674</v>
      </c>
      <c r="W12" s="397">
        <f ca="1">IF(W3&lt;='Sale Analysis'!$E$3,HLOOKUP(W$3,'Monthly Cash Flow'!$D$6:$CP$76,69,FALSE),0)</f>
        <v>6240.1739668821674</v>
      </c>
      <c r="X12" s="397">
        <f ca="1">IF(X3&lt;='Sale Analysis'!$E$3,HLOOKUP(X$3,'Monthly Cash Flow'!$D$6:$CP$76,69,FALSE),0)</f>
        <v>6240.1739668821674</v>
      </c>
      <c r="Y12" s="397">
        <f ca="1">IF(Y3&lt;='Sale Analysis'!$E$3,HLOOKUP(Y$3,'Monthly Cash Flow'!$D$6:$CP$76,69,FALSE),0)</f>
        <v>6240.1739668821674</v>
      </c>
      <c r="Z12" s="397">
        <f ca="1">IF(Z3&lt;='Sale Analysis'!$E$3,HLOOKUP(Z$3,'Monthly Cash Flow'!$D$6:$CP$76,69,FALSE),0)</f>
        <v>6240.1739668821674</v>
      </c>
      <c r="AA12" s="397">
        <f ca="1">IF(AA3&lt;='Sale Analysis'!$E$3,HLOOKUP(AA$3,'Monthly Cash Flow'!$D$6:$CP$76,69,FALSE),0)</f>
        <v>6240.1739668821674</v>
      </c>
      <c r="AB12" s="397">
        <f ca="1">IF(AB3&lt;='Sale Analysis'!$E$3,HLOOKUP(AB$3,'Monthly Cash Flow'!$D$6:$CP$76,69,FALSE),0)</f>
        <v>9360.2609503232488</v>
      </c>
      <c r="AC12" s="397">
        <f ca="1">IF(AC3&lt;='Sale Analysis'!$E$3,HLOOKUP(AC$3,'Monthly Cash Flow'!$D$6:$CP$76,69,FALSE),0)</f>
        <v>9360.2609503232488</v>
      </c>
      <c r="AD12" s="397">
        <f ca="1">IF(AD3&lt;='Sale Analysis'!$E$3,HLOOKUP(AD$3,'Monthly Cash Flow'!$D$6:$CP$76,69,FALSE),0)</f>
        <v>9360.2609503232488</v>
      </c>
      <c r="AE12" s="397">
        <f ca="1">IF(AE3&lt;='Sale Analysis'!$E$3,HLOOKUP(AE$3,'Monthly Cash Flow'!$D$6:$CP$76,69,FALSE),0)</f>
        <v>9360.2609503232488</v>
      </c>
      <c r="AF12" s="397">
        <f ca="1">IF(AF3&lt;='Sale Analysis'!$E$3,HLOOKUP(AF$3,'Monthly Cash Flow'!$D$6:$CP$76,69,FALSE),0)</f>
        <v>9360.2609503232488</v>
      </c>
      <c r="AG12" s="397">
        <f ca="1">IF(AG3&lt;='Sale Analysis'!$E$3,HLOOKUP(AG$3,'Monthly Cash Flow'!$D$6:$CP$76,69,FALSE),0)</f>
        <v>9360.2609503232488</v>
      </c>
      <c r="AH12" s="397">
        <f ca="1">IF(AH3&lt;='Sale Analysis'!$E$3,HLOOKUP(AH$3,'Monthly Cash Flow'!$D$6:$CP$76,69,FALSE),0)</f>
        <v>9360.2609503232488</v>
      </c>
      <c r="AI12" s="397">
        <f ca="1">IF(AI3&lt;='Sale Analysis'!$E$3,HLOOKUP(AI$3,'Monthly Cash Flow'!$D$6:$CP$76,69,FALSE),0)</f>
        <v>9360.2609503232488</v>
      </c>
      <c r="AJ12" s="397">
        <f ca="1">IF(AJ3&lt;='Sale Analysis'!$E$3,HLOOKUP(AJ$3,'Monthly Cash Flow'!$D$6:$CP$76,69,FALSE),0)</f>
        <v>9360.2609503232488</v>
      </c>
      <c r="AK12" s="397">
        <f ca="1">IF(AK3&lt;='Sale Analysis'!$E$3,HLOOKUP(AK$3,'Monthly Cash Flow'!$D$6:$CP$76,69,FALSE),0)</f>
        <v>9360.2609503232488</v>
      </c>
      <c r="AL12" s="397">
        <f ca="1">IF(AL3&lt;='Sale Analysis'!$E$3,HLOOKUP(AL$3,'Monthly Cash Flow'!$D$6:$CP$76,69,FALSE),0)</f>
        <v>3464.071265298056</v>
      </c>
      <c r="AM12" s="397">
        <f ca="1">IF(AM3&lt;='Sale Analysis'!$E$3,HLOOKUP(AM$3,'Monthly Cash Flow'!$D$6:$CP$76,69,FALSE),0)</f>
        <v>3464.071265298056</v>
      </c>
      <c r="AN12" s="397">
        <f ca="1">IF(AN3&lt;='Sale Analysis'!$E$3,HLOOKUP(AN$3,'Monthly Cash Flow'!$D$6:$CP$76,69,FALSE),0)</f>
        <v>5542.5140244768891</v>
      </c>
      <c r="AO12" s="397">
        <f ca="1">IF(AO3&lt;='Sale Analysis'!$E$3,HLOOKUP(AO$3,'Monthly Cash Flow'!$D$6:$CP$76,69,FALSE),0)</f>
        <v>5542.5140244768891</v>
      </c>
      <c r="AP12" s="397">
        <f ca="1">IF(AP3&lt;='Sale Analysis'!$E$3,HLOOKUP(AP$3,'Monthly Cash Flow'!$D$6:$CP$76,69,FALSE),0)</f>
        <v>5542.5140244768891</v>
      </c>
      <c r="AQ12" s="397">
        <f ca="1">IF(AQ3&lt;='Sale Analysis'!$E$3,HLOOKUP(AQ$3,'Monthly Cash Flow'!$D$6:$CP$76,69,FALSE),0)</f>
        <v>5542.5140244768891</v>
      </c>
      <c r="AR12" s="397">
        <f ca="1">IF(AR3&lt;='Sale Analysis'!$E$3,HLOOKUP(AR$3,'Monthly Cash Flow'!$D$6:$CP$76,69,FALSE),0)</f>
        <v>5542.5140244768891</v>
      </c>
      <c r="AS12" s="397">
        <f ca="1">IF(AS3&lt;='Sale Analysis'!$E$3,HLOOKUP(AS$3,'Monthly Cash Flow'!$D$6:$CP$76,69,FALSE),0)</f>
        <v>5542.5140244768891</v>
      </c>
      <c r="AT12" s="397">
        <f ca="1">IF(AT3&lt;='Sale Analysis'!$E$3,HLOOKUP(AT$3,'Monthly Cash Flow'!$D$6:$CP$76,69,FALSE),0)</f>
        <v>5542.5140244768891</v>
      </c>
      <c r="AU12" s="397">
        <f ca="1">IF(AU3&lt;='Sale Analysis'!$E$3,HLOOKUP(AU$3,'Monthly Cash Flow'!$D$6:$CP$76,69,FALSE),0)</f>
        <v>5542.5140244768891</v>
      </c>
      <c r="AV12" s="397">
        <f ca="1">IF(AV3&lt;='Sale Analysis'!$E$3,HLOOKUP(AV$3,'Monthly Cash Flow'!$D$6:$CP$76,69,FALSE),0)</f>
        <v>5542.5140244768891</v>
      </c>
      <c r="AW12" s="397">
        <f ca="1">IF(AW3&lt;='Sale Analysis'!$E$3,HLOOKUP(AW$3,'Monthly Cash Flow'!$D$6:$CP$76,69,FALSE),0)</f>
        <v>5542.5140244768891</v>
      </c>
      <c r="AX12" s="397">
        <f ca="1">IF(AX3&lt;='Sale Analysis'!$E$3,HLOOKUP(AX$3,'Monthly Cash Flow'!$D$6:$CP$76,69,FALSE),0)</f>
        <v>5542.5140244768891</v>
      </c>
      <c r="AY12" s="397">
        <f ca="1">IF(AY3&lt;='Sale Analysis'!$E$3,HLOOKUP(AY$3,'Monthly Cash Flow'!$D$6:$CP$76,69,FALSE),0)</f>
        <v>5542.5140244768891</v>
      </c>
      <c r="AZ12" s="397">
        <f ca="1">IF(AZ3&lt;='Sale Analysis'!$E$3,HLOOKUP(AZ$3,'Monthly Cash Flow'!$D$6:$CP$76,69,FALSE),0)</f>
        <v>6004.3901931832979</v>
      </c>
      <c r="BA12" s="397">
        <f ca="1">IF(BA3&lt;='Sale Analysis'!$E$3,HLOOKUP(BA$3,'Monthly Cash Flow'!$D$6:$CP$76,69,FALSE),0)</f>
        <v>6004.3901931832979</v>
      </c>
      <c r="BB12" s="397">
        <f ca="1">IF(BB3&lt;='Sale Analysis'!$E$3,HLOOKUP(BB$3,'Monthly Cash Flow'!$D$6:$CP$76,69,FALSE),0)</f>
        <v>6004.3901931832979</v>
      </c>
      <c r="BC12" s="397">
        <f ca="1">IF(BC3&lt;='Sale Analysis'!$E$3,HLOOKUP(BC$3,'Monthly Cash Flow'!$D$6:$CP$76,69,FALSE),0)</f>
        <v>6004.3901931832979</v>
      </c>
      <c r="BD12" s="397">
        <f ca="1">IF(BD3&lt;='Sale Analysis'!$E$3,HLOOKUP(BD$3,'Monthly Cash Flow'!$D$6:$CP$76,69,FALSE),0)</f>
        <v>6004.3901931832979</v>
      </c>
      <c r="BE12" s="397">
        <f ca="1">IF(BE3&lt;='Sale Analysis'!$E$3,HLOOKUP(BE$3,'Monthly Cash Flow'!$D$6:$CP$76,69,FALSE),0)</f>
        <v>6004.3901931832979</v>
      </c>
      <c r="BF12" s="397">
        <f ca="1">IF(BF3&lt;='Sale Analysis'!$E$3,HLOOKUP(BF$3,'Monthly Cash Flow'!$D$6:$CP$76,69,FALSE),0)</f>
        <v>6004.3901931832979</v>
      </c>
      <c r="BG12" s="397">
        <f ca="1">IF(BG3&lt;='Sale Analysis'!$E$3,HLOOKUP(BG$3,'Monthly Cash Flow'!$D$6:$CP$76,69,FALSE),0)</f>
        <v>6004.3901931832979</v>
      </c>
      <c r="BH12" s="397">
        <f ca="1">IF(BH3&lt;='Sale Analysis'!$E$3,HLOOKUP(BH$3,'Monthly Cash Flow'!$D$6:$CP$76,69,FALSE),0)</f>
        <v>6004.3901931832979</v>
      </c>
      <c r="BI12" s="397">
        <f ca="1">IF(BI3&lt;='Sale Analysis'!$E$3,HLOOKUP(BI$3,'Monthly Cash Flow'!$D$6:$CP$76,69,FALSE),0)</f>
        <v>6004.3901931832979</v>
      </c>
      <c r="BJ12" s="397">
        <f ca="1">IF(BJ3&lt;='Sale Analysis'!$E$3,HLOOKUP(BJ$3,'Monthly Cash Flow'!$D$6:$CP$76,69,FALSE),0)</f>
        <v>6004.3901931832979</v>
      </c>
      <c r="BK12" s="397">
        <f ca="1">IF(BK3&lt;='Sale Analysis'!$E$3,HLOOKUP(BK$3,'Monthly Cash Flow'!$D$6:$CP$76,69,FALSE),0)</f>
        <v>6004.3901931832979</v>
      </c>
      <c r="BL12" s="397">
        <f ca="1">IF(BL3&lt;='Sale Analysis'!$E$3,HLOOKUP(BL$3,'Monthly Cash Flow'!$D$6:$CP$76,69,FALSE),0)</f>
        <v>6466.2663618897059</v>
      </c>
      <c r="BM12" s="397">
        <f ca="1">IF(BM3&lt;='Sale Analysis'!$E$3,HLOOKUP(BM$3,'Monthly Cash Flow'!$D$6:$CP$76,69,FALSE),0)</f>
        <v>6466.2663618897059</v>
      </c>
      <c r="BN12" s="397">
        <f ca="1">IF(BN3&lt;='Sale Analysis'!$E$3,HLOOKUP(BN$3,'Monthly Cash Flow'!$D$6:$CP$76,69,FALSE),0)</f>
        <v>6466.2663618897059</v>
      </c>
      <c r="BO12" s="397">
        <f ca="1">IF(BO3&lt;='Sale Analysis'!$E$3,HLOOKUP(BO$3,'Monthly Cash Flow'!$D$6:$CP$76,69,FALSE),0)</f>
        <v>6466.2663618897059</v>
      </c>
      <c r="BP12" s="397">
        <f ca="1">IF(BP3&lt;='Sale Analysis'!$E$3,HLOOKUP(BP$3,'Monthly Cash Flow'!$D$6:$CP$76,69,FALSE),0)</f>
        <v>6466.2663618897059</v>
      </c>
      <c r="BQ12" s="397">
        <f ca="1">IF(BQ3&lt;='Sale Analysis'!$E$3,HLOOKUP(BQ$3,'Monthly Cash Flow'!$D$6:$CP$76,69,FALSE),0)</f>
        <v>6466.2663618897059</v>
      </c>
      <c r="BR12" s="397">
        <f ca="1">IF(BR3&lt;='Sale Analysis'!$E$3,HLOOKUP(BR$3,'Monthly Cash Flow'!$D$6:$CP$76,69,FALSE),0)</f>
        <v>6466.2663618897059</v>
      </c>
      <c r="BS12" s="397">
        <f ca="1">IF(BS3&lt;='Sale Analysis'!$E$3,HLOOKUP(BS$3,'Monthly Cash Flow'!$D$6:$CP$76,69,FALSE),0)</f>
        <v>6466.2663618897059</v>
      </c>
      <c r="BT12" s="397">
        <f ca="1">IF(BT3&lt;='Sale Analysis'!$E$3,HLOOKUP(BT$3,'Monthly Cash Flow'!$D$6:$CP$76,69,FALSE),0)</f>
        <v>6466.2663618897059</v>
      </c>
      <c r="BU12" s="397">
        <f ca="1">IF(BU3&lt;='Sale Analysis'!$E$3,HLOOKUP(BU$3,'Monthly Cash Flow'!$D$6:$CP$76,69,FALSE),0)</f>
        <v>6466.2663618897059</v>
      </c>
      <c r="BV12" s="397">
        <f ca="1">IF(BV3&lt;='Sale Analysis'!$E$3,HLOOKUP(BV$3,'Monthly Cash Flow'!$D$6:$CP$76,69,FALSE),0)</f>
        <v>6466.2663618897059</v>
      </c>
      <c r="BW12" s="397">
        <f ca="1">IF(BW3&lt;='Sale Analysis'!$E$3,HLOOKUP(BW$3,'Monthly Cash Flow'!$D$6:$CP$76,69,FALSE),0)</f>
        <v>6466.2663618897059</v>
      </c>
      <c r="BX12" s="397">
        <f ca="1">IF(BX3&lt;='Sale Analysis'!$E$3,HLOOKUP(BX$3,'Monthly Cash Flow'!$D$6:$CP$76,69,FALSE),0)</f>
        <v>6928.142530596112</v>
      </c>
      <c r="BY12" s="397">
        <f ca="1">IF(BY3&lt;='Sale Analysis'!$E$3,HLOOKUP(BY$3,'Monthly Cash Flow'!$D$6:$CP$76,69,FALSE),0)</f>
        <v>6928.142530596112</v>
      </c>
      <c r="BZ12" s="397">
        <f ca="1">IF(BZ3&lt;='Sale Analysis'!$E$3,HLOOKUP(BZ$3,'Monthly Cash Flow'!$D$6:$CP$76,69,FALSE),0)</f>
        <v>6928.142530596112</v>
      </c>
      <c r="CA12" s="397">
        <f ca="1">IF(CA3&lt;='Sale Analysis'!$E$3,HLOOKUP(CA$3,'Monthly Cash Flow'!$D$6:$CP$76,69,FALSE),0)</f>
        <v>6928.142530596112</v>
      </c>
      <c r="CB12" s="397">
        <f ca="1">IF(CB3&lt;='Sale Analysis'!$E$3,HLOOKUP(CB$3,'Monthly Cash Flow'!$D$6:$CP$76,69,FALSE),0)</f>
        <v>6928.142530596112</v>
      </c>
      <c r="CC12" s="397">
        <f ca="1">IF(CC3&lt;='Sale Analysis'!$E$3,HLOOKUP(CC$3,'Monthly Cash Flow'!$D$6:$CP$76,69,FALSE),0)</f>
        <v>6928.142530596112</v>
      </c>
      <c r="CD12" s="397">
        <f ca="1">IF(CD3&lt;='Sale Analysis'!$E$3,HLOOKUP(CD$3,'Monthly Cash Flow'!$D$6:$CP$76,69,FALSE),0)</f>
        <v>6928.142530596112</v>
      </c>
      <c r="CE12" s="397">
        <f ca="1">IF(CE3&lt;='Sale Analysis'!$E$3,HLOOKUP(CE$3,'Monthly Cash Flow'!$D$6:$CP$76,69,FALSE),0)</f>
        <v>6928.142530596112</v>
      </c>
      <c r="CF12" s="397">
        <f ca="1">IF(CF3&lt;='Sale Analysis'!$E$3,HLOOKUP(CF$3,'Monthly Cash Flow'!$D$6:$CP$76,69,FALSE),0)</f>
        <v>6928.142530596112</v>
      </c>
      <c r="CG12" s="397">
        <f ca="1">IF(CG3&lt;='Sale Analysis'!$E$3,HLOOKUP(CG$3,'Monthly Cash Flow'!$D$6:$CP$76,69,FALSE),0)</f>
        <v>6928.142530596112</v>
      </c>
      <c r="CH12" s="397">
        <f ca="1">IF(CH3&lt;='Sale Analysis'!$E$3,HLOOKUP(CH$3,'Monthly Cash Flow'!$D$6:$CP$76,69,FALSE),0)</f>
        <v>6928.142530596112</v>
      </c>
      <c r="CI12" s="397">
        <f>IF(CI3&lt;='Sale Analysis'!$E$3,HLOOKUP(CI$3,'Monthly Cash Flow'!$D$6:$CP$76,69,FALSE),0)</f>
        <v>0</v>
      </c>
    </row>
    <row r="13" spans="2:87">
      <c r="B13" t="s">
        <v>273</v>
      </c>
      <c r="C13" s="397"/>
      <c r="D13" s="397">
        <f>IF(Assumptions!$AD$3&gt;='Sale Analysis'!$E$3,0,IF(D$3=Assumptions!$AD$3,Assumptions!$AD$26,0))</f>
        <v>0</v>
      </c>
      <c r="E13" s="397">
        <f>IF(Assumptions!$AD$3&gt;='Sale Analysis'!$E$3,0,IF(E$3=Assumptions!$AD$3,Assumptions!$AD$26,0))</f>
        <v>0</v>
      </c>
      <c r="F13" s="397">
        <f>IF(Assumptions!$AD$3&gt;='Sale Analysis'!$E$3,0,IF(F$3=Assumptions!$AD$3,Assumptions!$AD$26,0))</f>
        <v>0</v>
      </c>
      <c r="G13" s="397">
        <f>IF(Assumptions!$AD$3&gt;='Sale Analysis'!$E$3,0,IF(G$3=Assumptions!$AD$3,Assumptions!$AD$26,0))</f>
        <v>0</v>
      </c>
      <c r="H13" s="397">
        <f>IF(Assumptions!$AD$3&gt;='Sale Analysis'!$E$3,0,IF(H$3=Assumptions!$AD$3,Assumptions!$AD$26,0))</f>
        <v>0</v>
      </c>
      <c r="I13" s="397">
        <f>IF(Assumptions!$AD$3&gt;='Sale Analysis'!$E$3,0,IF(I$3=Assumptions!$AD$3,Assumptions!$AD$26,0))</f>
        <v>0</v>
      </c>
      <c r="J13" s="397">
        <f>IF(Assumptions!$AD$3&gt;='Sale Analysis'!$E$3,0,IF(J$3=Assumptions!$AD$3,Assumptions!$AD$26,0))</f>
        <v>0</v>
      </c>
      <c r="K13" s="397">
        <f>IF(Assumptions!$AD$3&gt;='Sale Analysis'!$E$3,0,IF(K$3=Assumptions!$AD$3,Assumptions!$AD$26,0))</f>
        <v>0</v>
      </c>
      <c r="L13" s="397">
        <f>IF(Assumptions!$AD$3&gt;='Sale Analysis'!$E$3,0,IF(L$3=Assumptions!$AD$3,Assumptions!$AD$26,0))</f>
        <v>0</v>
      </c>
      <c r="M13" s="397">
        <f>IF(Assumptions!$AD$3&gt;='Sale Analysis'!$E$3,0,IF(M$3=Assumptions!$AD$3,Assumptions!$AD$26,0))</f>
        <v>0</v>
      </c>
      <c r="N13" s="397">
        <f>IF(Assumptions!$AD$3&gt;='Sale Analysis'!$E$3,0,IF(N$3=Assumptions!$AD$3,Assumptions!$AD$26,0))</f>
        <v>0</v>
      </c>
      <c r="O13" s="397">
        <f>IF(Assumptions!$AD$3&gt;='Sale Analysis'!$E$3,0,IF(O$3=Assumptions!$AD$3,Assumptions!$AD$26,0))</f>
        <v>0</v>
      </c>
      <c r="P13" s="397">
        <f>IF(Assumptions!$AD$3&gt;='Sale Analysis'!$E$3,0,IF(P$3=Assumptions!$AD$3,Assumptions!$AD$26,0))</f>
        <v>0</v>
      </c>
      <c r="Q13" s="397">
        <f>IF(Assumptions!$AD$3&gt;='Sale Analysis'!$E$3,0,IF(Q$3=Assumptions!$AD$3,Assumptions!$AD$26,0))</f>
        <v>0</v>
      </c>
      <c r="R13" s="397">
        <f>IF(Assumptions!$AD$3&gt;='Sale Analysis'!$E$3,0,IF(R$3=Assumptions!$AD$3,Assumptions!$AD$26,0))</f>
        <v>0</v>
      </c>
      <c r="S13" s="397">
        <f>IF(Assumptions!$AD$3&gt;='Sale Analysis'!$E$3,0,IF(S$3=Assumptions!$AD$3,Assumptions!$AD$26,0))</f>
        <v>0</v>
      </c>
      <c r="T13" s="397">
        <f>IF(Assumptions!$AD$3&gt;='Sale Analysis'!$E$3,0,IF(T$3=Assumptions!$AD$3,Assumptions!$AD$26,0))</f>
        <v>0</v>
      </c>
      <c r="U13" s="397">
        <f>IF(Assumptions!$AD$3&gt;='Sale Analysis'!$E$3,0,IF(U$3=Assumptions!$AD$3,Assumptions!$AD$26,0))</f>
        <v>0</v>
      </c>
      <c r="V13" s="397">
        <f>IF(Assumptions!$AD$3&gt;='Sale Analysis'!$E$3,0,IF(V$3=Assumptions!$AD$3,Assumptions!$AD$26,0))</f>
        <v>0</v>
      </c>
      <c r="W13" s="397">
        <f>IF(Assumptions!$AD$3&gt;='Sale Analysis'!$E$3,0,IF(W$3=Assumptions!$AD$3,Assumptions!$AD$26,0))</f>
        <v>0</v>
      </c>
      <c r="X13" s="397">
        <f>IF(Assumptions!$AD$3&gt;='Sale Analysis'!$E$3,0,IF(X$3=Assumptions!$AD$3,Assumptions!$AD$26,0))</f>
        <v>0</v>
      </c>
      <c r="Y13" s="397">
        <f>IF(Assumptions!$AD$3&gt;='Sale Analysis'!$E$3,0,IF(Y$3=Assumptions!$AD$3,Assumptions!$AD$26,0))</f>
        <v>0</v>
      </c>
      <c r="Z13" s="397">
        <f>IF(Assumptions!$AD$3&gt;='Sale Analysis'!$E$3,0,IF(Z$3=Assumptions!$AD$3,Assumptions!$AD$26,0))</f>
        <v>0</v>
      </c>
      <c r="AA13" s="397">
        <f>IF(Assumptions!$AD$3&gt;='Sale Analysis'!$E$3,0,IF(AA$3=Assumptions!$AD$3,Assumptions!$AD$26,0))</f>
        <v>0</v>
      </c>
      <c r="AB13" s="397">
        <f>IF(Assumptions!$AD$3&gt;='Sale Analysis'!$E$3,0,IF(AB$3=Assumptions!$AD$3,Assumptions!$AD$26,0))</f>
        <v>0</v>
      </c>
      <c r="AC13" s="397">
        <f>IF(Assumptions!$AD$3&gt;='Sale Analysis'!$E$3,0,IF(AC$3=Assumptions!$AD$3,Assumptions!$AD$26,0))</f>
        <v>0</v>
      </c>
      <c r="AD13" s="397">
        <f>IF(Assumptions!$AD$3&gt;='Sale Analysis'!$E$3,0,IF(AD$3=Assumptions!$AD$3,Assumptions!$AD$26,0))</f>
        <v>0</v>
      </c>
      <c r="AE13" s="397">
        <f>IF(Assumptions!$AD$3&gt;='Sale Analysis'!$E$3,0,IF(AE$3=Assumptions!$AD$3,Assumptions!$AD$26,0))</f>
        <v>0</v>
      </c>
      <c r="AF13" s="397">
        <f>IF(Assumptions!$AD$3&gt;='Sale Analysis'!$E$3,0,IF(AF$3=Assumptions!$AD$3,Assumptions!$AD$26,0))</f>
        <v>0</v>
      </c>
      <c r="AG13" s="397">
        <f>IF(Assumptions!$AD$3&gt;='Sale Analysis'!$E$3,0,IF(AG$3=Assumptions!$AD$3,Assumptions!$AD$26,0))</f>
        <v>0</v>
      </c>
      <c r="AH13" s="397">
        <f>IF(Assumptions!$AD$3&gt;='Sale Analysis'!$E$3,0,IF(AH$3=Assumptions!$AD$3,Assumptions!$AD$26,0))</f>
        <v>0</v>
      </c>
      <c r="AI13" s="397">
        <f>IF(Assumptions!$AD$3&gt;='Sale Analysis'!$E$3,0,IF(AI$3=Assumptions!$AD$3,Assumptions!$AD$26,0))</f>
        <v>0</v>
      </c>
      <c r="AJ13" s="397">
        <f>IF(Assumptions!$AD$3&gt;='Sale Analysis'!$E$3,0,IF(AJ$3=Assumptions!$AD$3,Assumptions!$AD$26,0))</f>
        <v>0</v>
      </c>
      <c r="AK13" s="397">
        <f>IF(Assumptions!$AD$3&gt;='Sale Analysis'!$E$3,0,IF(AK$3=Assumptions!$AD$3,Assumptions!$AD$26,0))</f>
        <v>0</v>
      </c>
      <c r="AL13" s="397">
        <f ca="1">IF(Assumptions!$AD$3&gt;='Sale Analysis'!$E$3,0,IF(AL$3=Assumptions!$AD$3,Assumptions!$AD$26,0))</f>
        <v>943390.34960403095</v>
      </c>
      <c r="AM13" s="397">
        <f>IF(Assumptions!$AD$3&gt;='Sale Analysis'!$E$3,0,IF(AM$3=Assumptions!$AD$3,Assumptions!$AD$26,0))</f>
        <v>0</v>
      </c>
      <c r="AN13" s="397">
        <f>IF(Assumptions!$AD$3&gt;='Sale Analysis'!$E$3,0,IF(AN$3=Assumptions!$AD$3,Assumptions!$AD$26,0))</f>
        <v>0</v>
      </c>
      <c r="AO13" s="397">
        <f>IF(Assumptions!$AD$3&gt;='Sale Analysis'!$E$3,0,IF(AO$3=Assumptions!$AD$3,Assumptions!$AD$26,0))</f>
        <v>0</v>
      </c>
      <c r="AP13" s="397">
        <f>IF(Assumptions!$AD$3&gt;='Sale Analysis'!$E$3,0,IF(AP$3=Assumptions!$AD$3,Assumptions!$AD$26,0))</f>
        <v>0</v>
      </c>
      <c r="AQ13" s="397">
        <f>IF(Assumptions!$AD$3&gt;='Sale Analysis'!$E$3,0,IF(AQ$3=Assumptions!$AD$3,Assumptions!$AD$26,0))</f>
        <v>0</v>
      </c>
      <c r="AR13" s="397">
        <f>IF(Assumptions!$AD$3&gt;='Sale Analysis'!$E$3,0,IF(AR$3=Assumptions!$AD$3,Assumptions!$AD$26,0))</f>
        <v>0</v>
      </c>
      <c r="AS13" s="397">
        <f>IF(Assumptions!$AD$3&gt;='Sale Analysis'!$E$3,0,IF(AS$3=Assumptions!$AD$3,Assumptions!$AD$26,0))</f>
        <v>0</v>
      </c>
      <c r="AT13" s="397">
        <f>IF(Assumptions!$AD$3&gt;='Sale Analysis'!$E$3,0,IF(AT$3=Assumptions!$AD$3,Assumptions!$AD$26,0))</f>
        <v>0</v>
      </c>
      <c r="AU13" s="397">
        <f>IF(Assumptions!$AD$3&gt;='Sale Analysis'!$E$3,0,IF(AU$3=Assumptions!$AD$3,Assumptions!$AD$26,0))</f>
        <v>0</v>
      </c>
      <c r="AV13" s="397">
        <f>IF(Assumptions!$AD$3&gt;='Sale Analysis'!$E$3,0,IF(AV$3=Assumptions!$AD$3,Assumptions!$AD$26,0))</f>
        <v>0</v>
      </c>
      <c r="AW13" s="397">
        <f>IF(Assumptions!$AD$3&gt;='Sale Analysis'!$E$3,0,IF(AW$3=Assumptions!$AD$3,Assumptions!$AD$26,0))</f>
        <v>0</v>
      </c>
      <c r="AX13" s="397">
        <f>IF(Assumptions!$AD$3&gt;='Sale Analysis'!$E$3,0,IF(AX$3=Assumptions!$AD$3,Assumptions!$AD$26,0))</f>
        <v>0</v>
      </c>
      <c r="AY13" s="397">
        <f>IF(Assumptions!$AD$3&gt;='Sale Analysis'!$E$3,0,IF(AY$3=Assumptions!$AD$3,Assumptions!$AD$26,0))</f>
        <v>0</v>
      </c>
      <c r="AZ13" s="397">
        <f>IF(Assumptions!$AD$3&gt;='Sale Analysis'!$E$3,0,IF(AZ$3=Assumptions!$AD$3,Assumptions!$AD$26,0))</f>
        <v>0</v>
      </c>
      <c r="BA13" s="397">
        <f>IF(Assumptions!$AD$3&gt;='Sale Analysis'!$E$3,0,IF(BA$3=Assumptions!$AD$3,Assumptions!$AD$26,0))</f>
        <v>0</v>
      </c>
      <c r="BB13" s="397">
        <f>IF(Assumptions!$AD$3&gt;='Sale Analysis'!$E$3,0,IF(BB$3=Assumptions!$AD$3,Assumptions!$AD$26,0))</f>
        <v>0</v>
      </c>
      <c r="BC13" s="397">
        <f>IF(Assumptions!$AD$3&gt;='Sale Analysis'!$E$3,0,IF(BC$3=Assumptions!$AD$3,Assumptions!$AD$26,0))</f>
        <v>0</v>
      </c>
      <c r="BD13" s="397">
        <f>IF(Assumptions!$AD$3&gt;='Sale Analysis'!$E$3,0,IF(BD$3=Assumptions!$AD$3,Assumptions!$AD$26,0))</f>
        <v>0</v>
      </c>
      <c r="BE13" s="397">
        <f>IF(Assumptions!$AD$3&gt;='Sale Analysis'!$E$3,0,IF(BE$3=Assumptions!$AD$3,Assumptions!$AD$26,0))</f>
        <v>0</v>
      </c>
      <c r="BF13" s="397">
        <f>IF(Assumptions!$AD$3&gt;='Sale Analysis'!$E$3,0,IF(BF$3=Assumptions!$AD$3,Assumptions!$AD$26,0))</f>
        <v>0</v>
      </c>
      <c r="BG13" s="397">
        <f>IF(Assumptions!$AD$3&gt;='Sale Analysis'!$E$3,0,IF(BG$3=Assumptions!$AD$3,Assumptions!$AD$26,0))</f>
        <v>0</v>
      </c>
      <c r="BH13" s="397">
        <f>IF(Assumptions!$AD$3&gt;='Sale Analysis'!$E$3,0,IF(BH$3=Assumptions!$AD$3,Assumptions!$AD$26,0))</f>
        <v>0</v>
      </c>
      <c r="BI13" s="397">
        <f>IF(Assumptions!$AD$3&gt;='Sale Analysis'!$E$3,0,IF(BI$3=Assumptions!$AD$3,Assumptions!$AD$26,0))</f>
        <v>0</v>
      </c>
      <c r="BJ13" s="397">
        <f>IF(Assumptions!$AD$3&gt;='Sale Analysis'!$E$3,0,IF(BJ$3=Assumptions!$AD$3,Assumptions!$AD$26,0))</f>
        <v>0</v>
      </c>
      <c r="BK13" s="397">
        <f>IF(Assumptions!$AD$3&gt;='Sale Analysis'!$E$3,0,IF(BK$3=Assumptions!$AD$3,Assumptions!$AD$26,0))</f>
        <v>0</v>
      </c>
      <c r="BL13" s="397">
        <f>IF(Assumptions!$AD$3&gt;='Sale Analysis'!$E$3,0,IF(BL$3=Assumptions!$AD$3,Assumptions!$AD$26,0))</f>
        <v>0</v>
      </c>
      <c r="BM13" s="397">
        <f>IF(Assumptions!$AD$3&gt;='Sale Analysis'!$E$3,0,IF(BM$3=Assumptions!$AD$3,Assumptions!$AD$26,0))</f>
        <v>0</v>
      </c>
      <c r="BN13" s="397">
        <f>IF(Assumptions!$AD$3&gt;='Sale Analysis'!$E$3,0,IF(BN$3=Assumptions!$AD$3,Assumptions!$AD$26,0))</f>
        <v>0</v>
      </c>
      <c r="BO13" s="397">
        <f>IF(Assumptions!$AD$3&gt;='Sale Analysis'!$E$3,0,IF(BO$3=Assumptions!$AD$3,Assumptions!$AD$26,0))</f>
        <v>0</v>
      </c>
      <c r="BP13" s="397">
        <f>IF(Assumptions!$AD$3&gt;='Sale Analysis'!$E$3,0,IF(BP$3=Assumptions!$AD$3,Assumptions!$AD$26,0))</f>
        <v>0</v>
      </c>
      <c r="BQ13" s="397">
        <f>IF(Assumptions!$AD$3&gt;='Sale Analysis'!$E$3,0,IF(BQ$3=Assumptions!$AD$3,Assumptions!$AD$26,0))</f>
        <v>0</v>
      </c>
      <c r="BR13" s="397">
        <f>IF(Assumptions!$AD$3&gt;='Sale Analysis'!$E$3,0,IF(BR$3=Assumptions!$AD$3,Assumptions!$AD$26,0))</f>
        <v>0</v>
      </c>
      <c r="BS13" s="397">
        <f>IF(Assumptions!$AD$3&gt;='Sale Analysis'!$E$3,0,IF(BS$3=Assumptions!$AD$3,Assumptions!$AD$26,0))</f>
        <v>0</v>
      </c>
      <c r="BT13" s="397">
        <f>IF(Assumptions!$AD$3&gt;='Sale Analysis'!$E$3,0,IF(BT$3=Assumptions!$AD$3,Assumptions!$AD$26,0))</f>
        <v>0</v>
      </c>
      <c r="BU13" s="397">
        <f>IF(Assumptions!$AD$3&gt;='Sale Analysis'!$E$3,0,IF(BU$3=Assumptions!$AD$3,Assumptions!$AD$26,0))</f>
        <v>0</v>
      </c>
      <c r="BV13" s="397">
        <f>IF(Assumptions!$AD$3&gt;='Sale Analysis'!$E$3,0,IF(BV$3=Assumptions!$AD$3,Assumptions!$AD$26,0))</f>
        <v>0</v>
      </c>
      <c r="BW13" s="397">
        <f>IF(Assumptions!$AD$3&gt;='Sale Analysis'!$E$3,0,IF(BW$3=Assumptions!$AD$3,Assumptions!$AD$26,0))</f>
        <v>0</v>
      </c>
      <c r="BX13" s="397">
        <f>IF(Assumptions!$AD$3&gt;='Sale Analysis'!$E$3,0,IF(BX$3=Assumptions!$AD$3,Assumptions!$AD$26,0))</f>
        <v>0</v>
      </c>
      <c r="BY13" s="397">
        <f>IF(Assumptions!$AD$3&gt;='Sale Analysis'!$E$3,0,IF(BY$3=Assumptions!$AD$3,Assumptions!$AD$26,0))</f>
        <v>0</v>
      </c>
      <c r="BZ13" s="397">
        <f>IF(Assumptions!$AD$3&gt;='Sale Analysis'!$E$3,0,IF(BZ$3=Assumptions!$AD$3,Assumptions!$AD$26,0))</f>
        <v>0</v>
      </c>
      <c r="CA13" s="397">
        <f>IF(Assumptions!$AD$3&gt;='Sale Analysis'!$E$3,0,IF(CA$3=Assumptions!$AD$3,Assumptions!$AD$26,0))</f>
        <v>0</v>
      </c>
      <c r="CB13" s="397">
        <f>IF(Assumptions!$AD$3&gt;='Sale Analysis'!$E$3,0,IF(CB$3=Assumptions!$AD$3,Assumptions!$AD$26,0))</f>
        <v>0</v>
      </c>
      <c r="CC13" s="397">
        <f>IF(Assumptions!$AD$3&gt;='Sale Analysis'!$E$3,0,IF(CC$3=Assumptions!$AD$3,Assumptions!$AD$26,0))</f>
        <v>0</v>
      </c>
      <c r="CD13" s="397">
        <f>IF(Assumptions!$AD$3&gt;='Sale Analysis'!$E$3,0,IF(CD$3=Assumptions!$AD$3,Assumptions!$AD$26,0))</f>
        <v>0</v>
      </c>
      <c r="CE13" s="397">
        <f>IF(Assumptions!$AD$3&gt;='Sale Analysis'!$E$3,0,IF(CE$3=Assumptions!$AD$3,Assumptions!$AD$26,0))</f>
        <v>0</v>
      </c>
      <c r="CF13" s="397">
        <f>IF(Assumptions!$AD$3&gt;='Sale Analysis'!$E$3,0,IF(CF$3=Assumptions!$AD$3,Assumptions!$AD$26,0))</f>
        <v>0</v>
      </c>
      <c r="CG13" s="397">
        <f>IF(Assumptions!$AD$3&gt;='Sale Analysis'!$E$3,0,IF(CG$3=Assumptions!$AD$3,Assumptions!$AD$26,0))</f>
        <v>0</v>
      </c>
      <c r="CH13" s="397">
        <f>IF(Assumptions!$AD$3&gt;='Sale Analysis'!$E$3,0,IF(CH$3=Assumptions!$AD$3,Assumptions!$AD$26,0))</f>
        <v>0</v>
      </c>
      <c r="CI13" s="397">
        <f>IF(Assumptions!$AD$3&gt;='Sale Analysis'!$E$3,0,IF(CI$3=Assumptions!$AD$3,Assumptions!$AD$26,0))</f>
        <v>0</v>
      </c>
    </row>
    <row r="14" spans="2:87">
      <c r="B14" t="s">
        <v>274</v>
      </c>
      <c r="C14" s="397"/>
      <c r="D14" s="397">
        <f>IF(D3&lt;'Sale Analysis'!$E$3,0,IF(D3&gt;'Sale Analysis'!$E$3,0,IF(D3='Sale Analysis'!$E$3,'Sale Analysis'!$E$18,0)))</f>
        <v>0</v>
      </c>
      <c r="E14" s="397">
        <f>IF(E3&lt;'Sale Analysis'!$E$3,0,IF(E3&gt;'Sale Analysis'!$E$3,0,IF(E3='Sale Analysis'!$E$3,'Sale Analysis'!$E$18,0)))</f>
        <v>0</v>
      </c>
      <c r="F14" s="397">
        <f>IF(F3&lt;'Sale Analysis'!$E$3,0,IF(F3&gt;'Sale Analysis'!$E$3,0,IF(F3='Sale Analysis'!$E$3,'Sale Analysis'!$E$18,0)))</f>
        <v>0</v>
      </c>
      <c r="G14" s="397">
        <f>IF(G3&lt;'Sale Analysis'!$E$3,0,IF(G3&gt;'Sale Analysis'!$E$3,0,IF(G3='Sale Analysis'!$E$3,'Sale Analysis'!$E$18,0)))</f>
        <v>0</v>
      </c>
      <c r="H14" s="397">
        <f>IF(H3&lt;'Sale Analysis'!$E$3,0,IF(H3&gt;'Sale Analysis'!$E$3,0,IF(H3='Sale Analysis'!$E$3,'Sale Analysis'!$E$18,0)))</f>
        <v>0</v>
      </c>
      <c r="I14" s="397">
        <f>IF(I3&lt;'Sale Analysis'!$E$3,0,IF(I3&gt;'Sale Analysis'!$E$3,0,IF(I3='Sale Analysis'!$E$3,'Sale Analysis'!$E$18,0)))</f>
        <v>0</v>
      </c>
      <c r="J14" s="397">
        <f>IF(J3&lt;'Sale Analysis'!$E$3,0,IF(J3&gt;'Sale Analysis'!$E$3,0,IF(J3='Sale Analysis'!$E$3,'Sale Analysis'!$E$18,0)))</f>
        <v>0</v>
      </c>
      <c r="K14" s="397">
        <f>IF(K3&lt;'Sale Analysis'!$E$3,0,IF(K3&gt;'Sale Analysis'!$E$3,0,IF(K3='Sale Analysis'!$E$3,'Sale Analysis'!$E$18,0)))</f>
        <v>0</v>
      </c>
      <c r="L14" s="397">
        <f>IF(L3&lt;'Sale Analysis'!$E$3,0,IF(L3&gt;'Sale Analysis'!$E$3,0,IF(L3='Sale Analysis'!$E$3,'Sale Analysis'!$E$18,0)))</f>
        <v>0</v>
      </c>
      <c r="M14" s="397">
        <f>IF(M3&lt;'Sale Analysis'!$E$3,0,IF(M3&gt;'Sale Analysis'!$E$3,0,IF(M3='Sale Analysis'!$E$3,'Sale Analysis'!$E$18,0)))</f>
        <v>0</v>
      </c>
      <c r="N14" s="397">
        <f>IF(N3&lt;'Sale Analysis'!$E$3,0,IF(N3&gt;'Sale Analysis'!$E$3,0,IF(N3='Sale Analysis'!$E$3,'Sale Analysis'!$E$18,0)))</f>
        <v>0</v>
      </c>
      <c r="O14" s="397">
        <f>IF(O3&lt;'Sale Analysis'!$E$3,0,IF(O3&gt;'Sale Analysis'!$E$3,0,IF(O3='Sale Analysis'!$E$3,'Sale Analysis'!$E$18,0)))</f>
        <v>0</v>
      </c>
      <c r="P14" s="397">
        <f>IF(P3&lt;'Sale Analysis'!$E$3,0,IF(P3&gt;'Sale Analysis'!$E$3,0,IF(P3='Sale Analysis'!$E$3,'Sale Analysis'!$E$18,0)))</f>
        <v>0</v>
      </c>
      <c r="Q14" s="397">
        <f>IF(Q3&lt;'Sale Analysis'!$E$3,0,IF(Q3&gt;'Sale Analysis'!$E$3,0,IF(Q3='Sale Analysis'!$E$3,'Sale Analysis'!$E$18,0)))</f>
        <v>0</v>
      </c>
      <c r="R14" s="397">
        <f>IF(R3&lt;'Sale Analysis'!$E$3,0,IF(R3&gt;'Sale Analysis'!$E$3,0,IF(R3='Sale Analysis'!$E$3,'Sale Analysis'!$E$18,0)))</f>
        <v>0</v>
      </c>
      <c r="S14" s="397">
        <f>IF(S3&lt;'Sale Analysis'!$E$3,0,IF(S3&gt;'Sale Analysis'!$E$3,0,IF(S3='Sale Analysis'!$E$3,'Sale Analysis'!$E$18,0)))</f>
        <v>0</v>
      </c>
      <c r="T14" s="397">
        <f>IF(T3&lt;'Sale Analysis'!$E$3,0,IF(T3&gt;'Sale Analysis'!$E$3,0,IF(T3='Sale Analysis'!$E$3,'Sale Analysis'!$E$18,0)))</f>
        <v>0</v>
      </c>
      <c r="U14" s="397">
        <f>IF(U3&lt;'Sale Analysis'!$E$3,0,IF(U3&gt;'Sale Analysis'!$E$3,0,IF(U3='Sale Analysis'!$E$3,'Sale Analysis'!$E$18,0)))</f>
        <v>0</v>
      </c>
      <c r="V14" s="397">
        <f>IF(V3&lt;'Sale Analysis'!$E$3,0,IF(V3&gt;'Sale Analysis'!$E$3,0,IF(V3='Sale Analysis'!$E$3,'Sale Analysis'!$E$18,0)))</f>
        <v>0</v>
      </c>
      <c r="W14" s="397">
        <f>IF(W3&lt;'Sale Analysis'!$E$3,0,IF(W3&gt;'Sale Analysis'!$E$3,0,IF(W3='Sale Analysis'!$E$3,'Sale Analysis'!$E$18,0)))</f>
        <v>0</v>
      </c>
      <c r="X14" s="397">
        <f>IF(X3&lt;'Sale Analysis'!$E$3,0,IF(X3&gt;'Sale Analysis'!$E$3,0,IF(X3='Sale Analysis'!$E$3,'Sale Analysis'!$E$18,0)))</f>
        <v>0</v>
      </c>
      <c r="Y14" s="397">
        <f>IF(Y3&lt;'Sale Analysis'!$E$3,0,IF(Y3&gt;'Sale Analysis'!$E$3,0,IF(Y3='Sale Analysis'!$E$3,'Sale Analysis'!$E$18,0)))</f>
        <v>0</v>
      </c>
      <c r="Z14" s="397">
        <f>IF(Z3&lt;'Sale Analysis'!$E$3,0,IF(Z3&gt;'Sale Analysis'!$E$3,0,IF(Z3='Sale Analysis'!$E$3,'Sale Analysis'!$E$18,0)))</f>
        <v>0</v>
      </c>
      <c r="AA14" s="397">
        <f>IF(AA3&lt;'Sale Analysis'!$E$3,0,IF(AA3&gt;'Sale Analysis'!$E$3,0,IF(AA3='Sale Analysis'!$E$3,'Sale Analysis'!$E$18,0)))</f>
        <v>0</v>
      </c>
      <c r="AB14" s="397">
        <f>IF(AB3&lt;'Sale Analysis'!$E$3,0,IF(AB3&gt;'Sale Analysis'!$E$3,0,IF(AB3='Sale Analysis'!$E$3,'Sale Analysis'!$E$18,0)))</f>
        <v>0</v>
      </c>
      <c r="AC14" s="397">
        <f>IF(AC3&lt;'Sale Analysis'!$E$3,0,IF(AC3&gt;'Sale Analysis'!$E$3,0,IF(AC3='Sale Analysis'!$E$3,'Sale Analysis'!$E$18,0)))</f>
        <v>0</v>
      </c>
      <c r="AD14" s="397">
        <f>IF(AD3&lt;'Sale Analysis'!$E$3,0,IF(AD3&gt;'Sale Analysis'!$E$3,0,IF(AD3='Sale Analysis'!$E$3,'Sale Analysis'!$E$18,0)))</f>
        <v>0</v>
      </c>
      <c r="AE14" s="397">
        <f>IF(AE3&lt;'Sale Analysis'!$E$3,0,IF(AE3&gt;'Sale Analysis'!$E$3,0,IF(AE3='Sale Analysis'!$E$3,'Sale Analysis'!$E$18,0)))</f>
        <v>0</v>
      </c>
      <c r="AF14" s="397">
        <f>IF(AF3&lt;'Sale Analysis'!$E$3,0,IF(AF3&gt;'Sale Analysis'!$E$3,0,IF(AF3='Sale Analysis'!$E$3,'Sale Analysis'!$E$18,0)))</f>
        <v>0</v>
      </c>
      <c r="AG14" s="397">
        <f>IF(AG3&lt;'Sale Analysis'!$E$3,0,IF(AG3&gt;'Sale Analysis'!$E$3,0,IF(AG3='Sale Analysis'!$E$3,'Sale Analysis'!$E$18,0)))</f>
        <v>0</v>
      </c>
      <c r="AH14" s="397">
        <f>IF(AH3&lt;'Sale Analysis'!$E$3,0,IF(AH3&gt;'Sale Analysis'!$E$3,0,IF(AH3='Sale Analysis'!$E$3,'Sale Analysis'!$E$18,0)))</f>
        <v>0</v>
      </c>
      <c r="AI14" s="397">
        <f>IF(AI3&lt;'Sale Analysis'!$E$3,0,IF(AI3&gt;'Sale Analysis'!$E$3,0,IF(AI3='Sale Analysis'!$E$3,'Sale Analysis'!$E$18,0)))</f>
        <v>0</v>
      </c>
      <c r="AJ14" s="397">
        <f>IF(AJ3&lt;'Sale Analysis'!$E$3,0,IF(AJ3&gt;'Sale Analysis'!$E$3,0,IF(AJ3='Sale Analysis'!$E$3,'Sale Analysis'!$E$18,0)))</f>
        <v>0</v>
      </c>
      <c r="AK14" s="397">
        <f>IF(AK3&lt;'Sale Analysis'!$E$3,0,IF(AK3&gt;'Sale Analysis'!$E$3,0,IF(AK3='Sale Analysis'!$E$3,'Sale Analysis'!$E$18,0)))</f>
        <v>0</v>
      </c>
      <c r="AL14" s="397">
        <f>IF(AL3&lt;'Sale Analysis'!$E$3,0,IF(AL3&gt;'Sale Analysis'!$E$3,0,IF(AL3='Sale Analysis'!$E$3,'Sale Analysis'!$E$18,0)))</f>
        <v>0</v>
      </c>
      <c r="AM14" s="397">
        <f>IF(AM3&lt;'Sale Analysis'!$E$3,0,IF(AM3&gt;'Sale Analysis'!$E$3,0,IF(AM3='Sale Analysis'!$E$3,'Sale Analysis'!$E$18,0)))</f>
        <v>0</v>
      </c>
      <c r="AN14" s="397">
        <f>IF(AN3&lt;'Sale Analysis'!$E$3,0,IF(AN3&gt;'Sale Analysis'!$E$3,0,IF(AN3='Sale Analysis'!$E$3,'Sale Analysis'!$E$18,0)))</f>
        <v>0</v>
      </c>
      <c r="AO14" s="397">
        <f>IF(AO3&lt;'Sale Analysis'!$E$3,0,IF(AO3&gt;'Sale Analysis'!$E$3,0,IF(AO3='Sale Analysis'!$E$3,'Sale Analysis'!$E$18,0)))</f>
        <v>0</v>
      </c>
      <c r="AP14" s="397">
        <f>IF(AP3&lt;'Sale Analysis'!$E$3,0,IF(AP3&gt;'Sale Analysis'!$E$3,0,IF(AP3='Sale Analysis'!$E$3,'Sale Analysis'!$E$18,0)))</f>
        <v>0</v>
      </c>
      <c r="AQ14" s="397">
        <f>IF(AQ3&lt;'Sale Analysis'!$E$3,0,IF(AQ3&gt;'Sale Analysis'!$E$3,0,IF(AQ3='Sale Analysis'!$E$3,'Sale Analysis'!$E$18,0)))</f>
        <v>0</v>
      </c>
      <c r="AR14" s="397">
        <f>IF(AR3&lt;'Sale Analysis'!$E$3,0,IF(AR3&gt;'Sale Analysis'!$E$3,0,IF(AR3='Sale Analysis'!$E$3,'Sale Analysis'!$E$18,0)))</f>
        <v>0</v>
      </c>
      <c r="AS14" s="397">
        <f>IF(AS3&lt;'Sale Analysis'!$E$3,0,IF(AS3&gt;'Sale Analysis'!$E$3,0,IF(AS3='Sale Analysis'!$E$3,'Sale Analysis'!$E$18,0)))</f>
        <v>0</v>
      </c>
      <c r="AT14" s="397">
        <f>IF(AT3&lt;'Sale Analysis'!$E$3,0,IF(AT3&gt;'Sale Analysis'!$E$3,0,IF(AT3='Sale Analysis'!$E$3,'Sale Analysis'!$E$18,0)))</f>
        <v>0</v>
      </c>
      <c r="AU14" s="397">
        <f>IF(AU3&lt;'Sale Analysis'!$E$3,0,IF(AU3&gt;'Sale Analysis'!$E$3,0,IF(AU3='Sale Analysis'!$E$3,'Sale Analysis'!$E$18,0)))</f>
        <v>0</v>
      </c>
      <c r="AV14" s="397">
        <f>IF(AV3&lt;'Sale Analysis'!$E$3,0,IF(AV3&gt;'Sale Analysis'!$E$3,0,IF(AV3='Sale Analysis'!$E$3,'Sale Analysis'!$E$18,0)))</f>
        <v>0</v>
      </c>
      <c r="AW14" s="397">
        <f>IF(AW3&lt;'Sale Analysis'!$E$3,0,IF(AW3&gt;'Sale Analysis'!$E$3,0,IF(AW3='Sale Analysis'!$E$3,'Sale Analysis'!$E$18,0)))</f>
        <v>0</v>
      </c>
      <c r="AX14" s="397">
        <f>IF(AX3&lt;'Sale Analysis'!$E$3,0,IF(AX3&gt;'Sale Analysis'!$E$3,0,IF(AX3='Sale Analysis'!$E$3,'Sale Analysis'!$E$18,0)))</f>
        <v>0</v>
      </c>
      <c r="AY14" s="397">
        <f>IF(AY3&lt;'Sale Analysis'!$E$3,0,IF(AY3&gt;'Sale Analysis'!$E$3,0,IF(AY3='Sale Analysis'!$E$3,'Sale Analysis'!$E$18,0)))</f>
        <v>0</v>
      </c>
      <c r="AZ14" s="397">
        <f>IF(AZ3&lt;'Sale Analysis'!$E$3,0,IF(AZ3&gt;'Sale Analysis'!$E$3,0,IF(AZ3='Sale Analysis'!$E$3,'Sale Analysis'!$E$18,0)))</f>
        <v>0</v>
      </c>
      <c r="BA14" s="397">
        <f>IF(BA3&lt;'Sale Analysis'!$E$3,0,IF(BA3&gt;'Sale Analysis'!$E$3,0,IF(BA3='Sale Analysis'!$E$3,'Sale Analysis'!$E$18,0)))</f>
        <v>0</v>
      </c>
      <c r="BB14" s="397">
        <f>IF(BB3&lt;'Sale Analysis'!$E$3,0,IF(BB3&gt;'Sale Analysis'!$E$3,0,IF(BB3='Sale Analysis'!$E$3,'Sale Analysis'!$E$18,0)))</f>
        <v>0</v>
      </c>
      <c r="BC14" s="397">
        <f>IF(BC3&lt;'Sale Analysis'!$E$3,0,IF(BC3&gt;'Sale Analysis'!$E$3,0,IF(BC3='Sale Analysis'!$E$3,'Sale Analysis'!$E$18,0)))</f>
        <v>0</v>
      </c>
      <c r="BD14" s="397">
        <f>IF(BD3&lt;'Sale Analysis'!$E$3,0,IF(BD3&gt;'Sale Analysis'!$E$3,0,IF(BD3='Sale Analysis'!$E$3,'Sale Analysis'!$E$18,0)))</f>
        <v>0</v>
      </c>
      <c r="BE14" s="397">
        <f>IF(BE3&lt;'Sale Analysis'!$E$3,0,IF(BE3&gt;'Sale Analysis'!$E$3,0,IF(BE3='Sale Analysis'!$E$3,'Sale Analysis'!$E$18,0)))</f>
        <v>0</v>
      </c>
      <c r="BF14" s="397">
        <f>IF(BF3&lt;'Sale Analysis'!$E$3,0,IF(BF3&gt;'Sale Analysis'!$E$3,0,IF(BF3='Sale Analysis'!$E$3,'Sale Analysis'!$E$18,0)))</f>
        <v>0</v>
      </c>
      <c r="BG14" s="397">
        <f>IF(BG3&lt;'Sale Analysis'!$E$3,0,IF(BG3&gt;'Sale Analysis'!$E$3,0,IF(BG3='Sale Analysis'!$E$3,'Sale Analysis'!$E$18,0)))</f>
        <v>0</v>
      </c>
      <c r="BH14" s="397">
        <f>IF(BH3&lt;'Sale Analysis'!$E$3,0,IF(BH3&gt;'Sale Analysis'!$E$3,0,IF(BH3='Sale Analysis'!$E$3,'Sale Analysis'!$E$18,0)))</f>
        <v>0</v>
      </c>
      <c r="BI14" s="397">
        <f>IF(BI3&lt;'Sale Analysis'!$E$3,0,IF(BI3&gt;'Sale Analysis'!$E$3,0,IF(BI3='Sale Analysis'!$E$3,'Sale Analysis'!$E$18,0)))</f>
        <v>0</v>
      </c>
      <c r="BJ14" s="397">
        <f>IF(BJ3&lt;'Sale Analysis'!$E$3,0,IF(BJ3&gt;'Sale Analysis'!$E$3,0,IF(BJ3='Sale Analysis'!$E$3,'Sale Analysis'!$E$18,0)))</f>
        <v>0</v>
      </c>
      <c r="BK14" s="397">
        <f>IF(BK3&lt;'Sale Analysis'!$E$3,0,IF(BK3&gt;'Sale Analysis'!$E$3,0,IF(BK3='Sale Analysis'!$E$3,'Sale Analysis'!$E$18,0)))</f>
        <v>0</v>
      </c>
      <c r="BL14" s="397">
        <f>IF(BL3&lt;'Sale Analysis'!$E$3,0,IF(BL3&gt;'Sale Analysis'!$E$3,0,IF(BL3='Sale Analysis'!$E$3,'Sale Analysis'!$E$18,0)))</f>
        <v>0</v>
      </c>
      <c r="BM14" s="397">
        <f>IF(BM3&lt;'Sale Analysis'!$E$3,0,IF(BM3&gt;'Sale Analysis'!$E$3,0,IF(BM3='Sale Analysis'!$E$3,'Sale Analysis'!$E$18,0)))</f>
        <v>0</v>
      </c>
      <c r="BN14" s="397">
        <f>IF(BN3&lt;'Sale Analysis'!$E$3,0,IF(BN3&gt;'Sale Analysis'!$E$3,0,IF(BN3='Sale Analysis'!$E$3,'Sale Analysis'!$E$18,0)))</f>
        <v>0</v>
      </c>
      <c r="BO14" s="397">
        <f>IF(BO3&lt;'Sale Analysis'!$E$3,0,IF(BO3&gt;'Sale Analysis'!$E$3,0,IF(BO3='Sale Analysis'!$E$3,'Sale Analysis'!$E$18,0)))</f>
        <v>0</v>
      </c>
      <c r="BP14" s="397">
        <f>IF(BP3&lt;'Sale Analysis'!$E$3,0,IF(BP3&gt;'Sale Analysis'!$E$3,0,IF(BP3='Sale Analysis'!$E$3,'Sale Analysis'!$E$18,0)))</f>
        <v>0</v>
      </c>
      <c r="BQ14" s="397">
        <f>IF(BQ3&lt;'Sale Analysis'!$E$3,0,IF(BQ3&gt;'Sale Analysis'!$E$3,0,IF(BQ3='Sale Analysis'!$E$3,'Sale Analysis'!$E$18,0)))</f>
        <v>0</v>
      </c>
      <c r="BR14" s="397">
        <f>IF(BR3&lt;'Sale Analysis'!$E$3,0,IF(BR3&gt;'Sale Analysis'!$E$3,0,IF(BR3='Sale Analysis'!$E$3,'Sale Analysis'!$E$18,0)))</f>
        <v>0</v>
      </c>
      <c r="BS14" s="397">
        <f>IF(BS3&lt;'Sale Analysis'!$E$3,0,IF(BS3&gt;'Sale Analysis'!$E$3,0,IF(BS3='Sale Analysis'!$E$3,'Sale Analysis'!$E$18,0)))</f>
        <v>0</v>
      </c>
      <c r="BT14" s="397">
        <f>IF(BT3&lt;'Sale Analysis'!$E$3,0,IF(BT3&gt;'Sale Analysis'!$E$3,0,IF(BT3='Sale Analysis'!$E$3,'Sale Analysis'!$E$18,0)))</f>
        <v>0</v>
      </c>
      <c r="BU14" s="397">
        <f>IF(BU3&lt;'Sale Analysis'!$E$3,0,IF(BU3&gt;'Sale Analysis'!$E$3,0,IF(BU3='Sale Analysis'!$E$3,'Sale Analysis'!$E$18,0)))</f>
        <v>0</v>
      </c>
      <c r="BV14" s="397">
        <f>IF(BV3&lt;'Sale Analysis'!$E$3,0,IF(BV3&gt;'Sale Analysis'!$E$3,0,IF(BV3='Sale Analysis'!$E$3,'Sale Analysis'!$E$18,0)))</f>
        <v>0</v>
      </c>
      <c r="BW14" s="397">
        <f>IF(BW3&lt;'Sale Analysis'!$E$3,0,IF(BW3&gt;'Sale Analysis'!$E$3,0,IF(BW3='Sale Analysis'!$E$3,'Sale Analysis'!$E$18,0)))</f>
        <v>0</v>
      </c>
      <c r="BX14" s="397">
        <f>IF(BX3&lt;'Sale Analysis'!$E$3,0,IF(BX3&gt;'Sale Analysis'!$E$3,0,IF(BX3='Sale Analysis'!$E$3,'Sale Analysis'!$E$18,0)))</f>
        <v>0</v>
      </c>
      <c r="BY14" s="397">
        <f>IF(BY3&lt;'Sale Analysis'!$E$3,0,IF(BY3&gt;'Sale Analysis'!$E$3,0,IF(BY3='Sale Analysis'!$E$3,'Sale Analysis'!$E$18,0)))</f>
        <v>0</v>
      </c>
      <c r="BZ14" s="397">
        <f>IF(BZ3&lt;'Sale Analysis'!$E$3,0,IF(BZ3&gt;'Sale Analysis'!$E$3,0,IF(BZ3='Sale Analysis'!$E$3,'Sale Analysis'!$E$18,0)))</f>
        <v>0</v>
      </c>
      <c r="CA14" s="397">
        <f>IF(CA3&lt;'Sale Analysis'!$E$3,0,IF(CA3&gt;'Sale Analysis'!$E$3,0,IF(CA3='Sale Analysis'!$E$3,'Sale Analysis'!$E$18,0)))</f>
        <v>0</v>
      </c>
      <c r="CB14" s="397">
        <f>IF(CB3&lt;'Sale Analysis'!$E$3,0,IF(CB3&gt;'Sale Analysis'!$E$3,0,IF(CB3='Sale Analysis'!$E$3,'Sale Analysis'!$E$18,0)))</f>
        <v>0</v>
      </c>
      <c r="CC14" s="397">
        <f>IF(CC3&lt;'Sale Analysis'!$E$3,0,IF(CC3&gt;'Sale Analysis'!$E$3,0,IF(CC3='Sale Analysis'!$E$3,'Sale Analysis'!$E$18,0)))</f>
        <v>0</v>
      </c>
      <c r="CD14" s="397">
        <f>IF(CD3&lt;'Sale Analysis'!$E$3,0,IF(CD3&gt;'Sale Analysis'!$E$3,0,IF(CD3='Sale Analysis'!$E$3,'Sale Analysis'!$E$18,0)))</f>
        <v>0</v>
      </c>
      <c r="CE14" s="397">
        <f>IF(CE3&lt;'Sale Analysis'!$E$3,0,IF(CE3&gt;'Sale Analysis'!$E$3,0,IF(CE3='Sale Analysis'!$E$3,'Sale Analysis'!$E$18,0)))</f>
        <v>0</v>
      </c>
      <c r="CF14" s="397">
        <f>IF(CF3&lt;'Sale Analysis'!$E$3,0,IF(CF3&gt;'Sale Analysis'!$E$3,0,IF(CF3='Sale Analysis'!$E$3,'Sale Analysis'!$E$18,0)))</f>
        <v>0</v>
      </c>
      <c r="CG14" s="397">
        <f>IF(CG3&lt;'Sale Analysis'!$E$3,0,IF(CG3&gt;'Sale Analysis'!$E$3,0,IF(CG3='Sale Analysis'!$E$3,'Sale Analysis'!$E$18,0)))</f>
        <v>0</v>
      </c>
      <c r="CH14" s="397">
        <f ca="1">IF(CH3&lt;'Sale Analysis'!$E$3,0,IF(CH3&gt;'Sale Analysis'!$E$3,0,IF(CH3='Sale Analysis'!$E$3,'Sale Analysis'!$E$18,0)))</f>
        <v>1553458.0756827639</v>
      </c>
      <c r="CI14" s="397">
        <f>IF(CI3&lt;'Sale Analysis'!$E$3,0,IF(CI3&gt;'Sale Analysis'!$E$3,0,IF(CI3='Sale Analysis'!$E$3,'Sale Analysis'!$H$18,0)))</f>
        <v>0</v>
      </c>
    </row>
    <row r="15" spans="2:87">
      <c r="B15" t="s">
        <v>277</v>
      </c>
      <c r="C15" s="397"/>
      <c r="D15" s="397">
        <f ca="1">SUM(D12:D14)</f>
        <v>0</v>
      </c>
      <c r="E15" s="397">
        <f t="shared" ref="E15:BP15" ca="1" si="76">SUM(E12:E14)</f>
        <v>0</v>
      </c>
      <c r="F15" s="397">
        <f t="shared" ca="1" si="76"/>
        <v>0</v>
      </c>
      <c r="G15" s="397">
        <f t="shared" ca="1" si="76"/>
        <v>0</v>
      </c>
      <c r="H15" s="397">
        <f t="shared" ca="1" si="76"/>
        <v>0</v>
      </c>
      <c r="I15" s="397">
        <f t="shared" ca="1" si="76"/>
        <v>0</v>
      </c>
      <c r="J15" s="397">
        <f t="shared" ca="1" si="76"/>
        <v>0</v>
      </c>
      <c r="K15" s="397">
        <f t="shared" ca="1" si="76"/>
        <v>0</v>
      </c>
      <c r="L15" s="397">
        <f t="shared" ca="1" si="76"/>
        <v>0</v>
      </c>
      <c r="M15" s="397">
        <f t="shared" ca="1" si="76"/>
        <v>0</v>
      </c>
      <c r="N15" s="397">
        <f t="shared" ca="1" si="76"/>
        <v>0</v>
      </c>
      <c r="O15" s="397">
        <f t="shared" ca="1" si="76"/>
        <v>0</v>
      </c>
      <c r="P15" s="397">
        <f t="shared" ca="1" si="76"/>
        <v>6240.1739668821674</v>
      </c>
      <c r="Q15" s="397">
        <f t="shared" ca="1" si="76"/>
        <v>6240.1739668821674</v>
      </c>
      <c r="R15" s="397">
        <f t="shared" ca="1" si="76"/>
        <v>6240.1739668821674</v>
      </c>
      <c r="S15" s="397">
        <f t="shared" ca="1" si="76"/>
        <v>6240.1739668821674</v>
      </c>
      <c r="T15" s="397">
        <f t="shared" ca="1" si="76"/>
        <v>6240.1739668821674</v>
      </c>
      <c r="U15" s="397">
        <f t="shared" ca="1" si="76"/>
        <v>6240.1739668821674</v>
      </c>
      <c r="V15" s="397">
        <f t="shared" ca="1" si="76"/>
        <v>6240.1739668821674</v>
      </c>
      <c r="W15" s="397">
        <f t="shared" ca="1" si="76"/>
        <v>6240.1739668821674</v>
      </c>
      <c r="X15" s="397">
        <f t="shared" ca="1" si="76"/>
        <v>6240.1739668821674</v>
      </c>
      <c r="Y15" s="397">
        <f t="shared" ca="1" si="76"/>
        <v>6240.1739668821674</v>
      </c>
      <c r="Z15" s="397">
        <f t="shared" ca="1" si="76"/>
        <v>6240.1739668821674</v>
      </c>
      <c r="AA15" s="397">
        <f t="shared" ca="1" si="76"/>
        <v>6240.1739668821674</v>
      </c>
      <c r="AB15" s="397">
        <f t="shared" ca="1" si="76"/>
        <v>9360.2609503232488</v>
      </c>
      <c r="AC15" s="397">
        <f t="shared" ca="1" si="76"/>
        <v>9360.2609503232488</v>
      </c>
      <c r="AD15" s="397">
        <f t="shared" ca="1" si="76"/>
        <v>9360.2609503232488</v>
      </c>
      <c r="AE15" s="397">
        <f t="shared" ca="1" si="76"/>
        <v>9360.2609503232488</v>
      </c>
      <c r="AF15" s="397">
        <f t="shared" ca="1" si="76"/>
        <v>9360.2609503232488</v>
      </c>
      <c r="AG15" s="397">
        <f t="shared" ca="1" si="76"/>
        <v>9360.2609503232488</v>
      </c>
      <c r="AH15" s="397">
        <f t="shared" ca="1" si="76"/>
        <v>9360.2609503232488</v>
      </c>
      <c r="AI15" s="397">
        <f t="shared" ca="1" si="76"/>
        <v>9360.2609503232488</v>
      </c>
      <c r="AJ15" s="397">
        <f t="shared" ca="1" si="76"/>
        <v>9360.2609503232488</v>
      </c>
      <c r="AK15" s="397">
        <f t="shared" ca="1" si="76"/>
        <v>9360.2609503232488</v>
      </c>
      <c r="AL15" s="397">
        <f t="shared" ca="1" si="76"/>
        <v>946854.42086932901</v>
      </c>
      <c r="AM15" s="397">
        <f t="shared" ca="1" si="76"/>
        <v>3464.071265298056</v>
      </c>
      <c r="AN15" s="397">
        <f t="shared" ca="1" si="76"/>
        <v>5542.5140244768891</v>
      </c>
      <c r="AO15" s="397">
        <f t="shared" ca="1" si="76"/>
        <v>5542.5140244768891</v>
      </c>
      <c r="AP15" s="397">
        <f t="shared" ca="1" si="76"/>
        <v>5542.5140244768891</v>
      </c>
      <c r="AQ15" s="397">
        <f t="shared" ca="1" si="76"/>
        <v>5542.5140244768891</v>
      </c>
      <c r="AR15" s="397">
        <f t="shared" ca="1" si="76"/>
        <v>5542.5140244768891</v>
      </c>
      <c r="AS15" s="397">
        <f t="shared" ca="1" si="76"/>
        <v>5542.5140244768891</v>
      </c>
      <c r="AT15" s="397">
        <f t="shared" ca="1" si="76"/>
        <v>5542.5140244768891</v>
      </c>
      <c r="AU15" s="397">
        <f t="shared" ca="1" si="76"/>
        <v>5542.5140244768891</v>
      </c>
      <c r="AV15" s="397">
        <f t="shared" ca="1" si="76"/>
        <v>5542.5140244768891</v>
      </c>
      <c r="AW15" s="397">
        <f t="shared" ca="1" si="76"/>
        <v>5542.5140244768891</v>
      </c>
      <c r="AX15" s="397">
        <f t="shared" ca="1" si="76"/>
        <v>5542.5140244768891</v>
      </c>
      <c r="AY15" s="397">
        <f t="shared" ca="1" si="76"/>
        <v>5542.5140244768891</v>
      </c>
      <c r="AZ15" s="397">
        <f t="shared" ca="1" si="76"/>
        <v>6004.3901931832979</v>
      </c>
      <c r="BA15" s="397">
        <f t="shared" ca="1" si="76"/>
        <v>6004.3901931832979</v>
      </c>
      <c r="BB15" s="397">
        <f t="shared" ca="1" si="76"/>
        <v>6004.3901931832979</v>
      </c>
      <c r="BC15" s="397">
        <f t="shared" ca="1" si="76"/>
        <v>6004.3901931832979</v>
      </c>
      <c r="BD15" s="397">
        <f t="shared" ca="1" si="76"/>
        <v>6004.3901931832979</v>
      </c>
      <c r="BE15" s="397">
        <f t="shared" ca="1" si="76"/>
        <v>6004.3901931832979</v>
      </c>
      <c r="BF15" s="397">
        <f t="shared" ca="1" si="76"/>
        <v>6004.3901931832979</v>
      </c>
      <c r="BG15" s="397">
        <f t="shared" ca="1" si="76"/>
        <v>6004.3901931832979</v>
      </c>
      <c r="BH15" s="397">
        <f t="shared" ca="1" si="76"/>
        <v>6004.3901931832979</v>
      </c>
      <c r="BI15" s="397">
        <f t="shared" ca="1" si="76"/>
        <v>6004.3901931832979</v>
      </c>
      <c r="BJ15" s="397">
        <f t="shared" ca="1" si="76"/>
        <v>6004.3901931832979</v>
      </c>
      <c r="BK15" s="397">
        <f t="shared" ca="1" si="76"/>
        <v>6004.3901931832979</v>
      </c>
      <c r="BL15" s="397">
        <f t="shared" ca="1" si="76"/>
        <v>6466.2663618897059</v>
      </c>
      <c r="BM15" s="397">
        <f t="shared" ca="1" si="76"/>
        <v>6466.2663618897059</v>
      </c>
      <c r="BN15" s="397">
        <f t="shared" ca="1" si="76"/>
        <v>6466.2663618897059</v>
      </c>
      <c r="BO15" s="397">
        <f t="shared" ca="1" si="76"/>
        <v>6466.2663618897059</v>
      </c>
      <c r="BP15" s="397">
        <f t="shared" ca="1" si="76"/>
        <v>6466.2663618897059</v>
      </c>
      <c r="BQ15" s="397">
        <f t="shared" ref="BQ15:CI15" ca="1" si="77">SUM(BQ12:BQ14)</f>
        <v>6466.2663618897059</v>
      </c>
      <c r="BR15" s="397">
        <f t="shared" ca="1" si="77"/>
        <v>6466.2663618897059</v>
      </c>
      <c r="BS15" s="397">
        <f t="shared" ca="1" si="77"/>
        <v>6466.2663618897059</v>
      </c>
      <c r="BT15" s="397">
        <f t="shared" ca="1" si="77"/>
        <v>6466.2663618897059</v>
      </c>
      <c r="BU15" s="397">
        <f t="shared" ca="1" si="77"/>
        <v>6466.2663618897059</v>
      </c>
      <c r="BV15" s="397">
        <f t="shared" ca="1" si="77"/>
        <v>6466.2663618897059</v>
      </c>
      <c r="BW15" s="397">
        <f t="shared" ca="1" si="77"/>
        <v>6466.2663618897059</v>
      </c>
      <c r="BX15" s="397">
        <f t="shared" ca="1" si="77"/>
        <v>6928.142530596112</v>
      </c>
      <c r="BY15" s="397">
        <f t="shared" ca="1" si="77"/>
        <v>6928.142530596112</v>
      </c>
      <c r="BZ15" s="397">
        <f t="shared" ca="1" si="77"/>
        <v>6928.142530596112</v>
      </c>
      <c r="CA15" s="397">
        <f t="shared" ca="1" si="77"/>
        <v>6928.142530596112</v>
      </c>
      <c r="CB15" s="397">
        <f t="shared" ca="1" si="77"/>
        <v>6928.142530596112</v>
      </c>
      <c r="CC15" s="397">
        <f t="shared" ca="1" si="77"/>
        <v>6928.142530596112</v>
      </c>
      <c r="CD15" s="397">
        <f t="shared" ca="1" si="77"/>
        <v>6928.142530596112</v>
      </c>
      <c r="CE15" s="397">
        <f t="shared" ca="1" si="77"/>
        <v>6928.142530596112</v>
      </c>
      <c r="CF15" s="397">
        <f t="shared" ca="1" si="77"/>
        <v>6928.142530596112</v>
      </c>
      <c r="CG15" s="397">
        <f t="shared" ca="1" si="77"/>
        <v>6928.142530596112</v>
      </c>
      <c r="CH15" s="397">
        <f t="shared" ca="1" si="77"/>
        <v>1560386.2182133601</v>
      </c>
      <c r="CI15" s="397">
        <f t="shared" si="77"/>
        <v>0</v>
      </c>
    </row>
    <row r="17" spans="2:87">
      <c r="C17" s="171">
        <f>Assumptions!C7</f>
        <v>46204</v>
      </c>
      <c r="D17" s="171">
        <f>Assumptions!C7</f>
        <v>46204</v>
      </c>
      <c r="E17" s="172">
        <f>EDATE(D17,1)</f>
        <v>46235</v>
      </c>
      <c r="F17" s="173">
        <f t="shared" ref="F17" si="78">EDATE(E17,1)</f>
        <v>46266</v>
      </c>
      <c r="G17" s="173">
        <f t="shared" ref="G17" si="79">EDATE(F17,1)</f>
        <v>46296</v>
      </c>
      <c r="H17" s="173">
        <f t="shared" ref="H17" si="80">EDATE(G17,1)</f>
        <v>46327</v>
      </c>
      <c r="I17" s="171">
        <f t="shared" ref="I17" si="81">EDATE(H17,1)</f>
        <v>46357</v>
      </c>
      <c r="J17" s="173">
        <f t="shared" ref="J17" si="82">EDATE(I17,1)</f>
        <v>46388</v>
      </c>
      <c r="K17" s="173">
        <f t="shared" ref="K17" si="83">EDATE(J17,1)</f>
        <v>46419</v>
      </c>
      <c r="L17" s="173">
        <f t="shared" ref="L17" si="84">EDATE(K17,1)</f>
        <v>46447</v>
      </c>
      <c r="M17" s="171">
        <f t="shared" ref="M17" si="85">EDATE(L17,1)</f>
        <v>46478</v>
      </c>
      <c r="N17" s="173">
        <f t="shared" ref="N17" si="86">EDATE(M17,1)</f>
        <v>46508</v>
      </c>
      <c r="O17" s="173">
        <f t="shared" ref="O17" si="87">EDATE(N17,1)</f>
        <v>46539</v>
      </c>
      <c r="P17" s="173">
        <f t="shared" ref="P17" si="88">EDATE(O17,1)</f>
        <v>46569</v>
      </c>
      <c r="Q17" s="173">
        <f t="shared" ref="Q17" si="89">EDATE(P17,1)</f>
        <v>46600</v>
      </c>
      <c r="R17" s="173">
        <f t="shared" ref="R17" si="90">EDATE(Q17,1)</f>
        <v>46631</v>
      </c>
      <c r="S17" s="173">
        <f t="shared" ref="S17" si="91">EDATE(R17,1)</f>
        <v>46661</v>
      </c>
      <c r="T17" s="173">
        <f t="shared" ref="T17" si="92">EDATE(S17,1)</f>
        <v>46692</v>
      </c>
      <c r="U17" s="173">
        <f t="shared" ref="U17" si="93">EDATE(T17,1)</f>
        <v>46722</v>
      </c>
      <c r="V17" s="173">
        <f t="shared" ref="V17" si="94">EDATE(U17,1)</f>
        <v>46753</v>
      </c>
      <c r="W17" s="173">
        <f t="shared" ref="W17" si="95">EDATE(V17,1)</f>
        <v>46784</v>
      </c>
      <c r="X17" s="173">
        <f t="shared" ref="X17" si="96">EDATE(W17,1)</f>
        <v>46813</v>
      </c>
      <c r="Y17" s="173">
        <f t="shared" ref="Y17" si="97">EDATE(X17,1)</f>
        <v>46844</v>
      </c>
      <c r="Z17" s="173">
        <f t="shared" ref="Z17" si="98">EDATE(Y17,1)</f>
        <v>46874</v>
      </c>
      <c r="AA17" s="173">
        <f t="shared" ref="AA17" si="99">EDATE(Z17,1)</f>
        <v>46905</v>
      </c>
      <c r="AB17" s="173">
        <f t="shared" ref="AB17" si="100">EDATE(AA17,1)</f>
        <v>46935</v>
      </c>
      <c r="AC17" s="173">
        <f t="shared" ref="AC17" si="101">EDATE(AB17,1)</f>
        <v>46966</v>
      </c>
      <c r="AD17" s="173">
        <f t="shared" ref="AD17" si="102">EDATE(AC17,1)</f>
        <v>46997</v>
      </c>
      <c r="AE17" s="173">
        <f t="shared" ref="AE17" si="103">EDATE(AD17,1)</f>
        <v>47027</v>
      </c>
      <c r="AF17" s="173">
        <f t="shared" ref="AF17" si="104">EDATE(AE17,1)</f>
        <v>47058</v>
      </c>
      <c r="AG17" s="173">
        <f t="shared" ref="AG17" si="105">EDATE(AF17,1)</f>
        <v>47088</v>
      </c>
      <c r="AH17" s="173">
        <f t="shared" ref="AH17" si="106">EDATE(AG17,1)</f>
        <v>47119</v>
      </c>
      <c r="AI17" s="173">
        <f t="shared" ref="AI17" si="107">EDATE(AH17,1)</f>
        <v>47150</v>
      </c>
      <c r="AJ17" s="173">
        <f t="shared" ref="AJ17" si="108">EDATE(AI17,1)</f>
        <v>47178</v>
      </c>
      <c r="AK17" s="173">
        <f t="shared" ref="AK17" si="109">EDATE(AJ17,1)</f>
        <v>47209</v>
      </c>
      <c r="AL17" s="173">
        <f t="shared" ref="AL17" si="110">EDATE(AK17,1)</f>
        <v>47239</v>
      </c>
      <c r="AM17" s="173">
        <f t="shared" ref="AM17" si="111">EDATE(AL17,1)</f>
        <v>47270</v>
      </c>
      <c r="AN17" s="173">
        <f t="shared" ref="AN17" si="112">EDATE(AM17,1)</f>
        <v>47300</v>
      </c>
      <c r="AO17" s="173">
        <f t="shared" ref="AO17" si="113">EDATE(AN17,1)</f>
        <v>47331</v>
      </c>
      <c r="AP17" s="173">
        <f t="shared" ref="AP17" si="114">EDATE(AO17,1)</f>
        <v>47362</v>
      </c>
      <c r="AQ17" s="173">
        <f t="shared" ref="AQ17" si="115">EDATE(AP17,1)</f>
        <v>47392</v>
      </c>
      <c r="AR17" s="173">
        <f t="shared" ref="AR17" si="116">EDATE(AQ17,1)</f>
        <v>47423</v>
      </c>
      <c r="AS17" s="173">
        <f t="shared" ref="AS17" si="117">EDATE(AR17,1)</f>
        <v>47453</v>
      </c>
      <c r="AT17" s="173">
        <f t="shared" ref="AT17" si="118">EDATE(AS17,1)</f>
        <v>47484</v>
      </c>
      <c r="AU17" s="173">
        <f t="shared" ref="AU17" si="119">EDATE(AT17,1)</f>
        <v>47515</v>
      </c>
      <c r="AV17" s="173">
        <f t="shared" ref="AV17" si="120">EDATE(AU17,1)</f>
        <v>47543</v>
      </c>
      <c r="AW17" s="173">
        <f t="shared" ref="AW17" si="121">EDATE(AV17,1)</f>
        <v>47574</v>
      </c>
      <c r="AX17" s="173">
        <f t="shared" ref="AX17" si="122">EDATE(AW17,1)</f>
        <v>47604</v>
      </c>
      <c r="AY17" s="173">
        <f t="shared" ref="AY17" si="123">EDATE(AX17,1)</f>
        <v>47635</v>
      </c>
      <c r="AZ17" s="173">
        <f t="shared" ref="AZ17" si="124">EDATE(AY17,1)</f>
        <v>47665</v>
      </c>
      <c r="BA17" s="173">
        <f t="shared" ref="BA17" si="125">EDATE(AZ17,1)</f>
        <v>47696</v>
      </c>
      <c r="BB17" s="173">
        <f t="shared" ref="BB17" si="126">EDATE(BA17,1)</f>
        <v>47727</v>
      </c>
      <c r="BC17" s="173">
        <f t="shared" ref="BC17" si="127">EDATE(BB17,1)</f>
        <v>47757</v>
      </c>
      <c r="BD17" s="173">
        <f t="shared" ref="BD17" si="128">EDATE(BC17,1)</f>
        <v>47788</v>
      </c>
      <c r="BE17" s="173">
        <f t="shared" ref="BE17" si="129">EDATE(BD17,1)</f>
        <v>47818</v>
      </c>
      <c r="BF17" s="173">
        <f t="shared" ref="BF17" si="130">EDATE(BE17,1)</f>
        <v>47849</v>
      </c>
      <c r="BG17" s="173">
        <f t="shared" ref="BG17" si="131">EDATE(BF17,1)</f>
        <v>47880</v>
      </c>
      <c r="BH17" s="173">
        <f t="shared" ref="BH17" si="132">EDATE(BG17,1)</f>
        <v>47908</v>
      </c>
      <c r="BI17" s="173">
        <f t="shared" ref="BI17" si="133">EDATE(BH17,1)</f>
        <v>47939</v>
      </c>
      <c r="BJ17" s="173">
        <f t="shared" ref="BJ17" si="134">EDATE(BI17,1)</f>
        <v>47969</v>
      </c>
      <c r="BK17" s="173">
        <f t="shared" ref="BK17" si="135">EDATE(BJ17,1)</f>
        <v>48000</v>
      </c>
      <c r="BL17" s="173">
        <f t="shared" ref="BL17" si="136">EDATE(BK17,1)</f>
        <v>48030</v>
      </c>
      <c r="BM17" s="173">
        <f t="shared" ref="BM17" si="137">EDATE(BL17,1)</f>
        <v>48061</v>
      </c>
      <c r="BN17" s="173">
        <f t="shared" ref="BN17" si="138">EDATE(BM17,1)</f>
        <v>48092</v>
      </c>
      <c r="BO17" s="173">
        <f t="shared" ref="BO17" si="139">EDATE(BN17,1)</f>
        <v>48122</v>
      </c>
      <c r="BP17" s="173">
        <f t="shared" ref="BP17" si="140">EDATE(BO17,1)</f>
        <v>48153</v>
      </c>
      <c r="BQ17" s="173">
        <f t="shared" ref="BQ17" si="141">EDATE(BP17,1)</f>
        <v>48183</v>
      </c>
      <c r="BR17" s="173">
        <f t="shared" ref="BR17" si="142">EDATE(BQ17,1)</f>
        <v>48214</v>
      </c>
      <c r="BS17" s="173">
        <f t="shared" ref="BS17" si="143">EDATE(BR17,1)</f>
        <v>48245</v>
      </c>
      <c r="BT17" s="173">
        <f t="shared" ref="BT17" si="144">EDATE(BS17,1)</f>
        <v>48274</v>
      </c>
      <c r="BU17" s="173">
        <f t="shared" ref="BU17" si="145">EDATE(BT17,1)</f>
        <v>48305</v>
      </c>
      <c r="BV17" s="173">
        <f t="shared" ref="BV17" si="146">EDATE(BU17,1)</f>
        <v>48335</v>
      </c>
      <c r="BW17" s="173">
        <f t="shared" ref="BW17" si="147">EDATE(BV17,1)</f>
        <v>48366</v>
      </c>
      <c r="BX17" s="173">
        <f t="shared" ref="BX17" si="148">EDATE(BW17,1)</f>
        <v>48396</v>
      </c>
      <c r="BY17" s="173">
        <f t="shared" ref="BY17" si="149">EDATE(BX17,1)</f>
        <v>48427</v>
      </c>
      <c r="BZ17" s="173">
        <f t="shared" ref="BZ17" si="150">EDATE(BY17,1)</f>
        <v>48458</v>
      </c>
      <c r="CA17" s="173">
        <f t="shared" ref="CA17" si="151">EDATE(BZ17,1)</f>
        <v>48488</v>
      </c>
      <c r="CB17" s="173">
        <f t="shared" ref="CB17" si="152">EDATE(CA17,1)</f>
        <v>48519</v>
      </c>
      <c r="CC17" s="173">
        <f t="shared" ref="CC17" si="153">EDATE(CB17,1)</f>
        <v>48549</v>
      </c>
      <c r="CD17" s="173">
        <f t="shared" ref="CD17" si="154">EDATE(CC17,1)</f>
        <v>48580</v>
      </c>
      <c r="CE17" s="173">
        <f t="shared" ref="CE17" si="155">EDATE(CD17,1)</f>
        <v>48611</v>
      </c>
      <c r="CF17" s="173">
        <f t="shared" ref="CF17" si="156">EDATE(CE17,1)</f>
        <v>48639</v>
      </c>
      <c r="CG17" s="173">
        <f t="shared" ref="CG17" si="157">EDATE(CF17,1)</f>
        <v>48670</v>
      </c>
      <c r="CH17" s="173">
        <f t="shared" ref="CH17" si="158">EDATE(CG17,1)</f>
        <v>48700</v>
      </c>
      <c r="CI17" s="173">
        <f t="shared" ref="CI17" si="159">EDATE(CH17,1)</f>
        <v>48731</v>
      </c>
    </row>
    <row r="18" spans="2:87">
      <c r="B18" t="s">
        <v>279</v>
      </c>
      <c r="C18" s="397">
        <f ca="1">C6+C7</f>
        <v>-1497641.7520517199</v>
      </c>
      <c r="D18" s="397">
        <f t="shared" ref="D18:BO18" si="160">D6+D7</f>
        <v>0</v>
      </c>
      <c r="E18" s="397">
        <f t="shared" si="160"/>
        <v>0</v>
      </c>
      <c r="F18" s="397">
        <f t="shared" si="160"/>
        <v>0</v>
      </c>
      <c r="G18" s="397">
        <f t="shared" si="160"/>
        <v>0</v>
      </c>
      <c r="H18" s="397">
        <f t="shared" si="160"/>
        <v>0</v>
      </c>
      <c r="I18" s="397">
        <f t="shared" si="160"/>
        <v>0</v>
      </c>
      <c r="J18" s="397">
        <f t="shared" si="160"/>
        <v>0</v>
      </c>
      <c r="K18" s="397">
        <f t="shared" si="160"/>
        <v>0</v>
      </c>
      <c r="L18" s="397">
        <f t="shared" si="160"/>
        <v>0</v>
      </c>
      <c r="M18" s="397">
        <f t="shared" si="160"/>
        <v>0</v>
      </c>
      <c r="N18" s="397">
        <f t="shared" si="160"/>
        <v>0</v>
      </c>
      <c r="O18" s="397">
        <f t="shared" si="160"/>
        <v>0</v>
      </c>
      <c r="P18" s="397">
        <f t="shared" si="160"/>
        <v>0</v>
      </c>
      <c r="Q18" s="397">
        <f t="shared" si="160"/>
        <v>0</v>
      </c>
      <c r="R18" s="397">
        <f t="shared" si="160"/>
        <v>0</v>
      </c>
      <c r="S18" s="397">
        <f t="shared" si="160"/>
        <v>0</v>
      </c>
      <c r="T18" s="397">
        <f t="shared" si="160"/>
        <v>0</v>
      </c>
      <c r="U18" s="397">
        <f t="shared" si="160"/>
        <v>0</v>
      </c>
      <c r="V18" s="397">
        <f t="shared" si="160"/>
        <v>0</v>
      </c>
      <c r="W18" s="397">
        <f t="shared" si="160"/>
        <v>0</v>
      </c>
      <c r="X18" s="397">
        <f t="shared" si="160"/>
        <v>0</v>
      </c>
      <c r="Y18" s="397">
        <f t="shared" si="160"/>
        <v>0</v>
      </c>
      <c r="Z18" s="397">
        <f t="shared" si="160"/>
        <v>0</v>
      </c>
      <c r="AA18" s="397">
        <f t="shared" si="160"/>
        <v>0</v>
      </c>
      <c r="AB18" s="397">
        <f t="shared" si="160"/>
        <v>0</v>
      </c>
      <c r="AC18" s="397">
        <f t="shared" si="160"/>
        <v>0</v>
      </c>
      <c r="AD18" s="397">
        <f t="shared" si="160"/>
        <v>0</v>
      </c>
      <c r="AE18" s="397">
        <f t="shared" si="160"/>
        <v>0</v>
      </c>
      <c r="AF18" s="397">
        <f t="shared" si="160"/>
        <v>0</v>
      </c>
      <c r="AG18" s="397">
        <f t="shared" si="160"/>
        <v>0</v>
      </c>
      <c r="AH18" s="397">
        <f t="shared" si="160"/>
        <v>0</v>
      </c>
      <c r="AI18" s="397">
        <f t="shared" si="160"/>
        <v>0</v>
      </c>
      <c r="AJ18" s="397">
        <f t="shared" si="160"/>
        <v>0</v>
      </c>
      <c r="AK18" s="397">
        <f t="shared" si="160"/>
        <v>0</v>
      </c>
      <c r="AL18" s="397">
        <f t="shared" si="160"/>
        <v>0</v>
      </c>
      <c r="AM18" s="397">
        <f t="shared" si="160"/>
        <v>0</v>
      </c>
      <c r="AN18" s="397">
        <f t="shared" si="160"/>
        <v>0</v>
      </c>
      <c r="AO18" s="397">
        <f t="shared" si="160"/>
        <v>0</v>
      </c>
      <c r="AP18" s="397">
        <f t="shared" si="160"/>
        <v>0</v>
      </c>
      <c r="AQ18" s="397">
        <f t="shared" si="160"/>
        <v>0</v>
      </c>
      <c r="AR18" s="397">
        <f t="shared" si="160"/>
        <v>0</v>
      </c>
      <c r="AS18" s="397">
        <f t="shared" si="160"/>
        <v>0</v>
      </c>
      <c r="AT18" s="397">
        <f t="shared" si="160"/>
        <v>0</v>
      </c>
      <c r="AU18" s="397">
        <f t="shared" si="160"/>
        <v>0</v>
      </c>
      <c r="AV18" s="397">
        <f t="shared" si="160"/>
        <v>0</v>
      </c>
      <c r="AW18" s="397">
        <f t="shared" si="160"/>
        <v>0</v>
      </c>
      <c r="AX18" s="397">
        <f t="shared" si="160"/>
        <v>0</v>
      </c>
      <c r="AY18" s="397">
        <f t="shared" si="160"/>
        <v>0</v>
      </c>
      <c r="AZ18" s="397">
        <f t="shared" si="160"/>
        <v>0</v>
      </c>
      <c r="BA18" s="397">
        <f t="shared" si="160"/>
        <v>0</v>
      </c>
      <c r="BB18" s="397">
        <f t="shared" si="160"/>
        <v>0</v>
      </c>
      <c r="BC18" s="397">
        <f t="shared" si="160"/>
        <v>0</v>
      </c>
      <c r="BD18" s="397">
        <f t="shared" si="160"/>
        <v>0</v>
      </c>
      <c r="BE18" s="397">
        <f t="shared" si="160"/>
        <v>0</v>
      </c>
      <c r="BF18" s="397">
        <f t="shared" si="160"/>
        <v>0</v>
      </c>
      <c r="BG18" s="397">
        <f t="shared" si="160"/>
        <v>0</v>
      </c>
      <c r="BH18" s="397">
        <f t="shared" si="160"/>
        <v>0</v>
      </c>
      <c r="BI18" s="397">
        <f t="shared" si="160"/>
        <v>0</v>
      </c>
      <c r="BJ18" s="397">
        <f t="shared" si="160"/>
        <v>0</v>
      </c>
      <c r="BK18" s="397">
        <f t="shared" si="160"/>
        <v>0</v>
      </c>
      <c r="BL18" s="397">
        <f t="shared" si="160"/>
        <v>0</v>
      </c>
      <c r="BM18" s="397">
        <f t="shared" si="160"/>
        <v>0</v>
      </c>
      <c r="BN18" s="397">
        <f t="shared" si="160"/>
        <v>0</v>
      </c>
      <c r="BO18" s="397">
        <f t="shared" si="160"/>
        <v>0</v>
      </c>
      <c r="BP18" s="397">
        <f t="shared" ref="BP18:CI18" si="161">BP6+BP7</f>
        <v>0</v>
      </c>
      <c r="BQ18" s="397">
        <f t="shared" si="161"/>
        <v>0</v>
      </c>
      <c r="BR18" s="397">
        <f t="shared" si="161"/>
        <v>0</v>
      </c>
      <c r="BS18" s="397">
        <f t="shared" si="161"/>
        <v>0</v>
      </c>
      <c r="BT18" s="397">
        <f t="shared" si="161"/>
        <v>0</v>
      </c>
      <c r="BU18" s="397">
        <f t="shared" si="161"/>
        <v>0</v>
      </c>
      <c r="BV18" s="397">
        <f t="shared" si="161"/>
        <v>0</v>
      </c>
      <c r="BW18" s="397">
        <f t="shared" si="161"/>
        <v>0</v>
      </c>
      <c r="BX18" s="397">
        <f t="shared" si="161"/>
        <v>0</v>
      </c>
      <c r="BY18" s="397">
        <f t="shared" si="161"/>
        <v>0</v>
      </c>
      <c r="BZ18" s="397">
        <f t="shared" si="161"/>
        <v>0</v>
      </c>
      <c r="CA18" s="397">
        <f t="shared" si="161"/>
        <v>0</v>
      </c>
      <c r="CB18" s="397">
        <f t="shared" si="161"/>
        <v>0</v>
      </c>
      <c r="CC18" s="397">
        <f t="shared" si="161"/>
        <v>0</v>
      </c>
      <c r="CD18" s="397">
        <f t="shared" si="161"/>
        <v>0</v>
      </c>
      <c r="CE18" s="397">
        <f t="shared" si="161"/>
        <v>0</v>
      </c>
      <c r="CF18" s="397">
        <f t="shared" si="161"/>
        <v>0</v>
      </c>
      <c r="CG18" s="397">
        <f t="shared" si="161"/>
        <v>0</v>
      </c>
      <c r="CH18" s="397">
        <f t="shared" si="161"/>
        <v>0</v>
      </c>
      <c r="CI18" s="397">
        <f t="shared" si="161"/>
        <v>0</v>
      </c>
    </row>
    <row r="19" spans="2:87">
      <c r="B19" t="s">
        <v>280</v>
      </c>
      <c r="C19" s="397"/>
      <c r="D19" s="397">
        <f ca="1">D15</f>
        <v>0</v>
      </c>
      <c r="E19" s="397">
        <f t="shared" ref="E19:BP19" ca="1" si="162">E15</f>
        <v>0</v>
      </c>
      <c r="F19" s="397">
        <f t="shared" ca="1" si="162"/>
        <v>0</v>
      </c>
      <c r="G19" s="397">
        <f t="shared" ca="1" si="162"/>
        <v>0</v>
      </c>
      <c r="H19" s="397">
        <f t="shared" ca="1" si="162"/>
        <v>0</v>
      </c>
      <c r="I19" s="397">
        <f t="shared" ca="1" si="162"/>
        <v>0</v>
      </c>
      <c r="J19" s="397">
        <f t="shared" ca="1" si="162"/>
        <v>0</v>
      </c>
      <c r="K19" s="397">
        <f t="shared" ca="1" si="162"/>
        <v>0</v>
      </c>
      <c r="L19" s="397">
        <f t="shared" ca="1" si="162"/>
        <v>0</v>
      </c>
      <c r="M19" s="397">
        <f t="shared" ca="1" si="162"/>
        <v>0</v>
      </c>
      <c r="N19" s="397">
        <f t="shared" ca="1" si="162"/>
        <v>0</v>
      </c>
      <c r="O19" s="397">
        <f t="shared" ca="1" si="162"/>
        <v>0</v>
      </c>
      <c r="P19" s="397">
        <f t="shared" ca="1" si="162"/>
        <v>6240.1739668821674</v>
      </c>
      <c r="Q19" s="397">
        <f t="shared" ca="1" si="162"/>
        <v>6240.1739668821674</v>
      </c>
      <c r="R19" s="397">
        <f t="shared" ca="1" si="162"/>
        <v>6240.1739668821674</v>
      </c>
      <c r="S19" s="397">
        <f t="shared" ca="1" si="162"/>
        <v>6240.1739668821674</v>
      </c>
      <c r="T19" s="397">
        <f t="shared" ca="1" si="162"/>
        <v>6240.1739668821674</v>
      </c>
      <c r="U19" s="397">
        <f t="shared" ca="1" si="162"/>
        <v>6240.1739668821674</v>
      </c>
      <c r="V19" s="397">
        <f t="shared" ca="1" si="162"/>
        <v>6240.1739668821674</v>
      </c>
      <c r="W19" s="397">
        <f t="shared" ca="1" si="162"/>
        <v>6240.1739668821674</v>
      </c>
      <c r="X19" s="397">
        <f t="shared" ca="1" si="162"/>
        <v>6240.1739668821674</v>
      </c>
      <c r="Y19" s="397">
        <f t="shared" ca="1" si="162"/>
        <v>6240.1739668821674</v>
      </c>
      <c r="Z19" s="397">
        <f t="shared" ca="1" si="162"/>
        <v>6240.1739668821674</v>
      </c>
      <c r="AA19" s="397">
        <f t="shared" ca="1" si="162"/>
        <v>6240.1739668821674</v>
      </c>
      <c r="AB19" s="397">
        <f t="shared" ca="1" si="162"/>
        <v>9360.2609503232488</v>
      </c>
      <c r="AC19" s="397">
        <f t="shared" ca="1" si="162"/>
        <v>9360.2609503232488</v>
      </c>
      <c r="AD19" s="397">
        <f t="shared" ca="1" si="162"/>
        <v>9360.2609503232488</v>
      </c>
      <c r="AE19" s="397">
        <f t="shared" ca="1" si="162"/>
        <v>9360.2609503232488</v>
      </c>
      <c r="AF19" s="397">
        <f t="shared" ca="1" si="162"/>
        <v>9360.2609503232488</v>
      </c>
      <c r="AG19" s="397">
        <f t="shared" ca="1" si="162"/>
        <v>9360.2609503232488</v>
      </c>
      <c r="AH19" s="397">
        <f t="shared" ca="1" si="162"/>
        <v>9360.2609503232488</v>
      </c>
      <c r="AI19" s="397">
        <f t="shared" ca="1" si="162"/>
        <v>9360.2609503232488</v>
      </c>
      <c r="AJ19" s="397">
        <f t="shared" ca="1" si="162"/>
        <v>9360.2609503232488</v>
      </c>
      <c r="AK19" s="397">
        <f t="shared" ca="1" si="162"/>
        <v>9360.2609503232488</v>
      </c>
      <c r="AL19" s="397">
        <f t="shared" ca="1" si="162"/>
        <v>946854.42086932901</v>
      </c>
      <c r="AM19" s="397">
        <f t="shared" ca="1" si="162"/>
        <v>3464.071265298056</v>
      </c>
      <c r="AN19" s="397">
        <f t="shared" ca="1" si="162"/>
        <v>5542.5140244768891</v>
      </c>
      <c r="AO19" s="397">
        <f t="shared" ca="1" si="162"/>
        <v>5542.5140244768891</v>
      </c>
      <c r="AP19" s="397">
        <f t="shared" ca="1" si="162"/>
        <v>5542.5140244768891</v>
      </c>
      <c r="AQ19" s="397">
        <f t="shared" ca="1" si="162"/>
        <v>5542.5140244768891</v>
      </c>
      <c r="AR19" s="397">
        <f t="shared" ca="1" si="162"/>
        <v>5542.5140244768891</v>
      </c>
      <c r="AS19" s="397">
        <f t="shared" ca="1" si="162"/>
        <v>5542.5140244768891</v>
      </c>
      <c r="AT19" s="397">
        <f t="shared" ca="1" si="162"/>
        <v>5542.5140244768891</v>
      </c>
      <c r="AU19" s="397">
        <f t="shared" ca="1" si="162"/>
        <v>5542.5140244768891</v>
      </c>
      <c r="AV19" s="397">
        <f t="shared" ca="1" si="162"/>
        <v>5542.5140244768891</v>
      </c>
      <c r="AW19" s="397">
        <f t="shared" ca="1" si="162"/>
        <v>5542.5140244768891</v>
      </c>
      <c r="AX19" s="397">
        <f t="shared" ca="1" si="162"/>
        <v>5542.5140244768891</v>
      </c>
      <c r="AY19" s="397">
        <f t="shared" ca="1" si="162"/>
        <v>5542.5140244768891</v>
      </c>
      <c r="AZ19" s="397">
        <f t="shared" ca="1" si="162"/>
        <v>6004.3901931832979</v>
      </c>
      <c r="BA19" s="397">
        <f t="shared" ca="1" si="162"/>
        <v>6004.3901931832979</v>
      </c>
      <c r="BB19" s="397">
        <f t="shared" ca="1" si="162"/>
        <v>6004.3901931832979</v>
      </c>
      <c r="BC19" s="397">
        <f t="shared" ca="1" si="162"/>
        <v>6004.3901931832979</v>
      </c>
      <c r="BD19" s="397">
        <f t="shared" ca="1" si="162"/>
        <v>6004.3901931832979</v>
      </c>
      <c r="BE19" s="397">
        <f t="shared" ca="1" si="162"/>
        <v>6004.3901931832979</v>
      </c>
      <c r="BF19" s="397">
        <f t="shared" ca="1" si="162"/>
        <v>6004.3901931832979</v>
      </c>
      <c r="BG19" s="397">
        <f t="shared" ca="1" si="162"/>
        <v>6004.3901931832979</v>
      </c>
      <c r="BH19" s="397">
        <f t="shared" ca="1" si="162"/>
        <v>6004.3901931832979</v>
      </c>
      <c r="BI19" s="397">
        <f t="shared" ca="1" si="162"/>
        <v>6004.3901931832979</v>
      </c>
      <c r="BJ19" s="397">
        <f t="shared" ca="1" si="162"/>
        <v>6004.3901931832979</v>
      </c>
      <c r="BK19" s="397">
        <f t="shared" ca="1" si="162"/>
        <v>6004.3901931832979</v>
      </c>
      <c r="BL19" s="397">
        <f t="shared" ca="1" si="162"/>
        <v>6466.2663618897059</v>
      </c>
      <c r="BM19" s="397">
        <f t="shared" ca="1" si="162"/>
        <v>6466.2663618897059</v>
      </c>
      <c r="BN19" s="397">
        <f t="shared" ca="1" si="162"/>
        <v>6466.2663618897059</v>
      </c>
      <c r="BO19" s="397">
        <f t="shared" ca="1" si="162"/>
        <v>6466.2663618897059</v>
      </c>
      <c r="BP19" s="397">
        <f t="shared" ca="1" si="162"/>
        <v>6466.2663618897059</v>
      </c>
      <c r="BQ19" s="397">
        <f t="shared" ref="BQ19:CI19" ca="1" si="163">BQ15</f>
        <v>6466.2663618897059</v>
      </c>
      <c r="BR19" s="397">
        <f t="shared" ca="1" si="163"/>
        <v>6466.2663618897059</v>
      </c>
      <c r="BS19" s="397">
        <f t="shared" ca="1" si="163"/>
        <v>6466.2663618897059</v>
      </c>
      <c r="BT19" s="397">
        <f t="shared" ca="1" si="163"/>
        <v>6466.2663618897059</v>
      </c>
      <c r="BU19" s="397">
        <f t="shared" ca="1" si="163"/>
        <v>6466.2663618897059</v>
      </c>
      <c r="BV19" s="397">
        <f t="shared" ca="1" si="163"/>
        <v>6466.2663618897059</v>
      </c>
      <c r="BW19" s="397">
        <f t="shared" ca="1" si="163"/>
        <v>6466.2663618897059</v>
      </c>
      <c r="BX19" s="397">
        <f t="shared" ca="1" si="163"/>
        <v>6928.142530596112</v>
      </c>
      <c r="BY19" s="397">
        <f t="shared" ca="1" si="163"/>
        <v>6928.142530596112</v>
      </c>
      <c r="BZ19" s="397">
        <f t="shared" ca="1" si="163"/>
        <v>6928.142530596112</v>
      </c>
      <c r="CA19" s="397">
        <f t="shared" ca="1" si="163"/>
        <v>6928.142530596112</v>
      </c>
      <c r="CB19" s="397">
        <f t="shared" ca="1" si="163"/>
        <v>6928.142530596112</v>
      </c>
      <c r="CC19" s="397">
        <f t="shared" ca="1" si="163"/>
        <v>6928.142530596112</v>
      </c>
      <c r="CD19" s="397">
        <f t="shared" ca="1" si="163"/>
        <v>6928.142530596112</v>
      </c>
      <c r="CE19" s="397">
        <f t="shared" ca="1" si="163"/>
        <v>6928.142530596112</v>
      </c>
      <c r="CF19" s="397">
        <f t="shared" ca="1" si="163"/>
        <v>6928.142530596112</v>
      </c>
      <c r="CG19" s="397">
        <f t="shared" ca="1" si="163"/>
        <v>6928.142530596112</v>
      </c>
      <c r="CH19" s="397">
        <f t="shared" ca="1" si="163"/>
        <v>1560386.2182133601</v>
      </c>
      <c r="CI19" s="397">
        <f t="shared" si="163"/>
        <v>0</v>
      </c>
    </row>
    <row r="20" spans="2:87" s="1" customFormat="1">
      <c r="B20" s="1" t="s">
        <v>281</v>
      </c>
      <c r="C20" s="401">
        <f ca="1">C18+C19</f>
        <v>-1497641.7520517199</v>
      </c>
      <c r="D20" s="401">
        <f t="shared" ref="D20:BO20" ca="1" si="164">D18+D19</f>
        <v>0</v>
      </c>
      <c r="E20" s="401">
        <f t="shared" ca="1" si="164"/>
        <v>0</v>
      </c>
      <c r="F20" s="401">
        <f t="shared" ca="1" si="164"/>
        <v>0</v>
      </c>
      <c r="G20" s="401">
        <f t="shared" ca="1" si="164"/>
        <v>0</v>
      </c>
      <c r="H20" s="401">
        <f t="shared" ca="1" si="164"/>
        <v>0</v>
      </c>
      <c r="I20" s="401">
        <f t="shared" ca="1" si="164"/>
        <v>0</v>
      </c>
      <c r="J20" s="401">
        <f t="shared" ca="1" si="164"/>
        <v>0</v>
      </c>
      <c r="K20" s="401">
        <f t="shared" ca="1" si="164"/>
        <v>0</v>
      </c>
      <c r="L20" s="401">
        <f t="shared" ca="1" si="164"/>
        <v>0</v>
      </c>
      <c r="M20" s="401">
        <f t="shared" ca="1" si="164"/>
        <v>0</v>
      </c>
      <c r="N20" s="401">
        <f t="shared" ca="1" si="164"/>
        <v>0</v>
      </c>
      <c r="O20" s="401">
        <f t="shared" ca="1" si="164"/>
        <v>0</v>
      </c>
      <c r="P20" s="401">
        <f t="shared" ca="1" si="164"/>
        <v>6240.1739668821674</v>
      </c>
      <c r="Q20" s="401">
        <f t="shared" ca="1" si="164"/>
        <v>6240.1739668821674</v>
      </c>
      <c r="R20" s="401">
        <f t="shared" ca="1" si="164"/>
        <v>6240.1739668821674</v>
      </c>
      <c r="S20" s="401">
        <f t="shared" ca="1" si="164"/>
        <v>6240.1739668821674</v>
      </c>
      <c r="T20" s="401">
        <f t="shared" ca="1" si="164"/>
        <v>6240.1739668821674</v>
      </c>
      <c r="U20" s="401">
        <f t="shared" ca="1" si="164"/>
        <v>6240.1739668821674</v>
      </c>
      <c r="V20" s="401">
        <f t="shared" ca="1" si="164"/>
        <v>6240.1739668821674</v>
      </c>
      <c r="W20" s="401">
        <f t="shared" ca="1" si="164"/>
        <v>6240.1739668821674</v>
      </c>
      <c r="X20" s="401">
        <f t="shared" ca="1" si="164"/>
        <v>6240.1739668821674</v>
      </c>
      <c r="Y20" s="401">
        <f t="shared" ca="1" si="164"/>
        <v>6240.1739668821674</v>
      </c>
      <c r="Z20" s="401">
        <f t="shared" ca="1" si="164"/>
        <v>6240.1739668821674</v>
      </c>
      <c r="AA20" s="401">
        <f t="shared" ca="1" si="164"/>
        <v>6240.1739668821674</v>
      </c>
      <c r="AB20" s="401">
        <f t="shared" ca="1" si="164"/>
        <v>9360.2609503232488</v>
      </c>
      <c r="AC20" s="401">
        <f t="shared" ca="1" si="164"/>
        <v>9360.2609503232488</v>
      </c>
      <c r="AD20" s="401">
        <f t="shared" ca="1" si="164"/>
        <v>9360.2609503232488</v>
      </c>
      <c r="AE20" s="401">
        <f t="shared" ca="1" si="164"/>
        <v>9360.2609503232488</v>
      </c>
      <c r="AF20" s="401">
        <f t="shared" ca="1" si="164"/>
        <v>9360.2609503232488</v>
      </c>
      <c r="AG20" s="401">
        <f t="shared" ca="1" si="164"/>
        <v>9360.2609503232488</v>
      </c>
      <c r="AH20" s="401">
        <f t="shared" ca="1" si="164"/>
        <v>9360.2609503232488</v>
      </c>
      <c r="AI20" s="401">
        <f t="shared" ca="1" si="164"/>
        <v>9360.2609503232488</v>
      </c>
      <c r="AJ20" s="401">
        <f t="shared" ca="1" si="164"/>
        <v>9360.2609503232488</v>
      </c>
      <c r="AK20" s="401">
        <f t="shared" ca="1" si="164"/>
        <v>9360.2609503232488</v>
      </c>
      <c r="AL20" s="401">
        <f t="shared" ca="1" si="164"/>
        <v>946854.42086932901</v>
      </c>
      <c r="AM20" s="401">
        <f t="shared" ca="1" si="164"/>
        <v>3464.071265298056</v>
      </c>
      <c r="AN20" s="401">
        <f t="shared" ca="1" si="164"/>
        <v>5542.5140244768891</v>
      </c>
      <c r="AO20" s="401">
        <f t="shared" ca="1" si="164"/>
        <v>5542.5140244768891</v>
      </c>
      <c r="AP20" s="401">
        <f t="shared" ca="1" si="164"/>
        <v>5542.5140244768891</v>
      </c>
      <c r="AQ20" s="401">
        <f t="shared" ca="1" si="164"/>
        <v>5542.5140244768891</v>
      </c>
      <c r="AR20" s="401">
        <f t="shared" ca="1" si="164"/>
        <v>5542.5140244768891</v>
      </c>
      <c r="AS20" s="401">
        <f t="shared" ca="1" si="164"/>
        <v>5542.5140244768891</v>
      </c>
      <c r="AT20" s="401">
        <f t="shared" ca="1" si="164"/>
        <v>5542.5140244768891</v>
      </c>
      <c r="AU20" s="401">
        <f t="shared" ca="1" si="164"/>
        <v>5542.5140244768891</v>
      </c>
      <c r="AV20" s="401">
        <f t="shared" ca="1" si="164"/>
        <v>5542.5140244768891</v>
      </c>
      <c r="AW20" s="401">
        <f t="shared" ca="1" si="164"/>
        <v>5542.5140244768891</v>
      </c>
      <c r="AX20" s="401">
        <f t="shared" ca="1" si="164"/>
        <v>5542.5140244768891</v>
      </c>
      <c r="AY20" s="401">
        <f t="shared" ca="1" si="164"/>
        <v>5542.5140244768891</v>
      </c>
      <c r="AZ20" s="401">
        <f t="shared" ca="1" si="164"/>
        <v>6004.3901931832979</v>
      </c>
      <c r="BA20" s="401">
        <f t="shared" ca="1" si="164"/>
        <v>6004.3901931832979</v>
      </c>
      <c r="BB20" s="401">
        <f t="shared" ca="1" si="164"/>
        <v>6004.3901931832979</v>
      </c>
      <c r="BC20" s="401">
        <f t="shared" ca="1" si="164"/>
        <v>6004.3901931832979</v>
      </c>
      <c r="BD20" s="401">
        <f t="shared" ca="1" si="164"/>
        <v>6004.3901931832979</v>
      </c>
      <c r="BE20" s="401">
        <f t="shared" ca="1" si="164"/>
        <v>6004.3901931832979</v>
      </c>
      <c r="BF20" s="401">
        <f t="shared" ca="1" si="164"/>
        <v>6004.3901931832979</v>
      </c>
      <c r="BG20" s="401">
        <f t="shared" ca="1" si="164"/>
        <v>6004.3901931832979</v>
      </c>
      <c r="BH20" s="401">
        <f t="shared" ca="1" si="164"/>
        <v>6004.3901931832979</v>
      </c>
      <c r="BI20" s="401">
        <f t="shared" ca="1" si="164"/>
        <v>6004.3901931832979</v>
      </c>
      <c r="BJ20" s="401">
        <f t="shared" ca="1" si="164"/>
        <v>6004.3901931832979</v>
      </c>
      <c r="BK20" s="401">
        <f t="shared" ca="1" si="164"/>
        <v>6004.3901931832979</v>
      </c>
      <c r="BL20" s="401">
        <f t="shared" ca="1" si="164"/>
        <v>6466.2663618897059</v>
      </c>
      <c r="BM20" s="401">
        <f t="shared" ca="1" si="164"/>
        <v>6466.2663618897059</v>
      </c>
      <c r="BN20" s="401">
        <f t="shared" ca="1" si="164"/>
        <v>6466.2663618897059</v>
      </c>
      <c r="BO20" s="401">
        <f t="shared" ca="1" si="164"/>
        <v>6466.2663618897059</v>
      </c>
      <c r="BP20" s="401">
        <f t="shared" ref="BP20:CI20" ca="1" si="165">BP18+BP19</f>
        <v>6466.2663618897059</v>
      </c>
      <c r="BQ20" s="401">
        <f t="shared" ca="1" si="165"/>
        <v>6466.2663618897059</v>
      </c>
      <c r="BR20" s="401">
        <f t="shared" ca="1" si="165"/>
        <v>6466.2663618897059</v>
      </c>
      <c r="BS20" s="401">
        <f t="shared" ca="1" si="165"/>
        <v>6466.2663618897059</v>
      </c>
      <c r="BT20" s="401">
        <f t="shared" ca="1" si="165"/>
        <v>6466.2663618897059</v>
      </c>
      <c r="BU20" s="401">
        <f t="shared" ca="1" si="165"/>
        <v>6466.2663618897059</v>
      </c>
      <c r="BV20" s="401">
        <f t="shared" ca="1" si="165"/>
        <v>6466.2663618897059</v>
      </c>
      <c r="BW20" s="401">
        <f t="shared" ca="1" si="165"/>
        <v>6466.2663618897059</v>
      </c>
      <c r="BX20" s="401">
        <f t="shared" ca="1" si="165"/>
        <v>6928.142530596112</v>
      </c>
      <c r="BY20" s="401">
        <f t="shared" ca="1" si="165"/>
        <v>6928.142530596112</v>
      </c>
      <c r="BZ20" s="401">
        <f t="shared" ca="1" si="165"/>
        <v>6928.142530596112</v>
      </c>
      <c r="CA20" s="401">
        <f t="shared" ca="1" si="165"/>
        <v>6928.142530596112</v>
      </c>
      <c r="CB20" s="401">
        <f t="shared" ca="1" si="165"/>
        <v>6928.142530596112</v>
      </c>
      <c r="CC20" s="401">
        <f t="shared" ca="1" si="165"/>
        <v>6928.142530596112</v>
      </c>
      <c r="CD20" s="401">
        <f t="shared" ca="1" si="165"/>
        <v>6928.142530596112</v>
      </c>
      <c r="CE20" s="401">
        <f t="shared" ca="1" si="165"/>
        <v>6928.142530596112</v>
      </c>
      <c r="CF20" s="401">
        <f t="shared" ca="1" si="165"/>
        <v>6928.142530596112</v>
      </c>
      <c r="CG20" s="401">
        <f t="shared" ca="1" si="165"/>
        <v>6928.142530596112</v>
      </c>
      <c r="CH20" s="401">
        <f t="shared" ca="1" si="165"/>
        <v>1560386.2182133601</v>
      </c>
      <c r="CI20" s="401">
        <f t="shared" si="165"/>
        <v>0</v>
      </c>
    </row>
    <row r="21" spans="2:87">
      <c r="B21" t="s">
        <v>395</v>
      </c>
      <c r="C21" s="433">
        <f ca="1">C8</f>
        <v>-1497641.7520517199</v>
      </c>
      <c r="D21" s="433">
        <f ca="1">D8+SUM($D$13:D13)</f>
        <v>-1497641.7520517199</v>
      </c>
      <c r="E21" s="433">
        <f ca="1">E8+SUM($D$13:E13)</f>
        <v>-1497641.7520517199</v>
      </c>
      <c r="F21" s="433">
        <f ca="1">F8+SUM($D$13:F13)</f>
        <v>-1497641.7520517199</v>
      </c>
      <c r="G21" s="433">
        <f ca="1">G8+SUM($D$13:G13)</f>
        <v>-1497641.7520517199</v>
      </c>
      <c r="H21" s="433">
        <f ca="1">H8+SUM($D$13:H13)</f>
        <v>-1497641.7520517199</v>
      </c>
      <c r="I21" s="433">
        <f ca="1">I8+SUM($D$13:I13)</f>
        <v>-1497641.7520517199</v>
      </c>
      <c r="J21" s="433">
        <f ca="1">J8+SUM($D$13:J13)</f>
        <v>-1497641.7520517199</v>
      </c>
      <c r="K21" s="433">
        <f ca="1">K8+SUM($D$13:K13)</f>
        <v>-1497641.7520517199</v>
      </c>
      <c r="L21" s="433">
        <f ca="1">L8+SUM($D$13:L13)</f>
        <v>-1497641.7520517199</v>
      </c>
      <c r="M21" s="433">
        <f ca="1">M8+SUM($D$13:M13)</f>
        <v>-1497641.7520517199</v>
      </c>
      <c r="N21" s="433">
        <f ca="1">N8+SUM($D$13:N13)</f>
        <v>-1497641.7520517199</v>
      </c>
      <c r="O21" s="433">
        <f ca="1">O8+SUM($D$13:O13)</f>
        <v>-1497641.7520517199</v>
      </c>
      <c r="P21" s="433">
        <f ca="1">P8+SUM($D$13:P13)</f>
        <v>-1497641.7520517199</v>
      </c>
      <c r="Q21" s="433">
        <f ca="1">Q8+SUM($D$13:Q13)</f>
        <v>-1497641.7520517199</v>
      </c>
      <c r="R21" s="433">
        <f ca="1">R8+SUM($D$13:R13)</f>
        <v>-1497641.7520517199</v>
      </c>
      <c r="S21" s="433">
        <f ca="1">S8+SUM($D$13:S13)</f>
        <v>-1497641.7520517199</v>
      </c>
      <c r="T21" s="433">
        <f ca="1">T8+SUM($D$13:T13)</f>
        <v>-1497641.7520517199</v>
      </c>
      <c r="U21" s="433">
        <f ca="1">U8+SUM($D$13:U13)</f>
        <v>-1497641.7520517199</v>
      </c>
      <c r="V21" s="433">
        <f ca="1">V8+SUM($D$13:V13)</f>
        <v>-1497641.7520517199</v>
      </c>
      <c r="W21" s="433">
        <f ca="1">W8+SUM($D$13:W13)</f>
        <v>-1497641.7520517199</v>
      </c>
      <c r="X21" s="433">
        <f ca="1">X8+SUM($D$13:X13)</f>
        <v>-1497641.7520517199</v>
      </c>
      <c r="Y21" s="433">
        <f ca="1">Y8+SUM($D$13:Y13)</f>
        <v>-1497641.7520517199</v>
      </c>
      <c r="Z21" s="433">
        <f ca="1">Z8+SUM($D$13:Z13)</f>
        <v>-1497641.7520517199</v>
      </c>
      <c r="AA21" s="433">
        <f ca="1">AA8+SUM($D$13:AA13)</f>
        <v>-1497641.7520517199</v>
      </c>
      <c r="AB21" s="433">
        <f ca="1">AB8+SUM($D$13:AB13)</f>
        <v>-1497641.7520517199</v>
      </c>
      <c r="AC21" s="433">
        <f ca="1">AC8+SUM($D$13:AC13)</f>
        <v>-1497641.7520517199</v>
      </c>
      <c r="AD21" s="433">
        <f ca="1">AD8+SUM($D$13:AD13)</f>
        <v>-1497641.7520517199</v>
      </c>
      <c r="AE21" s="433">
        <f ca="1">AE8+SUM($D$13:AE13)</f>
        <v>-1497641.7520517199</v>
      </c>
      <c r="AF21" s="433">
        <f ca="1">AF8+SUM($D$13:AF13)</f>
        <v>-1497641.7520517199</v>
      </c>
      <c r="AG21" s="433">
        <f ca="1">AG8+SUM($D$13:AG13)</f>
        <v>-1497641.7520517199</v>
      </c>
      <c r="AH21" s="433">
        <f ca="1">AH8+SUM($D$13:AH13)</f>
        <v>-1497641.7520517199</v>
      </c>
      <c r="AI21" s="433">
        <f ca="1">AI8+SUM($D$13:AI13)</f>
        <v>-1497641.7520517199</v>
      </c>
      <c r="AJ21" s="433">
        <f ca="1">AJ8+SUM($D$13:AJ13)</f>
        <v>-1497641.7520517199</v>
      </c>
      <c r="AK21" s="433">
        <f ca="1">AK8+SUM($D$13:AK13)</f>
        <v>-1497641.7520517199</v>
      </c>
      <c r="AL21" s="433">
        <f ca="1">AL8+SUM($D$13:AL13)</f>
        <v>-554251.40244768898</v>
      </c>
      <c r="AM21" s="433">
        <f ca="1">AM8+SUM($D$13:AM13)</f>
        <v>-554251.40244768898</v>
      </c>
      <c r="AN21" s="433">
        <f ca="1">AN8+SUM($D$13:AN13)</f>
        <v>-554251.40244768898</v>
      </c>
      <c r="AO21" s="433">
        <f ca="1">AO8+SUM($D$13:AO13)</f>
        <v>-554251.40244768898</v>
      </c>
      <c r="AP21" s="433">
        <f ca="1">AP8+SUM($D$13:AP13)</f>
        <v>-554251.40244768898</v>
      </c>
      <c r="AQ21" s="433">
        <f ca="1">AQ8+SUM($D$13:AQ13)</f>
        <v>-554251.40244768898</v>
      </c>
      <c r="AR21" s="433">
        <f ca="1">AR8+SUM($D$13:AR13)</f>
        <v>-554251.40244768898</v>
      </c>
      <c r="AS21" s="433">
        <f ca="1">AS8+SUM($D$13:AS13)</f>
        <v>-554251.40244768898</v>
      </c>
      <c r="AT21" s="433">
        <f ca="1">AT8+SUM($D$13:AT13)</f>
        <v>-554251.40244768898</v>
      </c>
      <c r="AU21" s="433">
        <f ca="1">AU8+SUM($D$13:AU13)</f>
        <v>-554251.40244768898</v>
      </c>
      <c r="AV21" s="433">
        <f ca="1">AV8+SUM($D$13:AV13)</f>
        <v>-554251.40244768898</v>
      </c>
      <c r="AW21" s="433">
        <f ca="1">AW8+SUM($D$13:AW13)</f>
        <v>-554251.40244768898</v>
      </c>
      <c r="AX21" s="433">
        <f ca="1">AX8+SUM($D$13:AX13)</f>
        <v>-554251.40244768898</v>
      </c>
      <c r="AY21" s="433">
        <f ca="1">AY8+SUM($D$13:AY13)</f>
        <v>-554251.40244768898</v>
      </c>
      <c r="AZ21" s="433">
        <f ca="1">AZ8+SUM($D$13:AZ13)</f>
        <v>-554251.40244768898</v>
      </c>
      <c r="BA21" s="433">
        <f ca="1">BA8+SUM($D$13:BA13)</f>
        <v>-554251.40244768898</v>
      </c>
      <c r="BB21" s="433">
        <f ca="1">BB8+SUM($D$13:BB13)</f>
        <v>-554251.40244768898</v>
      </c>
      <c r="BC21" s="433">
        <f ca="1">BC8+SUM($D$13:BC13)</f>
        <v>-554251.40244768898</v>
      </c>
      <c r="BD21" s="433">
        <f ca="1">BD8+SUM($D$13:BD13)</f>
        <v>-554251.40244768898</v>
      </c>
      <c r="BE21" s="433">
        <f ca="1">BE8+SUM($D$13:BE13)</f>
        <v>-554251.40244768898</v>
      </c>
      <c r="BF21" s="433">
        <f ca="1">BF8+SUM($D$13:BF13)</f>
        <v>-554251.40244768898</v>
      </c>
      <c r="BG21" s="433">
        <f ca="1">BG8+SUM($D$13:BG13)</f>
        <v>-554251.40244768898</v>
      </c>
      <c r="BH21" s="433">
        <f ca="1">BH8+SUM($D$13:BH13)</f>
        <v>-554251.40244768898</v>
      </c>
      <c r="BI21" s="433">
        <f ca="1">BI8+SUM($D$13:BI13)</f>
        <v>-554251.40244768898</v>
      </c>
      <c r="BJ21" s="433">
        <f ca="1">BJ8+SUM($D$13:BJ13)</f>
        <v>-554251.40244768898</v>
      </c>
      <c r="BK21" s="433">
        <f ca="1">BK8+SUM($D$13:BK13)</f>
        <v>-554251.40244768898</v>
      </c>
      <c r="BL21" s="433">
        <f ca="1">BL8+SUM($D$13:BL13)</f>
        <v>-554251.40244768898</v>
      </c>
      <c r="BM21" s="433">
        <f ca="1">BM8+SUM($D$13:BM13)</f>
        <v>-554251.40244768898</v>
      </c>
      <c r="BN21" s="433">
        <f ca="1">BN8+SUM($D$13:BN13)</f>
        <v>-554251.40244768898</v>
      </c>
      <c r="BO21" s="433">
        <f ca="1">BO8+SUM($D$13:BO13)</f>
        <v>-554251.40244768898</v>
      </c>
      <c r="BP21" s="433">
        <f ca="1">BP8+SUM($D$13:BP13)</f>
        <v>-554251.40244768898</v>
      </c>
      <c r="BQ21" s="433">
        <f ca="1">BQ8+SUM($D$13:BQ13)</f>
        <v>-554251.40244768898</v>
      </c>
      <c r="BR21" s="433">
        <f ca="1">BR8+SUM($D$13:BR13)</f>
        <v>-554251.40244768898</v>
      </c>
      <c r="BS21" s="433">
        <f ca="1">BS8+SUM($D$13:BS13)</f>
        <v>-554251.40244768898</v>
      </c>
      <c r="BT21" s="433">
        <f ca="1">BT8+SUM($D$13:BT13)</f>
        <v>-554251.40244768898</v>
      </c>
      <c r="BU21" s="433">
        <f ca="1">BU8+SUM($D$13:BU13)</f>
        <v>-554251.40244768898</v>
      </c>
      <c r="BV21" s="433">
        <f ca="1">BV8+SUM($D$13:BV13)</f>
        <v>-554251.40244768898</v>
      </c>
      <c r="BW21" s="433">
        <f ca="1">BW8+SUM($D$13:BW13)</f>
        <v>-554251.40244768898</v>
      </c>
      <c r="BX21" s="433">
        <f ca="1">BX8+SUM($D$13:BX13)</f>
        <v>-554251.40244768898</v>
      </c>
      <c r="BY21" s="433">
        <f ca="1">BY8+SUM($D$13:BY13)</f>
        <v>-554251.40244768898</v>
      </c>
      <c r="BZ21" s="433">
        <f ca="1">BZ8+SUM($D$13:BZ13)</f>
        <v>-554251.40244768898</v>
      </c>
      <c r="CA21" s="433">
        <f ca="1">CA8+SUM($D$13:CA13)</f>
        <v>-554251.40244768898</v>
      </c>
      <c r="CB21" s="433">
        <f ca="1">CB8+SUM($D$13:CB13)</f>
        <v>-554251.40244768898</v>
      </c>
      <c r="CC21" s="433">
        <f ca="1">CC8+SUM($D$13:CC13)</f>
        <v>-554251.40244768898</v>
      </c>
      <c r="CD21" s="433">
        <f ca="1">CD8+SUM($D$13:CD13)</f>
        <v>-554251.40244768898</v>
      </c>
      <c r="CE21" s="433">
        <f ca="1">CE8+SUM($D$13:CE13)</f>
        <v>-554251.40244768898</v>
      </c>
      <c r="CF21" s="433">
        <f ca="1">CF8+SUM($D$13:CF13)</f>
        <v>-554251.40244768898</v>
      </c>
      <c r="CG21" s="433">
        <f ca="1">CG8+SUM($D$13:CG13)</f>
        <v>-554251.40244768898</v>
      </c>
      <c r="CH21" s="433">
        <f ca="1">CH8+SUM($D$13:CH13)</f>
        <v>-554251.40244768898</v>
      </c>
      <c r="CI21" s="433">
        <f ca="1">CI8+SUM($D$13:CI13)</f>
        <v>-554251.40244768898</v>
      </c>
    </row>
    <row r="22" spans="2:87">
      <c r="C22" s="460"/>
    </row>
    <row r="23" spans="2:87">
      <c r="C23" s="436"/>
    </row>
    <row r="26" spans="2:87">
      <c r="B26" s="908" t="s">
        <v>288</v>
      </c>
      <c r="C26" s="908"/>
      <c r="D26" s="908"/>
      <c r="E26" s="908"/>
      <c r="F26" s="908"/>
      <c r="G26" s="908"/>
      <c r="H26" s="908"/>
      <c r="I26" s="908"/>
      <c r="J26" s="908"/>
      <c r="K26" s="908"/>
      <c r="L26" s="908"/>
      <c r="M26" s="908"/>
      <c r="N26" s="908"/>
    </row>
    <row r="27" spans="2:87" ht="15" thickBot="1">
      <c r="B27" s="908"/>
      <c r="C27" s="908"/>
      <c r="D27" s="908"/>
      <c r="E27" s="908"/>
      <c r="F27" s="908"/>
      <c r="G27" s="908"/>
      <c r="H27" s="908"/>
      <c r="I27" s="908"/>
      <c r="J27" s="908"/>
      <c r="K27" s="908"/>
      <c r="L27" s="908"/>
      <c r="M27" s="908"/>
      <c r="N27" s="908"/>
    </row>
    <row r="28" spans="2:87">
      <c r="C28" s="140">
        <v>0</v>
      </c>
      <c r="D28" s="140">
        <v>1</v>
      </c>
      <c r="E28" s="137">
        <v>2</v>
      </c>
      <c r="F28" s="141">
        <v>3</v>
      </c>
      <c r="G28" s="141">
        <v>4</v>
      </c>
      <c r="H28" s="141">
        <v>5</v>
      </c>
      <c r="I28" s="140">
        <v>6</v>
      </c>
      <c r="J28" s="141">
        <v>7</v>
      </c>
      <c r="K28" s="141">
        <v>8</v>
      </c>
      <c r="L28" s="141">
        <v>9</v>
      </c>
      <c r="M28" s="140">
        <v>10</v>
      </c>
      <c r="N28" s="141">
        <v>11</v>
      </c>
      <c r="O28" s="141">
        <v>12</v>
      </c>
      <c r="P28" s="140">
        <v>13</v>
      </c>
      <c r="Q28" s="137">
        <v>14</v>
      </c>
      <c r="R28" s="141">
        <v>15</v>
      </c>
      <c r="S28" s="141">
        <v>16</v>
      </c>
      <c r="T28" s="141">
        <v>17</v>
      </c>
      <c r="U28" s="140">
        <v>18</v>
      </c>
      <c r="V28" s="141">
        <v>19</v>
      </c>
      <c r="W28" s="141">
        <v>20</v>
      </c>
      <c r="X28" s="141">
        <v>21</v>
      </c>
      <c r="Y28" s="140">
        <v>22</v>
      </c>
      <c r="Z28" s="141">
        <v>23</v>
      </c>
      <c r="AA28" s="141">
        <v>24</v>
      </c>
      <c r="AB28" s="140">
        <v>25</v>
      </c>
      <c r="AC28" s="137">
        <v>26</v>
      </c>
      <c r="AD28" s="141">
        <v>27</v>
      </c>
      <c r="AE28" s="141">
        <v>28</v>
      </c>
      <c r="AF28" s="141">
        <v>29</v>
      </c>
      <c r="AG28" s="140">
        <v>30</v>
      </c>
      <c r="AH28" s="141">
        <v>31</v>
      </c>
      <c r="AI28" s="141">
        <v>32</v>
      </c>
      <c r="AJ28" s="141">
        <v>33</v>
      </c>
      <c r="AK28" s="140">
        <v>34</v>
      </c>
      <c r="AL28" s="141">
        <v>35</v>
      </c>
      <c r="AM28" s="141">
        <v>36</v>
      </c>
      <c r="AN28" s="140">
        <v>37</v>
      </c>
      <c r="AO28" s="137">
        <v>38</v>
      </c>
      <c r="AP28" s="141">
        <v>39</v>
      </c>
      <c r="AQ28" s="141">
        <v>40</v>
      </c>
      <c r="AR28" s="141">
        <v>41</v>
      </c>
      <c r="AS28" s="140">
        <v>42</v>
      </c>
      <c r="AT28" s="141">
        <v>43</v>
      </c>
      <c r="AU28" s="141">
        <v>44</v>
      </c>
      <c r="AV28" s="141">
        <v>45</v>
      </c>
      <c r="AW28" s="140">
        <v>46</v>
      </c>
      <c r="AX28" s="141">
        <v>47</v>
      </c>
      <c r="AY28" s="141">
        <v>48</v>
      </c>
      <c r="AZ28" s="140">
        <v>49</v>
      </c>
      <c r="BA28" s="137">
        <v>50</v>
      </c>
      <c r="BB28" s="141">
        <v>51</v>
      </c>
      <c r="BC28" s="141">
        <v>52</v>
      </c>
      <c r="BD28" s="141">
        <v>53</v>
      </c>
      <c r="BE28" s="140">
        <v>54</v>
      </c>
      <c r="BF28" s="141">
        <v>55</v>
      </c>
      <c r="BG28" s="141">
        <v>56</v>
      </c>
      <c r="BH28" s="141">
        <v>57</v>
      </c>
      <c r="BI28" s="140">
        <v>58</v>
      </c>
      <c r="BJ28" s="141">
        <v>59</v>
      </c>
      <c r="BK28" s="141">
        <v>60</v>
      </c>
      <c r="BL28" s="140">
        <v>61</v>
      </c>
      <c r="BM28" s="137">
        <v>62</v>
      </c>
      <c r="BN28" s="141">
        <v>63</v>
      </c>
      <c r="BO28" s="141">
        <v>64</v>
      </c>
      <c r="BP28" s="141">
        <v>65</v>
      </c>
      <c r="BQ28" s="140">
        <v>66</v>
      </c>
      <c r="BR28" s="141">
        <v>67</v>
      </c>
      <c r="BS28" s="141">
        <v>68</v>
      </c>
      <c r="BT28" s="141">
        <v>69</v>
      </c>
      <c r="BU28" s="140">
        <v>70</v>
      </c>
      <c r="BV28" s="141">
        <v>71</v>
      </c>
      <c r="BW28" s="140">
        <v>72</v>
      </c>
      <c r="BX28" s="141">
        <v>73</v>
      </c>
      <c r="BY28" s="141">
        <v>74</v>
      </c>
      <c r="BZ28" s="141">
        <v>75</v>
      </c>
      <c r="CA28" s="140">
        <v>76</v>
      </c>
      <c r="CB28" s="141">
        <v>77</v>
      </c>
      <c r="CC28" s="140">
        <v>78</v>
      </c>
      <c r="CD28" s="141">
        <v>79</v>
      </c>
      <c r="CE28" s="141">
        <v>80</v>
      </c>
      <c r="CF28" s="141">
        <v>81</v>
      </c>
      <c r="CG28" s="141">
        <v>82</v>
      </c>
      <c r="CH28" s="140">
        <v>83</v>
      </c>
      <c r="CI28" s="141">
        <v>84</v>
      </c>
    </row>
    <row r="29" spans="2:87">
      <c r="C29" s="170"/>
      <c r="D29" s="171">
        <f>Assumptions!C7</f>
        <v>46204</v>
      </c>
      <c r="E29" s="172">
        <f>EDATE(D29,1)</f>
        <v>46235</v>
      </c>
      <c r="F29" s="173">
        <f t="shared" ref="F29" si="166">EDATE(E29,1)</f>
        <v>46266</v>
      </c>
      <c r="G29" s="173">
        <f t="shared" ref="G29" si="167">EDATE(F29,1)</f>
        <v>46296</v>
      </c>
      <c r="H29" s="173">
        <f t="shared" ref="H29" si="168">EDATE(G29,1)</f>
        <v>46327</v>
      </c>
      <c r="I29" s="171">
        <f t="shared" ref="I29" si="169">EDATE(H29,1)</f>
        <v>46357</v>
      </c>
      <c r="J29" s="173">
        <f t="shared" ref="J29" si="170">EDATE(I29,1)</f>
        <v>46388</v>
      </c>
      <c r="K29" s="173">
        <f t="shared" ref="K29" si="171">EDATE(J29,1)</f>
        <v>46419</v>
      </c>
      <c r="L29" s="173">
        <f t="shared" ref="L29" si="172">EDATE(K29,1)</f>
        <v>46447</v>
      </c>
      <c r="M29" s="171">
        <f t="shared" ref="M29" si="173">EDATE(L29,1)</f>
        <v>46478</v>
      </c>
      <c r="N29" s="173">
        <f t="shared" ref="N29" si="174">EDATE(M29,1)</f>
        <v>46508</v>
      </c>
      <c r="O29" s="173">
        <f t="shared" ref="O29" si="175">EDATE(N29,1)</f>
        <v>46539</v>
      </c>
      <c r="P29" s="173">
        <f t="shared" ref="P29" si="176">EDATE(O29,1)</f>
        <v>46569</v>
      </c>
      <c r="Q29" s="173">
        <f t="shared" ref="Q29" si="177">EDATE(P29,1)</f>
        <v>46600</v>
      </c>
      <c r="R29" s="173">
        <f t="shared" ref="R29" si="178">EDATE(Q29,1)</f>
        <v>46631</v>
      </c>
      <c r="S29" s="173">
        <f t="shared" ref="S29" si="179">EDATE(R29,1)</f>
        <v>46661</v>
      </c>
      <c r="T29" s="173">
        <f t="shared" ref="T29" si="180">EDATE(S29,1)</f>
        <v>46692</v>
      </c>
      <c r="U29" s="173">
        <f t="shared" ref="U29" si="181">EDATE(T29,1)</f>
        <v>46722</v>
      </c>
      <c r="V29" s="173">
        <f t="shared" ref="V29" si="182">EDATE(U29,1)</f>
        <v>46753</v>
      </c>
      <c r="W29" s="173">
        <f t="shared" ref="W29" si="183">EDATE(V29,1)</f>
        <v>46784</v>
      </c>
      <c r="X29" s="173">
        <f t="shared" ref="X29" si="184">EDATE(W29,1)</f>
        <v>46813</v>
      </c>
      <c r="Y29" s="173">
        <f t="shared" ref="Y29" si="185">EDATE(X29,1)</f>
        <v>46844</v>
      </c>
      <c r="Z29" s="173">
        <f t="shared" ref="Z29" si="186">EDATE(Y29,1)</f>
        <v>46874</v>
      </c>
      <c r="AA29" s="173">
        <f t="shared" ref="AA29" si="187">EDATE(Z29,1)</f>
        <v>46905</v>
      </c>
      <c r="AB29" s="173">
        <f t="shared" ref="AB29" si="188">EDATE(AA29,1)</f>
        <v>46935</v>
      </c>
      <c r="AC29" s="173">
        <f t="shared" ref="AC29" si="189">EDATE(AB29,1)</f>
        <v>46966</v>
      </c>
      <c r="AD29" s="173">
        <f t="shared" ref="AD29" si="190">EDATE(AC29,1)</f>
        <v>46997</v>
      </c>
      <c r="AE29" s="173">
        <f t="shared" ref="AE29" si="191">EDATE(AD29,1)</f>
        <v>47027</v>
      </c>
      <c r="AF29" s="173">
        <f t="shared" ref="AF29" si="192">EDATE(AE29,1)</f>
        <v>47058</v>
      </c>
      <c r="AG29" s="173">
        <f t="shared" ref="AG29" si="193">EDATE(AF29,1)</f>
        <v>47088</v>
      </c>
      <c r="AH29" s="173">
        <f t="shared" ref="AH29" si="194">EDATE(AG29,1)</f>
        <v>47119</v>
      </c>
      <c r="AI29" s="173">
        <f t="shared" ref="AI29" si="195">EDATE(AH29,1)</f>
        <v>47150</v>
      </c>
      <c r="AJ29" s="173">
        <f t="shared" ref="AJ29" si="196">EDATE(AI29,1)</f>
        <v>47178</v>
      </c>
      <c r="AK29" s="173">
        <f t="shared" ref="AK29" si="197">EDATE(AJ29,1)</f>
        <v>47209</v>
      </c>
      <c r="AL29" s="173">
        <f t="shared" ref="AL29" si="198">EDATE(AK29,1)</f>
        <v>47239</v>
      </c>
      <c r="AM29" s="173">
        <f t="shared" ref="AM29" si="199">EDATE(AL29,1)</f>
        <v>47270</v>
      </c>
      <c r="AN29" s="173">
        <f t="shared" ref="AN29" si="200">EDATE(AM29,1)</f>
        <v>47300</v>
      </c>
      <c r="AO29" s="173">
        <f t="shared" ref="AO29" si="201">EDATE(AN29,1)</f>
        <v>47331</v>
      </c>
      <c r="AP29" s="173">
        <f t="shared" ref="AP29" si="202">EDATE(AO29,1)</f>
        <v>47362</v>
      </c>
      <c r="AQ29" s="173">
        <f t="shared" ref="AQ29" si="203">EDATE(AP29,1)</f>
        <v>47392</v>
      </c>
      <c r="AR29" s="173">
        <f t="shared" ref="AR29" si="204">EDATE(AQ29,1)</f>
        <v>47423</v>
      </c>
      <c r="AS29" s="173">
        <f t="shared" ref="AS29" si="205">EDATE(AR29,1)</f>
        <v>47453</v>
      </c>
      <c r="AT29" s="173">
        <f t="shared" ref="AT29" si="206">EDATE(AS29,1)</f>
        <v>47484</v>
      </c>
      <c r="AU29" s="173">
        <f t="shared" ref="AU29" si="207">EDATE(AT29,1)</f>
        <v>47515</v>
      </c>
      <c r="AV29" s="173">
        <f t="shared" ref="AV29" si="208">EDATE(AU29,1)</f>
        <v>47543</v>
      </c>
      <c r="AW29" s="173">
        <f t="shared" ref="AW29" si="209">EDATE(AV29,1)</f>
        <v>47574</v>
      </c>
      <c r="AX29" s="173">
        <f t="shared" ref="AX29" si="210">EDATE(AW29,1)</f>
        <v>47604</v>
      </c>
      <c r="AY29" s="173">
        <f t="shared" ref="AY29" si="211">EDATE(AX29,1)</f>
        <v>47635</v>
      </c>
      <c r="AZ29" s="173">
        <f t="shared" ref="AZ29" si="212">EDATE(AY29,1)</f>
        <v>47665</v>
      </c>
      <c r="BA29" s="173">
        <f t="shared" ref="BA29" si="213">EDATE(AZ29,1)</f>
        <v>47696</v>
      </c>
      <c r="BB29" s="173">
        <f t="shared" ref="BB29" si="214">EDATE(BA29,1)</f>
        <v>47727</v>
      </c>
      <c r="BC29" s="173">
        <f t="shared" ref="BC29" si="215">EDATE(BB29,1)</f>
        <v>47757</v>
      </c>
      <c r="BD29" s="173">
        <f t="shared" ref="BD29" si="216">EDATE(BC29,1)</f>
        <v>47788</v>
      </c>
      <c r="BE29" s="173">
        <f t="shared" ref="BE29" si="217">EDATE(BD29,1)</f>
        <v>47818</v>
      </c>
      <c r="BF29" s="173">
        <f t="shared" ref="BF29" si="218">EDATE(BE29,1)</f>
        <v>47849</v>
      </c>
      <c r="BG29" s="173">
        <f t="shared" ref="BG29" si="219">EDATE(BF29,1)</f>
        <v>47880</v>
      </c>
      <c r="BH29" s="173">
        <f t="shared" ref="BH29" si="220">EDATE(BG29,1)</f>
        <v>47908</v>
      </c>
      <c r="BI29" s="173">
        <f t="shared" ref="BI29" si="221">EDATE(BH29,1)</f>
        <v>47939</v>
      </c>
      <c r="BJ29" s="173">
        <f t="shared" ref="BJ29" si="222">EDATE(BI29,1)</f>
        <v>47969</v>
      </c>
      <c r="BK29" s="173">
        <f t="shared" ref="BK29" si="223">EDATE(BJ29,1)</f>
        <v>48000</v>
      </c>
      <c r="BL29" s="173">
        <f t="shared" ref="BL29" si="224">EDATE(BK29,1)</f>
        <v>48030</v>
      </c>
      <c r="BM29" s="173">
        <f t="shared" ref="BM29" si="225">EDATE(BL29,1)</f>
        <v>48061</v>
      </c>
      <c r="BN29" s="173">
        <f t="shared" ref="BN29" si="226">EDATE(BM29,1)</f>
        <v>48092</v>
      </c>
      <c r="BO29" s="173">
        <f t="shared" ref="BO29" si="227">EDATE(BN29,1)</f>
        <v>48122</v>
      </c>
      <c r="BP29" s="173">
        <f t="shared" ref="BP29" si="228">EDATE(BO29,1)</f>
        <v>48153</v>
      </c>
      <c r="BQ29" s="173">
        <f t="shared" ref="BQ29" si="229">EDATE(BP29,1)</f>
        <v>48183</v>
      </c>
      <c r="BR29" s="173">
        <f t="shared" ref="BR29" si="230">EDATE(BQ29,1)</f>
        <v>48214</v>
      </c>
      <c r="BS29" s="173">
        <f t="shared" ref="BS29" si="231">EDATE(BR29,1)</f>
        <v>48245</v>
      </c>
      <c r="BT29" s="173">
        <f t="shared" ref="BT29" si="232">EDATE(BS29,1)</f>
        <v>48274</v>
      </c>
      <c r="BU29" s="173">
        <f t="shared" ref="BU29" si="233">EDATE(BT29,1)</f>
        <v>48305</v>
      </c>
      <c r="BV29" s="173">
        <f t="shared" ref="BV29" si="234">EDATE(BU29,1)</f>
        <v>48335</v>
      </c>
      <c r="BW29" s="173">
        <f t="shared" ref="BW29" si="235">EDATE(BV29,1)</f>
        <v>48366</v>
      </c>
      <c r="BX29" s="173">
        <f t="shared" ref="BX29" si="236">EDATE(BW29,1)</f>
        <v>48396</v>
      </c>
      <c r="BY29" s="173">
        <f t="shared" ref="BY29" si="237">EDATE(BX29,1)</f>
        <v>48427</v>
      </c>
      <c r="BZ29" s="173">
        <f t="shared" ref="BZ29" si="238">EDATE(BY29,1)</f>
        <v>48458</v>
      </c>
      <c r="CA29" s="173">
        <f t="shared" ref="CA29" si="239">EDATE(BZ29,1)</f>
        <v>48488</v>
      </c>
      <c r="CB29" s="173">
        <f t="shared" ref="CB29" si="240">EDATE(CA29,1)</f>
        <v>48519</v>
      </c>
      <c r="CC29" s="173">
        <f t="shared" ref="CC29" si="241">EDATE(CB29,1)</f>
        <v>48549</v>
      </c>
      <c r="CD29" s="173">
        <f t="shared" ref="CD29" si="242">EDATE(CC29,1)</f>
        <v>48580</v>
      </c>
      <c r="CE29" s="173">
        <f t="shared" ref="CE29" si="243">EDATE(CD29,1)</f>
        <v>48611</v>
      </c>
      <c r="CF29" s="173">
        <f t="shared" ref="CF29" si="244">EDATE(CE29,1)</f>
        <v>48639</v>
      </c>
      <c r="CG29" s="173">
        <f t="shared" ref="CG29" si="245">EDATE(CF29,1)</f>
        <v>48670</v>
      </c>
      <c r="CH29" s="173">
        <f t="shared" ref="CH29" si="246">EDATE(CG29,1)</f>
        <v>48700</v>
      </c>
      <c r="CI29" s="173">
        <f t="shared" ref="CI29" si="247">EDATE(CH29,1)</f>
        <v>48731</v>
      </c>
    </row>
    <row r="30" spans="2:87">
      <c r="B30" s="1" t="s">
        <v>1</v>
      </c>
    </row>
    <row r="31" spans="2:87">
      <c r="B31" t="s">
        <v>271</v>
      </c>
      <c r="C31" s="397">
        <f ca="1">-Assumptions!C32</f>
        <v>-1474622.05</v>
      </c>
      <c r="D31" s="397"/>
      <c r="E31" s="397"/>
      <c r="F31" s="397"/>
      <c r="G31" s="397"/>
      <c r="H31" s="397"/>
      <c r="I31" s="397"/>
      <c r="J31" s="397"/>
      <c r="K31" s="397"/>
      <c r="L31" s="397"/>
      <c r="M31" s="397"/>
      <c r="N31" s="397"/>
      <c r="O31" s="397"/>
      <c r="P31" s="397"/>
      <c r="Q31" s="397"/>
      <c r="R31" s="397"/>
      <c r="S31" s="397"/>
      <c r="T31" s="397"/>
      <c r="U31" s="397"/>
      <c r="V31" s="397"/>
      <c r="W31" s="397"/>
      <c r="X31" s="397"/>
      <c r="Y31" s="397"/>
      <c r="Z31" s="397"/>
      <c r="AA31" s="397"/>
      <c r="AB31" s="397"/>
      <c r="AC31" s="397"/>
      <c r="AD31" s="397"/>
      <c r="AE31" s="397"/>
      <c r="AF31" s="397"/>
      <c r="AG31" s="397"/>
      <c r="AH31" s="397"/>
      <c r="AI31" s="397"/>
      <c r="AJ31" s="397"/>
      <c r="AK31" s="397"/>
      <c r="AL31" s="397"/>
      <c r="AM31" s="397"/>
      <c r="AN31" s="397"/>
      <c r="AO31" s="397"/>
      <c r="AP31" s="397"/>
      <c r="AQ31" s="397"/>
      <c r="AR31" s="397"/>
      <c r="AS31" s="397"/>
      <c r="AT31" s="397"/>
      <c r="AU31" s="397"/>
      <c r="AV31" s="397"/>
      <c r="AW31" s="397"/>
      <c r="AX31" s="397"/>
      <c r="AY31" s="397"/>
      <c r="AZ31" s="397"/>
      <c r="BA31" s="397"/>
      <c r="BB31" s="397"/>
      <c r="BC31" s="397"/>
      <c r="BD31" s="397"/>
      <c r="BE31" s="397"/>
      <c r="BF31" s="397"/>
      <c r="BG31" s="397"/>
      <c r="BH31" s="397"/>
      <c r="BI31" s="397"/>
      <c r="BJ31" s="397"/>
      <c r="BK31" s="397"/>
      <c r="BL31" s="397"/>
      <c r="BM31" s="397"/>
      <c r="BN31" s="397"/>
      <c r="BO31" s="397"/>
      <c r="BP31" s="397"/>
      <c r="BQ31" s="397"/>
      <c r="BR31" s="397"/>
      <c r="BS31" s="397"/>
      <c r="BT31" s="397"/>
      <c r="BU31" s="397"/>
      <c r="BV31" s="397"/>
      <c r="BW31" s="397"/>
      <c r="BX31" s="397"/>
      <c r="BY31" s="397"/>
      <c r="BZ31" s="397"/>
      <c r="CA31" s="397"/>
      <c r="CB31" s="397"/>
      <c r="CC31" s="397"/>
      <c r="CD31" s="397"/>
      <c r="CE31" s="397"/>
      <c r="CF31" s="397"/>
      <c r="CG31" s="397"/>
      <c r="CH31" s="397"/>
      <c r="CI31" s="397"/>
    </row>
    <row r="32" spans="2:87">
      <c r="B32" t="s">
        <v>266</v>
      </c>
      <c r="C32" s="397"/>
      <c r="D32" s="397">
        <f>IF(D3&lt;='Sale Analysis'!$H$3,-IF('Monthly Cash Flow'!$C$88="Equity Contribution",HLOOKUP(D3,'Monthly Cash Flow'!D79:CP89,10),0),0)</f>
        <v>0</v>
      </c>
      <c r="E32" s="397">
        <f>IF(E3&lt;='Sale Analysis'!$H$3,-IF('Monthly Cash Flow'!$C$88="Equity Contribution",HLOOKUP(E3,'Monthly Cash Flow'!E79:CQ89,10),0),0)</f>
        <v>0</v>
      </c>
      <c r="F32" s="397">
        <f>IF(F3&lt;='Sale Analysis'!$H$3,-IF('Monthly Cash Flow'!$C$88="Equity Contribution",HLOOKUP(F3,'Monthly Cash Flow'!F79:CR89,10),0),0)</f>
        <v>0</v>
      </c>
      <c r="G32" s="397">
        <f>IF(G3&lt;='Sale Analysis'!$H$3,-IF('Monthly Cash Flow'!$C$88="Equity Contribution",HLOOKUP(G3,'Monthly Cash Flow'!G79:CS89,10),0),0)</f>
        <v>0</v>
      </c>
      <c r="H32" s="397">
        <f>IF(H3&lt;='Sale Analysis'!$H$3,-IF('Monthly Cash Flow'!$C$88="Equity Contribution",HLOOKUP(H3,'Monthly Cash Flow'!H79:CT89,10),0),0)</f>
        <v>0</v>
      </c>
      <c r="I32" s="397">
        <f>IF(I3&lt;='Sale Analysis'!$H$3,-IF('Monthly Cash Flow'!$C$88="Equity Contribution",HLOOKUP(I3,'Monthly Cash Flow'!I79:CU89,10),0),0)</f>
        <v>0</v>
      </c>
      <c r="J32" s="397">
        <f>IF(J3&lt;='Sale Analysis'!$H$3,-IF('Monthly Cash Flow'!$C$88="Equity Contribution",HLOOKUP(J3,'Monthly Cash Flow'!J79:CV89,10),0),0)</f>
        <v>0</v>
      </c>
      <c r="K32" s="397">
        <f>IF(K3&lt;='Sale Analysis'!$H$3,-IF('Monthly Cash Flow'!$C$88="Equity Contribution",HLOOKUP(K3,'Monthly Cash Flow'!K79:CW89,10),0),0)</f>
        <v>0</v>
      </c>
      <c r="L32" s="397">
        <f>IF(L3&lt;='Sale Analysis'!$H$3,-IF('Monthly Cash Flow'!$C$88="Equity Contribution",HLOOKUP(L3,'Monthly Cash Flow'!L79:CX89,10),0),0)</f>
        <v>0</v>
      </c>
      <c r="M32" s="397">
        <f>IF(M3&lt;='Sale Analysis'!$H$3,-IF('Monthly Cash Flow'!$C$88="Equity Contribution",HLOOKUP(M3,'Monthly Cash Flow'!M79:CY89,10),0),0)</f>
        <v>0</v>
      </c>
      <c r="N32" s="397">
        <f>IF(N3&lt;='Sale Analysis'!$H$3,-IF('Monthly Cash Flow'!$C$88="Equity Contribution",HLOOKUP(N3,'Monthly Cash Flow'!N79:CZ89,10),0),0)</f>
        <v>0</v>
      </c>
      <c r="O32" s="397">
        <f>IF(O3&lt;='Sale Analysis'!$H$3,-IF('Monthly Cash Flow'!$C$88="Equity Contribution",HLOOKUP(O3,'Monthly Cash Flow'!O79:DA89,10),0),0)</f>
        <v>0</v>
      </c>
      <c r="P32" s="397">
        <f>IF(P3&lt;='Sale Analysis'!$H$3,-IF('Monthly Cash Flow'!$C$88="Equity Contribution",HLOOKUP(P3,'Monthly Cash Flow'!P79:DB89,10),0),0)</f>
        <v>0</v>
      </c>
      <c r="Q32" s="397">
        <f>IF(Q3&lt;='Sale Analysis'!$H$3,-IF('Monthly Cash Flow'!$C$88="Equity Contribution",HLOOKUP(Q3,'Monthly Cash Flow'!Q79:DC89,10),0),0)</f>
        <v>0</v>
      </c>
      <c r="R32" s="397">
        <f>IF(R3&lt;='Sale Analysis'!$H$3,-IF('Monthly Cash Flow'!$C$88="Equity Contribution",HLOOKUP(R3,'Monthly Cash Flow'!R79:DD89,10),0),0)</f>
        <v>0</v>
      </c>
      <c r="S32" s="397">
        <f>IF(S3&lt;='Sale Analysis'!$H$3,-IF('Monthly Cash Flow'!$C$88="Equity Contribution",HLOOKUP(S3,'Monthly Cash Flow'!S79:DE89,10),0),0)</f>
        <v>0</v>
      </c>
      <c r="T32" s="397">
        <f>IF(T3&lt;='Sale Analysis'!$H$3,-IF('Monthly Cash Flow'!$C$88="Equity Contribution",HLOOKUP(T3,'Monthly Cash Flow'!T79:DF89,10),0),0)</f>
        <v>0</v>
      </c>
      <c r="U32" s="397">
        <f>IF(U3&lt;='Sale Analysis'!$H$3,-IF('Monthly Cash Flow'!$C$88="Equity Contribution",HLOOKUP(U3,'Monthly Cash Flow'!U79:DG89,10),0),0)</f>
        <v>0</v>
      </c>
      <c r="V32" s="397">
        <f>IF(V3&lt;='Sale Analysis'!$H$3,-IF('Monthly Cash Flow'!$C$88="Equity Contribution",HLOOKUP(V3,'Monthly Cash Flow'!V79:DH89,10),0),0)</f>
        <v>0</v>
      </c>
      <c r="W32" s="397">
        <f>IF(W3&lt;='Sale Analysis'!$H$3,-IF('Monthly Cash Flow'!$C$88="Equity Contribution",HLOOKUP(W3,'Monthly Cash Flow'!W79:DI89,10),0),0)</f>
        <v>0</v>
      </c>
      <c r="X32" s="397">
        <f>IF(X3&lt;='Sale Analysis'!$H$3,-IF('Monthly Cash Flow'!$C$88="Equity Contribution",HLOOKUP(X3,'Monthly Cash Flow'!X79:DJ89,10),0),0)</f>
        <v>0</v>
      </c>
      <c r="Y32" s="397">
        <f>IF(Y3&lt;='Sale Analysis'!$H$3,-IF('Monthly Cash Flow'!$C$88="Equity Contribution",HLOOKUP(Y3,'Monthly Cash Flow'!Y79:DK89,10),0),0)</f>
        <v>0</v>
      </c>
      <c r="Z32" s="397">
        <f>IF(Z3&lt;='Sale Analysis'!$H$3,-IF('Monthly Cash Flow'!$C$88="Equity Contribution",HLOOKUP(Z3,'Monthly Cash Flow'!Z79:DL89,10),0),0)</f>
        <v>0</v>
      </c>
      <c r="AA32" s="397">
        <f>IF(AA3&lt;='Sale Analysis'!$H$3,-IF('Monthly Cash Flow'!$C$88="Equity Contribution",HLOOKUP(AA3,'Monthly Cash Flow'!AA79:DM89,10),0),0)</f>
        <v>0</v>
      </c>
      <c r="AB32" s="397">
        <f>IF(AB3&lt;='Sale Analysis'!$H$3,-IF('Monthly Cash Flow'!$C$88="Equity Contribution",HLOOKUP(AB3,'Monthly Cash Flow'!AB79:DN89,10),0),0)</f>
        <v>0</v>
      </c>
      <c r="AC32" s="397">
        <f>IF(AC3&lt;='Sale Analysis'!$H$3,-IF('Monthly Cash Flow'!$C$88="Equity Contribution",HLOOKUP(AC3,'Monthly Cash Flow'!AC79:DO89,10),0),0)</f>
        <v>0</v>
      </c>
      <c r="AD32" s="397">
        <f>IF(AD3&lt;='Sale Analysis'!$H$3,-IF('Monthly Cash Flow'!$C$88="Equity Contribution",HLOOKUP(AD3,'Monthly Cash Flow'!AD79:DP89,10),0),0)</f>
        <v>0</v>
      </c>
      <c r="AE32" s="397">
        <f>IF(AE3&lt;='Sale Analysis'!$H$3,-IF('Monthly Cash Flow'!$C$88="Equity Contribution",HLOOKUP(AE3,'Monthly Cash Flow'!AE79:DQ89,10),0),0)</f>
        <v>0</v>
      </c>
      <c r="AF32" s="397">
        <f>IF(AF3&lt;='Sale Analysis'!$H$3,-IF('Monthly Cash Flow'!$C$88="Equity Contribution",HLOOKUP(AF3,'Monthly Cash Flow'!AF79:DR89,10),0),0)</f>
        <v>0</v>
      </c>
      <c r="AG32" s="397">
        <f>IF(AG3&lt;='Sale Analysis'!$H$3,-IF('Monthly Cash Flow'!$C$88="Equity Contribution",HLOOKUP(AG3,'Monthly Cash Flow'!AG79:DS89,10),0),0)</f>
        <v>0</v>
      </c>
      <c r="AH32" s="397">
        <f>IF(AH3&lt;='Sale Analysis'!$H$3,-IF('Monthly Cash Flow'!$C$88="Equity Contribution",HLOOKUP(AH3,'Monthly Cash Flow'!AH79:DT89,10),0),0)</f>
        <v>0</v>
      </c>
      <c r="AI32" s="397">
        <f>IF(AI3&lt;='Sale Analysis'!$H$3,-IF('Monthly Cash Flow'!$C$88="Equity Contribution",HLOOKUP(AI3,'Monthly Cash Flow'!AI79:DU89,10),0),0)</f>
        <v>0</v>
      </c>
      <c r="AJ32" s="397">
        <f>IF(AJ3&lt;='Sale Analysis'!$H$3,-IF('Monthly Cash Flow'!$C$88="Equity Contribution",HLOOKUP(AJ3,'Monthly Cash Flow'!AJ79:DV89,10),0),0)</f>
        <v>0</v>
      </c>
      <c r="AK32" s="397">
        <f>IF(AK3&lt;='Sale Analysis'!$H$3,-IF('Monthly Cash Flow'!$C$88="Equity Contribution",HLOOKUP(AK3,'Monthly Cash Flow'!AK79:DW89,10),0),0)</f>
        <v>0</v>
      </c>
      <c r="AL32" s="397">
        <f>IF(AL3&lt;='Sale Analysis'!$H$3,-IF('Monthly Cash Flow'!$C$88="Equity Contribution",HLOOKUP(AL3,'Monthly Cash Flow'!AL79:DX89,10),0),0)</f>
        <v>0</v>
      </c>
      <c r="AM32" s="397">
        <f>IF(AM3&lt;='Sale Analysis'!$H$3,-IF('Monthly Cash Flow'!$C$88="Equity Contribution",HLOOKUP(AM3,'Monthly Cash Flow'!AM79:DY89,10),0),0)</f>
        <v>0</v>
      </c>
      <c r="AN32" s="397">
        <f>IF(AN3&lt;='Sale Analysis'!$H$3,-IF('Monthly Cash Flow'!$C$88="Equity Contribution",HLOOKUP(AN3,'Monthly Cash Flow'!AN79:DZ89,10),0),0)</f>
        <v>0</v>
      </c>
      <c r="AO32" s="397">
        <f>IF(AO3&lt;='Sale Analysis'!$H$3,-IF('Monthly Cash Flow'!$C$88="Equity Contribution",HLOOKUP(AO3,'Monthly Cash Flow'!AO79:EA89,10),0),0)</f>
        <v>0</v>
      </c>
      <c r="AP32" s="397">
        <f>IF(AP3&lt;='Sale Analysis'!$H$3,-IF('Monthly Cash Flow'!$C$88="Equity Contribution",HLOOKUP(AP3,'Monthly Cash Flow'!AP79:EB89,10),0),0)</f>
        <v>0</v>
      </c>
      <c r="AQ32" s="397">
        <f>IF(AQ3&lt;='Sale Analysis'!$H$3,-IF('Monthly Cash Flow'!$C$88="Equity Contribution",HLOOKUP(AQ3,'Monthly Cash Flow'!AQ79:EC89,10),0),0)</f>
        <v>0</v>
      </c>
      <c r="AR32" s="397">
        <f>IF(AR3&lt;='Sale Analysis'!$H$3,-IF('Monthly Cash Flow'!$C$88="Equity Contribution",HLOOKUP(AR3,'Monthly Cash Flow'!AR79:ED89,10),0),0)</f>
        <v>0</v>
      </c>
      <c r="AS32" s="397">
        <f>IF(AS3&lt;='Sale Analysis'!$H$3,-IF('Monthly Cash Flow'!$C$88="Equity Contribution",HLOOKUP(AS3,'Monthly Cash Flow'!AS79:EE89,10),0),0)</f>
        <v>0</v>
      </c>
      <c r="AT32" s="397">
        <f>IF(AT3&lt;='Sale Analysis'!$H$3,-IF('Monthly Cash Flow'!$C$88="Equity Contribution",HLOOKUP(AT3,'Monthly Cash Flow'!AT79:EF89,10),0),0)</f>
        <v>0</v>
      </c>
      <c r="AU32" s="397">
        <f>IF(AU3&lt;='Sale Analysis'!$H$3,-IF('Monthly Cash Flow'!$C$88="Equity Contribution",HLOOKUP(AU3,'Monthly Cash Flow'!AU79:EG89,10),0),0)</f>
        <v>0</v>
      </c>
      <c r="AV32" s="397">
        <f>IF(AV3&lt;='Sale Analysis'!$H$3,-IF('Monthly Cash Flow'!$C$88="Equity Contribution",HLOOKUP(AV3,'Monthly Cash Flow'!AV79:EH89,10),0),0)</f>
        <v>0</v>
      </c>
      <c r="AW32" s="397">
        <f>IF(AW3&lt;='Sale Analysis'!$H$3,-IF('Monthly Cash Flow'!$C$88="Equity Contribution",HLOOKUP(AW3,'Monthly Cash Flow'!AW79:EI89,10),0),0)</f>
        <v>0</v>
      </c>
      <c r="AX32" s="397">
        <f>IF(AX3&lt;='Sale Analysis'!$H$3,-IF('Monthly Cash Flow'!$C$88="Equity Contribution",HLOOKUP(AX3,'Monthly Cash Flow'!AX79:EJ89,10),0),0)</f>
        <v>0</v>
      </c>
      <c r="AY32" s="397">
        <f>IF(AY3&lt;='Sale Analysis'!$H$3,-IF('Monthly Cash Flow'!$C$88="Equity Contribution",HLOOKUP(AY3,'Monthly Cash Flow'!AY79:EK89,10),0),0)</f>
        <v>0</v>
      </c>
      <c r="AZ32" s="397">
        <f>IF(AZ3&lt;='Sale Analysis'!$H$3,-IF('Monthly Cash Flow'!$C$88="Equity Contribution",HLOOKUP(AZ3,'Monthly Cash Flow'!AZ79:EL89,10),0),0)</f>
        <v>0</v>
      </c>
      <c r="BA32" s="397">
        <f>IF(BA3&lt;='Sale Analysis'!$H$3,-IF('Monthly Cash Flow'!$C$88="Equity Contribution",HLOOKUP(BA3,'Monthly Cash Flow'!BA79:EM89,10),0),0)</f>
        <v>0</v>
      </c>
      <c r="BB32" s="397">
        <f>IF(BB3&lt;='Sale Analysis'!$H$3,-IF('Monthly Cash Flow'!$C$88="Equity Contribution",HLOOKUP(BB3,'Monthly Cash Flow'!BB79:EN89,10),0),0)</f>
        <v>0</v>
      </c>
      <c r="BC32" s="397">
        <f>IF(BC3&lt;='Sale Analysis'!$H$3,-IF('Monthly Cash Flow'!$C$88="Equity Contribution",HLOOKUP(BC3,'Monthly Cash Flow'!BC79:EO89,10),0),0)</f>
        <v>0</v>
      </c>
      <c r="BD32" s="397">
        <f>IF(BD3&lt;='Sale Analysis'!$H$3,-IF('Monthly Cash Flow'!$C$88="Equity Contribution",HLOOKUP(BD3,'Monthly Cash Flow'!BD79:EP89,10),0),0)</f>
        <v>0</v>
      </c>
      <c r="BE32" s="397">
        <f>IF(BE3&lt;='Sale Analysis'!$H$3,-IF('Monthly Cash Flow'!$C$88="Equity Contribution",HLOOKUP(BE3,'Monthly Cash Flow'!BE79:EQ89,10),0),0)</f>
        <v>0</v>
      </c>
      <c r="BF32" s="397">
        <f>IF(BF3&lt;='Sale Analysis'!$H$3,-IF('Monthly Cash Flow'!$C$88="Equity Contribution",HLOOKUP(BF3,'Monthly Cash Flow'!BF79:ER89,10),0),0)</f>
        <v>0</v>
      </c>
      <c r="BG32" s="397">
        <f>IF(BG3&lt;='Sale Analysis'!$H$3,-IF('Monthly Cash Flow'!$C$88="Equity Contribution",HLOOKUP(BG3,'Monthly Cash Flow'!BG79:ES89,10),0),0)</f>
        <v>0</v>
      </c>
      <c r="BH32" s="397">
        <f>IF(BH3&lt;='Sale Analysis'!$H$3,-IF('Monthly Cash Flow'!$C$88="Equity Contribution",HLOOKUP(BH3,'Monthly Cash Flow'!BH79:ET89,10),0),0)</f>
        <v>0</v>
      </c>
      <c r="BI32" s="397">
        <f>IF(BI3&lt;='Sale Analysis'!$H$3,-IF('Monthly Cash Flow'!$C$88="Equity Contribution",HLOOKUP(BI3,'Monthly Cash Flow'!BI79:EU89,10),0),0)</f>
        <v>0</v>
      </c>
      <c r="BJ32" s="397">
        <f>IF(BJ3&lt;='Sale Analysis'!$H$3,-IF('Monthly Cash Flow'!$C$88="Equity Contribution",HLOOKUP(BJ3,'Monthly Cash Flow'!BJ79:EV89,10),0),0)</f>
        <v>0</v>
      </c>
      <c r="BK32" s="397">
        <f>IF(BK3&lt;='Sale Analysis'!$H$3,-IF('Monthly Cash Flow'!$C$88="Equity Contribution",HLOOKUP(BK3,'Monthly Cash Flow'!BK79:EW89,10),0),0)</f>
        <v>0</v>
      </c>
      <c r="BL32" s="397">
        <f>IF(BL3&lt;='Sale Analysis'!$H$3,-IF('Monthly Cash Flow'!$C$88="Equity Contribution",HLOOKUP(BL3,'Monthly Cash Flow'!BL79:EX89,10),0),0)</f>
        <v>0</v>
      </c>
      <c r="BM32" s="397">
        <f>IF(BM3&lt;='Sale Analysis'!$H$3,-IF('Monthly Cash Flow'!$C$88="Equity Contribution",HLOOKUP(BM3,'Monthly Cash Flow'!BM79:EY89,10),0),0)</f>
        <v>0</v>
      </c>
      <c r="BN32" s="397">
        <f>IF(BN3&lt;='Sale Analysis'!$H$3,-IF('Monthly Cash Flow'!$C$88="Equity Contribution",HLOOKUP(BN3,'Monthly Cash Flow'!BN79:EZ89,10),0),0)</f>
        <v>0</v>
      </c>
      <c r="BO32" s="397">
        <f>IF(BO3&lt;='Sale Analysis'!$H$3,-IF('Monthly Cash Flow'!$C$88="Equity Contribution",HLOOKUP(BO3,'Monthly Cash Flow'!BO79:FA89,10),0),0)</f>
        <v>0</v>
      </c>
      <c r="BP32" s="397">
        <f>IF(BP3&lt;='Sale Analysis'!$H$3,-IF('Monthly Cash Flow'!$C$88="Equity Contribution",HLOOKUP(BP3,'Monthly Cash Flow'!BP79:FB89,10),0),0)</f>
        <v>0</v>
      </c>
      <c r="BQ32" s="397">
        <f>IF(BQ3&lt;='Sale Analysis'!$H$3,-IF('Monthly Cash Flow'!$C$88="Equity Contribution",HLOOKUP(BQ3,'Monthly Cash Flow'!BQ79:FC89,10),0),0)</f>
        <v>0</v>
      </c>
      <c r="BR32" s="397">
        <f>IF(BR3&lt;='Sale Analysis'!$H$3,-IF('Monthly Cash Flow'!$C$88="Equity Contribution",HLOOKUP(BR3,'Monthly Cash Flow'!BR79:FD89,10),0),0)</f>
        <v>0</v>
      </c>
      <c r="BS32" s="397">
        <f>IF(BS3&lt;='Sale Analysis'!$H$3,-IF('Monthly Cash Flow'!$C$88="Equity Contribution",HLOOKUP(BS3,'Monthly Cash Flow'!BS79:FE89,10),0),0)</f>
        <v>0</v>
      </c>
      <c r="BT32" s="397">
        <f>IF(BT3&lt;='Sale Analysis'!$H$3,-IF('Monthly Cash Flow'!$C$88="Equity Contribution",HLOOKUP(BT3,'Monthly Cash Flow'!BT79:FF89,10),0),0)</f>
        <v>0</v>
      </c>
      <c r="BU32" s="397">
        <f>IF(BU3&lt;='Sale Analysis'!$H$3,-IF('Monthly Cash Flow'!$C$88="Equity Contribution",HLOOKUP(BU3,'Monthly Cash Flow'!BU79:FG89,10),0),0)</f>
        <v>0</v>
      </c>
      <c r="BV32" s="397">
        <f>IF(BV3&lt;='Sale Analysis'!$H$3,-IF('Monthly Cash Flow'!$C$88="Equity Contribution",HLOOKUP(BV3,'Monthly Cash Flow'!BV79:FH89,10),0),0)</f>
        <v>0</v>
      </c>
      <c r="BW32" s="397">
        <f>IF(BW3&lt;='Sale Analysis'!$H$3,-IF('Monthly Cash Flow'!$C$88="Equity Contribution",HLOOKUP(BW3,'Monthly Cash Flow'!BW79:FI89,10),0),0)</f>
        <v>0</v>
      </c>
      <c r="BX32" s="397">
        <f>IF(BX3&lt;='Sale Analysis'!$H$3,-IF('Monthly Cash Flow'!$C$88="Equity Contribution",HLOOKUP(BX3,'Monthly Cash Flow'!BX79:FJ89,10),0),0)</f>
        <v>0</v>
      </c>
      <c r="BY32" s="397">
        <f>IF(BY3&lt;='Sale Analysis'!$H$3,-IF('Monthly Cash Flow'!$C$88="Equity Contribution",HLOOKUP(BY3,'Monthly Cash Flow'!BY79:FK89,10),0),0)</f>
        <v>0</v>
      </c>
      <c r="BZ32" s="397">
        <f>IF(BZ3&lt;='Sale Analysis'!$H$3,-IF('Monthly Cash Flow'!$C$88="Equity Contribution",HLOOKUP(BZ3,'Monthly Cash Flow'!BZ79:FL89,10),0),0)</f>
        <v>0</v>
      </c>
      <c r="CA32" s="397">
        <f>IF(CA3&lt;='Sale Analysis'!$H$3,-IF('Monthly Cash Flow'!$C$88="Equity Contribution",HLOOKUP(CA3,'Monthly Cash Flow'!CA79:FM89,10),0),0)</f>
        <v>0</v>
      </c>
      <c r="CB32" s="397">
        <f>IF(CB3&lt;='Sale Analysis'!$H$3,-IF('Monthly Cash Flow'!$C$88="Equity Contribution",HLOOKUP(CB3,'Monthly Cash Flow'!CB79:FN89,10),0),0)</f>
        <v>0</v>
      </c>
      <c r="CC32" s="397">
        <f>IF(CC3&lt;='Sale Analysis'!$H$3,-IF('Monthly Cash Flow'!$C$88="Equity Contribution",HLOOKUP(CC3,'Monthly Cash Flow'!CC79:FO89,10),0),0)</f>
        <v>0</v>
      </c>
      <c r="CD32" s="397">
        <f>IF(CD3&lt;='Sale Analysis'!$H$3,-IF('Monthly Cash Flow'!$C$88="Equity Contribution",HLOOKUP(CD3,'Monthly Cash Flow'!CD79:FP89,10),0),0)</f>
        <v>0</v>
      </c>
      <c r="CE32" s="397">
        <f>IF(CE3&lt;='Sale Analysis'!$H$3,-IF('Monthly Cash Flow'!$C$88="Equity Contribution",HLOOKUP(CE3,'Monthly Cash Flow'!CE79:FQ89,10),0),0)</f>
        <v>0</v>
      </c>
      <c r="CF32" s="397">
        <f>IF(CF3&lt;='Sale Analysis'!$H$3,-IF('Monthly Cash Flow'!$C$88="Equity Contribution",HLOOKUP(CF3,'Monthly Cash Flow'!CF79:FR89,10),0),0)</f>
        <v>0</v>
      </c>
      <c r="CG32" s="397">
        <f>IF(CG3&lt;='Sale Analysis'!$H$3,-IF('Monthly Cash Flow'!$C$88="Equity Contribution",HLOOKUP(CG3,'Monthly Cash Flow'!CG79:FS89,10),0),0)</f>
        <v>0</v>
      </c>
      <c r="CH32" s="397">
        <f>IF(CH3&lt;='Sale Analysis'!$H$3,-IF('Monthly Cash Flow'!$C$88="Equity Contribution",HLOOKUP(CH3,'Monthly Cash Flow'!CH79:FT89,10),0),0)</f>
        <v>0</v>
      </c>
      <c r="CI32" s="397">
        <f>IF(CI3&lt;='Sale Analysis'!$H$3,-IF('Monthly Cash Flow'!$C$88="Equity Contribution",HLOOKUP(CI3,'Monthly Cash Flow'!CI79:FU89,10),0),0)</f>
        <v>0</v>
      </c>
    </row>
    <row r="33" spans="2:87">
      <c r="B33" t="s">
        <v>278</v>
      </c>
      <c r="C33" s="397">
        <f ca="1">SUM(C31:C32)</f>
        <v>-1474622.05</v>
      </c>
      <c r="D33" s="397">
        <f t="shared" ref="D33:K33" ca="1" si="248">C33+D31+D32</f>
        <v>-1474622.05</v>
      </c>
      <c r="E33" s="397">
        <f t="shared" ca="1" si="248"/>
        <v>-1474622.05</v>
      </c>
      <c r="F33" s="397">
        <f t="shared" ca="1" si="248"/>
        <v>-1474622.05</v>
      </c>
      <c r="G33" s="397">
        <f t="shared" ca="1" si="248"/>
        <v>-1474622.05</v>
      </c>
      <c r="H33" s="397">
        <f t="shared" ca="1" si="248"/>
        <v>-1474622.05</v>
      </c>
      <c r="I33" s="397">
        <f t="shared" ca="1" si="248"/>
        <v>-1474622.05</v>
      </c>
      <c r="J33" s="397">
        <f t="shared" ca="1" si="248"/>
        <v>-1474622.05</v>
      </c>
      <c r="K33" s="397">
        <f t="shared" ca="1" si="248"/>
        <v>-1474622.05</v>
      </c>
      <c r="L33" s="397">
        <f t="shared" ref="L33" ca="1" si="249">K33+L31+L32</f>
        <v>-1474622.05</v>
      </c>
      <c r="M33" s="397">
        <f t="shared" ref="M33" ca="1" si="250">L33+M31+M32</f>
        <v>-1474622.05</v>
      </c>
      <c r="N33" s="397">
        <f t="shared" ref="N33" ca="1" si="251">M33+N31+N32</f>
        <v>-1474622.05</v>
      </c>
      <c r="O33" s="397">
        <f t="shared" ref="O33" ca="1" si="252">N33+O31+O32</f>
        <v>-1474622.05</v>
      </c>
      <c r="P33" s="397">
        <f t="shared" ref="P33" ca="1" si="253">O33+P31+P32</f>
        <v>-1474622.05</v>
      </c>
      <c r="Q33" s="397">
        <f t="shared" ref="Q33" ca="1" si="254">P33+Q31+Q32</f>
        <v>-1474622.05</v>
      </c>
      <c r="R33" s="397">
        <f t="shared" ref="R33" ca="1" si="255">Q33+R31+R32</f>
        <v>-1474622.05</v>
      </c>
      <c r="S33" s="397">
        <f t="shared" ref="S33" ca="1" si="256">R33+S31+S32</f>
        <v>-1474622.05</v>
      </c>
      <c r="T33" s="397">
        <f t="shared" ref="T33" ca="1" si="257">S33+T31+T32</f>
        <v>-1474622.05</v>
      </c>
      <c r="U33" s="397">
        <f t="shared" ref="U33" ca="1" si="258">T33+U31+U32</f>
        <v>-1474622.05</v>
      </c>
      <c r="V33" s="397">
        <f t="shared" ref="V33" ca="1" si="259">U33+V31+V32</f>
        <v>-1474622.05</v>
      </c>
      <c r="W33" s="397">
        <f t="shared" ref="W33" ca="1" si="260">V33+W31+W32</f>
        <v>-1474622.05</v>
      </c>
      <c r="X33" s="397">
        <f t="shared" ref="X33" ca="1" si="261">W33+X31+X32</f>
        <v>-1474622.05</v>
      </c>
      <c r="Y33" s="397">
        <f t="shared" ref="Y33" ca="1" si="262">X33+Y31+Y32</f>
        <v>-1474622.05</v>
      </c>
      <c r="Z33" s="397">
        <f t="shared" ref="Z33" ca="1" si="263">Y33+Z31+Z32</f>
        <v>-1474622.05</v>
      </c>
      <c r="AA33" s="397">
        <f t="shared" ref="AA33" ca="1" si="264">Z33+AA31+AA32</f>
        <v>-1474622.05</v>
      </c>
      <c r="AB33" s="397">
        <f t="shared" ref="AB33" ca="1" si="265">AA33+AB31+AB32</f>
        <v>-1474622.05</v>
      </c>
      <c r="AC33" s="397">
        <f t="shared" ref="AC33" ca="1" si="266">AB33+AC31+AC32</f>
        <v>-1474622.05</v>
      </c>
      <c r="AD33" s="397">
        <f t="shared" ref="AD33" ca="1" si="267">AC33+AD31+AD32</f>
        <v>-1474622.05</v>
      </c>
      <c r="AE33" s="397">
        <f t="shared" ref="AE33" ca="1" si="268">AD33+AE31+AE32</f>
        <v>-1474622.05</v>
      </c>
      <c r="AF33" s="397">
        <f t="shared" ref="AF33" ca="1" si="269">AE33+AF31+AF32</f>
        <v>-1474622.05</v>
      </c>
      <c r="AG33" s="397">
        <f t="shared" ref="AG33" ca="1" si="270">AF33+AG31+AG32</f>
        <v>-1474622.05</v>
      </c>
      <c r="AH33" s="397">
        <f t="shared" ref="AH33" ca="1" si="271">AG33+AH31+AH32</f>
        <v>-1474622.05</v>
      </c>
      <c r="AI33" s="397">
        <f t="shared" ref="AI33" ca="1" si="272">AH33+AI31+AI32</f>
        <v>-1474622.05</v>
      </c>
      <c r="AJ33" s="397">
        <f t="shared" ref="AJ33" ca="1" si="273">AI33+AJ31+AJ32</f>
        <v>-1474622.05</v>
      </c>
      <c r="AK33" s="397">
        <f t="shared" ref="AK33" ca="1" si="274">AJ33+AK31+AK32</f>
        <v>-1474622.05</v>
      </c>
      <c r="AL33" s="397">
        <f t="shared" ref="AL33" ca="1" si="275">AK33+AL31+AL32</f>
        <v>-1474622.05</v>
      </c>
      <c r="AM33" s="397">
        <f t="shared" ref="AM33" ca="1" si="276">AL33+AM31+AM32</f>
        <v>-1474622.05</v>
      </c>
      <c r="AN33" s="397">
        <f t="shared" ref="AN33" ca="1" si="277">AM33+AN31+AN32</f>
        <v>-1474622.05</v>
      </c>
      <c r="AO33" s="397">
        <f t="shared" ref="AO33" ca="1" si="278">AN33+AO31+AO32</f>
        <v>-1474622.05</v>
      </c>
      <c r="AP33" s="397">
        <f t="shared" ref="AP33" ca="1" si="279">AO33+AP31+AP32</f>
        <v>-1474622.05</v>
      </c>
      <c r="AQ33" s="397">
        <f t="shared" ref="AQ33" ca="1" si="280">AP33+AQ31+AQ32</f>
        <v>-1474622.05</v>
      </c>
      <c r="AR33" s="397">
        <f t="shared" ref="AR33" ca="1" si="281">AQ33+AR31+AR32</f>
        <v>-1474622.05</v>
      </c>
      <c r="AS33" s="397">
        <f t="shared" ref="AS33" ca="1" si="282">AR33+AS31+AS32</f>
        <v>-1474622.05</v>
      </c>
      <c r="AT33" s="397">
        <f t="shared" ref="AT33" ca="1" si="283">AS33+AT31+AT32</f>
        <v>-1474622.05</v>
      </c>
      <c r="AU33" s="397">
        <f t="shared" ref="AU33" ca="1" si="284">AT33+AU31+AU32</f>
        <v>-1474622.05</v>
      </c>
      <c r="AV33" s="397">
        <f t="shared" ref="AV33" ca="1" si="285">AU33+AV31+AV32</f>
        <v>-1474622.05</v>
      </c>
      <c r="AW33" s="397">
        <f t="shared" ref="AW33" ca="1" si="286">AV33+AW31+AW32</f>
        <v>-1474622.05</v>
      </c>
      <c r="AX33" s="397">
        <f t="shared" ref="AX33" ca="1" si="287">AW33+AX31+AX32</f>
        <v>-1474622.05</v>
      </c>
      <c r="AY33" s="397">
        <f t="shared" ref="AY33" ca="1" si="288">AX33+AY31+AY32</f>
        <v>-1474622.05</v>
      </c>
      <c r="AZ33" s="397">
        <f t="shared" ref="AZ33" ca="1" si="289">AY33+AZ31+AZ32</f>
        <v>-1474622.05</v>
      </c>
      <c r="BA33" s="397">
        <f t="shared" ref="BA33" ca="1" si="290">AZ33+BA31+BA32</f>
        <v>-1474622.05</v>
      </c>
      <c r="BB33" s="397">
        <f t="shared" ref="BB33" ca="1" si="291">BA33+BB31+BB32</f>
        <v>-1474622.05</v>
      </c>
      <c r="BC33" s="397">
        <f t="shared" ref="BC33" ca="1" si="292">BB33+BC31+BC32</f>
        <v>-1474622.05</v>
      </c>
      <c r="BD33" s="397">
        <f t="shared" ref="BD33" ca="1" si="293">BC33+BD31+BD32</f>
        <v>-1474622.05</v>
      </c>
      <c r="BE33" s="397">
        <f t="shared" ref="BE33" ca="1" si="294">BD33+BE31+BE32</f>
        <v>-1474622.05</v>
      </c>
      <c r="BF33" s="397">
        <f t="shared" ref="BF33" ca="1" si="295">BE33+BF31+BF32</f>
        <v>-1474622.05</v>
      </c>
      <c r="BG33" s="397">
        <f t="shared" ref="BG33" ca="1" si="296">BF33+BG31+BG32</f>
        <v>-1474622.05</v>
      </c>
      <c r="BH33" s="397">
        <f t="shared" ref="BH33" ca="1" si="297">BG33+BH31+BH32</f>
        <v>-1474622.05</v>
      </c>
      <c r="BI33" s="397">
        <f t="shared" ref="BI33" ca="1" si="298">BH33+BI31+BI32</f>
        <v>-1474622.05</v>
      </c>
      <c r="BJ33" s="397">
        <f t="shared" ref="BJ33" ca="1" si="299">BI33+BJ31+BJ32</f>
        <v>-1474622.05</v>
      </c>
      <c r="BK33" s="397">
        <f t="shared" ref="BK33" ca="1" si="300">BJ33+BK31+BK32</f>
        <v>-1474622.05</v>
      </c>
      <c r="BL33" s="397">
        <f t="shared" ref="BL33" ca="1" si="301">BK33+BL31+BL32</f>
        <v>-1474622.05</v>
      </c>
      <c r="BM33" s="397">
        <f t="shared" ref="BM33" ca="1" si="302">BL33+BM31+BM32</f>
        <v>-1474622.05</v>
      </c>
      <c r="BN33" s="397">
        <f t="shared" ref="BN33" ca="1" si="303">BM33+BN31+BN32</f>
        <v>-1474622.05</v>
      </c>
      <c r="BO33" s="397">
        <f t="shared" ref="BO33" ca="1" si="304">BN33+BO31+BO32</f>
        <v>-1474622.05</v>
      </c>
      <c r="BP33" s="397">
        <f t="shared" ref="BP33" ca="1" si="305">BO33+BP31+BP32</f>
        <v>-1474622.05</v>
      </c>
      <c r="BQ33" s="397">
        <f t="shared" ref="BQ33" ca="1" si="306">BP33+BQ31+BQ32</f>
        <v>-1474622.05</v>
      </c>
      <c r="BR33" s="397">
        <f t="shared" ref="BR33" ca="1" si="307">BQ33+BR31+BR32</f>
        <v>-1474622.05</v>
      </c>
      <c r="BS33" s="397">
        <f t="shared" ref="BS33" ca="1" si="308">BR33+BS31+BS32</f>
        <v>-1474622.05</v>
      </c>
      <c r="BT33" s="397">
        <f t="shared" ref="BT33" ca="1" si="309">BS33+BT31+BT32</f>
        <v>-1474622.05</v>
      </c>
      <c r="BU33" s="397">
        <f t="shared" ref="BU33" ca="1" si="310">BT33+BU31+BU32</f>
        <v>-1474622.05</v>
      </c>
      <c r="BV33" s="397">
        <f t="shared" ref="BV33" ca="1" si="311">BU33+BV31+BV32</f>
        <v>-1474622.05</v>
      </c>
      <c r="BW33" s="397">
        <f t="shared" ref="BW33" ca="1" si="312">BV33+BW31+BW32</f>
        <v>-1474622.05</v>
      </c>
      <c r="BX33" s="397">
        <f t="shared" ref="BX33" ca="1" si="313">BW33+BX31+BX32</f>
        <v>-1474622.05</v>
      </c>
      <c r="BY33" s="397">
        <f t="shared" ref="BY33" ca="1" si="314">BX33+BY31+BY32</f>
        <v>-1474622.05</v>
      </c>
      <c r="BZ33" s="397">
        <f t="shared" ref="BZ33" ca="1" si="315">BY33+BZ31+BZ32</f>
        <v>-1474622.05</v>
      </c>
      <c r="CA33" s="397">
        <f t="shared" ref="CA33" ca="1" si="316">BZ33+CA31+CA32</f>
        <v>-1474622.05</v>
      </c>
      <c r="CB33" s="397">
        <f t="shared" ref="CB33" ca="1" si="317">CA33+CB31+CB32</f>
        <v>-1474622.05</v>
      </c>
      <c r="CC33" s="397">
        <f t="shared" ref="CC33" ca="1" si="318">CB33+CC31+CC32</f>
        <v>-1474622.05</v>
      </c>
      <c r="CD33" s="397">
        <f t="shared" ref="CD33" ca="1" si="319">CC33+CD31+CD32</f>
        <v>-1474622.05</v>
      </c>
      <c r="CE33" s="397">
        <f t="shared" ref="CE33" ca="1" si="320">CD33+CE31+CE32</f>
        <v>-1474622.05</v>
      </c>
      <c r="CF33" s="397">
        <f t="shared" ref="CF33" ca="1" si="321">CE33+CF31+CF32</f>
        <v>-1474622.05</v>
      </c>
      <c r="CG33" s="397">
        <f t="shared" ref="CG33" ca="1" si="322">CF33+CG31+CG32</f>
        <v>-1474622.05</v>
      </c>
      <c r="CH33" s="397">
        <f t="shared" ref="CH33" ca="1" si="323">CG33+CH31+CH32</f>
        <v>-1474622.05</v>
      </c>
      <c r="CI33" s="397">
        <f t="shared" ref="CI33" ca="1" si="324">CH33+CI31+CI32</f>
        <v>-1474622.05</v>
      </c>
    </row>
    <row r="34" spans="2:87">
      <c r="C34" s="397"/>
      <c r="D34" s="397"/>
      <c r="E34" s="397"/>
      <c r="F34" s="397"/>
      <c r="G34" s="397"/>
      <c r="H34" s="397"/>
      <c r="I34" s="397"/>
      <c r="J34" s="397"/>
      <c r="K34" s="397"/>
      <c r="L34" s="397"/>
      <c r="M34" s="397"/>
      <c r="N34" s="397"/>
      <c r="O34" s="397"/>
      <c r="P34" s="397"/>
      <c r="Q34" s="397"/>
      <c r="R34" s="397"/>
      <c r="S34" s="397"/>
      <c r="T34" s="397"/>
      <c r="U34" s="397"/>
      <c r="V34" s="397"/>
      <c r="W34" s="397"/>
      <c r="X34" s="397"/>
      <c r="Y34" s="397"/>
      <c r="Z34" s="397"/>
      <c r="AA34" s="397"/>
      <c r="AB34" s="397"/>
      <c r="AC34" s="397"/>
      <c r="AD34" s="397"/>
      <c r="AE34" s="397"/>
      <c r="AF34" s="397"/>
      <c r="AG34" s="397"/>
      <c r="AH34" s="397"/>
      <c r="AI34" s="397"/>
      <c r="AJ34" s="397"/>
      <c r="AK34" s="397"/>
      <c r="AL34" s="397"/>
      <c r="AM34" s="397"/>
      <c r="AN34" s="397"/>
      <c r="AO34" s="397"/>
      <c r="AP34" s="397"/>
      <c r="AQ34" s="397"/>
      <c r="AR34" s="397"/>
      <c r="AS34" s="397"/>
      <c r="AT34" s="397"/>
      <c r="AU34" s="397"/>
      <c r="AV34" s="397"/>
      <c r="AW34" s="397"/>
      <c r="AX34" s="397"/>
      <c r="AY34" s="397"/>
      <c r="AZ34" s="397"/>
      <c r="BA34" s="397"/>
      <c r="BB34" s="397"/>
      <c r="BC34" s="397"/>
      <c r="BD34" s="397"/>
      <c r="BE34" s="397"/>
      <c r="BF34" s="397"/>
      <c r="BG34" s="397"/>
      <c r="BH34" s="397"/>
      <c r="BI34" s="397"/>
      <c r="BJ34" s="397"/>
      <c r="BK34" s="397"/>
      <c r="BL34" s="397"/>
      <c r="BM34" s="397"/>
      <c r="BN34" s="397"/>
      <c r="BO34" s="397"/>
      <c r="BP34" s="397"/>
      <c r="BQ34" s="397"/>
      <c r="BR34" s="397"/>
      <c r="BS34" s="397"/>
      <c r="BT34" s="397"/>
      <c r="BU34" s="397"/>
      <c r="BV34" s="397"/>
      <c r="BW34" s="397"/>
      <c r="BX34" s="397"/>
      <c r="BY34" s="397"/>
      <c r="BZ34" s="397"/>
      <c r="CA34" s="397"/>
      <c r="CB34" s="397"/>
      <c r="CC34" s="397"/>
      <c r="CD34" s="397"/>
      <c r="CE34" s="397"/>
      <c r="CF34" s="397"/>
      <c r="CG34" s="397"/>
      <c r="CH34" s="397"/>
      <c r="CI34" s="397"/>
    </row>
    <row r="36" spans="2:87">
      <c r="B36" s="1" t="s">
        <v>19</v>
      </c>
      <c r="C36" s="397"/>
      <c r="D36" s="397"/>
      <c r="E36" s="397"/>
      <c r="F36" s="397"/>
      <c r="G36" s="397"/>
      <c r="H36" s="397"/>
      <c r="I36" s="397"/>
      <c r="J36" s="397"/>
      <c r="K36" s="397"/>
      <c r="L36" s="397"/>
      <c r="M36" s="397"/>
      <c r="N36" s="397"/>
      <c r="O36" s="397"/>
      <c r="P36" s="397"/>
      <c r="Q36" s="397"/>
      <c r="R36" s="397"/>
      <c r="S36" s="397"/>
      <c r="T36" s="397"/>
      <c r="U36" s="397"/>
      <c r="V36" s="397"/>
      <c r="W36" s="397"/>
      <c r="X36" s="397"/>
      <c r="Y36" s="397"/>
      <c r="Z36" s="397"/>
      <c r="AA36" s="397"/>
      <c r="AB36" s="397"/>
      <c r="AC36" s="397"/>
      <c r="AD36" s="397"/>
      <c r="AE36" s="397"/>
      <c r="AF36" s="397"/>
      <c r="AG36" s="397"/>
      <c r="AH36" s="397"/>
      <c r="AI36" s="397"/>
      <c r="AJ36" s="397"/>
      <c r="AK36" s="397"/>
      <c r="AL36" s="397"/>
      <c r="AM36" s="397"/>
      <c r="AN36" s="397"/>
      <c r="AO36" s="397"/>
      <c r="AP36" s="397"/>
      <c r="AQ36" s="397"/>
      <c r="AR36" s="397"/>
      <c r="AS36" s="397"/>
      <c r="AT36" s="397"/>
      <c r="AU36" s="397"/>
      <c r="AV36" s="397"/>
      <c r="AW36" s="397"/>
      <c r="AX36" s="397"/>
      <c r="AY36" s="397"/>
      <c r="AZ36" s="397"/>
      <c r="BA36" s="397"/>
      <c r="BB36" s="397"/>
      <c r="BC36" s="397"/>
      <c r="BD36" s="397"/>
      <c r="BE36" s="397"/>
      <c r="BF36" s="397"/>
      <c r="BG36" s="397"/>
      <c r="BH36" s="397"/>
      <c r="BI36" s="397"/>
      <c r="BJ36" s="397"/>
      <c r="BK36" s="397"/>
      <c r="BL36" s="397"/>
      <c r="BM36" s="397"/>
      <c r="BN36" s="397"/>
      <c r="BO36" s="397"/>
      <c r="BP36" s="397"/>
      <c r="BQ36" s="397"/>
      <c r="BR36" s="397"/>
      <c r="BS36" s="397"/>
      <c r="BT36" s="397"/>
      <c r="BU36" s="397"/>
      <c r="BV36" s="397"/>
      <c r="BW36" s="397"/>
      <c r="BX36" s="397"/>
      <c r="BY36" s="397"/>
      <c r="BZ36" s="397"/>
      <c r="CA36" s="397"/>
      <c r="CB36" s="397"/>
      <c r="CC36" s="397"/>
      <c r="CD36" s="397"/>
      <c r="CE36" s="397"/>
      <c r="CF36" s="397"/>
      <c r="CG36" s="397"/>
      <c r="CH36" s="397"/>
      <c r="CI36" s="397"/>
    </row>
    <row r="37" spans="2:87">
      <c r="B37" t="s">
        <v>272</v>
      </c>
      <c r="D37" s="397">
        <f ca="1">IF(D28&lt;='Sale Analysis'!$H$3,HLOOKUP(D$3,'Monthly Cash Flow'!$D$6:$CP$76,69,FALSE),0)</f>
        <v>0</v>
      </c>
      <c r="E37" s="397">
        <f ca="1">IF(E28&lt;='Sale Analysis'!$H$3,HLOOKUP(E$3,'Monthly Cash Flow'!$D$6:$CP$76,69,FALSE),0)</f>
        <v>0</v>
      </c>
      <c r="F37" s="397">
        <f ca="1">IF(F28&lt;='Sale Analysis'!$H$3,HLOOKUP(F$3,'Monthly Cash Flow'!$D$6:$CP$76,69,FALSE),0)</f>
        <v>0</v>
      </c>
      <c r="G37" s="397">
        <f ca="1">IF(G28&lt;='Sale Analysis'!$H$3,HLOOKUP(G$3,'Monthly Cash Flow'!$D$6:$CP$76,69,FALSE),0)</f>
        <v>0</v>
      </c>
      <c r="H37" s="397">
        <f ca="1">IF(H28&lt;='Sale Analysis'!$H$3,HLOOKUP(H$3,'Monthly Cash Flow'!$D$6:$CP$76,69,FALSE),0)</f>
        <v>0</v>
      </c>
      <c r="I37" s="397">
        <f ca="1">IF(I28&lt;='Sale Analysis'!$H$3,HLOOKUP(I$3,'Monthly Cash Flow'!$D$6:$CP$76,69,FALSE),0)</f>
        <v>0</v>
      </c>
      <c r="J37" s="397">
        <f ca="1">IF(J28&lt;='Sale Analysis'!$H$3,HLOOKUP(J$3,'Monthly Cash Flow'!$D$6:$CP$76,69,FALSE),0)</f>
        <v>0</v>
      </c>
      <c r="K37" s="397">
        <f ca="1">IF(K28&lt;='Sale Analysis'!$H$3,HLOOKUP(K$3,'Monthly Cash Flow'!$D$6:$CP$76,69,FALSE),0)</f>
        <v>0</v>
      </c>
      <c r="L37" s="397">
        <f ca="1">IF(L28&lt;='Sale Analysis'!$H$3,HLOOKUP(L$3,'Monthly Cash Flow'!$D$6:$CP$76,69,FALSE),0)</f>
        <v>0</v>
      </c>
      <c r="M37" s="397">
        <f ca="1">IF(M28&lt;='Sale Analysis'!$H$3,HLOOKUP(M$3,'Monthly Cash Flow'!$D$6:$CP$76,69,FALSE),0)</f>
        <v>0</v>
      </c>
      <c r="N37" s="397">
        <f ca="1">IF(N28&lt;='Sale Analysis'!$H$3,HLOOKUP(N$3,'Monthly Cash Flow'!$D$6:$CP$76,69,FALSE),0)</f>
        <v>0</v>
      </c>
      <c r="O37" s="397">
        <f ca="1">IF(O28&lt;='Sale Analysis'!$H$3,HLOOKUP(O$3,'Monthly Cash Flow'!$D$6:$CP$76,69,FALSE),0)</f>
        <v>0</v>
      </c>
      <c r="P37" s="397">
        <f ca="1">IF(P28&lt;='Sale Analysis'!$H$3,HLOOKUP(P$3,'Monthly Cash Flow'!$D$6:$CP$76,69,FALSE),0)</f>
        <v>6240.1739668821674</v>
      </c>
      <c r="Q37" s="397">
        <f ca="1">IF(Q28&lt;='Sale Analysis'!$H$3,HLOOKUP(Q$3,'Monthly Cash Flow'!$D$6:$CP$76,69,FALSE),0)</f>
        <v>6240.1739668821674</v>
      </c>
      <c r="R37" s="397">
        <f ca="1">IF(R28&lt;='Sale Analysis'!$H$3,HLOOKUP(R$3,'Monthly Cash Flow'!$D$6:$CP$76,69,FALSE),0)</f>
        <v>6240.1739668821674</v>
      </c>
      <c r="S37" s="397">
        <f ca="1">IF(S28&lt;='Sale Analysis'!$H$3,HLOOKUP(S$3,'Monthly Cash Flow'!$D$6:$CP$76,69,FALSE),0)</f>
        <v>6240.1739668821674</v>
      </c>
      <c r="T37" s="397">
        <f ca="1">IF(T28&lt;='Sale Analysis'!$H$3,HLOOKUP(T$3,'Monthly Cash Flow'!$D$6:$CP$76,69,FALSE),0)</f>
        <v>6240.1739668821674</v>
      </c>
      <c r="U37" s="397">
        <f ca="1">IF(U28&lt;='Sale Analysis'!$H$3,HLOOKUP(U$3,'Monthly Cash Flow'!$D$6:$CP$76,69,FALSE),0)</f>
        <v>6240.1739668821674</v>
      </c>
      <c r="V37" s="397">
        <f ca="1">IF(V28&lt;='Sale Analysis'!$H$3,HLOOKUP(V$3,'Monthly Cash Flow'!$D$6:$CP$76,69,FALSE),0)</f>
        <v>6240.1739668821674</v>
      </c>
      <c r="W37" s="397">
        <f ca="1">IF(W28&lt;='Sale Analysis'!$H$3,HLOOKUP(W$3,'Monthly Cash Flow'!$D$6:$CP$76,69,FALSE),0)</f>
        <v>6240.1739668821674</v>
      </c>
      <c r="X37" s="397">
        <f ca="1">IF(X28&lt;='Sale Analysis'!$H$3,HLOOKUP(X$3,'Monthly Cash Flow'!$D$6:$CP$76,69,FALSE),0)</f>
        <v>6240.1739668821674</v>
      </c>
      <c r="Y37" s="397">
        <f ca="1">IF(Y28&lt;='Sale Analysis'!$H$3,HLOOKUP(Y$3,'Monthly Cash Flow'!$D$6:$CP$76,69,FALSE),0)</f>
        <v>6240.1739668821674</v>
      </c>
      <c r="Z37" s="397">
        <f ca="1">IF(Z28&lt;='Sale Analysis'!$H$3,HLOOKUP(Z$3,'Monthly Cash Flow'!$D$6:$CP$76,69,FALSE),0)</f>
        <v>6240.1739668821674</v>
      </c>
      <c r="AA37" s="397">
        <f ca="1">IF(AA28&lt;='Sale Analysis'!$H$3,HLOOKUP(AA$3,'Monthly Cash Flow'!$D$6:$CP$76,69,FALSE),0)</f>
        <v>6240.1739668821674</v>
      </c>
      <c r="AB37" s="397">
        <f ca="1">IF(AB28&lt;='Sale Analysis'!$H$3,HLOOKUP(AB$3,'Monthly Cash Flow'!$D$6:$CP$76,69,FALSE),0)</f>
        <v>9360.2609503232488</v>
      </c>
      <c r="AC37" s="397">
        <f ca="1">IF(AC28&lt;='Sale Analysis'!$H$3,HLOOKUP(AC$3,'Monthly Cash Flow'!$D$6:$CP$76,69,FALSE),0)</f>
        <v>9360.2609503232488</v>
      </c>
      <c r="AD37" s="397">
        <f ca="1">IF(AD28&lt;='Sale Analysis'!$H$3,HLOOKUP(AD$3,'Monthly Cash Flow'!$D$6:$CP$76,69,FALSE),0)</f>
        <v>9360.2609503232488</v>
      </c>
      <c r="AE37" s="397">
        <f ca="1">IF(AE28&lt;='Sale Analysis'!$H$3,HLOOKUP(AE$3,'Monthly Cash Flow'!$D$6:$CP$76,69,FALSE),0)</f>
        <v>9360.2609503232488</v>
      </c>
      <c r="AF37" s="397">
        <f ca="1">IF(AF28&lt;='Sale Analysis'!$H$3,HLOOKUP(AF$3,'Monthly Cash Flow'!$D$6:$CP$76,69,FALSE),0)</f>
        <v>9360.2609503232488</v>
      </c>
      <c r="AG37" s="397">
        <f ca="1">IF(AG28&lt;='Sale Analysis'!$H$3,HLOOKUP(AG$3,'Monthly Cash Flow'!$D$6:$CP$76,69,FALSE),0)</f>
        <v>9360.2609503232488</v>
      </c>
      <c r="AH37" s="397">
        <f ca="1">IF(AH28&lt;='Sale Analysis'!$H$3,HLOOKUP(AH$3,'Monthly Cash Flow'!$D$6:$CP$76,69,FALSE),0)</f>
        <v>9360.2609503232488</v>
      </c>
      <c r="AI37" s="397">
        <f ca="1">IF(AI28&lt;='Sale Analysis'!$H$3,HLOOKUP(AI$3,'Monthly Cash Flow'!$D$6:$CP$76,69,FALSE),0)</f>
        <v>9360.2609503232488</v>
      </c>
      <c r="AJ37" s="397">
        <f ca="1">IF(AJ28&lt;='Sale Analysis'!$H$3,HLOOKUP(AJ$3,'Monthly Cash Flow'!$D$6:$CP$76,69,FALSE),0)</f>
        <v>9360.2609503232488</v>
      </c>
      <c r="AK37" s="397">
        <f ca="1">IF(AK28&lt;='Sale Analysis'!$H$3,HLOOKUP(AK$3,'Monthly Cash Flow'!$D$6:$CP$76,69,FALSE),0)</f>
        <v>9360.2609503232488</v>
      </c>
      <c r="AL37" s="397">
        <f ca="1">IF(AL28&lt;='Sale Analysis'!$H$3,HLOOKUP(AL$3,'Monthly Cash Flow'!$D$6:$CP$76,69,FALSE),0)</f>
        <v>3464.071265298056</v>
      </c>
      <c r="AM37" s="397">
        <f ca="1">IF(AM28&lt;='Sale Analysis'!$H$3,HLOOKUP(AM$3,'Monthly Cash Flow'!$D$6:$CP$76,69,FALSE),0)</f>
        <v>3464.071265298056</v>
      </c>
      <c r="AN37" s="397">
        <f ca="1">IF(AN28&lt;='Sale Analysis'!$H$3,HLOOKUP(AN$3,'Monthly Cash Flow'!$D$6:$CP$76,69,FALSE),0)</f>
        <v>5542.5140244768891</v>
      </c>
      <c r="AO37" s="397">
        <f ca="1">IF(AO28&lt;='Sale Analysis'!$H$3,HLOOKUP(AO$3,'Monthly Cash Flow'!$D$6:$CP$76,69,FALSE),0)</f>
        <v>5542.5140244768891</v>
      </c>
      <c r="AP37" s="397">
        <f ca="1">IF(AP28&lt;='Sale Analysis'!$H$3,HLOOKUP(AP$3,'Monthly Cash Flow'!$D$6:$CP$76,69,FALSE),0)</f>
        <v>5542.5140244768891</v>
      </c>
      <c r="AQ37" s="397">
        <f ca="1">IF(AQ28&lt;='Sale Analysis'!$H$3,HLOOKUP(AQ$3,'Monthly Cash Flow'!$D$6:$CP$76,69,FALSE),0)</f>
        <v>5542.5140244768891</v>
      </c>
      <c r="AR37" s="397">
        <f ca="1">IF(AR28&lt;='Sale Analysis'!$H$3,HLOOKUP(AR$3,'Monthly Cash Flow'!$D$6:$CP$76,69,FALSE),0)</f>
        <v>5542.5140244768891</v>
      </c>
      <c r="AS37" s="397">
        <f ca="1">IF(AS28&lt;='Sale Analysis'!$H$3,HLOOKUP(AS$3,'Monthly Cash Flow'!$D$6:$CP$76,69,FALSE),0)</f>
        <v>5542.5140244768891</v>
      </c>
      <c r="AT37" s="397">
        <f ca="1">IF(AT28&lt;='Sale Analysis'!$H$3,HLOOKUP(AT$3,'Monthly Cash Flow'!$D$6:$CP$76,69,FALSE),0)</f>
        <v>5542.5140244768891</v>
      </c>
      <c r="AU37" s="397">
        <f ca="1">IF(AU28&lt;='Sale Analysis'!$H$3,HLOOKUP(AU$3,'Monthly Cash Flow'!$D$6:$CP$76,69,FALSE),0)</f>
        <v>5542.5140244768891</v>
      </c>
      <c r="AV37" s="397">
        <f ca="1">IF(AV28&lt;='Sale Analysis'!$H$3,HLOOKUP(AV$3,'Monthly Cash Flow'!$D$6:$CP$76,69,FALSE),0)</f>
        <v>5542.5140244768891</v>
      </c>
      <c r="AW37" s="397">
        <f ca="1">IF(AW28&lt;='Sale Analysis'!$H$3,HLOOKUP(AW$3,'Monthly Cash Flow'!$D$6:$CP$76,69,FALSE),0)</f>
        <v>5542.5140244768891</v>
      </c>
      <c r="AX37" s="397">
        <f ca="1">IF(AX28&lt;='Sale Analysis'!$H$3,HLOOKUP(AX$3,'Monthly Cash Flow'!$D$6:$CP$76,69,FALSE),0)</f>
        <v>5542.5140244768891</v>
      </c>
      <c r="AY37" s="397">
        <f ca="1">IF(AY28&lt;='Sale Analysis'!$H$3,HLOOKUP(AY$3,'Monthly Cash Flow'!$D$6:$CP$76,69,FALSE),0)</f>
        <v>5542.5140244768891</v>
      </c>
      <c r="AZ37" s="397">
        <f ca="1">IF(AZ28&lt;='Sale Analysis'!$H$3,HLOOKUP(AZ$3,'Monthly Cash Flow'!$D$6:$CP$76,69,FALSE),0)</f>
        <v>6004.3901931832979</v>
      </c>
      <c r="BA37" s="397">
        <f ca="1">IF(BA28&lt;='Sale Analysis'!$H$3,HLOOKUP(BA$3,'Monthly Cash Flow'!$D$6:$CP$76,69,FALSE),0)</f>
        <v>6004.3901931832979</v>
      </c>
      <c r="BB37" s="397">
        <f ca="1">IF(BB28&lt;='Sale Analysis'!$H$3,HLOOKUP(BB$3,'Monthly Cash Flow'!$D$6:$CP$76,69,FALSE),0)</f>
        <v>6004.3901931832979</v>
      </c>
      <c r="BC37" s="397">
        <f ca="1">IF(BC28&lt;='Sale Analysis'!$H$3,HLOOKUP(BC$3,'Monthly Cash Flow'!$D$6:$CP$76,69,FALSE),0)</f>
        <v>6004.3901931832979</v>
      </c>
      <c r="BD37" s="397">
        <f ca="1">IF(BD28&lt;='Sale Analysis'!$H$3,HLOOKUP(BD$3,'Monthly Cash Flow'!$D$6:$CP$76,69,FALSE),0)</f>
        <v>6004.3901931832979</v>
      </c>
      <c r="BE37" s="397">
        <f ca="1">IF(BE28&lt;='Sale Analysis'!$H$3,HLOOKUP(BE$3,'Monthly Cash Flow'!$D$6:$CP$76,69,FALSE),0)</f>
        <v>6004.3901931832979</v>
      </c>
      <c r="BF37" s="397">
        <f ca="1">IF(BF28&lt;='Sale Analysis'!$H$3,HLOOKUP(BF$3,'Monthly Cash Flow'!$D$6:$CP$76,69,FALSE),0)</f>
        <v>6004.3901931832979</v>
      </c>
      <c r="BG37" s="397">
        <f ca="1">IF(BG28&lt;='Sale Analysis'!$H$3,HLOOKUP(BG$3,'Monthly Cash Flow'!$D$6:$CP$76,69,FALSE),0)</f>
        <v>6004.3901931832979</v>
      </c>
      <c r="BH37" s="397">
        <f ca="1">IF(BH28&lt;='Sale Analysis'!$H$3,HLOOKUP(BH$3,'Monthly Cash Flow'!$D$6:$CP$76,69,FALSE),0)</f>
        <v>6004.3901931832979</v>
      </c>
      <c r="BI37" s="397">
        <f ca="1">IF(BI28&lt;='Sale Analysis'!$H$3,HLOOKUP(BI$3,'Monthly Cash Flow'!$D$6:$CP$76,69,FALSE),0)</f>
        <v>6004.3901931832979</v>
      </c>
      <c r="BJ37" s="397">
        <f ca="1">IF(BJ28&lt;='Sale Analysis'!$H$3,HLOOKUP(BJ$3,'Monthly Cash Flow'!$D$6:$CP$76,69,FALSE),0)</f>
        <v>6004.3901931832979</v>
      </c>
      <c r="BK37" s="397">
        <f ca="1">IF(BK28&lt;='Sale Analysis'!$H$3,HLOOKUP(BK$3,'Monthly Cash Flow'!$D$6:$CP$76,69,FALSE),0)</f>
        <v>6004.3901931832979</v>
      </c>
      <c r="BL37" s="397">
        <f ca="1">IF(BL28&lt;='Sale Analysis'!$H$3,HLOOKUP(BL$3,'Monthly Cash Flow'!$D$6:$CP$76,69,FALSE),0)</f>
        <v>6466.2663618897059</v>
      </c>
      <c r="BM37" s="397">
        <f ca="1">IF(BM28&lt;='Sale Analysis'!$H$3,HLOOKUP(BM$3,'Monthly Cash Flow'!$D$6:$CP$76,69,FALSE),0)</f>
        <v>6466.2663618897059</v>
      </c>
      <c r="BN37" s="397">
        <f ca="1">IF(BN28&lt;='Sale Analysis'!$H$3,HLOOKUP(BN$3,'Monthly Cash Flow'!$D$6:$CP$76,69,FALSE),0)</f>
        <v>6466.2663618897059</v>
      </c>
      <c r="BO37" s="397">
        <f ca="1">IF(BO28&lt;='Sale Analysis'!$H$3,HLOOKUP(BO$3,'Monthly Cash Flow'!$D$6:$CP$76,69,FALSE),0)</f>
        <v>6466.2663618897059</v>
      </c>
      <c r="BP37" s="397">
        <f ca="1">IF(BP28&lt;='Sale Analysis'!$H$3,HLOOKUP(BP$3,'Monthly Cash Flow'!$D$6:$CP$76,69,FALSE),0)</f>
        <v>6466.2663618897059</v>
      </c>
      <c r="BQ37" s="397">
        <f ca="1">IF(BQ28&lt;='Sale Analysis'!$H$3,HLOOKUP(BQ$3,'Monthly Cash Flow'!$D$6:$CP$76,69,FALSE),0)</f>
        <v>6466.2663618897059</v>
      </c>
      <c r="BR37" s="397">
        <f ca="1">IF(BR28&lt;='Sale Analysis'!$H$3,HLOOKUP(BR$3,'Monthly Cash Flow'!$D$6:$CP$76,69,FALSE),0)</f>
        <v>6466.2663618897059</v>
      </c>
      <c r="BS37" s="397">
        <f ca="1">IF(BS28&lt;='Sale Analysis'!$H$3,HLOOKUP(BS$3,'Monthly Cash Flow'!$D$6:$CP$76,69,FALSE),0)</f>
        <v>6466.2663618897059</v>
      </c>
      <c r="BT37" s="397">
        <f ca="1">IF(BT28&lt;='Sale Analysis'!$H$3,HLOOKUP(BT$3,'Monthly Cash Flow'!$D$6:$CP$76,69,FALSE),0)</f>
        <v>6466.2663618897059</v>
      </c>
      <c r="BU37" s="397">
        <f ca="1">IF(BU28&lt;='Sale Analysis'!$H$3,HLOOKUP(BU$3,'Monthly Cash Flow'!$D$6:$CP$76,69,FALSE),0)</f>
        <v>6466.2663618897059</v>
      </c>
      <c r="BV37" s="397">
        <f ca="1">IF(BV28&lt;='Sale Analysis'!$H$3,HLOOKUP(BV$3,'Monthly Cash Flow'!$D$6:$CP$76,69,FALSE),0)</f>
        <v>6466.2663618897059</v>
      </c>
      <c r="BW37" s="397">
        <f ca="1">IF(BW28&lt;='Sale Analysis'!$H$3,HLOOKUP(BW$3,'Monthly Cash Flow'!$D$6:$CP$76,69,FALSE),0)</f>
        <v>6466.2663618897059</v>
      </c>
      <c r="BX37" s="397">
        <f ca="1">IF(BX28&lt;='Sale Analysis'!$H$3,HLOOKUP(BX$3,'Monthly Cash Flow'!$D$6:$CP$76,69,FALSE),0)</f>
        <v>6928.142530596112</v>
      </c>
      <c r="BY37" s="397">
        <f ca="1">IF(BY28&lt;='Sale Analysis'!$H$3,HLOOKUP(BY$3,'Monthly Cash Flow'!$D$6:$CP$76,69,FALSE),0)</f>
        <v>6928.142530596112</v>
      </c>
      <c r="BZ37" s="397">
        <f ca="1">IF(BZ28&lt;='Sale Analysis'!$H$3,HLOOKUP(BZ$3,'Monthly Cash Flow'!$D$6:$CP$76,69,FALSE),0)</f>
        <v>6928.142530596112</v>
      </c>
      <c r="CA37" s="397">
        <f ca="1">IF(CA28&lt;='Sale Analysis'!$H$3,HLOOKUP(CA$3,'Monthly Cash Flow'!$D$6:$CP$76,69,FALSE),0)</f>
        <v>6928.142530596112</v>
      </c>
      <c r="CB37" s="397">
        <f ca="1">IF(CB28&lt;='Sale Analysis'!$H$3,HLOOKUP(CB$3,'Monthly Cash Flow'!$D$6:$CP$76,69,FALSE),0)</f>
        <v>6928.142530596112</v>
      </c>
      <c r="CC37" s="397">
        <f ca="1">IF(CC28&lt;='Sale Analysis'!$H$3,HLOOKUP(CC$3,'Monthly Cash Flow'!$D$6:$CP$76,69,FALSE),0)</f>
        <v>6928.142530596112</v>
      </c>
      <c r="CD37" s="397">
        <f ca="1">IF(CD28&lt;='Sale Analysis'!$H$3,HLOOKUP(CD$3,'Monthly Cash Flow'!$D$6:$CP$76,69,FALSE),0)</f>
        <v>6928.142530596112</v>
      </c>
      <c r="CE37" s="397">
        <f ca="1">IF(CE28&lt;='Sale Analysis'!$H$3,HLOOKUP(CE$3,'Monthly Cash Flow'!$D$6:$CP$76,69,FALSE),0)</f>
        <v>6928.142530596112</v>
      </c>
      <c r="CF37" s="397">
        <f ca="1">IF(CF28&lt;='Sale Analysis'!$H$3,HLOOKUP(CF$3,'Monthly Cash Flow'!$D$6:$CP$76,69,FALSE),0)</f>
        <v>6928.142530596112</v>
      </c>
      <c r="CG37" s="397">
        <f ca="1">IF(CG28&lt;='Sale Analysis'!$H$3,HLOOKUP(CG$3,'Monthly Cash Flow'!$D$6:$CP$76,69,FALSE),0)</f>
        <v>6928.142530596112</v>
      </c>
      <c r="CH37" s="397">
        <f ca="1">IF(CH28&lt;='Sale Analysis'!$H$3,HLOOKUP(CH$3,'Monthly Cash Flow'!$D$6:$CP$76,69,FALSE),0)</f>
        <v>6928.142530596112</v>
      </c>
      <c r="CI37" s="397">
        <f ca="1">IF(CI28&lt;='Sale Analysis'!$H$3,HLOOKUP(CI$3,'Monthly Cash Flow'!$D$6:$CP$76,69,FALSE),0)</f>
        <v>6928.142530596112</v>
      </c>
    </row>
    <row r="38" spans="2:87">
      <c r="B38" t="s">
        <v>273</v>
      </c>
      <c r="D38" s="397">
        <f>IF(Assumptions!$AD$3&gt;='Sale Analysis'!$H$3,0,IF(D$3=Assumptions!$AD$3,Assumptions!$AD$26,0))</f>
        <v>0</v>
      </c>
      <c r="E38" s="397">
        <f>IF(Assumptions!$AD$3&gt;='Sale Analysis'!$H$3,0,IF(E$3=Assumptions!$AD$3,Assumptions!$AD$26,0))</f>
        <v>0</v>
      </c>
      <c r="F38" s="397">
        <f>IF(Assumptions!$AD$3&gt;='Sale Analysis'!$H$3,0,IF(F$3=Assumptions!$AD$3,Assumptions!$AD$26,0))</f>
        <v>0</v>
      </c>
      <c r="G38" s="397">
        <f>IF(Assumptions!$AD$3&gt;='Sale Analysis'!$H$3,0,IF(G$3=Assumptions!$AD$3,Assumptions!$AD$26,0))</f>
        <v>0</v>
      </c>
      <c r="H38" s="397">
        <f>IF(Assumptions!$AD$3&gt;='Sale Analysis'!$H$3,0,IF(H$3=Assumptions!$AD$3,Assumptions!$AD$26,0))</f>
        <v>0</v>
      </c>
      <c r="I38" s="397">
        <f>IF(Assumptions!$AD$3&gt;='Sale Analysis'!$H$3,0,IF(I$3=Assumptions!$AD$3,Assumptions!$AD$26,0))</f>
        <v>0</v>
      </c>
      <c r="J38" s="397">
        <f>IF(Assumptions!$AD$3&gt;='Sale Analysis'!$H$3,0,IF(J$3=Assumptions!$AD$3,Assumptions!$AD$26,0))</f>
        <v>0</v>
      </c>
      <c r="K38" s="397">
        <f>IF(Assumptions!$AD$3&gt;='Sale Analysis'!$H$3,0,IF(K$3=Assumptions!$AD$3,Assumptions!$AD$26,0))</f>
        <v>0</v>
      </c>
      <c r="L38" s="397">
        <f>IF(Assumptions!$AD$3&gt;='Sale Analysis'!$H$3,0,IF(L$3=Assumptions!$AD$3,Assumptions!$AD$26,0))</f>
        <v>0</v>
      </c>
      <c r="M38" s="397">
        <f>IF(Assumptions!$AD$3&gt;='Sale Analysis'!$H$3,0,IF(M$3=Assumptions!$AD$3,Assumptions!$AD$26,0))</f>
        <v>0</v>
      </c>
      <c r="N38" s="397">
        <f>IF(Assumptions!$AD$3&gt;='Sale Analysis'!$H$3,0,IF(N$3=Assumptions!$AD$3,Assumptions!$AD$26,0))</f>
        <v>0</v>
      </c>
      <c r="O38" s="397">
        <f>IF(Assumptions!$AD$3&gt;='Sale Analysis'!$H$3,0,IF(O$3=Assumptions!$AD$3,Assumptions!$AD$26,0))</f>
        <v>0</v>
      </c>
      <c r="P38" s="397">
        <f>IF(Assumptions!$AD$3&gt;='Sale Analysis'!$H$3,0,IF(P$3=Assumptions!$AD$3,Assumptions!$AD$26,0))</f>
        <v>0</v>
      </c>
      <c r="Q38" s="397">
        <f>IF(Assumptions!$AD$3&gt;='Sale Analysis'!$H$3,0,IF(Q$3=Assumptions!$AD$3,Assumptions!$AD$26,0))</f>
        <v>0</v>
      </c>
      <c r="R38" s="397">
        <f>IF(Assumptions!$AD$3&gt;='Sale Analysis'!$H$3,0,IF(R$3=Assumptions!$AD$3,Assumptions!$AD$26,0))</f>
        <v>0</v>
      </c>
      <c r="S38" s="397">
        <f>IF(Assumptions!$AD$3&gt;='Sale Analysis'!$H$3,0,IF(S$3=Assumptions!$AD$3,Assumptions!$AD$26,0))</f>
        <v>0</v>
      </c>
      <c r="T38" s="397">
        <f>IF(Assumptions!$AD$3&gt;='Sale Analysis'!$H$3,0,IF(T$3=Assumptions!$AD$3,Assumptions!$AD$26,0))</f>
        <v>0</v>
      </c>
      <c r="U38" s="397">
        <f>IF(Assumptions!$AD$3&gt;='Sale Analysis'!$H$3,0,IF(U$3=Assumptions!$AD$3,Assumptions!$AD$26,0))</f>
        <v>0</v>
      </c>
      <c r="V38" s="397">
        <f>IF(Assumptions!$AD$3&gt;='Sale Analysis'!$H$3,0,IF(V$3=Assumptions!$AD$3,Assumptions!$AD$26,0))</f>
        <v>0</v>
      </c>
      <c r="W38" s="397">
        <f>IF(Assumptions!$AD$3&gt;='Sale Analysis'!$H$3,0,IF(W$3=Assumptions!$AD$3,Assumptions!$AD$26,0))</f>
        <v>0</v>
      </c>
      <c r="X38" s="397">
        <f>IF(Assumptions!$AD$3&gt;='Sale Analysis'!$H$3,0,IF(X$3=Assumptions!$AD$3,Assumptions!$AD$26,0))</f>
        <v>0</v>
      </c>
      <c r="Y38" s="397">
        <f>IF(Assumptions!$AD$3&gt;='Sale Analysis'!$H$3,0,IF(Y$3=Assumptions!$AD$3,Assumptions!$AD$26,0))</f>
        <v>0</v>
      </c>
      <c r="Z38" s="397">
        <f>IF(Assumptions!$AD$3&gt;='Sale Analysis'!$H$3,0,IF(Z$3=Assumptions!$AD$3,Assumptions!$AD$26,0))</f>
        <v>0</v>
      </c>
      <c r="AA38" s="397">
        <f>IF(Assumptions!$AD$3&gt;='Sale Analysis'!$H$3,0,IF(AA$3=Assumptions!$AD$3,Assumptions!$AD$26,0))</f>
        <v>0</v>
      </c>
      <c r="AB38" s="397">
        <f>IF(Assumptions!$AD$3&gt;='Sale Analysis'!$H$3,0,IF(AB$3=Assumptions!$AD$3,Assumptions!$AD$26,0))</f>
        <v>0</v>
      </c>
      <c r="AC38" s="397">
        <f>IF(Assumptions!$AD$3&gt;='Sale Analysis'!$H$3,0,IF(AC$3=Assumptions!$AD$3,Assumptions!$AD$26,0))</f>
        <v>0</v>
      </c>
      <c r="AD38" s="397">
        <f>IF(Assumptions!$AD$3&gt;='Sale Analysis'!$H$3,0,IF(AD$3=Assumptions!$AD$3,Assumptions!$AD$26,0))</f>
        <v>0</v>
      </c>
      <c r="AE38" s="397">
        <f>IF(Assumptions!$AD$3&gt;='Sale Analysis'!$H$3,0,IF(AE$3=Assumptions!$AD$3,Assumptions!$AD$26,0))</f>
        <v>0</v>
      </c>
      <c r="AF38" s="397">
        <f>IF(Assumptions!$AD$3&gt;='Sale Analysis'!$H$3,0,IF(AF$3=Assumptions!$AD$3,Assumptions!$AD$26,0))</f>
        <v>0</v>
      </c>
      <c r="AG38" s="397">
        <f>IF(Assumptions!$AD$3&gt;='Sale Analysis'!$H$3,0,IF(AG$3=Assumptions!$AD$3,Assumptions!$AD$26,0))</f>
        <v>0</v>
      </c>
      <c r="AH38" s="397">
        <f>IF(Assumptions!$AD$3&gt;='Sale Analysis'!$H$3,0,IF(AH$3=Assumptions!$AD$3,Assumptions!$AD$26,0))</f>
        <v>0</v>
      </c>
      <c r="AI38" s="397">
        <f>IF(Assumptions!$AD$3&gt;='Sale Analysis'!$H$3,0,IF(AI$3=Assumptions!$AD$3,Assumptions!$AD$26,0))</f>
        <v>0</v>
      </c>
      <c r="AJ38" s="397">
        <f>IF(Assumptions!$AD$3&gt;='Sale Analysis'!$H$3,0,IF(AJ$3=Assumptions!$AD$3,Assumptions!$AD$26,0))</f>
        <v>0</v>
      </c>
      <c r="AK38" s="397">
        <f>IF(Assumptions!$AD$3&gt;='Sale Analysis'!$H$3,0,IF(AK$3=Assumptions!$AD$3,Assumptions!$AD$26,0))</f>
        <v>0</v>
      </c>
      <c r="AL38" s="397">
        <f ca="1">IF(Assumptions!$AD$3&gt;='Sale Analysis'!$H$3,0,IF(AL$3=Assumptions!$AD$3,Assumptions!$AD$26,0))</f>
        <v>943390.34960403095</v>
      </c>
      <c r="AM38" s="397">
        <f>IF(Assumptions!$AD$3&gt;='Sale Analysis'!$H$3,0,IF(AM$3=Assumptions!$AD$3,Assumptions!$AD$26,0))</f>
        <v>0</v>
      </c>
      <c r="AN38" s="397">
        <f>IF(Assumptions!$AD$3&gt;='Sale Analysis'!$H$3,0,IF(AN$3=Assumptions!$AD$3,Assumptions!$AD$26,0))</f>
        <v>0</v>
      </c>
      <c r="AO38" s="397">
        <f>IF(Assumptions!$AD$3&gt;='Sale Analysis'!$H$3,0,IF(AO$3=Assumptions!$AD$3,Assumptions!$AD$26,0))</f>
        <v>0</v>
      </c>
      <c r="AP38" s="397">
        <f>IF(Assumptions!$AD$3&gt;='Sale Analysis'!$H$3,0,IF(AP$3=Assumptions!$AD$3,Assumptions!$AD$26,0))</f>
        <v>0</v>
      </c>
      <c r="AQ38" s="397">
        <f>IF(Assumptions!$AD$3&gt;='Sale Analysis'!$H$3,0,IF(AQ$3=Assumptions!$AD$3,Assumptions!$AD$26,0))</f>
        <v>0</v>
      </c>
      <c r="AR38" s="397">
        <f>IF(Assumptions!$AD$3&gt;='Sale Analysis'!$H$3,0,IF(AR$3=Assumptions!$AD$3,Assumptions!$AD$26,0))</f>
        <v>0</v>
      </c>
      <c r="AS38" s="397">
        <f>IF(Assumptions!$AD$3&gt;='Sale Analysis'!$H$3,0,IF(AS$3=Assumptions!$AD$3,Assumptions!$AD$26,0))</f>
        <v>0</v>
      </c>
      <c r="AT38" s="397">
        <f>IF(Assumptions!$AD$3&gt;='Sale Analysis'!$H$3,0,IF(AT$3=Assumptions!$AD$3,Assumptions!$AD$26,0))</f>
        <v>0</v>
      </c>
      <c r="AU38" s="397">
        <f>IF(Assumptions!$AD$3&gt;='Sale Analysis'!$H$3,0,IF(AU$3=Assumptions!$AD$3,Assumptions!$AD$26,0))</f>
        <v>0</v>
      </c>
      <c r="AV38" s="397">
        <f>IF(Assumptions!$AD$3&gt;='Sale Analysis'!$H$3,0,IF(AV$3=Assumptions!$AD$3,Assumptions!$AD$26,0))</f>
        <v>0</v>
      </c>
      <c r="AW38" s="397">
        <f>IF(Assumptions!$AD$3&gt;='Sale Analysis'!$H$3,0,IF(AW$3=Assumptions!$AD$3,Assumptions!$AD$26,0))</f>
        <v>0</v>
      </c>
      <c r="AX38" s="397">
        <f>IF(Assumptions!$AD$3&gt;='Sale Analysis'!$H$3,0,IF(AX$3=Assumptions!$AD$3,Assumptions!$AD$26,0))</f>
        <v>0</v>
      </c>
      <c r="AY38" s="397">
        <f>IF(Assumptions!$AD$3&gt;='Sale Analysis'!$H$3,0,IF(AY$3=Assumptions!$AD$3,Assumptions!$AD$26,0))</f>
        <v>0</v>
      </c>
      <c r="AZ38" s="397">
        <f>IF(Assumptions!$AD$3&gt;='Sale Analysis'!$H$3,0,IF(AZ$3=Assumptions!$AD$3,Assumptions!$AD$26,0))</f>
        <v>0</v>
      </c>
      <c r="BA38" s="397">
        <f>IF(Assumptions!$AD$3&gt;='Sale Analysis'!$H$3,0,IF(BA$3=Assumptions!$AD$3,Assumptions!$AD$26,0))</f>
        <v>0</v>
      </c>
      <c r="BB38" s="397">
        <f>IF(Assumptions!$AD$3&gt;='Sale Analysis'!$H$3,0,IF(BB$3=Assumptions!$AD$3,Assumptions!$AD$26,0))</f>
        <v>0</v>
      </c>
      <c r="BC38" s="397">
        <f>IF(Assumptions!$AD$3&gt;='Sale Analysis'!$H$3,0,IF(BC$3=Assumptions!$AD$3,Assumptions!$AD$26,0))</f>
        <v>0</v>
      </c>
      <c r="BD38" s="397">
        <f>IF(Assumptions!$AD$3&gt;='Sale Analysis'!$H$3,0,IF(BD$3=Assumptions!$AD$3,Assumptions!$AD$26,0))</f>
        <v>0</v>
      </c>
      <c r="BE38" s="397">
        <f>IF(Assumptions!$AD$3&gt;='Sale Analysis'!$H$3,0,IF(BE$3=Assumptions!$AD$3,Assumptions!$AD$26,0))</f>
        <v>0</v>
      </c>
      <c r="BF38" s="397">
        <f>IF(Assumptions!$AD$3&gt;='Sale Analysis'!$H$3,0,IF(BF$3=Assumptions!$AD$3,Assumptions!$AD$26,0))</f>
        <v>0</v>
      </c>
      <c r="BG38" s="397">
        <f>IF(Assumptions!$AD$3&gt;='Sale Analysis'!$H$3,0,IF(BG$3=Assumptions!$AD$3,Assumptions!$AD$26,0))</f>
        <v>0</v>
      </c>
      <c r="BH38" s="397">
        <f>IF(Assumptions!$AD$3&gt;='Sale Analysis'!$H$3,0,IF(BH$3=Assumptions!$AD$3,Assumptions!$AD$26,0))</f>
        <v>0</v>
      </c>
      <c r="BI38" s="397">
        <f>IF(Assumptions!$AD$3&gt;='Sale Analysis'!$H$3,0,IF(BI$3=Assumptions!$AD$3,Assumptions!$AD$26,0))</f>
        <v>0</v>
      </c>
      <c r="BJ38" s="397">
        <f>IF(Assumptions!$AD$3&gt;='Sale Analysis'!$H$3,0,IF(BJ$3=Assumptions!$AD$3,Assumptions!$AD$26,0))</f>
        <v>0</v>
      </c>
      <c r="BK38" s="397">
        <f>IF(Assumptions!$AD$3&gt;='Sale Analysis'!$H$3,0,IF(BK$3=Assumptions!$AD$3,Assumptions!$AD$26,0))</f>
        <v>0</v>
      </c>
      <c r="BL38" s="397">
        <f>IF(Assumptions!$AD$3&gt;='Sale Analysis'!$H$3,0,IF(BL$3=Assumptions!$AD$3,Assumptions!$AD$26,0))</f>
        <v>0</v>
      </c>
      <c r="BM38" s="397">
        <f>IF(Assumptions!$AD$3&gt;='Sale Analysis'!$H$3,0,IF(BM$3=Assumptions!$AD$3,Assumptions!$AD$26,0))</f>
        <v>0</v>
      </c>
      <c r="BN38" s="397">
        <f>IF(Assumptions!$AD$3&gt;='Sale Analysis'!$H$3,0,IF(BN$3=Assumptions!$AD$3,Assumptions!$AD$26,0))</f>
        <v>0</v>
      </c>
      <c r="BO38" s="397">
        <f>IF(Assumptions!$AD$3&gt;='Sale Analysis'!$H$3,0,IF(BO$3=Assumptions!$AD$3,Assumptions!$AD$26,0))</f>
        <v>0</v>
      </c>
      <c r="BP38" s="397">
        <f>IF(Assumptions!$AD$3&gt;='Sale Analysis'!$H$3,0,IF(BP$3=Assumptions!$AD$3,Assumptions!$AD$26,0))</f>
        <v>0</v>
      </c>
      <c r="BQ38" s="397">
        <f>IF(Assumptions!$AD$3&gt;='Sale Analysis'!$H$3,0,IF(BQ$3=Assumptions!$AD$3,Assumptions!$AD$26,0))</f>
        <v>0</v>
      </c>
      <c r="BR38" s="397">
        <f>IF(Assumptions!$AD$3&gt;='Sale Analysis'!$H$3,0,IF(BR$3=Assumptions!$AD$3,Assumptions!$AD$26,0))</f>
        <v>0</v>
      </c>
      <c r="BS38" s="397">
        <f>IF(Assumptions!$AD$3&gt;='Sale Analysis'!$H$3,0,IF(BS$3=Assumptions!$AD$3,Assumptions!$AD$26,0))</f>
        <v>0</v>
      </c>
      <c r="BT38" s="397">
        <f>IF(Assumptions!$AD$3&gt;='Sale Analysis'!$H$3,0,IF(BT$3=Assumptions!$AD$3,Assumptions!$AD$26,0))</f>
        <v>0</v>
      </c>
      <c r="BU38" s="397">
        <f>IF(Assumptions!$AD$3&gt;='Sale Analysis'!$H$3,0,IF(BU$3=Assumptions!$AD$3,Assumptions!$AD$26,0))</f>
        <v>0</v>
      </c>
      <c r="BV38" s="397">
        <f>IF(Assumptions!$AD$3&gt;='Sale Analysis'!$H$3,0,IF(BV$3=Assumptions!$AD$3,Assumptions!$AD$26,0))</f>
        <v>0</v>
      </c>
      <c r="BW38" s="397">
        <f>IF(Assumptions!$AD$3&gt;='Sale Analysis'!$H$3,0,IF(BW$3=Assumptions!$AD$3,Assumptions!$AD$26,0))</f>
        <v>0</v>
      </c>
      <c r="BX38" s="397">
        <f>IF(Assumptions!$AD$3&gt;='Sale Analysis'!$H$3,0,IF(BX$3=Assumptions!$AD$3,Assumptions!$AD$26,0))</f>
        <v>0</v>
      </c>
      <c r="BY38" s="397">
        <f>IF(Assumptions!$AD$3&gt;='Sale Analysis'!$H$3,0,IF(BY$3=Assumptions!$AD$3,Assumptions!$AD$26,0))</f>
        <v>0</v>
      </c>
      <c r="BZ38" s="397">
        <f>IF(Assumptions!$AD$3&gt;='Sale Analysis'!$H$3,0,IF(BZ$3=Assumptions!$AD$3,Assumptions!$AD$26,0))</f>
        <v>0</v>
      </c>
      <c r="CA38" s="397">
        <f>IF(Assumptions!$AD$3&gt;='Sale Analysis'!$H$3,0,IF(CA$3=Assumptions!$AD$3,Assumptions!$AD$26,0))</f>
        <v>0</v>
      </c>
      <c r="CB38" s="397">
        <f>IF(Assumptions!$AD$3&gt;='Sale Analysis'!$H$3,0,IF(CB$3=Assumptions!$AD$3,Assumptions!$AD$26,0))</f>
        <v>0</v>
      </c>
      <c r="CC38" s="397">
        <f>IF(Assumptions!$AD$3&gt;='Sale Analysis'!$H$3,0,IF(CC$3=Assumptions!$AD$3,Assumptions!$AD$26,0))</f>
        <v>0</v>
      </c>
      <c r="CD38" s="397">
        <f>IF(Assumptions!$AD$3&gt;='Sale Analysis'!$H$3,0,IF(CD$3=Assumptions!$AD$3,Assumptions!$AD$26,0))</f>
        <v>0</v>
      </c>
      <c r="CE38" s="397">
        <f>IF(Assumptions!$AD$3&gt;='Sale Analysis'!$H$3,0,IF(CE$3=Assumptions!$AD$3,Assumptions!$AD$26,0))</f>
        <v>0</v>
      </c>
      <c r="CF38" s="397">
        <f>IF(Assumptions!$AD$3&gt;='Sale Analysis'!$H$3,0,IF(CF$3=Assumptions!$AD$3,Assumptions!$AD$26,0))</f>
        <v>0</v>
      </c>
      <c r="CG38" s="397">
        <f>IF(Assumptions!$AD$3&gt;='Sale Analysis'!$H$3,0,IF(CG$3=Assumptions!$AD$3,Assumptions!$AD$26,0))</f>
        <v>0</v>
      </c>
      <c r="CH38" s="397">
        <f>IF(Assumptions!$AD$3&gt;='Sale Analysis'!$H$3,0,IF(CH$3=Assumptions!$AD$3,Assumptions!$AD$26,0))</f>
        <v>0</v>
      </c>
      <c r="CI38" s="397">
        <f>IF(Assumptions!$AD$3&gt;='Sale Analysis'!$H$3,0,IF(CI$3=Assumptions!$AD$3,Assumptions!$AD$26,0))</f>
        <v>0</v>
      </c>
    </row>
    <row r="39" spans="2:87">
      <c r="B39" t="s">
        <v>274</v>
      </c>
      <c r="D39" s="397">
        <f>IF(D3&lt;'Sale Analysis'!$H$3,0,IF(D3&gt;'Sale Analysis'!$H$3,0,IF(D3='Sale Analysis'!$H$3,'Sale Analysis'!$H$18,0)))</f>
        <v>0</v>
      </c>
      <c r="E39" s="397">
        <f>IF(E3&lt;'Sale Analysis'!$H$3,0,IF(E3&gt;'Sale Analysis'!$H$3,0,IF(E3='Sale Analysis'!$H$3,'Sale Analysis'!$H$18,0)))</f>
        <v>0</v>
      </c>
      <c r="F39" s="397">
        <f>IF(F3&lt;'Sale Analysis'!$H$3,0,IF(F3&gt;'Sale Analysis'!$H$3,0,IF(F3='Sale Analysis'!$H$3,'Sale Analysis'!$H$18,0)))</f>
        <v>0</v>
      </c>
      <c r="G39" s="397">
        <f>IF(G3&lt;'Sale Analysis'!$H$3,0,IF(G3&gt;'Sale Analysis'!$H$3,0,IF(G3='Sale Analysis'!$H$3,'Sale Analysis'!$H$18,0)))</f>
        <v>0</v>
      </c>
      <c r="H39" s="397">
        <f>IF(H3&lt;'Sale Analysis'!$H$3,0,IF(H3&gt;'Sale Analysis'!$H$3,0,IF(H3='Sale Analysis'!$H$3,'Sale Analysis'!$H$18,0)))</f>
        <v>0</v>
      </c>
      <c r="I39" s="397">
        <f>IF(I3&lt;'Sale Analysis'!$H$3,0,IF(I3&gt;'Sale Analysis'!$H$3,0,IF(I3='Sale Analysis'!$H$3,'Sale Analysis'!$H$18,0)))</f>
        <v>0</v>
      </c>
      <c r="J39" s="397">
        <f>IF(J3&lt;'Sale Analysis'!$H$3,0,IF(J3&gt;'Sale Analysis'!$H$3,0,IF(J3='Sale Analysis'!$H$3,'Sale Analysis'!$H$18,0)))</f>
        <v>0</v>
      </c>
      <c r="K39" s="397">
        <f>IF(K3&lt;'Sale Analysis'!$H$3,0,IF(K3&gt;'Sale Analysis'!$H$3,0,IF(K3='Sale Analysis'!$H$3,'Sale Analysis'!$H$18,0)))</f>
        <v>0</v>
      </c>
      <c r="L39" s="397">
        <f>IF(L3&lt;'Sale Analysis'!$H$3,0,IF(L3&gt;'Sale Analysis'!$H$3,0,IF(L3='Sale Analysis'!$H$3,'Sale Analysis'!$H$18,0)))</f>
        <v>0</v>
      </c>
      <c r="M39" s="397">
        <f>IF(M3&lt;'Sale Analysis'!$H$3,0,IF(M3&gt;'Sale Analysis'!$H$3,0,IF(M3='Sale Analysis'!$H$3,'Sale Analysis'!$H$18,0)))</f>
        <v>0</v>
      </c>
      <c r="N39" s="397">
        <f>IF(N3&lt;'Sale Analysis'!$H$3,0,IF(N3&gt;'Sale Analysis'!$H$3,0,IF(N3='Sale Analysis'!$H$3,'Sale Analysis'!$H$18,0)))</f>
        <v>0</v>
      </c>
      <c r="O39" s="397">
        <f>IF(O3&lt;'Sale Analysis'!$H$3,0,IF(O3&gt;'Sale Analysis'!$H$3,0,IF(O3='Sale Analysis'!$H$3,'Sale Analysis'!$H$18,0)))</f>
        <v>0</v>
      </c>
      <c r="P39" s="397">
        <f>IF(P3&lt;'Sale Analysis'!$H$3,0,IF(P3&gt;'Sale Analysis'!$H$3,0,IF(P3='Sale Analysis'!$H$3,'Sale Analysis'!$H$18,0)))</f>
        <v>0</v>
      </c>
      <c r="Q39" s="397">
        <f>IF(Q3&lt;'Sale Analysis'!$H$3,0,IF(Q3&gt;'Sale Analysis'!$H$3,0,IF(Q3='Sale Analysis'!$H$3,'Sale Analysis'!$H$18,0)))</f>
        <v>0</v>
      </c>
      <c r="R39" s="397">
        <f>IF(R3&lt;'Sale Analysis'!$H$3,0,IF(R3&gt;'Sale Analysis'!$H$3,0,IF(R3='Sale Analysis'!$H$3,'Sale Analysis'!$H$18,0)))</f>
        <v>0</v>
      </c>
      <c r="S39" s="397">
        <f>IF(S3&lt;'Sale Analysis'!$H$3,0,IF(S3&gt;'Sale Analysis'!$H$3,0,IF(S3='Sale Analysis'!$H$3,'Sale Analysis'!$H$18,0)))</f>
        <v>0</v>
      </c>
      <c r="T39" s="397">
        <f>IF(T3&lt;'Sale Analysis'!$H$3,0,IF(T3&gt;'Sale Analysis'!$H$3,0,IF(T3='Sale Analysis'!$H$3,'Sale Analysis'!$H$18,0)))</f>
        <v>0</v>
      </c>
      <c r="U39" s="397">
        <f>IF(U3&lt;'Sale Analysis'!$H$3,0,IF(U3&gt;'Sale Analysis'!$H$3,0,IF(U3='Sale Analysis'!$H$3,'Sale Analysis'!$H$18,0)))</f>
        <v>0</v>
      </c>
      <c r="V39" s="397">
        <f>IF(V3&lt;'Sale Analysis'!$H$3,0,IF(V3&gt;'Sale Analysis'!$H$3,0,IF(V3='Sale Analysis'!$H$3,'Sale Analysis'!$H$18,0)))</f>
        <v>0</v>
      </c>
      <c r="W39" s="397">
        <f>IF(W3&lt;'Sale Analysis'!$H$3,0,IF(W3&gt;'Sale Analysis'!$H$3,0,IF(W3='Sale Analysis'!$H$3,'Sale Analysis'!$H$18,0)))</f>
        <v>0</v>
      </c>
      <c r="X39" s="397">
        <f>IF(X3&lt;'Sale Analysis'!$H$3,0,IF(X3&gt;'Sale Analysis'!$H$3,0,IF(X3='Sale Analysis'!$H$3,'Sale Analysis'!$H$18,0)))</f>
        <v>0</v>
      </c>
      <c r="Y39" s="397">
        <f>IF(Y3&lt;'Sale Analysis'!$H$3,0,IF(Y3&gt;'Sale Analysis'!$H$3,0,IF(Y3='Sale Analysis'!$H$3,'Sale Analysis'!$H$18,0)))</f>
        <v>0</v>
      </c>
      <c r="Z39" s="397">
        <f>IF(Z3&lt;'Sale Analysis'!$H$3,0,IF(Z3&gt;'Sale Analysis'!$H$3,0,IF(Z3='Sale Analysis'!$H$3,'Sale Analysis'!$H$18,0)))</f>
        <v>0</v>
      </c>
      <c r="AA39" s="397">
        <f>IF(AA3&lt;'Sale Analysis'!$H$3,0,IF(AA3&gt;'Sale Analysis'!$H$3,0,IF(AA3='Sale Analysis'!$H$3,'Sale Analysis'!$H$18,0)))</f>
        <v>0</v>
      </c>
      <c r="AB39" s="397">
        <f>IF(AB3&lt;'Sale Analysis'!$H$3,0,IF(AB3&gt;'Sale Analysis'!$H$3,0,IF(AB3='Sale Analysis'!$H$3,'Sale Analysis'!$H$18,0)))</f>
        <v>0</v>
      </c>
      <c r="AC39" s="397">
        <f>IF(AC3&lt;'Sale Analysis'!$H$3,0,IF(AC3&gt;'Sale Analysis'!$H$3,0,IF(AC3='Sale Analysis'!$H$3,'Sale Analysis'!$H$18,0)))</f>
        <v>0</v>
      </c>
      <c r="AD39" s="397">
        <f>IF(AD3&lt;'Sale Analysis'!$H$3,0,IF(AD3&gt;'Sale Analysis'!$H$3,0,IF(AD3='Sale Analysis'!$H$3,'Sale Analysis'!$H$18,0)))</f>
        <v>0</v>
      </c>
      <c r="AE39" s="397">
        <f>IF(AE3&lt;'Sale Analysis'!$H$3,0,IF(AE3&gt;'Sale Analysis'!$H$3,0,IF(AE3='Sale Analysis'!$H$3,'Sale Analysis'!$H$18,0)))</f>
        <v>0</v>
      </c>
      <c r="AF39" s="397">
        <f>IF(AF3&lt;'Sale Analysis'!$H$3,0,IF(AF3&gt;'Sale Analysis'!$H$3,0,IF(AF3='Sale Analysis'!$H$3,'Sale Analysis'!$H$18,0)))</f>
        <v>0</v>
      </c>
      <c r="AG39" s="397">
        <f>IF(AG3&lt;'Sale Analysis'!$H$3,0,IF(AG3&gt;'Sale Analysis'!$H$3,0,IF(AG3='Sale Analysis'!$H$3,'Sale Analysis'!$H$18,0)))</f>
        <v>0</v>
      </c>
      <c r="AH39" s="397">
        <f>IF(AH3&lt;'Sale Analysis'!$H$3,0,IF(AH3&gt;'Sale Analysis'!$H$3,0,IF(AH3='Sale Analysis'!$H$3,'Sale Analysis'!$H$18,0)))</f>
        <v>0</v>
      </c>
      <c r="AI39" s="397">
        <f>IF(AI3&lt;'Sale Analysis'!$H$3,0,IF(AI3&gt;'Sale Analysis'!$H$3,0,IF(AI3='Sale Analysis'!$H$3,'Sale Analysis'!$H$18,0)))</f>
        <v>0</v>
      </c>
      <c r="AJ39" s="397">
        <f>IF(AJ3&lt;'Sale Analysis'!$H$3,0,IF(AJ3&gt;'Sale Analysis'!$H$3,0,IF(AJ3='Sale Analysis'!$H$3,'Sale Analysis'!$H$18,0)))</f>
        <v>0</v>
      </c>
      <c r="AK39" s="397">
        <f>IF(AK3&lt;'Sale Analysis'!$H$3,0,IF(AK3&gt;'Sale Analysis'!$H$3,0,IF(AK3='Sale Analysis'!$H$3,'Sale Analysis'!$H$18,0)))</f>
        <v>0</v>
      </c>
      <c r="AL39" s="397">
        <f>IF(AL3&lt;'Sale Analysis'!$H$3,0,IF(AL3&gt;'Sale Analysis'!$H$3,0,IF(AL3='Sale Analysis'!$H$3,'Sale Analysis'!$H$18,0)))</f>
        <v>0</v>
      </c>
      <c r="AM39" s="397">
        <f>IF(AM3&lt;'Sale Analysis'!$H$3,0,IF(AM3&gt;'Sale Analysis'!$H$3,0,IF(AM3='Sale Analysis'!$H$3,'Sale Analysis'!$H$18,0)))</f>
        <v>0</v>
      </c>
      <c r="AN39" s="397">
        <f>IF(AN3&lt;'Sale Analysis'!$H$3,0,IF(AN3&gt;'Sale Analysis'!$H$3,0,IF(AN3='Sale Analysis'!$H$3,'Sale Analysis'!$H$18,0)))</f>
        <v>0</v>
      </c>
      <c r="AO39" s="397">
        <f>IF(AO3&lt;'Sale Analysis'!$H$3,0,IF(AO3&gt;'Sale Analysis'!$H$3,0,IF(AO3='Sale Analysis'!$H$3,'Sale Analysis'!$H$18,0)))</f>
        <v>0</v>
      </c>
      <c r="AP39" s="397">
        <f>IF(AP3&lt;'Sale Analysis'!$H$3,0,IF(AP3&gt;'Sale Analysis'!$H$3,0,IF(AP3='Sale Analysis'!$H$3,'Sale Analysis'!$H$18,0)))</f>
        <v>0</v>
      </c>
      <c r="AQ39" s="397">
        <f>IF(AQ3&lt;'Sale Analysis'!$H$3,0,IF(AQ3&gt;'Sale Analysis'!$H$3,0,IF(AQ3='Sale Analysis'!$H$3,'Sale Analysis'!$H$18,0)))</f>
        <v>0</v>
      </c>
      <c r="AR39" s="397">
        <f>IF(AR3&lt;'Sale Analysis'!$H$3,0,IF(AR3&gt;'Sale Analysis'!$H$3,0,IF(AR3='Sale Analysis'!$H$3,'Sale Analysis'!$H$18,0)))</f>
        <v>0</v>
      </c>
      <c r="AS39" s="397">
        <f>IF(AS3&lt;'Sale Analysis'!$H$3,0,IF(AS3&gt;'Sale Analysis'!$H$3,0,IF(AS3='Sale Analysis'!$H$3,'Sale Analysis'!$H$18,0)))</f>
        <v>0</v>
      </c>
      <c r="AT39" s="397">
        <f>IF(AT3&lt;'Sale Analysis'!$H$3,0,IF(AT3&gt;'Sale Analysis'!$H$3,0,IF(AT3='Sale Analysis'!$H$3,'Sale Analysis'!$H$18,0)))</f>
        <v>0</v>
      </c>
      <c r="AU39" s="397">
        <f>IF(AU3&lt;'Sale Analysis'!$H$3,0,IF(AU3&gt;'Sale Analysis'!$H$3,0,IF(AU3='Sale Analysis'!$H$3,'Sale Analysis'!$H$18,0)))</f>
        <v>0</v>
      </c>
      <c r="AV39" s="397">
        <f>IF(AV3&lt;'Sale Analysis'!$H$3,0,IF(AV3&gt;'Sale Analysis'!$H$3,0,IF(AV3='Sale Analysis'!$H$3,'Sale Analysis'!$H$18,0)))</f>
        <v>0</v>
      </c>
      <c r="AW39" s="397">
        <f>IF(AW3&lt;'Sale Analysis'!$H$3,0,IF(AW3&gt;'Sale Analysis'!$H$3,0,IF(AW3='Sale Analysis'!$H$3,'Sale Analysis'!$H$18,0)))</f>
        <v>0</v>
      </c>
      <c r="AX39" s="397">
        <f>IF(AX3&lt;'Sale Analysis'!$H$3,0,IF(AX3&gt;'Sale Analysis'!$H$3,0,IF(AX3='Sale Analysis'!$H$3,'Sale Analysis'!$H$18,0)))</f>
        <v>0</v>
      </c>
      <c r="AY39" s="397">
        <f>IF(AY3&lt;'Sale Analysis'!$H$3,0,IF(AY3&gt;'Sale Analysis'!$H$3,0,IF(AY3='Sale Analysis'!$H$3,'Sale Analysis'!$H$18,0)))</f>
        <v>0</v>
      </c>
      <c r="AZ39" s="397">
        <f>IF(AZ3&lt;'Sale Analysis'!$H$3,0,IF(AZ3&gt;'Sale Analysis'!$H$3,0,IF(AZ3='Sale Analysis'!$H$3,'Sale Analysis'!$H$18,0)))</f>
        <v>0</v>
      </c>
      <c r="BA39" s="397">
        <f>IF(BA3&lt;'Sale Analysis'!$H$3,0,IF(BA3&gt;'Sale Analysis'!$H$3,0,IF(BA3='Sale Analysis'!$H$3,'Sale Analysis'!$H$18,0)))</f>
        <v>0</v>
      </c>
      <c r="BB39" s="397">
        <f>IF(BB3&lt;'Sale Analysis'!$H$3,0,IF(BB3&gt;'Sale Analysis'!$H$3,0,IF(BB3='Sale Analysis'!$H$3,'Sale Analysis'!$H$18,0)))</f>
        <v>0</v>
      </c>
      <c r="BC39" s="397">
        <f>IF(BC3&lt;'Sale Analysis'!$H$3,0,IF(BC3&gt;'Sale Analysis'!$H$3,0,IF(BC3='Sale Analysis'!$H$3,'Sale Analysis'!$H$18,0)))</f>
        <v>0</v>
      </c>
      <c r="BD39" s="397">
        <f>IF(BD3&lt;'Sale Analysis'!$H$3,0,IF(BD3&gt;'Sale Analysis'!$H$3,0,IF(BD3='Sale Analysis'!$H$3,'Sale Analysis'!$H$18,0)))</f>
        <v>0</v>
      </c>
      <c r="BE39" s="397">
        <f>IF(BE3&lt;'Sale Analysis'!$H$3,0,IF(BE3&gt;'Sale Analysis'!$H$3,0,IF(BE3='Sale Analysis'!$H$3,'Sale Analysis'!$H$18,0)))</f>
        <v>0</v>
      </c>
      <c r="BF39" s="397">
        <f>IF(BF3&lt;'Sale Analysis'!$H$3,0,IF(BF3&gt;'Sale Analysis'!$H$3,0,IF(BF3='Sale Analysis'!$H$3,'Sale Analysis'!$H$18,0)))</f>
        <v>0</v>
      </c>
      <c r="BG39" s="397">
        <f>IF(BG3&lt;'Sale Analysis'!$H$3,0,IF(BG3&gt;'Sale Analysis'!$H$3,0,IF(BG3='Sale Analysis'!$H$3,'Sale Analysis'!$H$18,0)))</f>
        <v>0</v>
      </c>
      <c r="BH39" s="397">
        <f>IF(BH3&lt;'Sale Analysis'!$H$3,0,IF(BH3&gt;'Sale Analysis'!$H$3,0,IF(BH3='Sale Analysis'!$H$3,'Sale Analysis'!$H$18,0)))</f>
        <v>0</v>
      </c>
      <c r="BI39" s="397">
        <f>IF(BI3&lt;'Sale Analysis'!$H$3,0,IF(BI3&gt;'Sale Analysis'!$H$3,0,IF(BI3='Sale Analysis'!$H$3,'Sale Analysis'!$H$18,0)))</f>
        <v>0</v>
      </c>
      <c r="BJ39" s="397">
        <f>IF(BJ3&lt;'Sale Analysis'!$H$3,0,IF(BJ3&gt;'Sale Analysis'!$H$3,0,IF(BJ3='Sale Analysis'!$H$3,'Sale Analysis'!$H$18,0)))</f>
        <v>0</v>
      </c>
      <c r="BK39" s="397">
        <f>IF(BK3&lt;'Sale Analysis'!$H$3,0,IF(BK3&gt;'Sale Analysis'!$H$3,0,IF(BK3='Sale Analysis'!$H$3,'Sale Analysis'!$H$18,0)))</f>
        <v>0</v>
      </c>
      <c r="BL39" s="397">
        <f>IF(BL3&lt;'Sale Analysis'!$H$3,0,IF(BL3&gt;'Sale Analysis'!$H$3,0,IF(BL3='Sale Analysis'!$H$3,'Sale Analysis'!$H$18,0)))</f>
        <v>0</v>
      </c>
      <c r="BM39" s="397">
        <f>IF(BM3&lt;'Sale Analysis'!$H$3,0,IF(BM3&gt;'Sale Analysis'!$H$3,0,IF(BM3='Sale Analysis'!$H$3,'Sale Analysis'!$H$18,0)))</f>
        <v>0</v>
      </c>
      <c r="BN39" s="397">
        <f>IF(BN3&lt;'Sale Analysis'!$H$3,0,IF(BN3&gt;'Sale Analysis'!$H$3,0,IF(BN3='Sale Analysis'!$H$3,'Sale Analysis'!$H$18,0)))</f>
        <v>0</v>
      </c>
      <c r="BO39" s="397">
        <f>IF(BO3&lt;'Sale Analysis'!$H$3,0,IF(BO3&gt;'Sale Analysis'!$H$3,0,IF(BO3='Sale Analysis'!$H$3,'Sale Analysis'!$H$18,0)))</f>
        <v>0</v>
      </c>
      <c r="BP39" s="397">
        <f>IF(BP3&lt;'Sale Analysis'!$H$3,0,IF(BP3&gt;'Sale Analysis'!$H$3,0,IF(BP3='Sale Analysis'!$H$3,'Sale Analysis'!$H$18,0)))</f>
        <v>0</v>
      </c>
      <c r="BQ39" s="397">
        <f>IF(BQ3&lt;'Sale Analysis'!$H$3,0,IF(BQ3&gt;'Sale Analysis'!$H$3,0,IF(BQ3='Sale Analysis'!$H$3,'Sale Analysis'!$H$18,0)))</f>
        <v>0</v>
      </c>
      <c r="BR39" s="397">
        <f>IF(BR3&lt;'Sale Analysis'!$H$3,0,IF(BR3&gt;'Sale Analysis'!$H$3,0,IF(BR3='Sale Analysis'!$H$3,'Sale Analysis'!$H$18,0)))</f>
        <v>0</v>
      </c>
      <c r="BS39" s="397">
        <f>IF(BS3&lt;'Sale Analysis'!$H$3,0,IF(BS3&gt;'Sale Analysis'!$H$3,0,IF(BS3='Sale Analysis'!$H$3,'Sale Analysis'!$H$18,0)))</f>
        <v>0</v>
      </c>
      <c r="BT39" s="397">
        <f>IF(BT3&lt;'Sale Analysis'!$H$3,0,IF(BT3&gt;'Sale Analysis'!$H$3,0,IF(BT3='Sale Analysis'!$H$3,'Sale Analysis'!$H$18,0)))</f>
        <v>0</v>
      </c>
      <c r="BU39" s="397">
        <f>IF(BU3&lt;'Sale Analysis'!$H$3,0,IF(BU3&gt;'Sale Analysis'!$H$3,0,IF(BU3='Sale Analysis'!$H$3,'Sale Analysis'!$H$18,0)))</f>
        <v>0</v>
      </c>
      <c r="BV39" s="397">
        <f>IF(BV3&lt;'Sale Analysis'!$H$3,0,IF(BV3&gt;'Sale Analysis'!$H$3,0,IF(BV3='Sale Analysis'!$H$3,'Sale Analysis'!$H$18,0)))</f>
        <v>0</v>
      </c>
      <c r="BW39" s="397">
        <f>IF(BW3&lt;'Sale Analysis'!$H$3,0,IF(BW3&gt;'Sale Analysis'!$H$3,0,IF(BW3='Sale Analysis'!$H$3,'Sale Analysis'!$H$18,0)))</f>
        <v>0</v>
      </c>
      <c r="BX39" s="397">
        <f>IF(BX3&lt;'Sale Analysis'!$H$3,0,IF(BX3&gt;'Sale Analysis'!$H$3,0,IF(BX3='Sale Analysis'!$H$3,'Sale Analysis'!$H$18,0)))</f>
        <v>0</v>
      </c>
      <c r="BY39" s="397">
        <f>IF(BY3&lt;'Sale Analysis'!$H$3,0,IF(BY3&gt;'Sale Analysis'!$H$3,0,IF(BY3='Sale Analysis'!$H$3,'Sale Analysis'!$H$18,0)))</f>
        <v>0</v>
      </c>
      <c r="BZ39" s="397">
        <f>IF(BZ3&lt;'Sale Analysis'!$H$3,0,IF(BZ3&gt;'Sale Analysis'!$H$3,0,IF(BZ3='Sale Analysis'!$H$3,'Sale Analysis'!$H$18,0)))</f>
        <v>0</v>
      </c>
      <c r="CA39" s="397">
        <f>IF(CA3&lt;'Sale Analysis'!$H$3,0,IF(CA3&gt;'Sale Analysis'!$H$3,0,IF(CA3='Sale Analysis'!$H$3,'Sale Analysis'!$H$18,0)))</f>
        <v>0</v>
      </c>
      <c r="CB39" s="397">
        <f>IF(CB3&lt;'Sale Analysis'!$H$3,0,IF(CB3&gt;'Sale Analysis'!$H$3,0,IF(CB3='Sale Analysis'!$H$3,'Sale Analysis'!$H$18,0)))</f>
        <v>0</v>
      </c>
      <c r="CC39" s="397">
        <f>IF(CC3&lt;'Sale Analysis'!$H$3,0,IF(CC3&gt;'Sale Analysis'!$H$3,0,IF(CC3='Sale Analysis'!$H$3,'Sale Analysis'!$H$18,0)))</f>
        <v>0</v>
      </c>
      <c r="CD39" s="397">
        <f>IF(CD3&lt;'Sale Analysis'!$H$3,0,IF(CD3&gt;'Sale Analysis'!$H$3,0,IF(CD3='Sale Analysis'!$H$3,'Sale Analysis'!$H$18,0)))</f>
        <v>0</v>
      </c>
      <c r="CE39" s="397">
        <f>IF(CE3&lt;'Sale Analysis'!$H$3,0,IF(CE3&gt;'Sale Analysis'!$H$3,0,IF(CE3='Sale Analysis'!$H$3,'Sale Analysis'!$H$18,0)))</f>
        <v>0</v>
      </c>
      <c r="CF39" s="397">
        <f>IF(CF3&lt;'Sale Analysis'!$H$3,0,IF(CF3&gt;'Sale Analysis'!$H$3,0,IF(CF3='Sale Analysis'!$H$3,'Sale Analysis'!$H$18,0)))</f>
        <v>0</v>
      </c>
      <c r="CG39" s="397">
        <f>IF(CG3&lt;'Sale Analysis'!$H$3,0,IF(CG3&gt;'Sale Analysis'!$H$3,0,IF(CG3='Sale Analysis'!$H$3,'Sale Analysis'!$H$18,0)))</f>
        <v>0</v>
      </c>
      <c r="CH39" s="397">
        <f>IF(CH3&lt;'Sale Analysis'!$H$3,0,IF(CH3&gt;'Sale Analysis'!$H$3,0,IF(CH3='Sale Analysis'!$H$3,'Sale Analysis'!$H$18,0)))</f>
        <v>0</v>
      </c>
      <c r="CI39" s="397">
        <f ca="1">IF(CI3&lt;'Sale Analysis'!$H$3,0,IF(CI3&gt;'Sale Analysis'!$H$3,0,IF(CI3='Sale Analysis'!$H$3,'Sale Analysis'!$H$18,0)))</f>
        <v>1759260.1037244219</v>
      </c>
    </row>
    <row r="40" spans="2:87">
      <c r="B40" t="s">
        <v>277</v>
      </c>
      <c r="D40" s="397">
        <f ca="1">SUM(D37:D39)</f>
        <v>0</v>
      </c>
      <c r="E40" s="397">
        <f t="shared" ref="E40" ca="1" si="325">SUM(E37:E39)</f>
        <v>0</v>
      </c>
      <c r="F40" s="397">
        <f t="shared" ref="F40" ca="1" si="326">SUM(F37:F39)</f>
        <v>0</v>
      </c>
      <c r="G40" s="397">
        <f t="shared" ref="G40" ca="1" si="327">SUM(G37:G39)</f>
        <v>0</v>
      </c>
      <c r="H40" s="397">
        <f t="shared" ref="H40" ca="1" si="328">SUM(H37:H39)</f>
        <v>0</v>
      </c>
      <c r="I40" s="397">
        <f t="shared" ref="I40" ca="1" si="329">SUM(I37:I39)</f>
        <v>0</v>
      </c>
      <c r="J40" s="397">
        <f t="shared" ref="J40" ca="1" si="330">SUM(J37:J39)</f>
        <v>0</v>
      </c>
      <c r="K40" s="397">
        <f t="shared" ref="K40" ca="1" si="331">SUM(K37:K39)</f>
        <v>0</v>
      </c>
      <c r="L40" s="397">
        <f t="shared" ref="L40" ca="1" si="332">SUM(L37:L39)</f>
        <v>0</v>
      </c>
      <c r="M40" s="397">
        <f t="shared" ref="M40" ca="1" si="333">SUM(M37:M39)</f>
        <v>0</v>
      </c>
      <c r="N40" s="397">
        <f t="shared" ref="N40" ca="1" si="334">SUM(N37:N39)</f>
        <v>0</v>
      </c>
      <c r="O40" s="397">
        <f t="shared" ref="O40" ca="1" si="335">SUM(O37:O39)</f>
        <v>0</v>
      </c>
      <c r="P40" s="397">
        <f t="shared" ref="P40" ca="1" si="336">SUM(P37:P39)</f>
        <v>6240.1739668821674</v>
      </c>
      <c r="Q40" s="397">
        <f t="shared" ref="Q40" ca="1" si="337">SUM(Q37:Q39)</f>
        <v>6240.1739668821674</v>
      </c>
      <c r="R40" s="397">
        <f t="shared" ref="R40" ca="1" si="338">SUM(R37:R39)</f>
        <v>6240.1739668821674</v>
      </c>
      <c r="S40" s="397">
        <f t="shared" ref="S40" ca="1" si="339">SUM(S37:S39)</f>
        <v>6240.1739668821674</v>
      </c>
      <c r="T40" s="397">
        <f t="shared" ref="T40" ca="1" si="340">SUM(T37:T39)</f>
        <v>6240.1739668821674</v>
      </c>
      <c r="U40" s="397">
        <f t="shared" ref="U40" ca="1" si="341">SUM(U37:U39)</f>
        <v>6240.1739668821674</v>
      </c>
      <c r="V40" s="397">
        <f t="shared" ref="V40" ca="1" si="342">SUM(V37:V39)</f>
        <v>6240.1739668821674</v>
      </c>
      <c r="W40" s="397">
        <f t="shared" ref="W40" ca="1" si="343">SUM(W37:W39)</f>
        <v>6240.1739668821674</v>
      </c>
      <c r="X40" s="397">
        <f t="shared" ref="X40" ca="1" si="344">SUM(X37:X39)</f>
        <v>6240.1739668821674</v>
      </c>
      <c r="Y40" s="397">
        <f t="shared" ref="Y40" ca="1" si="345">SUM(Y37:Y39)</f>
        <v>6240.1739668821674</v>
      </c>
      <c r="Z40" s="397">
        <f t="shared" ref="Z40" ca="1" si="346">SUM(Z37:Z39)</f>
        <v>6240.1739668821674</v>
      </c>
      <c r="AA40" s="397">
        <f t="shared" ref="AA40" ca="1" si="347">SUM(AA37:AA39)</f>
        <v>6240.1739668821674</v>
      </c>
      <c r="AB40" s="397">
        <f t="shared" ref="AB40" ca="1" si="348">SUM(AB37:AB39)</f>
        <v>9360.2609503232488</v>
      </c>
      <c r="AC40" s="397">
        <f t="shared" ref="AC40" ca="1" si="349">SUM(AC37:AC39)</f>
        <v>9360.2609503232488</v>
      </c>
      <c r="AD40" s="397">
        <f t="shared" ref="AD40" ca="1" si="350">SUM(AD37:AD39)</f>
        <v>9360.2609503232488</v>
      </c>
      <c r="AE40" s="397">
        <f t="shared" ref="AE40" ca="1" si="351">SUM(AE37:AE39)</f>
        <v>9360.2609503232488</v>
      </c>
      <c r="AF40" s="397">
        <f t="shared" ref="AF40" ca="1" si="352">SUM(AF37:AF39)</f>
        <v>9360.2609503232488</v>
      </c>
      <c r="AG40" s="397">
        <f t="shared" ref="AG40" ca="1" si="353">SUM(AG37:AG39)</f>
        <v>9360.2609503232488</v>
      </c>
      <c r="AH40" s="397">
        <f t="shared" ref="AH40" ca="1" si="354">SUM(AH37:AH39)</f>
        <v>9360.2609503232488</v>
      </c>
      <c r="AI40" s="397">
        <f t="shared" ref="AI40" ca="1" si="355">SUM(AI37:AI39)</f>
        <v>9360.2609503232488</v>
      </c>
      <c r="AJ40" s="397">
        <f t="shared" ref="AJ40" ca="1" si="356">SUM(AJ37:AJ39)</f>
        <v>9360.2609503232488</v>
      </c>
      <c r="AK40" s="397">
        <f t="shared" ref="AK40" ca="1" si="357">SUM(AK37:AK39)</f>
        <v>9360.2609503232488</v>
      </c>
      <c r="AL40" s="397">
        <f t="shared" ref="AL40" ca="1" si="358">SUM(AL37:AL39)</f>
        <v>946854.42086932901</v>
      </c>
      <c r="AM40" s="397">
        <f t="shared" ref="AM40" ca="1" si="359">SUM(AM37:AM39)</f>
        <v>3464.071265298056</v>
      </c>
      <c r="AN40" s="397">
        <f t="shared" ref="AN40" ca="1" si="360">SUM(AN37:AN39)</f>
        <v>5542.5140244768891</v>
      </c>
      <c r="AO40" s="397">
        <f t="shared" ref="AO40" ca="1" si="361">SUM(AO37:AO39)</f>
        <v>5542.5140244768891</v>
      </c>
      <c r="AP40" s="397">
        <f t="shared" ref="AP40" ca="1" si="362">SUM(AP37:AP39)</f>
        <v>5542.5140244768891</v>
      </c>
      <c r="AQ40" s="397">
        <f t="shared" ref="AQ40" ca="1" si="363">SUM(AQ37:AQ39)</f>
        <v>5542.5140244768891</v>
      </c>
      <c r="AR40" s="397">
        <f t="shared" ref="AR40" ca="1" si="364">SUM(AR37:AR39)</f>
        <v>5542.5140244768891</v>
      </c>
      <c r="AS40" s="397">
        <f t="shared" ref="AS40" ca="1" si="365">SUM(AS37:AS39)</f>
        <v>5542.5140244768891</v>
      </c>
      <c r="AT40" s="397">
        <f t="shared" ref="AT40" ca="1" si="366">SUM(AT37:AT39)</f>
        <v>5542.5140244768891</v>
      </c>
      <c r="AU40" s="397">
        <f t="shared" ref="AU40" ca="1" si="367">SUM(AU37:AU39)</f>
        <v>5542.5140244768891</v>
      </c>
      <c r="AV40" s="397">
        <f t="shared" ref="AV40" ca="1" si="368">SUM(AV37:AV39)</f>
        <v>5542.5140244768891</v>
      </c>
      <c r="AW40" s="397">
        <f t="shared" ref="AW40" ca="1" si="369">SUM(AW37:AW39)</f>
        <v>5542.5140244768891</v>
      </c>
      <c r="AX40" s="397">
        <f t="shared" ref="AX40" ca="1" si="370">SUM(AX37:AX39)</f>
        <v>5542.5140244768891</v>
      </c>
      <c r="AY40" s="397">
        <f t="shared" ref="AY40" ca="1" si="371">SUM(AY37:AY39)</f>
        <v>5542.5140244768891</v>
      </c>
      <c r="AZ40" s="397">
        <f t="shared" ref="AZ40" ca="1" si="372">SUM(AZ37:AZ39)</f>
        <v>6004.3901931832979</v>
      </c>
      <c r="BA40" s="397">
        <f t="shared" ref="BA40" ca="1" si="373">SUM(BA37:BA39)</f>
        <v>6004.3901931832979</v>
      </c>
      <c r="BB40" s="397">
        <f t="shared" ref="BB40" ca="1" si="374">SUM(BB37:BB39)</f>
        <v>6004.3901931832979</v>
      </c>
      <c r="BC40" s="397">
        <f t="shared" ref="BC40" ca="1" si="375">SUM(BC37:BC39)</f>
        <v>6004.3901931832979</v>
      </c>
      <c r="BD40" s="397">
        <f t="shared" ref="BD40" ca="1" si="376">SUM(BD37:BD39)</f>
        <v>6004.3901931832979</v>
      </c>
      <c r="BE40" s="397">
        <f t="shared" ref="BE40" ca="1" si="377">SUM(BE37:BE39)</f>
        <v>6004.3901931832979</v>
      </c>
      <c r="BF40" s="397">
        <f t="shared" ref="BF40" ca="1" si="378">SUM(BF37:BF39)</f>
        <v>6004.3901931832979</v>
      </c>
      <c r="BG40" s="397">
        <f t="shared" ref="BG40" ca="1" si="379">SUM(BG37:BG39)</f>
        <v>6004.3901931832979</v>
      </c>
      <c r="BH40" s="397">
        <f t="shared" ref="BH40" ca="1" si="380">SUM(BH37:BH39)</f>
        <v>6004.3901931832979</v>
      </c>
      <c r="BI40" s="397">
        <f t="shared" ref="BI40" ca="1" si="381">SUM(BI37:BI39)</f>
        <v>6004.3901931832979</v>
      </c>
      <c r="BJ40" s="397">
        <f t="shared" ref="BJ40" ca="1" si="382">SUM(BJ37:BJ39)</f>
        <v>6004.3901931832979</v>
      </c>
      <c r="BK40" s="397">
        <f t="shared" ref="BK40" ca="1" si="383">SUM(BK37:BK39)</f>
        <v>6004.3901931832979</v>
      </c>
      <c r="BL40" s="397">
        <f t="shared" ref="BL40" ca="1" si="384">SUM(BL37:BL39)</f>
        <v>6466.2663618897059</v>
      </c>
      <c r="BM40" s="397">
        <f t="shared" ref="BM40" ca="1" si="385">SUM(BM37:BM39)</f>
        <v>6466.2663618897059</v>
      </c>
      <c r="BN40" s="397">
        <f t="shared" ref="BN40" ca="1" si="386">SUM(BN37:BN39)</f>
        <v>6466.2663618897059</v>
      </c>
      <c r="BO40" s="397">
        <f t="shared" ref="BO40" ca="1" si="387">SUM(BO37:BO39)</f>
        <v>6466.2663618897059</v>
      </c>
      <c r="BP40" s="397">
        <f t="shared" ref="BP40" ca="1" si="388">SUM(BP37:BP39)</f>
        <v>6466.2663618897059</v>
      </c>
      <c r="BQ40" s="397">
        <f t="shared" ref="BQ40" ca="1" si="389">SUM(BQ37:BQ39)</f>
        <v>6466.2663618897059</v>
      </c>
      <c r="BR40" s="397">
        <f t="shared" ref="BR40" ca="1" si="390">SUM(BR37:BR39)</f>
        <v>6466.2663618897059</v>
      </c>
      <c r="BS40" s="397">
        <f t="shared" ref="BS40" ca="1" si="391">SUM(BS37:BS39)</f>
        <v>6466.2663618897059</v>
      </c>
      <c r="BT40" s="397">
        <f t="shared" ref="BT40" ca="1" si="392">SUM(BT37:BT39)</f>
        <v>6466.2663618897059</v>
      </c>
      <c r="BU40" s="397">
        <f t="shared" ref="BU40" ca="1" si="393">SUM(BU37:BU39)</f>
        <v>6466.2663618897059</v>
      </c>
      <c r="BV40" s="397">
        <f t="shared" ref="BV40" ca="1" si="394">SUM(BV37:BV39)</f>
        <v>6466.2663618897059</v>
      </c>
      <c r="BW40" s="397">
        <f t="shared" ref="BW40" ca="1" si="395">SUM(BW37:BW39)</f>
        <v>6466.2663618897059</v>
      </c>
      <c r="BX40" s="397">
        <f t="shared" ref="BX40" ca="1" si="396">SUM(BX37:BX39)</f>
        <v>6928.142530596112</v>
      </c>
      <c r="BY40" s="397">
        <f t="shared" ref="BY40" ca="1" si="397">SUM(BY37:BY39)</f>
        <v>6928.142530596112</v>
      </c>
      <c r="BZ40" s="397">
        <f t="shared" ref="BZ40" ca="1" si="398">SUM(BZ37:BZ39)</f>
        <v>6928.142530596112</v>
      </c>
      <c r="CA40" s="397">
        <f t="shared" ref="CA40" ca="1" si="399">SUM(CA37:CA39)</f>
        <v>6928.142530596112</v>
      </c>
      <c r="CB40" s="397">
        <f t="shared" ref="CB40" ca="1" si="400">SUM(CB37:CB39)</f>
        <v>6928.142530596112</v>
      </c>
      <c r="CC40" s="397">
        <f t="shared" ref="CC40" ca="1" si="401">SUM(CC37:CC39)</f>
        <v>6928.142530596112</v>
      </c>
      <c r="CD40" s="397">
        <f t="shared" ref="CD40" ca="1" si="402">SUM(CD37:CD39)</f>
        <v>6928.142530596112</v>
      </c>
      <c r="CE40" s="397">
        <f t="shared" ref="CE40" ca="1" si="403">SUM(CE37:CE39)</f>
        <v>6928.142530596112</v>
      </c>
      <c r="CF40" s="397">
        <f t="shared" ref="CF40" ca="1" si="404">SUM(CF37:CF39)</f>
        <v>6928.142530596112</v>
      </c>
      <c r="CG40" s="397">
        <f t="shared" ref="CG40" ca="1" si="405">SUM(CG37:CG39)</f>
        <v>6928.142530596112</v>
      </c>
      <c r="CH40" s="397">
        <f t="shared" ref="CH40" ca="1" si="406">SUM(CH37:CH39)</f>
        <v>6928.142530596112</v>
      </c>
      <c r="CI40" s="397">
        <f t="shared" ref="CI40" ca="1" si="407">SUM(CI37:CI39)</f>
        <v>1766188.246255018</v>
      </c>
    </row>
    <row r="42" spans="2:87">
      <c r="C42" s="171">
        <f>Assumptions!C7</f>
        <v>46204</v>
      </c>
      <c r="D42" s="171">
        <f>Assumptions!C7</f>
        <v>46204</v>
      </c>
      <c r="E42" s="172">
        <f>EDATE(D42,1)</f>
        <v>46235</v>
      </c>
      <c r="F42" s="173">
        <f t="shared" ref="F42" si="408">EDATE(E42,1)</f>
        <v>46266</v>
      </c>
      <c r="G42" s="173">
        <f t="shared" ref="G42" si="409">EDATE(F42,1)</f>
        <v>46296</v>
      </c>
      <c r="H42" s="173">
        <f t="shared" ref="H42" si="410">EDATE(G42,1)</f>
        <v>46327</v>
      </c>
      <c r="I42" s="171">
        <f t="shared" ref="I42" si="411">EDATE(H42,1)</f>
        <v>46357</v>
      </c>
      <c r="J42" s="173">
        <f t="shared" ref="J42" si="412">EDATE(I42,1)</f>
        <v>46388</v>
      </c>
      <c r="K42" s="173">
        <f t="shared" ref="K42" si="413">EDATE(J42,1)</f>
        <v>46419</v>
      </c>
      <c r="L42" s="173">
        <f t="shared" ref="L42" si="414">EDATE(K42,1)</f>
        <v>46447</v>
      </c>
      <c r="M42" s="171">
        <f t="shared" ref="M42" si="415">EDATE(L42,1)</f>
        <v>46478</v>
      </c>
      <c r="N42" s="173">
        <f t="shared" ref="N42" si="416">EDATE(M42,1)</f>
        <v>46508</v>
      </c>
      <c r="O42" s="173">
        <f t="shared" ref="O42" si="417">EDATE(N42,1)</f>
        <v>46539</v>
      </c>
      <c r="P42" s="173">
        <f t="shared" ref="P42" si="418">EDATE(O42,1)</f>
        <v>46569</v>
      </c>
      <c r="Q42" s="173">
        <f t="shared" ref="Q42" si="419">EDATE(P42,1)</f>
        <v>46600</v>
      </c>
      <c r="R42" s="173">
        <f t="shared" ref="R42" si="420">EDATE(Q42,1)</f>
        <v>46631</v>
      </c>
      <c r="S42" s="173">
        <f t="shared" ref="S42" si="421">EDATE(R42,1)</f>
        <v>46661</v>
      </c>
      <c r="T42" s="173">
        <f t="shared" ref="T42" si="422">EDATE(S42,1)</f>
        <v>46692</v>
      </c>
      <c r="U42" s="173">
        <f t="shared" ref="U42" si="423">EDATE(T42,1)</f>
        <v>46722</v>
      </c>
      <c r="V42" s="173">
        <f t="shared" ref="V42" si="424">EDATE(U42,1)</f>
        <v>46753</v>
      </c>
      <c r="W42" s="173">
        <f t="shared" ref="W42" si="425">EDATE(V42,1)</f>
        <v>46784</v>
      </c>
      <c r="X42" s="173">
        <f t="shared" ref="X42" si="426">EDATE(W42,1)</f>
        <v>46813</v>
      </c>
      <c r="Y42" s="173">
        <f t="shared" ref="Y42" si="427">EDATE(X42,1)</f>
        <v>46844</v>
      </c>
      <c r="Z42" s="173">
        <f t="shared" ref="Z42" si="428">EDATE(Y42,1)</f>
        <v>46874</v>
      </c>
      <c r="AA42" s="173">
        <f t="shared" ref="AA42" si="429">EDATE(Z42,1)</f>
        <v>46905</v>
      </c>
      <c r="AB42" s="173">
        <f t="shared" ref="AB42" si="430">EDATE(AA42,1)</f>
        <v>46935</v>
      </c>
      <c r="AC42" s="173">
        <f t="shared" ref="AC42" si="431">EDATE(AB42,1)</f>
        <v>46966</v>
      </c>
      <c r="AD42" s="173">
        <f t="shared" ref="AD42" si="432">EDATE(AC42,1)</f>
        <v>46997</v>
      </c>
      <c r="AE42" s="173">
        <f t="shared" ref="AE42" si="433">EDATE(AD42,1)</f>
        <v>47027</v>
      </c>
      <c r="AF42" s="173">
        <f t="shared" ref="AF42" si="434">EDATE(AE42,1)</f>
        <v>47058</v>
      </c>
      <c r="AG42" s="173">
        <f t="shared" ref="AG42" si="435">EDATE(AF42,1)</f>
        <v>47088</v>
      </c>
      <c r="AH42" s="173">
        <f t="shared" ref="AH42" si="436">EDATE(AG42,1)</f>
        <v>47119</v>
      </c>
      <c r="AI42" s="173">
        <f t="shared" ref="AI42" si="437">EDATE(AH42,1)</f>
        <v>47150</v>
      </c>
      <c r="AJ42" s="173">
        <f t="shared" ref="AJ42" si="438">EDATE(AI42,1)</f>
        <v>47178</v>
      </c>
      <c r="AK42" s="173">
        <f t="shared" ref="AK42" si="439">EDATE(AJ42,1)</f>
        <v>47209</v>
      </c>
      <c r="AL42" s="173">
        <f t="shared" ref="AL42" si="440">EDATE(AK42,1)</f>
        <v>47239</v>
      </c>
      <c r="AM42" s="173">
        <f t="shared" ref="AM42" si="441">EDATE(AL42,1)</f>
        <v>47270</v>
      </c>
      <c r="AN42" s="173">
        <f t="shared" ref="AN42" si="442">EDATE(AM42,1)</f>
        <v>47300</v>
      </c>
      <c r="AO42" s="173">
        <f t="shared" ref="AO42" si="443">EDATE(AN42,1)</f>
        <v>47331</v>
      </c>
      <c r="AP42" s="173">
        <f t="shared" ref="AP42" si="444">EDATE(AO42,1)</f>
        <v>47362</v>
      </c>
      <c r="AQ42" s="173">
        <f t="shared" ref="AQ42" si="445">EDATE(AP42,1)</f>
        <v>47392</v>
      </c>
      <c r="AR42" s="173">
        <f t="shared" ref="AR42" si="446">EDATE(AQ42,1)</f>
        <v>47423</v>
      </c>
      <c r="AS42" s="173">
        <f t="shared" ref="AS42" si="447">EDATE(AR42,1)</f>
        <v>47453</v>
      </c>
      <c r="AT42" s="173">
        <f t="shared" ref="AT42" si="448">EDATE(AS42,1)</f>
        <v>47484</v>
      </c>
      <c r="AU42" s="173">
        <f t="shared" ref="AU42" si="449">EDATE(AT42,1)</f>
        <v>47515</v>
      </c>
      <c r="AV42" s="173">
        <f t="shared" ref="AV42" si="450">EDATE(AU42,1)</f>
        <v>47543</v>
      </c>
      <c r="AW42" s="173">
        <f t="shared" ref="AW42" si="451">EDATE(AV42,1)</f>
        <v>47574</v>
      </c>
      <c r="AX42" s="173">
        <f t="shared" ref="AX42" si="452">EDATE(AW42,1)</f>
        <v>47604</v>
      </c>
      <c r="AY42" s="173">
        <f t="shared" ref="AY42" si="453">EDATE(AX42,1)</f>
        <v>47635</v>
      </c>
      <c r="AZ42" s="173">
        <f t="shared" ref="AZ42" si="454">EDATE(AY42,1)</f>
        <v>47665</v>
      </c>
      <c r="BA42" s="173">
        <f t="shared" ref="BA42" si="455">EDATE(AZ42,1)</f>
        <v>47696</v>
      </c>
      <c r="BB42" s="173">
        <f t="shared" ref="BB42" si="456">EDATE(BA42,1)</f>
        <v>47727</v>
      </c>
      <c r="BC42" s="173">
        <f t="shared" ref="BC42" si="457">EDATE(BB42,1)</f>
        <v>47757</v>
      </c>
      <c r="BD42" s="173">
        <f t="shared" ref="BD42" si="458">EDATE(BC42,1)</f>
        <v>47788</v>
      </c>
      <c r="BE42" s="173">
        <f t="shared" ref="BE42" si="459">EDATE(BD42,1)</f>
        <v>47818</v>
      </c>
      <c r="BF42" s="173">
        <f t="shared" ref="BF42" si="460">EDATE(BE42,1)</f>
        <v>47849</v>
      </c>
      <c r="BG42" s="173">
        <f t="shared" ref="BG42" si="461">EDATE(BF42,1)</f>
        <v>47880</v>
      </c>
      <c r="BH42" s="173">
        <f t="shared" ref="BH42" si="462">EDATE(BG42,1)</f>
        <v>47908</v>
      </c>
      <c r="BI42" s="173">
        <f t="shared" ref="BI42" si="463">EDATE(BH42,1)</f>
        <v>47939</v>
      </c>
      <c r="BJ42" s="173">
        <f t="shared" ref="BJ42" si="464">EDATE(BI42,1)</f>
        <v>47969</v>
      </c>
      <c r="BK42" s="173">
        <f t="shared" ref="BK42" si="465">EDATE(BJ42,1)</f>
        <v>48000</v>
      </c>
      <c r="BL42" s="173">
        <f t="shared" ref="BL42" si="466">EDATE(BK42,1)</f>
        <v>48030</v>
      </c>
      <c r="BM42" s="173">
        <f t="shared" ref="BM42" si="467">EDATE(BL42,1)</f>
        <v>48061</v>
      </c>
      <c r="BN42" s="173">
        <f t="shared" ref="BN42" si="468">EDATE(BM42,1)</f>
        <v>48092</v>
      </c>
      <c r="BO42" s="173">
        <f t="shared" ref="BO42" si="469">EDATE(BN42,1)</f>
        <v>48122</v>
      </c>
      <c r="BP42" s="173">
        <f t="shared" ref="BP42" si="470">EDATE(BO42,1)</f>
        <v>48153</v>
      </c>
      <c r="BQ42" s="173">
        <f t="shared" ref="BQ42" si="471">EDATE(BP42,1)</f>
        <v>48183</v>
      </c>
      <c r="BR42" s="173">
        <f t="shared" ref="BR42" si="472">EDATE(BQ42,1)</f>
        <v>48214</v>
      </c>
      <c r="BS42" s="173">
        <f t="shared" ref="BS42" si="473">EDATE(BR42,1)</f>
        <v>48245</v>
      </c>
      <c r="BT42" s="173">
        <f t="shared" ref="BT42" si="474">EDATE(BS42,1)</f>
        <v>48274</v>
      </c>
      <c r="BU42" s="173">
        <f t="shared" ref="BU42" si="475">EDATE(BT42,1)</f>
        <v>48305</v>
      </c>
      <c r="BV42" s="173">
        <f t="shared" ref="BV42" si="476">EDATE(BU42,1)</f>
        <v>48335</v>
      </c>
      <c r="BW42" s="173">
        <f t="shared" ref="BW42" si="477">EDATE(BV42,1)</f>
        <v>48366</v>
      </c>
      <c r="BX42" s="173">
        <f t="shared" ref="BX42" si="478">EDATE(BW42,1)</f>
        <v>48396</v>
      </c>
      <c r="BY42" s="173">
        <f t="shared" ref="BY42" si="479">EDATE(BX42,1)</f>
        <v>48427</v>
      </c>
      <c r="BZ42" s="173">
        <f t="shared" ref="BZ42" si="480">EDATE(BY42,1)</f>
        <v>48458</v>
      </c>
      <c r="CA42" s="173">
        <f t="shared" ref="CA42" si="481">EDATE(BZ42,1)</f>
        <v>48488</v>
      </c>
      <c r="CB42" s="173">
        <f t="shared" ref="CB42" si="482">EDATE(CA42,1)</f>
        <v>48519</v>
      </c>
      <c r="CC42" s="173">
        <f t="shared" ref="CC42" si="483">EDATE(CB42,1)</f>
        <v>48549</v>
      </c>
      <c r="CD42" s="173">
        <f t="shared" ref="CD42" si="484">EDATE(CC42,1)</f>
        <v>48580</v>
      </c>
      <c r="CE42" s="173">
        <f t="shared" ref="CE42" si="485">EDATE(CD42,1)</f>
        <v>48611</v>
      </c>
      <c r="CF42" s="173">
        <f t="shared" ref="CF42" si="486">EDATE(CE42,1)</f>
        <v>48639</v>
      </c>
      <c r="CG42" s="173">
        <f t="shared" ref="CG42" si="487">EDATE(CF42,1)</f>
        <v>48670</v>
      </c>
      <c r="CH42" s="173">
        <f t="shared" ref="CH42" si="488">EDATE(CG42,1)</f>
        <v>48700</v>
      </c>
      <c r="CI42" s="173">
        <f t="shared" ref="CI42" si="489">EDATE(CH42,1)</f>
        <v>48731</v>
      </c>
    </row>
    <row r="43" spans="2:87">
      <c r="B43" t="s">
        <v>279</v>
      </c>
      <c r="C43" s="397">
        <f ca="1">C31+C32</f>
        <v>-1474622.05</v>
      </c>
      <c r="D43" s="397">
        <f t="shared" ref="D43:BO43" si="490">D31+D32</f>
        <v>0</v>
      </c>
      <c r="E43" s="397">
        <f t="shared" si="490"/>
        <v>0</v>
      </c>
      <c r="F43" s="397">
        <f t="shared" si="490"/>
        <v>0</v>
      </c>
      <c r="G43" s="397">
        <f t="shared" si="490"/>
        <v>0</v>
      </c>
      <c r="H43" s="397">
        <f t="shared" si="490"/>
        <v>0</v>
      </c>
      <c r="I43" s="397">
        <f t="shared" si="490"/>
        <v>0</v>
      </c>
      <c r="J43" s="397">
        <f t="shared" si="490"/>
        <v>0</v>
      </c>
      <c r="K43" s="397">
        <f t="shared" si="490"/>
        <v>0</v>
      </c>
      <c r="L43" s="397">
        <f t="shared" si="490"/>
        <v>0</v>
      </c>
      <c r="M43" s="397">
        <f t="shared" si="490"/>
        <v>0</v>
      </c>
      <c r="N43" s="397">
        <f t="shared" si="490"/>
        <v>0</v>
      </c>
      <c r="O43" s="397">
        <f t="shared" si="490"/>
        <v>0</v>
      </c>
      <c r="P43" s="397">
        <f t="shared" si="490"/>
        <v>0</v>
      </c>
      <c r="Q43" s="397">
        <f t="shared" si="490"/>
        <v>0</v>
      </c>
      <c r="R43" s="397">
        <f t="shared" si="490"/>
        <v>0</v>
      </c>
      <c r="S43" s="397">
        <f t="shared" si="490"/>
        <v>0</v>
      </c>
      <c r="T43" s="397">
        <f t="shared" si="490"/>
        <v>0</v>
      </c>
      <c r="U43" s="397">
        <f t="shared" si="490"/>
        <v>0</v>
      </c>
      <c r="V43" s="397">
        <f t="shared" si="490"/>
        <v>0</v>
      </c>
      <c r="W43" s="397">
        <f t="shared" si="490"/>
        <v>0</v>
      </c>
      <c r="X43" s="397">
        <f t="shared" si="490"/>
        <v>0</v>
      </c>
      <c r="Y43" s="397">
        <f t="shared" si="490"/>
        <v>0</v>
      </c>
      <c r="Z43" s="397">
        <f t="shared" si="490"/>
        <v>0</v>
      </c>
      <c r="AA43" s="397">
        <f t="shared" si="490"/>
        <v>0</v>
      </c>
      <c r="AB43" s="397">
        <f t="shared" si="490"/>
        <v>0</v>
      </c>
      <c r="AC43" s="397">
        <f t="shared" si="490"/>
        <v>0</v>
      </c>
      <c r="AD43" s="397">
        <f t="shared" si="490"/>
        <v>0</v>
      </c>
      <c r="AE43" s="397">
        <f t="shared" si="490"/>
        <v>0</v>
      </c>
      <c r="AF43" s="397">
        <f t="shared" si="490"/>
        <v>0</v>
      </c>
      <c r="AG43" s="397">
        <f t="shared" si="490"/>
        <v>0</v>
      </c>
      <c r="AH43" s="397">
        <f t="shared" si="490"/>
        <v>0</v>
      </c>
      <c r="AI43" s="397">
        <f t="shared" si="490"/>
        <v>0</v>
      </c>
      <c r="AJ43" s="397">
        <f t="shared" si="490"/>
        <v>0</v>
      </c>
      <c r="AK43" s="397">
        <f t="shared" si="490"/>
        <v>0</v>
      </c>
      <c r="AL43" s="397">
        <f t="shared" si="490"/>
        <v>0</v>
      </c>
      <c r="AM43" s="397">
        <f t="shared" si="490"/>
        <v>0</v>
      </c>
      <c r="AN43" s="397">
        <f t="shared" si="490"/>
        <v>0</v>
      </c>
      <c r="AO43" s="397">
        <f t="shared" si="490"/>
        <v>0</v>
      </c>
      <c r="AP43" s="397">
        <f t="shared" si="490"/>
        <v>0</v>
      </c>
      <c r="AQ43" s="397">
        <f t="shared" si="490"/>
        <v>0</v>
      </c>
      <c r="AR43" s="397">
        <f t="shared" si="490"/>
        <v>0</v>
      </c>
      <c r="AS43" s="397">
        <f t="shared" si="490"/>
        <v>0</v>
      </c>
      <c r="AT43" s="397">
        <f t="shared" si="490"/>
        <v>0</v>
      </c>
      <c r="AU43" s="397">
        <f t="shared" si="490"/>
        <v>0</v>
      </c>
      <c r="AV43" s="397">
        <f t="shared" si="490"/>
        <v>0</v>
      </c>
      <c r="AW43" s="397">
        <f t="shared" si="490"/>
        <v>0</v>
      </c>
      <c r="AX43" s="397">
        <f t="shared" si="490"/>
        <v>0</v>
      </c>
      <c r="AY43" s="397">
        <f t="shared" si="490"/>
        <v>0</v>
      </c>
      <c r="AZ43" s="397">
        <f t="shared" si="490"/>
        <v>0</v>
      </c>
      <c r="BA43" s="397">
        <f t="shared" si="490"/>
        <v>0</v>
      </c>
      <c r="BB43" s="397">
        <f t="shared" si="490"/>
        <v>0</v>
      </c>
      <c r="BC43" s="397">
        <f t="shared" si="490"/>
        <v>0</v>
      </c>
      <c r="BD43" s="397">
        <f t="shared" si="490"/>
        <v>0</v>
      </c>
      <c r="BE43" s="397">
        <f t="shared" si="490"/>
        <v>0</v>
      </c>
      <c r="BF43" s="397">
        <f t="shared" si="490"/>
        <v>0</v>
      </c>
      <c r="BG43" s="397">
        <f t="shared" si="490"/>
        <v>0</v>
      </c>
      <c r="BH43" s="397">
        <f t="shared" si="490"/>
        <v>0</v>
      </c>
      <c r="BI43" s="397">
        <f t="shared" si="490"/>
        <v>0</v>
      </c>
      <c r="BJ43" s="397">
        <f t="shared" si="490"/>
        <v>0</v>
      </c>
      <c r="BK43" s="397">
        <f t="shared" si="490"/>
        <v>0</v>
      </c>
      <c r="BL43" s="397">
        <f t="shared" si="490"/>
        <v>0</v>
      </c>
      <c r="BM43" s="397">
        <f t="shared" si="490"/>
        <v>0</v>
      </c>
      <c r="BN43" s="397">
        <f t="shared" si="490"/>
        <v>0</v>
      </c>
      <c r="BO43" s="397">
        <f t="shared" si="490"/>
        <v>0</v>
      </c>
      <c r="BP43" s="397">
        <f t="shared" ref="BP43:CI43" si="491">BP31+BP32</f>
        <v>0</v>
      </c>
      <c r="BQ43" s="397">
        <f t="shared" si="491"/>
        <v>0</v>
      </c>
      <c r="BR43" s="397">
        <f t="shared" si="491"/>
        <v>0</v>
      </c>
      <c r="BS43" s="397">
        <f t="shared" si="491"/>
        <v>0</v>
      </c>
      <c r="BT43" s="397">
        <f t="shared" si="491"/>
        <v>0</v>
      </c>
      <c r="BU43" s="397">
        <f t="shared" si="491"/>
        <v>0</v>
      </c>
      <c r="BV43" s="397">
        <f t="shared" si="491"/>
        <v>0</v>
      </c>
      <c r="BW43" s="397">
        <f t="shared" si="491"/>
        <v>0</v>
      </c>
      <c r="BX43" s="397">
        <f t="shared" si="491"/>
        <v>0</v>
      </c>
      <c r="BY43" s="397">
        <f t="shared" si="491"/>
        <v>0</v>
      </c>
      <c r="BZ43" s="397">
        <f t="shared" si="491"/>
        <v>0</v>
      </c>
      <c r="CA43" s="397">
        <f t="shared" si="491"/>
        <v>0</v>
      </c>
      <c r="CB43" s="397">
        <f t="shared" si="491"/>
        <v>0</v>
      </c>
      <c r="CC43" s="397">
        <f t="shared" si="491"/>
        <v>0</v>
      </c>
      <c r="CD43" s="397">
        <f t="shared" si="491"/>
        <v>0</v>
      </c>
      <c r="CE43" s="397">
        <f t="shared" si="491"/>
        <v>0</v>
      </c>
      <c r="CF43" s="397">
        <f t="shared" si="491"/>
        <v>0</v>
      </c>
      <c r="CG43" s="397">
        <f t="shared" si="491"/>
        <v>0</v>
      </c>
      <c r="CH43" s="397">
        <f t="shared" si="491"/>
        <v>0</v>
      </c>
      <c r="CI43" s="397">
        <f t="shared" si="491"/>
        <v>0</v>
      </c>
    </row>
    <row r="44" spans="2:87">
      <c r="B44" t="s">
        <v>280</v>
      </c>
      <c r="C44" s="397"/>
      <c r="D44" s="397">
        <f ca="1">D40</f>
        <v>0</v>
      </c>
      <c r="E44" s="397">
        <f t="shared" ref="E44:BP44" ca="1" si="492">E40</f>
        <v>0</v>
      </c>
      <c r="F44" s="397">
        <f t="shared" ca="1" si="492"/>
        <v>0</v>
      </c>
      <c r="G44" s="397">
        <f t="shared" ca="1" si="492"/>
        <v>0</v>
      </c>
      <c r="H44" s="397">
        <f t="shared" ca="1" si="492"/>
        <v>0</v>
      </c>
      <c r="I44" s="397">
        <f t="shared" ca="1" si="492"/>
        <v>0</v>
      </c>
      <c r="J44" s="397">
        <f t="shared" ca="1" si="492"/>
        <v>0</v>
      </c>
      <c r="K44" s="397">
        <f t="shared" ca="1" si="492"/>
        <v>0</v>
      </c>
      <c r="L44" s="397">
        <f t="shared" ca="1" si="492"/>
        <v>0</v>
      </c>
      <c r="M44" s="397">
        <f t="shared" ca="1" si="492"/>
        <v>0</v>
      </c>
      <c r="N44" s="397">
        <f t="shared" ca="1" si="492"/>
        <v>0</v>
      </c>
      <c r="O44" s="397">
        <f t="shared" ca="1" si="492"/>
        <v>0</v>
      </c>
      <c r="P44" s="397">
        <f t="shared" ca="1" si="492"/>
        <v>6240.1739668821674</v>
      </c>
      <c r="Q44" s="397">
        <f t="shared" ca="1" si="492"/>
        <v>6240.1739668821674</v>
      </c>
      <c r="R44" s="397">
        <f t="shared" ca="1" si="492"/>
        <v>6240.1739668821674</v>
      </c>
      <c r="S44" s="397">
        <f t="shared" ca="1" si="492"/>
        <v>6240.1739668821674</v>
      </c>
      <c r="T44" s="397">
        <f t="shared" ca="1" si="492"/>
        <v>6240.1739668821674</v>
      </c>
      <c r="U44" s="397">
        <f t="shared" ca="1" si="492"/>
        <v>6240.1739668821674</v>
      </c>
      <c r="V44" s="397">
        <f t="shared" ca="1" si="492"/>
        <v>6240.1739668821674</v>
      </c>
      <c r="W44" s="397">
        <f t="shared" ca="1" si="492"/>
        <v>6240.1739668821674</v>
      </c>
      <c r="X44" s="397">
        <f t="shared" ca="1" si="492"/>
        <v>6240.1739668821674</v>
      </c>
      <c r="Y44" s="397">
        <f t="shared" ca="1" si="492"/>
        <v>6240.1739668821674</v>
      </c>
      <c r="Z44" s="397">
        <f t="shared" ca="1" si="492"/>
        <v>6240.1739668821674</v>
      </c>
      <c r="AA44" s="397">
        <f t="shared" ca="1" si="492"/>
        <v>6240.1739668821674</v>
      </c>
      <c r="AB44" s="397">
        <f t="shared" ca="1" si="492"/>
        <v>9360.2609503232488</v>
      </c>
      <c r="AC44" s="397">
        <f t="shared" ca="1" si="492"/>
        <v>9360.2609503232488</v>
      </c>
      <c r="AD44" s="397">
        <f t="shared" ca="1" si="492"/>
        <v>9360.2609503232488</v>
      </c>
      <c r="AE44" s="397">
        <f t="shared" ca="1" si="492"/>
        <v>9360.2609503232488</v>
      </c>
      <c r="AF44" s="397">
        <f t="shared" ca="1" si="492"/>
        <v>9360.2609503232488</v>
      </c>
      <c r="AG44" s="397">
        <f t="shared" ca="1" si="492"/>
        <v>9360.2609503232488</v>
      </c>
      <c r="AH44" s="397">
        <f t="shared" ca="1" si="492"/>
        <v>9360.2609503232488</v>
      </c>
      <c r="AI44" s="397">
        <f t="shared" ca="1" si="492"/>
        <v>9360.2609503232488</v>
      </c>
      <c r="AJ44" s="397">
        <f t="shared" ca="1" si="492"/>
        <v>9360.2609503232488</v>
      </c>
      <c r="AK44" s="397">
        <f t="shared" ca="1" si="492"/>
        <v>9360.2609503232488</v>
      </c>
      <c r="AL44" s="397">
        <f t="shared" ca="1" si="492"/>
        <v>946854.42086932901</v>
      </c>
      <c r="AM44" s="397">
        <f t="shared" ca="1" si="492"/>
        <v>3464.071265298056</v>
      </c>
      <c r="AN44" s="397">
        <f t="shared" ca="1" si="492"/>
        <v>5542.5140244768891</v>
      </c>
      <c r="AO44" s="397">
        <f t="shared" ca="1" si="492"/>
        <v>5542.5140244768891</v>
      </c>
      <c r="AP44" s="397">
        <f t="shared" ca="1" si="492"/>
        <v>5542.5140244768891</v>
      </c>
      <c r="AQ44" s="397">
        <f t="shared" ca="1" si="492"/>
        <v>5542.5140244768891</v>
      </c>
      <c r="AR44" s="397">
        <f t="shared" ca="1" si="492"/>
        <v>5542.5140244768891</v>
      </c>
      <c r="AS44" s="397">
        <f t="shared" ca="1" si="492"/>
        <v>5542.5140244768891</v>
      </c>
      <c r="AT44" s="397">
        <f t="shared" ca="1" si="492"/>
        <v>5542.5140244768891</v>
      </c>
      <c r="AU44" s="397">
        <f t="shared" ca="1" si="492"/>
        <v>5542.5140244768891</v>
      </c>
      <c r="AV44" s="397">
        <f t="shared" ca="1" si="492"/>
        <v>5542.5140244768891</v>
      </c>
      <c r="AW44" s="397">
        <f t="shared" ca="1" si="492"/>
        <v>5542.5140244768891</v>
      </c>
      <c r="AX44" s="397">
        <f t="shared" ca="1" si="492"/>
        <v>5542.5140244768891</v>
      </c>
      <c r="AY44" s="397">
        <f t="shared" ca="1" si="492"/>
        <v>5542.5140244768891</v>
      </c>
      <c r="AZ44" s="397">
        <f t="shared" ca="1" si="492"/>
        <v>6004.3901931832979</v>
      </c>
      <c r="BA44" s="397">
        <f t="shared" ca="1" si="492"/>
        <v>6004.3901931832979</v>
      </c>
      <c r="BB44" s="397">
        <f t="shared" ca="1" si="492"/>
        <v>6004.3901931832979</v>
      </c>
      <c r="BC44" s="397">
        <f t="shared" ca="1" si="492"/>
        <v>6004.3901931832979</v>
      </c>
      <c r="BD44" s="397">
        <f t="shared" ca="1" si="492"/>
        <v>6004.3901931832979</v>
      </c>
      <c r="BE44" s="397">
        <f t="shared" ca="1" si="492"/>
        <v>6004.3901931832979</v>
      </c>
      <c r="BF44" s="397">
        <f t="shared" ca="1" si="492"/>
        <v>6004.3901931832979</v>
      </c>
      <c r="BG44" s="397">
        <f t="shared" ca="1" si="492"/>
        <v>6004.3901931832979</v>
      </c>
      <c r="BH44" s="397">
        <f t="shared" ca="1" si="492"/>
        <v>6004.3901931832979</v>
      </c>
      <c r="BI44" s="397">
        <f t="shared" ca="1" si="492"/>
        <v>6004.3901931832979</v>
      </c>
      <c r="BJ44" s="397">
        <f t="shared" ca="1" si="492"/>
        <v>6004.3901931832979</v>
      </c>
      <c r="BK44" s="397">
        <f t="shared" ca="1" si="492"/>
        <v>6004.3901931832979</v>
      </c>
      <c r="BL44" s="397">
        <f t="shared" ca="1" si="492"/>
        <v>6466.2663618897059</v>
      </c>
      <c r="BM44" s="397">
        <f t="shared" ca="1" si="492"/>
        <v>6466.2663618897059</v>
      </c>
      <c r="BN44" s="397">
        <f t="shared" ca="1" si="492"/>
        <v>6466.2663618897059</v>
      </c>
      <c r="BO44" s="397">
        <f t="shared" ca="1" si="492"/>
        <v>6466.2663618897059</v>
      </c>
      <c r="BP44" s="397">
        <f t="shared" ca="1" si="492"/>
        <v>6466.2663618897059</v>
      </c>
      <c r="BQ44" s="397">
        <f t="shared" ref="BQ44:CI44" ca="1" si="493">BQ40</f>
        <v>6466.2663618897059</v>
      </c>
      <c r="BR44" s="397">
        <f t="shared" ca="1" si="493"/>
        <v>6466.2663618897059</v>
      </c>
      <c r="BS44" s="397">
        <f t="shared" ca="1" si="493"/>
        <v>6466.2663618897059</v>
      </c>
      <c r="BT44" s="397">
        <f t="shared" ca="1" si="493"/>
        <v>6466.2663618897059</v>
      </c>
      <c r="BU44" s="397">
        <f t="shared" ca="1" si="493"/>
        <v>6466.2663618897059</v>
      </c>
      <c r="BV44" s="397">
        <f t="shared" ca="1" si="493"/>
        <v>6466.2663618897059</v>
      </c>
      <c r="BW44" s="397">
        <f t="shared" ca="1" si="493"/>
        <v>6466.2663618897059</v>
      </c>
      <c r="BX44" s="397">
        <f t="shared" ca="1" si="493"/>
        <v>6928.142530596112</v>
      </c>
      <c r="BY44" s="397">
        <f t="shared" ca="1" si="493"/>
        <v>6928.142530596112</v>
      </c>
      <c r="BZ44" s="397">
        <f t="shared" ca="1" si="493"/>
        <v>6928.142530596112</v>
      </c>
      <c r="CA44" s="397">
        <f t="shared" ca="1" si="493"/>
        <v>6928.142530596112</v>
      </c>
      <c r="CB44" s="397">
        <f t="shared" ca="1" si="493"/>
        <v>6928.142530596112</v>
      </c>
      <c r="CC44" s="397">
        <f t="shared" ca="1" si="493"/>
        <v>6928.142530596112</v>
      </c>
      <c r="CD44" s="397">
        <f t="shared" ca="1" si="493"/>
        <v>6928.142530596112</v>
      </c>
      <c r="CE44" s="397">
        <f t="shared" ca="1" si="493"/>
        <v>6928.142530596112</v>
      </c>
      <c r="CF44" s="397">
        <f t="shared" ca="1" si="493"/>
        <v>6928.142530596112</v>
      </c>
      <c r="CG44" s="397">
        <f t="shared" ca="1" si="493"/>
        <v>6928.142530596112</v>
      </c>
      <c r="CH44" s="397">
        <f t="shared" ca="1" si="493"/>
        <v>6928.142530596112</v>
      </c>
      <c r="CI44" s="397">
        <f t="shared" ca="1" si="493"/>
        <v>1766188.246255018</v>
      </c>
    </row>
    <row r="45" spans="2:87" s="1" customFormat="1">
      <c r="B45" s="1" t="s">
        <v>281</v>
      </c>
      <c r="C45" s="401">
        <f ca="1">C43+C44</f>
        <v>-1474622.05</v>
      </c>
      <c r="D45" s="401">
        <f t="shared" ref="D45" ca="1" si="494">D43+D44</f>
        <v>0</v>
      </c>
      <c r="E45" s="401">
        <f t="shared" ref="E45" ca="1" si="495">E43+E44</f>
        <v>0</v>
      </c>
      <c r="F45" s="401">
        <f t="shared" ref="F45" ca="1" si="496">F43+F44</f>
        <v>0</v>
      </c>
      <c r="G45" s="401">
        <f t="shared" ref="G45" ca="1" si="497">G43+G44</f>
        <v>0</v>
      </c>
      <c r="H45" s="401">
        <f t="shared" ref="H45" ca="1" si="498">H43+H44</f>
        <v>0</v>
      </c>
      <c r="I45" s="401">
        <f t="shared" ref="I45" ca="1" si="499">I43+I44</f>
        <v>0</v>
      </c>
      <c r="J45" s="401">
        <f t="shared" ref="J45" ca="1" si="500">J43+J44</f>
        <v>0</v>
      </c>
      <c r="K45" s="401">
        <f t="shared" ref="K45" ca="1" si="501">K43+K44</f>
        <v>0</v>
      </c>
      <c r="L45" s="401">
        <f t="shared" ref="L45" ca="1" si="502">L43+L44</f>
        <v>0</v>
      </c>
      <c r="M45" s="401">
        <f t="shared" ref="M45" ca="1" si="503">M43+M44</f>
        <v>0</v>
      </c>
      <c r="N45" s="401">
        <f t="shared" ref="N45" ca="1" si="504">N43+N44</f>
        <v>0</v>
      </c>
      <c r="O45" s="401">
        <f t="shared" ref="O45" ca="1" si="505">O43+O44</f>
        <v>0</v>
      </c>
      <c r="P45" s="401">
        <f t="shared" ref="P45" ca="1" si="506">P43+P44</f>
        <v>6240.1739668821674</v>
      </c>
      <c r="Q45" s="401">
        <f t="shared" ref="Q45" ca="1" si="507">Q43+Q44</f>
        <v>6240.1739668821674</v>
      </c>
      <c r="R45" s="401">
        <f t="shared" ref="R45" ca="1" si="508">R43+R44</f>
        <v>6240.1739668821674</v>
      </c>
      <c r="S45" s="401">
        <f t="shared" ref="S45" ca="1" si="509">S43+S44</f>
        <v>6240.1739668821674</v>
      </c>
      <c r="T45" s="401">
        <f t="shared" ref="T45" ca="1" si="510">T43+T44</f>
        <v>6240.1739668821674</v>
      </c>
      <c r="U45" s="401">
        <f t="shared" ref="U45" ca="1" si="511">U43+U44</f>
        <v>6240.1739668821674</v>
      </c>
      <c r="V45" s="401">
        <f t="shared" ref="V45" ca="1" si="512">V43+V44</f>
        <v>6240.1739668821674</v>
      </c>
      <c r="W45" s="401">
        <f t="shared" ref="W45" ca="1" si="513">W43+W44</f>
        <v>6240.1739668821674</v>
      </c>
      <c r="X45" s="401">
        <f t="shared" ref="X45" ca="1" si="514">X43+X44</f>
        <v>6240.1739668821674</v>
      </c>
      <c r="Y45" s="401">
        <f t="shared" ref="Y45" ca="1" si="515">Y43+Y44</f>
        <v>6240.1739668821674</v>
      </c>
      <c r="Z45" s="401">
        <f t="shared" ref="Z45" ca="1" si="516">Z43+Z44</f>
        <v>6240.1739668821674</v>
      </c>
      <c r="AA45" s="401">
        <f t="shared" ref="AA45" ca="1" si="517">AA43+AA44</f>
        <v>6240.1739668821674</v>
      </c>
      <c r="AB45" s="401">
        <f t="shared" ref="AB45" ca="1" si="518">AB43+AB44</f>
        <v>9360.2609503232488</v>
      </c>
      <c r="AC45" s="401">
        <f t="shared" ref="AC45" ca="1" si="519">AC43+AC44</f>
        <v>9360.2609503232488</v>
      </c>
      <c r="AD45" s="401">
        <f t="shared" ref="AD45" ca="1" si="520">AD43+AD44</f>
        <v>9360.2609503232488</v>
      </c>
      <c r="AE45" s="401">
        <f t="shared" ref="AE45" ca="1" si="521">AE43+AE44</f>
        <v>9360.2609503232488</v>
      </c>
      <c r="AF45" s="401">
        <f t="shared" ref="AF45" ca="1" si="522">AF43+AF44</f>
        <v>9360.2609503232488</v>
      </c>
      <c r="AG45" s="401">
        <f t="shared" ref="AG45" ca="1" si="523">AG43+AG44</f>
        <v>9360.2609503232488</v>
      </c>
      <c r="AH45" s="401">
        <f t="shared" ref="AH45" ca="1" si="524">AH43+AH44</f>
        <v>9360.2609503232488</v>
      </c>
      <c r="AI45" s="401">
        <f t="shared" ref="AI45" ca="1" si="525">AI43+AI44</f>
        <v>9360.2609503232488</v>
      </c>
      <c r="AJ45" s="401">
        <f t="shared" ref="AJ45" ca="1" si="526">AJ43+AJ44</f>
        <v>9360.2609503232488</v>
      </c>
      <c r="AK45" s="401">
        <f t="shared" ref="AK45" ca="1" si="527">AK43+AK44</f>
        <v>9360.2609503232488</v>
      </c>
      <c r="AL45" s="401">
        <f t="shared" ref="AL45" ca="1" si="528">AL43+AL44</f>
        <v>946854.42086932901</v>
      </c>
      <c r="AM45" s="401">
        <f t="shared" ref="AM45" ca="1" si="529">AM43+AM44</f>
        <v>3464.071265298056</v>
      </c>
      <c r="AN45" s="401">
        <f t="shared" ref="AN45" ca="1" si="530">AN43+AN44</f>
        <v>5542.5140244768891</v>
      </c>
      <c r="AO45" s="401">
        <f t="shared" ref="AO45" ca="1" si="531">AO43+AO44</f>
        <v>5542.5140244768891</v>
      </c>
      <c r="AP45" s="401">
        <f t="shared" ref="AP45" ca="1" si="532">AP43+AP44</f>
        <v>5542.5140244768891</v>
      </c>
      <c r="AQ45" s="401">
        <f t="shared" ref="AQ45" ca="1" si="533">AQ43+AQ44</f>
        <v>5542.5140244768891</v>
      </c>
      <c r="AR45" s="401">
        <f t="shared" ref="AR45" ca="1" si="534">AR43+AR44</f>
        <v>5542.5140244768891</v>
      </c>
      <c r="AS45" s="401">
        <f t="shared" ref="AS45" ca="1" si="535">AS43+AS44</f>
        <v>5542.5140244768891</v>
      </c>
      <c r="AT45" s="401">
        <f t="shared" ref="AT45" ca="1" si="536">AT43+AT44</f>
        <v>5542.5140244768891</v>
      </c>
      <c r="AU45" s="401">
        <f t="shared" ref="AU45" ca="1" si="537">AU43+AU44</f>
        <v>5542.5140244768891</v>
      </c>
      <c r="AV45" s="401">
        <f t="shared" ref="AV45" ca="1" si="538">AV43+AV44</f>
        <v>5542.5140244768891</v>
      </c>
      <c r="AW45" s="401">
        <f t="shared" ref="AW45" ca="1" si="539">AW43+AW44</f>
        <v>5542.5140244768891</v>
      </c>
      <c r="AX45" s="401">
        <f t="shared" ref="AX45" ca="1" si="540">AX43+AX44</f>
        <v>5542.5140244768891</v>
      </c>
      <c r="AY45" s="401">
        <f t="shared" ref="AY45" ca="1" si="541">AY43+AY44</f>
        <v>5542.5140244768891</v>
      </c>
      <c r="AZ45" s="401">
        <f t="shared" ref="AZ45" ca="1" si="542">AZ43+AZ44</f>
        <v>6004.3901931832979</v>
      </c>
      <c r="BA45" s="401">
        <f t="shared" ref="BA45" ca="1" si="543">BA43+BA44</f>
        <v>6004.3901931832979</v>
      </c>
      <c r="BB45" s="401">
        <f t="shared" ref="BB45" ca="1" si="544">BB43+BB44</f>
        <v>6004.3901931832979</v>
      </c>
      <c r="BC45" s="401">
        <f t="shared" ref="BC45" ca="1" si="545">BC43+BC44</f>
        <v>6004.3901931832979</v>
      </c>
      <c r="BD45" s="401">
        <f t="shared" ref="BD45" ca="1" si="546">BD43+BD44</f>
        <v>6004.3901931832979</v>
      </c>
      <c r="BE45" s="401">
        <f t="shared" ref="BE45" ca="1" si="547">BE43+BE44</f>
        <v>6004.3901931832979</v>
      </c>
      <c r="BF45" s="401">
        <f t="shared" ref="BF45" ca="1" si="548">BF43+BF44</f>
        <v>6004.3901931832979</v>
      </c>
      <c r="BG45" s="401">
        <f t="shared" ref="BG45" ca="1" si="549">BG43+BG44</f>
        <v>6004.3901931832979</v>
      </c>
      <c r="BH45" s="401">
        <f t="shared" ref="BH45" ca="1" si="550">BH43+BH44</f>
        <v>6004.3901931832979</v>
      </c>
      <c r="BI45" s="401">
        <f t="shared" ref="BI45" ca="1" si="551">BI43+BI44</f>
        <v>6004.3901931832979</v>
      </c>
      <c r="BJ45" s="401">
        <f t="shared" ref="BJ45" ca="1" si="552">BJ43+BJ44</f>
        <v>6004.3901931832979</v>
      </c>
      <c r="BK45" s="401">
        <f t="shared" ref="BK45" ca="1" si="553">BK43+BK44</f>
        <v>6004.3901931832979</v>
      </c>
      <c r="BL45" s="401">
        <f t="shared" ref="BL45" ca="1" si="554">BL43+BL44</f>
        <v>6466.2663618897059</v>
      </c>
      <c r="BM45" s="401">
        <f t="shared" ref="BM45" ca="1" si="555">BM43+BM44</f>
        <v>6466.2663618897059</v>
      </c>
      <c r="BN45" s="401">
        <f t="shared" ref="BN45" ca="1" si="556">BN43+BN44</f>
        <v>6466.2663618897059</v>
      </c>
      <c r="BO45" s="401">
        <f t="shared" ref="BO45" ca="1" si="557">BO43+BO44</f>
        <v>6466.2663618897059</v>
      </c>
      <c r="BP45" s="401">
        <f t="shared" ref="BP45" ca="1" si="558">BP43+BP44</f>
        <v>6466.2663618897059</v>
      </c>
      <c r="BQ45" s="401">
        <f t="shared" ref="BQ45" ca="1" si="559">BQ43+BQ44</f>
        <v>6466.2663618897059</v>
      </c>
      <c r="BR45" s="401">
        <f t="shared" ref="BR45" ca="1" si="560">BR43+BR44</f>
        <v>6466.2663618897059</v>
      </c>
      <c r="BS45" s="401">
        <f t="shared" ref="BS45" ca="1" si="561">BS43+BS44</f>
        <v>6466.2663618897059</v>
      </c>
      <c r="BT45" s="401">
        <f t="shared" ref="BT45" ca="1" si="562">BT43+BT44</f>
        <v>6466.2663618897059</v>
      </c>
      <c r="BU45" s="401">
        <f t="shared" ref="BU45" ca="1" si="563">BU43+BU44</f>
        <v>6466.2663618897059</v>
      </c>
      <c r="BV45" s="401">
        <f t="shared" ref="BV45" ca="1" si="564">BV43+BV44</f>
        <v>6466.2663618897059</v>
      </c>
      <c r="BW45" s="401">
        <f t="shared" ref="BW45" ca="1" si="565">BW43+BW44</f>
        <v>6466.2663618897059</v>
      </c>
      <c r="BX45" s="401">
        <f t="shared" ref="BX45" ca="1" si="566">BX43+BX44</f>
        <v>6928.142530596112</v>
      </c>
      <c r="BY45" s="401">
        <f t="shared" ref="BY45" ca="1" si="567">BY43+BY44</f>
        <v>6928.142530596112</v>
      </c>
      <c r="BZ45" s="401">
        <f t="shared" ref="BZ45" ca="1" si="568">BZ43+BZ44</f>
        <v>6928.142530596112</v>
      </c>
      <c r="CA45" s="401">
        <f t="shared" ref="CA45" ca="1" si="569">CA43+CA44</f>
        <v>6928.142530596112</v>
      </c>
      <c r="CB45" s="401">
        <f t="shared" ref="CB45" ca="1" si="570">CB43+CB44</f>
        <v>6928.142530596112</v>
      </c>
      <c r="CC45" s="401">
        <f t="shared" ref="CC45" ca="1" si="571">CC43+CC44</f>
        <v>6928.142530596112</v>
      </c>
      <c r="CD45" s="401">
        <f t="shared" ref="CD45" ca="1" si="572">CD43+CD44</f>
        <v>6928.142530596112</v>
      </c>
      <c r="CE45" s="401">
        <f t="shared" ref="CE45" ca="1" si="573">CE43+CE44</f>
        <v>6928.142530596112</v>
      </c>
      <c r="CF45" s="401">
        <f t="shared" ref="CF45" ca="1" si="574">CF43+CF44</f>
        <v>6928.142530596112</v>
      </c>
      <c r="CG45" s="401">
        <f t="shared" ref="CG45" ca="1" si="575">CG43+CG44</f>
        <v>6928.142530596112</v>
      </c>
      <c r="CH45" s="401">
        <f t="shared" ref="CH45" ca="1" si="576">CH43+CH44</f>
        <v>6928.142530596112</v>
      </c>
      <c r="CI45" s="401">
        <f t="shared" ref="CI45" ca="1" si="577">CI43+CI44</f>
        <v>1766188.246255018</v>
      </c>
    </row>
    <row r="46" spans="2:87">
      <c r="B46" t="s">
        <v>395</v>
      </c>
      <c r="C46" s="433">
        <f ca="1">C33</f>
        <v>-1474622.05</v>
      </c>
      <c r="D46" s="433">
        <f ca="1">D33+SUM($D$38:D38)</f>
        <v>-1474622.05</v>
      </c>
      <c r="E46" s="433">
        <f ca="1">E33+SUM($D$38:E38)</f>
        <v>-1474622.05</v>
      </c>
      <c r="F46" s="433">
        <f ca="1">F33+SUM($D$38:F38)</f>
        <v>-1474622.05</v>
      </c>
      <c r="G46" s="433">
        <f ca="1">G33+SUM($D$38:G38)</f>
        <v>-1474622.05</v>
      </c>
      <c r="H46" s="433">
        <f ca="1">H33+SUM($D$38:H38)</f>
        <v>-1474622.05</v>
      </c>
      <c r="I46" s="433">
        <f ca="1">I33+SUM($D$38:I38)</f>
        <v>-1474622.05</v>
      </c>
      <c r="J46" s="433">
        <f ca="1">J33+SUM($D$38:J38)</f>
        <v>-1474622.05</v>
      </c>
      <c r="K46" s="433">
        <f ca="1">K33+SUM($D$38:K38)</f>
        <v>-1474622.05</v>
      </c>
      <c r="L46" s="433">
        <f ca="1">L33+SUM($D$38:L38)</f>
        <v>-1474622.05</v>
      </c>
      <c r="M46" s="433">
        <f ca="1">M33+SUM($D$38:M38)</f>
        <v>-1474622.05</v>
      </c>
      <c r="N46" s="433">
        <f ca="1">N33+SUM($D$38:N38)</f>
        <v>-1474622.05</v>
      </c>
      <c r="O46" s="433">
        <f ca="1">O33+SUM($D$38:O38)</f>
        <v>-1474622.05</v>
      </c>
      <c r="P46" s="433">
        <f ca="1">P33+SUM($D$38:P38)</f>
        <v>-1474622.05</v>
      </c>
      <c r="Q46" s="433">
        <f ca="1">Q33+SUM($D$38:Q38)</f>
        <v>-1474622.05</v>
      </c>
      <c r="R46" s="433">
        <f ca="1">R33+SUM($D$38:R38)</f>
        <v>-1474622.05</v>
      </c>
      <c r="S46" s="433">
        <f ca="1">S33+SUM($D$38:S38)</f>
        <v>-1474622.05</v>
      </c>
      <c r="T46" s="433">
        <f ca="1">T33+SUM($D$38:T38)</f>
        <v>-1474622.05</v>
      </c>
      <c r="U46" s="433">
        <f ca="1">U33+SUM($D$38:U38)</f>
        <v>-1474622.05</v>
      </c>
      <c r="V46" s="433">
        <f ca="1">V33+SUM($D$38:V38)</f>
        <v>-1474622.05</v>
      </c>
      <c r="W46" s="433">
        <f ca="1">W33+SUM($D$38:W38)</f>
        <v>-1474622.05</v>
      </c>
      <c r="X46" s="433">
        <f ca="1">X33+SUM($D$38:X38)</f>
        <v>-1474622.05</v>
      </c>
      <c r="Y46" s="433">
        <f ca="1">Y33+SUM($D$38:Y38)</f>
        <v>-1474622.05</v>
      </c>
      <c r="Z46" s="433">
        <f ca="1">Z33+SUM($D$38:Z38)</f>
        <v>-1474622.05</v>
      </c>
      <c r="AA46" s="433">
        <f ca="1">AA33+SUM($D$38:AA38)</f>
        <v>-1474622.05</v>
      </c>
      <c r="AB46" s="433">
        <f ca="1">AB33+SUM($D$38:AB38)</f>
        <v>-1474622.05</v>
      </c>
      <c r="AC46" s="433">
        <f ca="1">AC33+SUM($D$38:AC38)</f>
        <v>-1474622.05</v>
      </c>
      <c r="AD46" s="433">
        <f ca="1">AD33+SUM($D$38:AD38)</f>
        <v>-1474622.05</v>
      </c>
      <c r="AE46" s="433">
        <f ca="1">AE33+SUM($D$38:AE38)</f>
        <v>-1474622.05</v>
      </c>
      <c r="AF46" s="433">
        <f ca="1">AF33+SUM($D$38:AF38)</f>
        <v>-1474622.05</v>
      </c>
      <c r="AG46" s="433">
        <f ca="1">AG33+SUM($D$38:AG38)</f>
        <v>-1474622.05</v>
      </c>
      <c r="AH46" s="433">
        <f ca="1">AH33+SUM($D$38:AH38)</f>
        <v>-1474622.05</v>
      </c>
      <c r="AI46" s="433">
        <f ca="1">AI33+SUM($D$38:AI38)</f>
        <v>-1474622.05</v>
      </c>
      <c r="AJ46" s="433">
        <f ca="1">AJ33+SUM($D$38:AJ38)</f>
        <v>-1474622.05</v>
      </c>
      <c r="AK46" s="433">
        <f ca="1">AK33+SUM($D$38:AK38)</f>
        <v>-1474622.05</v>
      </c>
      <c r="AL46" s="433">
        <f ca="1">AL33+SUM($D$38:AL38)</f>
        <v>-531231.70039596909</v>
      </c>
      <c r="AM46" s="433">
        <f ca="1">AM33+SUM($D$38:AM38)</f>
        <v>-531231.70039596909</v>
      </c>
      <c r="AN46" s="433">
        <f ca="1">AN33+SUM($D$38:AN38)</f>
        <v>-531231.70039596909</v>
      </c>
      <c r="AO46" s="433">
        <f ca="1">AO33+SUM($D$38:AO38)</f>
        <v>-531231.70039596909</v>
      </c>
      <c r="AP46" s="433">
        <f ca="1">AP33+SUM($D$38:AP38)</f>
        <v>-531231.70039596909</v>
      </c>
      <c r="AQ46" s="433">
        <f ca="1">AQ33+SUM($D$38:AQ38)</f>
        <v>-531231.70039596909</v>
      </c>
      <c r="AR46" s="433">
        <f ca="1">AR33+SUM($D$38:AR38)</f>
        <v>-531231.70039596909</v>
      </c>
      <c r="AS46" s="433">
        <f ca="1">AS33+SUM($D$38:AS38)</f>
        <v>-531231.70039596909</v>
      </c>
      <c r="AT46" s="433">
        <f ca="1">AT33+SUM($D$38:AT38)</f>
        <v>-531231.70039596909</v>
      </c>
      <c r="AU46" s="433">
        <f ca="1">AU33+SUM($D$38:AU38)</f>
        <v>-531231.70039596909</v>
      </c>
      <c r="AV46" s="433">
        <f ca="1">AV33+SUM($D$38:AV38)</f>
        <v>-531231.70039596909</v>
      </c>
      <c r="AW46" s="433">
        <f ca="1">AW33+SUM($D$38:AW38)</f>
        <v>-531231.70039596909</v>
      </c>
      <c r="AX46" s="433">
        <f ca="1">AX33+SUM($D$38:AX38)</f>
        <v>-531231.70039596909</v>
      </c>
      <c r="AY46" s="433">
        <f ca="1">AY33+SUM($D$38:AY38)</f>
        <v>-531231.70039596909</v>
      </c>
      <c r="AZ46" s="433">
        <f ca="1">AZ33+SUM($D$38:AZ38)</f>
        <v>-531231.70039596909</v>
      </c>
      <c r="BA46" s="433">
        <f ca="1">BA33+SUM($D$38:BA38)</f>
        <v>-531231.70039596909</v>
      </c>
      <c r="BB46" s="433">
        <f ca="1">BB33+SUM($D$38:BB38)</f>
        <v>-531231.70039596909</v>
      </c>
      <c r="BC46" s="433">
        <f ca="1">BC33+SUM($D$38:BC38)</f>
        <v>-531231.70039596909</v>
      </c>
      <c r="BD46" s="433">
        <f ca="1">BD33+SUM($D$38:BD38)</f>
        <v>-531231.70039596909</v>
      </c>
      <c r="BE46" s="433">
        <f ca="1">BE33+SUM($D$38:BE38)</f>
        <v>-531231.70039596909</v>
      </c>
      <c r="BF46" s="433">
        <f ca="1">BF33+SUM($D$38:BF38)</f>
        <v>-531231.70039596909</v>
      </c>
      <c r="BG46" s="433">
        <f ca="1">BG33+SUM($D$38:BG38)</f>
        <v>-531231.70039596909</v>
      </c>
      <c r="BH46" s="433">
        <f ca="1">BH33+SUM($D$38:BH38)</f>
        <v>-531231.70039596909</v>
      </c>
      <c r="BI46" s="433">
        <f ca="1">BI33+SUM($D$38:BI38)</f>
        <v>-531231.70039596909</v>
      </c>
      <c r="BJ46" s="433">
        <f ca="1">BJ33+SUM($D$38:BJ38)</f>
        <v>-531231.70039596909</v>
      </c>
      <c r="BK46" s="433">
        <f ca="1">BK33+SUM($D$38:BK38)</f>
        <v>-531231.70039596909</v>
      </c>
      <c r="BL46" s="433">
        <f ca="1">BL33+SUM($D$38:BL38)</f>
        <v>-531231.70039596909</v>
      </c>
      <c r="BM46" s="433">
        <f ca="1">BM33+SUM($D$38:BM38)</f>
        <v>-531231.70039596909</v>
      </c>
      <c r="BN46" s="433">
        <f ca="1">BN33+SUM($D$38:BN38)</f>
        <v>-531231.70039596909</v>
      </c>
      <c r="BO46" s="433">
        <f ca="1">BO33+SUM($D$38:BO38)</f>
        <v>-531231.70039596909</v>
      </c>
      <c r="BP46" s="433">
        <f ca="1">BP33+SUM($D$38:BP38)</f>
        <v>-531231.70039596909</v>
      </c>
      <c r="BQ46" s="433">
        <f ca="1">BQ33+SUM($D$38:BQ38)</f>
        <v>-531231.70039596909</v>
      </c>
      <c r="BR46" s="433">
        <f ca="1">BR33+SUM($D$38:BR38)</f>
        <v>-531231.70039596909</v>
      </c>
      <c r="BS46" s="433">
        <f ca="1">BS33+SUM($D$38:BS38)</f>
        <v>-531231.70039596909</v>
      </c>
      <c r="BT46" s="433">
        <f ca="1">BT33+SUM($D$38:BT38)</f>
        <v>-531231.70039596909</v>
      </c>
      <c r="BU46" s="433">
        <f ca="1">BU33+SUM($D$38:BU38)</f>
        <v>-531231.70039596909</v>
      </c>
      <c r="BV46" s="433">
        <f ca="1">BV33+SUM($D$38:BV38)</f>
        <v>-531231.70039596909</v>
      </c>
      <c r="BW46" s="433">
        <f ca="1">BW33+SUM($D$38:BW38)</f>
        <v>-531231.70039596909</v>
      </c>
      <c r="BX46" s="433">
        <f ca="1">BX33+SUM($D$38:BX38)</f>
        <v>-531231.70039596909</v>
      </c>
      <c r="BY46" s="433">
        <f ca="1">BY33+SUM($D$38:BY38)</f>
        <v>-531231.70039596909</v>
      </c>
      <c r="BZ46" s="433">
        <f ca="1">BZ33+SUM($D$38:BZ38)</f>
        <v>-531231.70039596909</v>
      </c>
      <c r="CA46" s="433">
        <f ca="1">CA33+SUM($D$38:CA38)</f>
        <v>-531231.70039596909</v>
      </c>
      <c r="CB46" s="433">
        <f ca="1">CB33+SUM($D$38:CB38)</f>
        <v>-531231.70039596909</v>
      </c>
      <c r="CC46" s="433">
        <f ca="1">CC33+SUM($D$38:CC38)</f>
        <v>-531231.70039596909</v>
      </c>
      <c r="CD46" s="433">
        <f ca="1">CD33+SUM($D$38:CD38)</f>
        <v>-531231.70039596909</v>
      </c>
      <c r="CE46" s="433">
        <f ca="1">CE33+SUM($D$38:CE38)</f>
        <v>-531231.70039596909</v>
      </c>
      <c r="CF46" s="433">
        <f ca="1">CF33+SUM($D$38:CF38)</f>
        <v>-531231.70039596909</v>
      </c>
      <c r="CG46" s="433">
        <f ca="1">CG33+SUM($D$38:CG38)</f>
        <v>-531231.70039596909</v>
      </c>
      <c r="CH46" s="433">
        <f ca="1">CH33+SUM($D$38:CH38)</f>
        <v>-531231.70039596909</v>
      </c>
      <c r="CI46" s="433">
        <f ca="1">CI33+SUM($D$38:CI38)</f>
        <v>-531231.70039596909</v>
      </c>
    </row>
    <row r="51" spans="1:87" s="676" customFormat="1">
      <c r="B51" s="680" t="s">
        <v>397</v>
      </c>
    </row>
    <row r="52" spans="1:87">
      <c r="A52" s="922">
        <f>'Sale Analysis'!G4</f>
        <v>6.25E-2</v>
      </c>
      <c r="B52" t="s">
        <v>280</v>
      </c>
      <c r="D52">
        <f ca="1">IF(D$3='Sale Analysis'!$E$3,('Cont. Dist.'!D15-'Sale Analysis'!$E$18+'Sale Analysis'!$G$18),'Cont. Dist.'!D$15)</f>
        <v>0</v>
      </c>
      <c r="E52">
        <f ca="1">IF(E$3='Sale Analysis'!$E$3,('Cont. Dist.'!E15-'Sale Analysis'!$E$18+'Sale Analysis'!$G$18),'Cont. Dist.'!E$15)</f>
        <v>0</v>
      </c>
      <c r="F52">
        <f ca="1">IF(F$3='Sale Analysis'!$E$3,('Cont. Dist.'!F15-'Sale Analysis'!$E$18+'Sale Analysis'!$G$18),'Cont. Dist.'!F$15)</f>
        <v>0</v>
      </c>
      <c r="G52">
        <f ca="1">IF(G$3='Sale Analysis'!$E$3,('Cont. Dist.'!G15-'Sale Analysis'!$E$18+'Sale Analysis'!$G$18),'Cont. Dist.'!G$15)</f>
        <v>0</v>
      </c>
      <c r="H52">
        <f ca="1">IF(H$3='Sale Analysis'!$E$3,('Cont. Dist.'!H15-'Sale Analysis'!$E$18+'Sale Analysis'!$G$18),'Cont. Dist.'!H$15)</f>
        <v>0</v>
      </c>
      <c r="I52">
        <f ca="1">IF(I$3='Sale Analysis'!$E$3,('Cont. Dist.'!I15-'Sale Analysis'!$E$18+'Sale Analysis'!$G$18),'Cont. Dist.'!I$15)</f>
        <v>0</v>
      </c>
      <c r="J52">
        <f ca="1">IF(J$3='Sale Analysis'!$E$3,('Cont. Dist.'!J15-'Sale Analysis'!$E$18+'Sale Analysis'!$G$18),'Cont. Dist.'!J$15)</f>
        <v>0</v>
      </c>
      <c r="K52">
        <f ca="1">IF(K$3='Sale Analysis'!$E$3,('Cont. Dist.'!K15-'Sale Analysis'!$E$18+'Sale Analysis'!$G$18),'Cont. Dist.'!K$15)</f>
        <v>0</v>
      </c>
      <c r="L52">
        <f ca="1">IF(L$3='Sale Analysis'!$E$3,('Cont. Dist.'!L15-'Sale Analysis'!$E$18+'Sale Analysis'!$G$18),'Cont. Dist.'!L$15)</f>
        <v>0</v>
      </c>
      <c r="M52">
        <f ca="1">IF(M$3='Sale Analysis'!$E$3,('Cont. Dist.'!M15-'Sale Analysis'!$E$18+'Sale Analysis'!$G$18),'Cont. Dist.'!M$15)</f>
        <v>0</v>
      </c>
      <c r="N52">
        <f ca="1">IF(N$3='Sale Analysis'!$E$3,('Cont. Dist.'!N15-'Sale Analysis'!$E$18+'Sale Analysis'!$G$18),'Cont. Dist.'!N$15)</f>
        <v>0</v>
      </c>
      <c r="O52">
        <f ca="1">IF(O$3='Sale Analysis'!$E$3,('Cont. Dist.'!O15-'Sale Analysis'!$E$18+'Sale Analysis'!$G$18),'Cont. Dist.'!O$15)</f>
        <v>0</v>
      </c>
      <c r="P52">
        <f ca="1">IF(P$3='Sale Analysis'!$E$3,('Cont. Dist.'!P15-'Sale Analysis'!$E$18+'Sale Analysis'!$G$18),'Cont. Dist.'!P$15)</f>
        <v>6240.1739668821674</v>
      </c>
      <c r="Q52">
        <f ca="1">IF(Q$3='Sale Analysis'!$E$3,('Cont. Dist.'!Q15-'Sale Analysis'!$E$18+'Sale Analysis'!$G$18),'Cont. Dist.'!Q$15)</f>
        <v>6240.1739668821674</v>
      </c>
      <c r="R52">
        <f ca="1">IF(R$3='Sale Analysis'!$E$3,('Cont. Dist.'!R15-'Sale Analysis'!$E$18+'Sale Analysis'!$G$18),'Cont. Dist.'!R$15)</f>
        <v>6240.1739668821674</v>
      </c>
      <c r="S52">
        <f ca="1">IF(S$3='Sale Analysis'!$E$3,('Cont. Dist.'!S15-'Sale Analysis'!$E$18+'Sale Analysis'!$G$18),'Cont. Dist.'!S$15)</f>
        <v>6240.1739668821674</v>
      </c>
      <c r="T52">
        <f ca="1">IF(T$3='Sale Analysis'!$E$3,('Cont. Dist.'!T15-'Sale Analysis'!$E$18+'Sale Analysis'!$G$18),'Cont. Dist.'!T$15)</f>
        <v>6240.1739668821674</v>
      </c>
      <c r="U52">
        <f ca="1">IF(U$3='Sale Analysis'!$E$3,('Cont. Dist.'!U15-'Sale Analysis'!$E$18+'Sale Analysis'!$G$18),'Cont. Dist.'!U$15)</f>
        <v>6240.1739668821674</v>
      </c>
      <c r="V52">
        <f ca="1">IF(V$3='Sale Analysis'!$E$3,('Cont. Dist.'!V15-'Sale Analysis'!$E$18+'Sale Analysis'!$G$18),'Cont. Dist.'!V$15)</f>
        <v>6240.1739668821674</v>
      </c>
      <c r="W52">
        <f ca="1">IF(W$3='Sale Analysis'!$E$3,('Cont. Dist.'!W15-'Sale Analysis'!$E$18+'Sale Analysis'!$G$18),'Cont. Dist.'!W$15)</f>
        <v>6240.1739668821674</v>
      </c>
      <c r="X52">
        <f ca="1">IF(X$3='Sale Analysis'!$E$3,('Cont. Dist.'!X15-'Sale Analysis'!$E$18+'Sale Analysis'!$G$18),'Cont. Dist.'!X$15)</f>
        <v>6240.1739668821674</v>
      </c>
      <c r="Y52">
        <f ca="1">IF(Y$3='Sale Analysis'!$E$3,('Cont. Dist.'!Y15-'Sale Analysis'!$E$18+'Sale Analysis'!$G$18),'Cont. Dist.'!Y$15)</f>
        <v>6240.1739668821674</v>
      </c>
      <c r="Z52">
        <f ca="1">IF(Z$3='Sale Analysis'!$E$3,('Cont. Dist.'!Z15-'Sale Analysis'!$E$18+'Sale Analysis'!$G$18),'Cont. Dist.'!Z$15)</f>
        <v>6240.1739668821674</v>
      </c>
      <c r="AA52">
        <f ca="1">IF(AA$3='Sale Analysis'!$E$3,('Cont. Dist.'!AA15-'Sale Analysis'!$E$18+'Sale Analysis'!$G$18),'Cont. Dist.'!AA$15)</f>
        <v>6240.1739668821674</v>
      </c>
      <c r="AB52">
        <f ca="1">IF(AB$3='Sale Analysis'!$E$3,('Cont. Dist.'!AB15-'Sale Analysis'!$E$18+'Sale Analysis'!$G$18),'Cont. Dist.'!AB$15)</f>
        <v>9360.2609503232488</v>
      </c>
      <c r="AC52">
        <f ca="1">IF(AC$3='Sale Analysis'!$E$3,('Cont. Dist.'!AC15-'Sale Analysis'!$E$18+'Sale Analysis'!$G$18),'Cont. Dist.'!AC$15)</f>
        <v>9360.2609503232488</v>
      </c>
      <c r="AD52">
        <f ca="1">IF(AD$3='Sale Analysis'!$E$3,('Cont. Dist.'!AD15-'Sale Analysis'!$E$18+'Sale Analysis'!$G$18),'Cont. Dist.'!AD$15)</f>
        <v>9360.2609503232488</v>
      </c>
      <c r="AE52">
        <f ca="1">IF(AE$3='Sale Analysis'!$E$3,('Cont. Dist.'!AE15-'Sale Analysis'!$E$18+'Sale Analysis'!$G$18),'Cont. Dist.'!AE$15)</f>
        <v>9360.2609503232488</v>
      </c>
      <c r="AF52">
        <f ca="1">IF(AF$3='Sale Analysis'!$E$3,('Cont. Dist.'!AF15-'Sale Analysis'!$E$18+'Sale Analysis'!$G$18),'Cont. Dist.'!AF$15)</f>
        <v>9360.2609503232488</v>
      </c>
      <c r="AG52">
        <f ca="1">IF(AG$3='Sale Analysis'!$E$3,('Cont. Dist.'!AG15-'Sale Analysis'!$E$18+'Sale Analysis'!$G$18),'Cont. Dist.'!AG$15)</f>
        <v>9360.2609503232488</v>
      </c>
      <c r="AH52">
        <f ca="1">IF(AH$3='Sale Analysis'!$E$3,('Cont. Dist.'!AH15-'Sale Analysis'!$E$18+'Sale Analysis'!$G$18),'Cont. Dist.'!AH$15)</f>
        <v>9360.2609503232488</v>
      </c>
      <c r="AI52">
        <f ca="1">IF(AI$3='Sale Analysis'!$E$3,('Cont. Dist.'!AI15-'Sale Analysis'!$E$18+'Sale Analysis'!$G$18),'Cont. Dist.'!AI$15)</f>
        <v>9360.2609503232488</v>
      </c>
      <c r="AJ52">
        <f ca="1">IF(AJ$3='Sale Analysis'!$E$3,('Cont. Dist.'!AJ15-'Sale Analysis'!$E$18+'Sale Analysis'!$G$18),'Cont. Dist.'!AJ$15)</f>
        <v>9360.2609503232488</v>
      </c>
      <c r="AK52">
        <f ca="1">IF(AK$3='Sale Analysis'!$E$3,('Cont. Dist.'!AK15-'Sale Analysis'!$E$18+'Sale Analysis'!$G$18),'Cont. Dist.'!AK$15)</f>
        <v>9360.2609503232488</v>
      </c>
      <c r="AL52">
        <f ca="1">IF(AL$3='Sale Analysis'!$E$3,('Cont. Dist.'!AL15-'Sale Analysis'!$E$18+'Sale Analysis'!$G$18),'Cont. Dist.'!AL$15)</f>
        <v>946854.42086932901</v>
      </c>
      <c r="AM52">
        <f ca="1">IF(AM$3='Sale Analysis'!$E$3,('Cont. Dist.'!AM15-'Sale Analysis'!$E$18+'Sale Analysis'!$G$18),'Cont. Dist.'!AM$15)</f>
        <v>3464.071265298056</v>
      </c>
      <c r="AN52">
        <f ca="1">IF(AN$3='Sale Analysis'!$E$3,('Cont. Dist.'!AN15-'Sale Analysis'!$E$18+'Sale Analysis'!$G$18),'Cont. Dist.'!AN$15)</f>
        <v>5542.5140244768891</v>
      </c>
      <c r="AO52">
        <f ca="1">IF(AO$3='Sale Analysis'!$E$3,('Cont. Dist.'!AO15-'Sale Analysis'!$E$18+'Sale Analysis'!$G$18),'Cont. Dist.'!AO$15)</f>
        <v>5542.5140244768891</v>
      </c>
      <c r="AP52">
        <f ca="1">IF(AP$3='Sale Analysis'!$E$3,('Cont. Dist.'!AP15-'Sale Analysis'!$E$18+'Sale Analysis'!$G$18),'Cont. Dist.'!AP$15)</f>
        <v>5542.5140244768891</v>
      </c>
      <c r="AQ52">
        <f ca="1">IF(AQ$3='Sale Analysis'!$E$3,('Cont. Dist.'!AQ15-'Sale Analysis'!$E$18+'Sale Analysis'!$G$18),'Cont. Dist.'!AQ$15)</f>
        <v>5542.5140244768891</v>
      </c>
      <c r="AR52">
        <f ca="1">IF(AR$3='Sale Analysis'!$E$3,('Cont. Dist.'!AR15-'Sale Analysis'!$E$18+'Sale Analysis'!$G$18),'Cont. Dist.'!AR$15)</f>
        <v>5542.5140244768891</v>
      </c>
      <c r="AS52">
        <f ca="1">IF(AS$3='Sale Analysis'!$E$3,('Cont. Dist.'!AS15-'Sale Analysis'!$E$18+'Sale Analysis'!$G$18),'Cont. Dist.'!AS$15)</f>
        <v>5542.5140244768891</v>
      </c>
      <c r="AT52">
        <f ca="1">IF(AT$3='Sale Analysis'!$E$3,('Cont. Dist.'!AT15-'Sale Analysis'!$E$18+'Sale Analysis'!$G$18),'Cont. Dist.'!AT$15)</f>
        <v>5542.5140244768891</v>
      </c>
      <c r="AU52">
        <f ca="1">IF(AU$3='Sale Analysis'!$E$3,('Cont. Dist.'!AU15-'Sale Analysis'!$E$18+'Sale Analysis'!$G$18),'Cont. Dist.'!AU$15)</f>
        <v>5542.5140244768891</v>
      </c>
      <c r="AV52">
        <f ca="1">IF(AV$3='Sale Analysis'!$E$3,('Cont. Dist.'!AV15-'Sale Analysis'!$E$18+'Sale Analysis'!$G$18),'Cont. Dist.'!AV$15)</f>
        <v>5542.5140244768891</v>
      </c>
      <c r="AW52">
        <f ca="1">IF(AW$3='Sale Analysis'!$E$3,('Cont. Dist.'!AW15-'Sale Analysis'!$E$18+'Sale Analysis'!$G$18),'Cont. Dist.'!AW$15)</f>
        <v>5542.5140244768891</v>
      </c>
      <c r="AX52">
        <f ca="1">IF(AX$3='Sale Analysis'!$E$3,('Cont. Dist.'!AX15-'Sale Analysis'!$E$18+'Sale Analysis'!$G$18),'Cont. Dist.'!AX$15)</f>
        <v>5542.5140244768891</v>
      </c>
      <c r="AY52">
        <f ca="1">IF(AY$3='Sale Analysis'!$E$3,('Cont. Dist.'!AY15-'Sale Analysis'!$E$18+'Sale Analysis'!$G$18),'Cont. Dist.'!AY$15)</f>
        <v>5542.5140244768891</v>
      </c>
      <c r="AZ52">
        <f ca="1">IF(AZ$3='Sale Analysis'!$E$3,('Cont. Dist.'!AZ15-'Sale Analysis'!$E$18+'Sale Analysis'!$G$18),'Cont. Dist.'!AZ$15)</f>
        <v>6004.3901931832979</v>
      </c>
      <c r="BA52">
        <f ca="1">IF(BA$3='Sale Analysis'!$E$3,('Cont. Dist.'!BA15-'Sale Analysis'!$E$18+'Sale Analysis'!$G$18),'Cont. Dist.'!BA$15)</f>
        <v>6004.3901931832979</v>
      </c>
      <c r="BB52">
        <f ca="1">IF(BB$3='Sale Analysis'!$E$3,('Cont. Dist.'!BB15-'Sale Analysis'!$E$18+'Sale Analysis'!$G$18),'Cont. Dist.'!BB$15)</f>
        <v>6004.3901931832979</v>
      </c>
      <c r="BC52">
        <f ca="1">IF(BC$3='Sale Analysis'!$E$3,('Cont. Dist.'!BC15-'Sale Analysis'!$E$18+'Sale Analysis'!$G$18),'Cont. Dist.'!BC$15)</f>
        <v>6004.3901931832979</v>
      </c>
      <c r="BD52">
        <f ca="1">IF(BD$3='Sale Analysis'!$E$3,('Cont. Dist.'!BD15-'Sale Analysis'!$E$18+'Sale Analysis'!$G$18),'Cont. Dist.'!BD$15)</f>
        <v>6004.3901931832979</v>
      </c>
      <c r="BE52">
        <f ca="1">IF(BE$3='Sale Analysis'!$E$3,('Cont. Dist.'!BE15-'Sale Analysis'!$E$18+'Sale Analysis'!$G$18),'Cont. Dist.'!BE$15)</f>
        <v>6004.3901931832979</v>
      </c>
      <c r="BF52">
        <f ca="1">IF(BF$3='Sale Analysis'!$E$3,('Cont. Dist.'!BF15-'Sale Analysis'!$E$18+'Sale Analysis'!$G$18),'Cont. Dist.'!BF$15)</f>
        <v>6004.3901931832979</v>
      </c>
      <c r="BG52">
        <f ca="1">IF(BG$3='Sale Analysis'!$E$3,('Cont. Dist.'!BG15-'Sale Analysis'!$E$18+'Sale Analysis'!$G$18),'Cont. Dist.'!BG$15)</f>
        <v>6004.3901931832979</v>
      </c>
      <c r="BH52">
        <f ca="1">IF(BH$3='Sale Analysis'!$E$3,('Cont. Dist.'!BH15-'Sale Analysis'!$E$18+'Sale Analysis'!$G$18),'Cont. Dist.'!BH$15)</f>
        <v>6004.3901931832979</v>
      </c>
      <c r="BI52">
        <f ca="1">IF(BI$3='Sale Analysis'!$E$3,('Cont. Dist.'!BI15-'Sale Analysis'!$E$18+'Sale Analysis'!$G$18),'Cont. Dist.'!BI$15)</f>
        <v>6004.3901931832979</v>
      </c>
      <c r="BJ52">
        <f ca="1">IF(BJ$3='Sale Analysis'!$E$3,('Cont. Dist.'!BJ15-'Sale Analysis'!$E$18+'Sale Analysis'!$G$18),'Cont. Dist.'!BJ$15)</f>
        <v>6004.3901931832979</v>
      </c>
      <c r="BK52">
        <f ca="1">IF(BK$3='Sale Analysis'!$E$3,('Cont. Dist.'!BK15-'Sale Analysis'!$E$18+'Sale Analysis'!$G$18),'Cont. Dist.'!BK$15)</f>
        <v>6004.3901931832979</v>
      </c>
      <c r="BL52">
        <f ca="1">IF(BL$3='Sale Analysis'!$E$3,('Cont. Dist.'!BL15-'Sale Analysis'!$E$18+'Sale Analysis'!$G$18),'Cont. Dist.'!BL$15)</f>
        <v>6466.2663618897059</v>
      </c>
      <c r="BM52">
        <f ca="1">IF(BM$3='Sale Analysis'!$E$3,('Cont. Dist.'!BM15-'Sale Analysis'!$E$18+'Sale Analysis'!$G$18),'Cont. Dist.'!BM$15)</f>
        <v>6466.2663618897059</v>
      </c>
      <c r="BN52">
        <f ca="1">IF(BN$3='Sale Analysis'!$E$3,('Cont. Dist.'!BN15-'Sale Analysis'!$E$18+'Sale Analysis'!$G$18),'Cont. Dist.'!BN$15)</f>
        <v>6466.2663618897059</v>
      </c>
      <c r="BO52">
        <f ca="1">IF(BO$3='Sale Analysis'!$E$3,('Cont. Dist.'!BO15-'Sale Analysis'!$E$18+'Sale Analysis'!$G$18),'Cont. Dist.'!BO$15)</f>
        <v>6466.2663618897059</v>
      </c>
      <c r="BP52">
        <f ca="1">IF(BP$3='Sale Analysis'!$E$3,('Cont. Dist.'!BP15-'Sale Analysis'!$E$18+'Sale Analysis'!$G$18),'Cont. Dist.'!BP$15)</f>
        <v>6466.2663618897059</v>
      </c>
      <c r="BQ52">
        <f ca="1">IF(BQ$3='Sale Analysis'!$E$3,('Cont. Dist.'!BQ15-'Sale Analysis'!$E$18+'Sale Analysis'!$G$18),'Cont. Dist.'!BQ$15)</f>
        <v>6466.2663618897059</v>
      </c>
      <c r="BR52">
        <f ca="1">IF(BR$3='Sale Analysis'!$E$3,('Cont. Dist.'!BR15-'Sale Analysis'!$E$18+'Sale Analysis'!$G$18),'Cont. Dist.'!BR$15)</f>
        <v>6466.2663618897059</v>
      </c>
      <c r="BS52">
        <f ca="1">IF(BS$3='Sale Analysis'!$E$3,('Cont. Dist.'!BS15-'Sale Analysis'!$E$18+'Sale Analysis'!$G$18),'Cont. Dist.'!BS$15)</f>
        <v>6466.2663618897059</v>
      </c>
      <c r="BT52">
        <f ca="1">IF(BT$3='Sale Analysis'!$E$3,('Cont. Dist.'!BT15-'Sale Analysis'!$E$18+'Sale Analysis'!$G$18),'Cont. Dist.'!BT$15)</f>
        <v>6466.2663618897059</v>
      </c>
      <c r="BU52">
        <f ca="1">IF(BU$3='Sale Analysis'!$E$3,('Cont. Dist.'!BU15-'Sale Analysis'!$E$18+'Sale Analysis'!$G$18),'Cont. Dist.'!BU$15)</f>
        <v>6466.2663618897059</v>
      </c>
      <c r="BV52">
        <f ca="1">IF(BV$3='Sale Analysis'!$E$3,('Cont. Dist.'!BV15-'Sale Analysis'!$E$18+'Sale Analysis'!$G$18),'Cont. Dist.'!BV$15)</f>
        <v>6466.2663618897059</v>
      </c>
      <c r="BW52">
        <f ca="1">IF(BW$3='Sale Analysis'!$E$3,('Cont. Dist.'!BW15-'Sale Analysis'!$E$18+'Sale Analysis'!$G$18),'Cont. Dist.'!BW$15)</f>
        <v>6466.2663618897059</v>
      </c>
      <c r="BX52">
        <f ca="1">IF(BX$3='Sale Analysis'!$E$3,('Cont. Dist.'!BX15-'Sale Analysis'!$E$18+'Sale Analysis'!$G$18),'Cont. Dist.'!BX$15)</f>
        <v>6928.142530596112</v>
      </c>
      <c r="BY52">
        <f ca="1">IF(BY$3='Sale Analysis'!$E$3,('Cont. Dist.'!BY15-'Sale Analysis'!$E$18+'Sale Analysis'!$G$18),'Cont. Dist.'!BY$15)</f>
        <v>6928.142530596112</v>
      </c>
      <c r="BZ52">
        <f ca="1">IF(BZ$3='Sale Analysis'!$E$3,('Cont. Dist.'!BZ15-'Sale Analysis'!$E$18+'Sale Analysis'!$G$18),'Cont. Dist.'!BZ$15)</f>
        <v>6928.142530596112</v>
      </c>
      <c r="CA52">
        <f ca="1">IF(CA$3='Sale Analysis'!$E$3,('Cont. Dist.'!CA15-'Sale Analysis'!$E$18+'Sale Analysis'!$G$18),'Cont. Dist.'!CA$15)</f>
        <v>6928.142530596112</v>
      </c>
      <c r="CB52">
        <f ca="1">IF(CB$3='Sale Analysis'!$E$3,('Cont. Dist.'!CB15-'Sale Analysis'!$E$18+'Sale Analysis'!$G$18),'Cont. Dist.'!CB$15)</f>
        <v>6928.142530596112</v>
      </c>
      <c r="CC52">
        <f ca="1">IF(CC$3='Sale Analysis'!$E$3,('Cont. Dist.'!CC15-'Sale Analysis'!$E$18+'Sale Analysis'!$G$18),'Cont. Dist.'!CC$15)</f>
        <v>6928.142530596112</v>
      </c>
      <c r="CD52">
        <f ca="1">IF(CD$3='Sale Analysis'!$E$3,('Cont. Dist.'!CD15-'Sale Analysis'!$E$18+'Sale Analysis'!$G$18),'Cont. Dist.'!CD$15)</f>
        <v>6928.142530596112</v>
      </c>
      <c r="CE52">
        <f ca="1">IF(CE$3='Sale Analysis'!$E$3,('Cont. Dist.'!CE15-'Sale Analysis'!$E$18+'Sale Analysis'!$G$18),'Cont. Dist.'!CE$15)</f>
        <v>6928.142530596112</v>
      </c>
      <c r="CF52">
        <f ca="1">IF(CF$3='Sale Analysis'!$E$3,('Cont. Dist.'!CF15-'Sale Analysis'!$E$18+'Sale Analysis'!$G$18),'Cont. Dist.'!CF$15)</f>
        <v>6928.142530596112</v>
      </c>
      <c r="CG52">
        <f ca="1">IF(CG$3='Sale Analysis'!$E$3,('Cont. Dist.'!CG15-'Sale Analysis'!$E$18+'Sale Analysis'!$G$18),'Cont. Dist.'!CG$15)</f>
        <v>6928.142530596112</v>
      </c>
      <c r="CH52">
        <f ca="1">IF(CH$3='Sale Analysis'!$E$3,('Cont. Dist.'!CH15-'Sale Analysis'!$E$18+'Sale Analysis'!$G$18),'Cont. Dist.'!CH$15)</f>
        <v>1210216.2182133601</v>
      </c>
      <c r="CI52">
        <f>IF(CI$3='Sale Analysis'!$E$3,('Cont. Dist.'!CI15-'Sale Analysis'!$E$18+'Sale Analysis'!$G$18),'Cont. Dist.'!CI$15)</f>
        <v>0</v>
      </c>
    </row>
    <row r="53" spans="1:87">
      <c r="A53" s="923"/>
      <c r="B53" t="s">
        <v>281</v>
      </c>
      <c r="C53" s="433">
        <f ca="1">C18+C52</f>
        <v>-1497641.7520517199</v>
      </c>
      <c r="D53" s="433">
        <f t="shared" ref="D53:BO53" ca="1" si="578">D18+D52</f>
        <v>0</v>
      </c>
      <c r="E53" s="433">
        <f t="shared" ca="1" si="578"/>
        <v>0</v>
      </c>
      <c r="F53" s="433">
        <f t="shared" ca="1" si="578"/>
        <v>0</v>
      </c>
      <c r="G53" s="433">
        <f t="shared" ca="1" si="578"/>
        <v>0</v>
      </c>
      <c r="H53" s="433">
        <f t="shared" ca="1" si="578"/>
        <v>0</v>
      </c>
      <c r="I53" s="433">
        <f t="shared" ca="1" si="578"/>
        <v>0</v>
      </c>
      <c r="J53" s="433">
        <f t="shared" ca="1" si="578"/>
        <v>0</v>
      </c>
      <c r="K53" s="433">
        <f t="shared" ca="1" si="578"/>
        <v>0</v>
      </c>
      <c r="L53" s="433">
        <f t="shared" ca="1" si="578"/>
        <v>0</v>
      </c>
      <c r="M53" s="433">
        <f t="shared" ca="1" si="578"/>
        <v>0</v>
      </c>
      <c r="N53" s="433">
        <f t="shared" ca="1" si="578"/>
        <v>0</v>
      </c>
      <c r="O53" s="433">
        <f t="shared" ca="1" si="578"/>
        <v>0</v>
      </c>
      <c r="P53" s="433">
        <f t="shared" ca="1" si="578"/>
        <v>6240.1739668821674</v>
      </c>
      <c r="Q53" s="433">
        <f t="shared" ca="1" si="578"/>
        <v>6240.1739668821674</v>
      </c>
      <c r="R53" s="433">
        <f t="shared" ca="1" si="578"/>
        <v>6240.1739668821674</v>
      </c>
      <c r="S53" s="433">
        <f t="shared" ca="1" si="578"/>
        <v>6240.1739668821674</v>
      </c>
      <c r="T53" s="433">
        <f t="shared" ca="1" si="578"/>
        <v>6240.1739668821674</v>
      </c>
      <c r="U53" s="433">
        <f t="shared" ca="1" si="578"/>
        <v>6240.1739668821674</v>
      </c>
      <c r="V53" s="433">
        <f t="shared" ca="1" si="578"/>
        <v>6240.1739668821674</v>
      </c>
      <c r="W53" s="433">
        <f t="shared" ca="1" si="578"/>
        <v>6240.1739668821674</v>
      </c>
      <c r="X53" s="433">
        <f t="shared" ca="1" si="578"/>
        <v>6240.1739668821674</v>
      </c>
      <c r="Y53" s="433">
        <f t="shared" ca="1" si="578"/>
        <v>6240.1739668821674</v>
      </c>
      <c r="Z53" s="433">
        <f t="shared" ca="1" si="578"/>
        <v>6240.1739668821674</v>
      </c>
      <c r="AA53" s="433">
        <f t="shared" ca="1" si="578"/>
        <v>6240.1739668821674</v>
      </c>
      <c r="AB53" s="433">
        <f t="shared" ca="1" si="578"/>
        <v>9360.2609503232488</v>
      </c>
      <c r="AC53" s="433">
        <f t="shared" ca="1" si="578"/>
        <v>9360.2609503232488</v>
      </c>
      <c r="AD53" s="433">
        <f t="shared" ca="1" si="578"/>
        <v>9360.2609503232488</v>
      </c>
      <c r="AE53" s="433">
        <f t="shared" ca="1" si="578"/>
        <v>9360.2609503232488</v>
      </c>
      <c r="AF53" s="433">
        <f t="shared" ca="1" si="578"/>
        <v>9360.2609503232488</v>
      </c>
      <c r="AG53" s="433">
        <f t="shared" ca="1" si="578"/>
        <v>9360.2609503232488</v>
      </c>
      <c r="AH53" s="433">
        <f t="shared" ca="1" si="578"/>
        <v>9360.2609503232488</v>
      </c>
      <c r="AI53" s="433">
        <f t="shared" ca="1" si="578"/>
        <v>9360.2609503232488</v>
      </c>
      <c r="AJ53" s="433">
        <f t="shared" ca="1" si="578"/>
        <v>9360.2609503232488</v>
      </c>
      <c r="AK53" s="433">
        <f t="shared" ca="1" si="578"/>
        <v>9360.2609503232488</v>
      </c>
      <c r="AL53" s="433">
        <f t="shared" ca="1" si="578"/>
        <v>946854.42086932901</v>
      </c>
      <c r="AM53" s="433">
        <f t="shared" ca="1" si="578"/>
        <v>3464.071265298056</v>
      </c>
      <c r="AN53" s="433">
        <f t="shared" ca="1" si="578"/>
        <v>5542.5140244768891</v>
      </c>
      <c r="AO53" s="433">
        <f t="shared" ca="1" si="578"/>
        <v>5542.5140244768891</v>
      </c>
      <c r="AP53" s="433">
        <f t="shared" ca="1" si="578"/>
        <v>5542.5140244768891</v>
      </c>
      <c r="AQ53" s="433">
        <f t="shared" ca="1" si="578"/>
        <v>5542.5140244768891</v>
      </c>
      <c r="AR53" s="433">
        <f t="shared" ca="1" si="578"/>
        <v>5542.5140244768891</v>
      </c>
      <c r="AS53" s="433">
        <f t="shared" ca="1" si="578"/>
        <v>5542.5140244768891</v>
      </c>
      <c r="AT53" s="433">
        <f t="shared" ca="1" si="578"/>
        <v>5542.5140244768891</v>
      </c>
      <c r="AU53" s="433">
        <f t="shared" ca="1" si="578"/>
        <v>5542.5140244768891</v>
      </c>
      <c r="AV53" s="433">
        <f t="shared" ca="1" si="578"/>
        <v>5542.5140244768891</v>
      </c>
      <c r="AW53" s="433">
        <f t="shared" ca="1" si="578"/>
        <v>5542.5140244768891</v>
      </c>
      <c r="AX53" s="433">
        <f t="shared" ca="1" si="578"/>
        <v>5542.5140244768891</v>
      </c>
      <c r="AY53" s="433">
        <f t="shared" ca="1" si="578"/>
        <v>5542.5140244768891</v>
      </c>
      <c r="AZ53" s="433">
        <f t="shared" ca="1" si="578"/>
        <v>6004.3901931832979</v>
      </c>
      <c r="BA53" s="433">
        <f t="shared" ca="1" si="578"/>
        <v>6004.3901931832979</v>
      </c>
      <c r="BB53" s="433">
        <f t="shared" ca="1" si="578"/>
        <v>6004.3901931832979</v>
      </c>
      <c r="BC53" s="433">
        <f t="shared" ca="1" si="578"/>
        <v>6004.3901931832979</v>
      </c>
      <c r="BD53" s="433">
        <f t="shared" ca="1" si="578"/>
        <v>6004.3901931832979</v>
      </c>
      <c r="BE53" s="433">
        <f t="shared" ca="1" si="578"/>
        <v>6004.3901931832979</v>
      </c>
      <c r="BF53" s="433">
        <f t="shared" ca="1" si="578"/>
        <v>6004.3901931832979</v>
      </c>
      <c r="BG53" s="433">
        <f t="shared" ca="1" si="578"/>
        <v>6004.3901931832979</v>
      </c>
      <c r="BH53" s="433">
        <f t="shared" ca="1" si="578"/>
        <v>6004.3901931832979</v>
      </c>
      <c r="BI53" s="433">
        <f t="shared" ca="1" si="578"/>
        <v>6004.3901931832979</v>
      </c>
      <c r="BJ53" s="433">
        <f t="shared" ca="1" si="578"/>
        <v>6004.3901931832979</v>
      </c>
      <c r="BK53" s="433">
        <f t="shared" ca="1" si="578"/>
        <v>6004.3901931832979</v>
      </c>
      <c r="BL53" s="433">
        <f t="shared" ca="1" si="578"/>
        <v>6466.2663618897059</v>
      </c>
      <c r="BM53" s="433">
        <f t="shared" ca="1" si="578"/>
        <v>6466.2663618897059</v>
      </c>
      <c r="BN53" s="433">
        <f t="shared" ca="1" si="578"/>
        <v>6466.2663618897059</v>
      </c>
      <c r="BO53" s="433">
        <f t="shared" ca="1" si="578"/>
        <v>6466.2663618897059</v>
      </c>
      <c r="BP53" s="433">
        <f t="shared" ref="BP53:CI53" ca="1" si="579">BP18+BP52</f>
        <v>6466.2663618897059</v>
      </c>
      <c r="BQ53" s="433">
        <f t="shared" ca="1" si="579"/>
        <v>6466.2663618897059</v>
      </c>
      <c r="BR53" s="433">
        <f t="shared" ca="1" si="579"/>
        <v>6466.2663618897059</v>
      </c>
      <c r="BS53" s="433">
        <f t="shared" ca="1" si="579"/>
        <v>6466.2663618897059</v>
      </c>
      <c r="BT53" s="433">
        <f t="shared" ca="1" si="579"/>
        <v>6466.2663618897059</v>
      </c>
      <c r="BU53" s="433">
        <f t="shared" ca="1" si="579"/>
        <v>6466.2663618897059</v>
      </c>
      <c r="BV53" s="433">
        <f t="shared" ca="1" si="579"/>
        <v>6466.2663618897059</v>
      </c>
      <c r="BW53" s="433">
        <f t="shared" ca="1" si="579"/>
        <v>6466.2663618897059</v>
      </c>
      <c r="BX53" s="433">
        <f t="shared" ca="1" si="579"/>
        <v>6928.142530596112</v>
      </c>
      <c r="BY53" s="433">
        <f t="shared" ca="1" si="579"/>
        <v>6928.142530596112</v>
      </c>
      <c r="BZ53" s="433">
        <f t="shared" ca="1" si="579"/>
        <v>6928.142530596112</v>
      </c>
      <c r="CA53" s="433">
        <f t="shared" ca="1" si="579"/>
        <v>6928.142530596112</v>
      </c>
      <c r="CB53" s="433">
        <f t="shared" ca="1" si="579"/>
        <v>6928.142530596112</v>
      </c>
      <c r="CC53" s="433">
        <f t="shared" ca="1" si="579"/>
        <v>6928.142530596112</v>
      </c>
      <c r="CD53" s="433">
        <f t="shared" ca="1" si="579"/>
        <v>6928.142530596112</v>
      </c>
      <c r="CE53" s="433">
        <f t="shared" ca="1" si="579"/>
        <v>6928.142530596112</v>
      </c>
      <c r="CF53" s="433">
        <f t="shared" ca="1" si="579"/>
        <v>6928.142530596112</v>
      </c>
      <c r="CG53" s="433">
        <f t="shared" ca="1" si="579"/>
        <v>6928.142530596112</v>
      </c>
      <c r="CH53" s="433">
        <f t="shared" ca="1" si="579"/>
        <v>1210216.2182133601</v>
      </c>
      <c r="CI53" s="433">
        <f t="shared" si="579"/>
        <v>0</v>
      </c>
    </row>
    <row r="55" spans="1:87">
      <c r="A55" s="922">
        <f>'Sale Analysis'!F4</f>
        <v>6.0000000000000005E-2</v>
      </c>
      <c r="B55" t="s">
        <v>280</v>
      </c>
      <c r="D55">
        <f ca="1">IF(D$3='Sale Analysis'!$E$3,('Cont. Dist.'!D15-'Sale Analysis'!$E$18+'Sale Analysis'!$F$18),'Cont. Dist.'!D$15)</f>
        <v>0</v>
      </c>
      <c r="E55">
        <f ca="1">IF(E$3='Sale Analysis'!$E$3,('Cont. Dist.'!E15-'Sale Analysis'!$E$18+'Sale Analysis'!$F$18),'Cont. Dist.'!E$15)</f>
        <v>0</v>
      </c>
      <c r="F55">
        <f ca="1">IF(F$3='Sale Analysis'!$E$3,('Cont. Dist.'!F15-'Sale Analysis'!$E$18+'Sale Analysis'!$F$18),'Cont. Dist.'!F$15)</f>
        <v>0</v>
      </c>
      <c r="G55">
        <f ca="1">IF(G$3='Sale Analysis'!$E$3,('Cont. Dist.'!G15-'Sale Analysis'!$E$18+'Sale Analysis'!$F$18),'Cont. Dist.'!G$15)</f>
        <v>0</v>
      </c>
      <c r="H55">
        <f ca="1">IF(H$3='Sale Analysis'!$E$3,('Cont. Dist.'!H15-'Sale Analysis'!$E$18+'Sale Analysis'!$F$18),'Cont. Dist.'!H$15)</f>
        <v>0</v>
      </c>
      <c r="I55">
        <f ca="1">IF(I$3='Sale Analysis'!$E$3,('Cont. Dist.'!I15-'Sale Analysis'!$E$18+'Sale Analysis'!$F$18),'Cont. Dist.'!I$15)</f>
        <v>0</v>
      </c>
      <c r="J55">
        <f ca="1">IF(J$3='Sale Analysis'!$E$3,('Cont. Dist.'!J15-'Sale Analysis'!$E$18+'Sale Analysis'!$F$18),'Cont. Dist.'!J$15)</f>
        <v>0</v>
      </c>
      <c r="K55">
        <f ca="1">IF(K$3='Sale Analysis'!$E$3,('Cont. Dist.'!K15-'Sale Analysis'!$E$18+'Sale Analysis'!$F$18),'Cont. Dist.'!K$15)</f>
        <v>0</v>
      </c>
      <c r="L55">
        <f ca="1">IF(L$3='Sale Analysis'!$E$3,('Cont. Dist.'!L15-'Sale Analysis'!$E$18+'Sale Analysis'!$F$18),'Cont. Dist.'!L$15)</f>
        <v>0</v>
      </c>
      <c r="M55">
        <f ca="1">IF(M$3='Sale Analysis'!$E$3,('Cont. Dist.'!M15-'Sale Analysis'!$E$18+'Sale Analysis'!$F$18),'Cont. Dist.'!M$15)</f>
        <v>0</v>
      </c>
      <c r="N55">
        <f ca="1">IF(N$3='Sale Analysis'!$E$3,('Cont. Dist.'!N15-'Sale Analysis'!$E$18+'Sale Analysis'!$F$18),'Cont. Dist.'!N$15)</f>
        <v>0</v>
      </c>
      <c r="O55">
        <f ca="1">IF(O$3='Sale Analysis'!$E$3,('Cont. Dist.'!O15-'Sale Analysis'!$E$18+'Sale Analysis'!$F$18),'Cont. Dist.'!O$15)</f>
        <v>0</v>
      </c>
      <c r="P55">
        <f ca="1">IF(P$3='Sale Analysis'!$E$3,('Cont. Dist.'!P15-'Sale Analysis'!$E$18+'Sale Analysis'!$F$18),'Cont. Dist.'!P$15)</f>
        <v>6240.1739668821674</v>
      </c>
      <c r="Q55">
        <f ca="1">IF(Q$3='Sale Analysis'!$E$3,('Cont. Dist.'!Q15-'Sale Analysis'!$E$18+'Sale Analysis'!$F$18),'Cont. Dist.'!Q$15)</f>
        <v>6240.1739668821674</v>
      </c>
      <c r="R55">
        <f ca="1">IF(R$3='Sale Analysis'!$E$3,('Cont. Dist.'!R15-'Sale Analysis'!$E$18+'Sale Analysis'!$F$18),'Cont. Dist.'!R$15)</f>
        <v>6240.1739668821674</v>
      </c>
      <c r="S55">
        <f ca="1">IF(S$3='Sale Analysis'!$E$3,('Cont. Dist.'!S15-'Sale Analysis'!$E$18+'Sale Analysis'!$F$18),'Cont. Dist.'!S$15)</f>
        <v>6240.1739668821674</v>
      </c>
      <c r="T55">
        <f ca="1">IF(T$3='Sale Analysis'!$E$3,('Cont. Dist.'!T15-'Sale Analysis'!$E$18+'Sale Analysis'!$F$18),'Cont. Dist.'!T$15)</f>
        <v>6240.1739668821674</v>
      </c>
      <c r="U55">
        <f ca="1">IF(U$3='Sale Analysis'!$E$3,('Cont. Dist.'!U15-'Sale Analysis'!$E$18+'Sale Analysis'!$F$18),'Cont. Dist.'!U$15)</f>
        <v>6240.1739668821674</v>
      </c>
      <c r="V55">
        <f ca="1">IF(V$3='Sale Analysis'!$E$3,('Cont. Dist.'!V15-'Sale Analysis'!$E$18+'Sale Analysis'!$F$18),'Cont. Dist.'!V$15)</f>
        <v>6240.1739668821674</v>
      </c>
      <c r="W55">
        <f ca="1">IF(W$3='Sale Analysis'!$E$3,('Cont. Dist.'!W15-'Sale Analysis'!$E$18+'Sale Analysis'!$F$18),'Cont. Dist.'!W$15)</f>
        <v>6240.1739668821674</v>
      </c>
      <c r="X55">
        <f ca="1">IF(X$3='Sale Analysis'!$E$3,('Cont. Dist.'!X15-'Sale Analysis'!$E$18+'Sale Analysis'!$F$18),'Cont. Dist.'!X$15)</f>
        <v>6240.1739668821674</v>
      </c>
      <c r="Y55">
        <f ca="1">IF(Y$3='Sale Analysis'!$E$3,('Cont. Dist.'!Y15-'Sale Analysis'!$E$18+'Sale Analysis'!$F$18),'Cont. Dist.'!Y$15)</f>
        <v>6240.1739668821674</v>
      </c>
      <c r="Z55">
        <f ca="1">IF(Z$3='Sale Analysis'!$E$3,('Cont. Dist.'!Z15-'Sale Analysis'!$E$18+'Sale Analysis'!$F$18),'Cont. Dist.'!Z$15)</f>
        <v>6240.1739668821674</v>
      </c>
      <c r="AA55">
        <f ca="1">IF(AA$3='Sale Analysis'!$E$3,('Cont. Dist.'!AA15-'Sale Analysis'!$E$18+'Sale Analysis'!$F$18),'Cont. Dist.'!AA$15)</f>
        <v>6240.1739668821674</v>
      </c>
      <c r="AB55">
        <f ca="1">IF(AB$3='Sale Analysis'!$E$3,('Cont. Dist.'!AB15-'Sale Analysis'!$E$18+'Sale Analysis'!$F$18),'Cont. Dist.'!AB$15)</f>
        <v>9360.2609503232488</v>
      </c>
      <c r="AC55">
        <f ca="1">IF(AC$3='Sale Analysis'!$E$3,('Cont. Dist.'!AC15-'Sale Analysis'!$E$18+'Sale Analysis'!$F$18),'Cont. Dist.'!AC$15)</f>
        <v>9360.2609503232488</v>
      </c>
      <c r="AD55">
        <f ca="1">IF(AD$3='Sale Analysis'!$E$3,('Cont. Dist.'!AD15-'Sale Analysis'!$E$18+'Sale Analysis'!$F$18),'Cont. Dist.'!AD$15)</f>
        <v>9360.2609503232488</v>
      </c>
      <c r="AE55">
        <f ca="1">IF(AE$3='Sale Analysis'!$E$3,('Cont. Dist.'!AE15-'Sale Analysis'!$E$18+'Sale Analysis'!$F$18),'Cont. Dist.'!AE$15)</f>
        <v>9360.2609503232488</v>
      </c>
      <c r="AF55">
        <f ca="1">IF(AF$3='Sale Analysis'!$E$3,('Cont. Dist.'!AF15-'Sale Analysis'!$E$18+'Sale Analysis'!$F$18),'Cont. Dist.'!AF$15)</f>
        <v>9360.2609503232488</v>
      </c>
      <c r="AG55">
        <f ca="1">IF(AG$3='Sale Analysis'!$E$3,('Cont. Dist.'!AG15-'Sale Analysis'!$E$18+'Sale Analysis'!$F$18),'Cont. Dist.'!AG$15)</f>
        <v>9360.2609503232488</v>
      </c>
      <c r="AH55">
        <f ca="1">IF(AH$3='Sale Analysis'!$E$3,('Cont. Dist.'!AH15-'Sale Analysis'!$E$18+'Sale Analysis'!$F$18),'Cont. Dist.'!AH$15)</f>
        <v>9360.2609503232488</v>
      </c>
      <c r="AI55">
        <f ca="1">IF(AI$3='Sale Analysis'!$E$3,('Cont. Dist.'!AI15-'Sale Analysis'!$E$18+'Sale Analysis'!$F$18),'Cont. Dist.'!AI$15)</f>
        <v>9360.2609503232488</v>
      </c>
      <c r="AJ55">
        <f ca="1">IF(AJ$3='Sale Analysis'!$E$3,('Cont. Dist.'!AJ15-'Sale Analysis'!$E$18+'Sale Analysis'!$F$18),'Cont. Dist.'!AJ$15)</f>
        <v>9360.2609503232488</v>
      </c>
      <c r="AK55">
        <f ca="1">IF(AK$3='Sale Analysis'!$E$3,('Cont. Dist.'!AK15-'Sale Analysis'!$E$18+'Sale Analysis'!$F$18),'Cont. Dist.'!AK$15)</f>
        <v>9360.2609503232488</v>
      </c>
      <c r="AL55">
        <f ca="1">IF(AL$3='Sale Analysis'!$E$3,('Cont. Dist.'!AL15-'Sale Analysis'!$E$18+'Sale Analysis'!$F$18),'Cont. Dist.'!AL$15)</f>
        <v>946854.42086932901</v>
      </c>
      <c r="AM55">
        <f ca="1">IF(AM$3='Sale Analysis'!$E$3,('Cont. Dist.'!AM15-'Sale Analysis'!$E$18+'Sale Analysis'!$F$18),'Cont. Dist.'!AM$15)</f>
        <v>3464.071265298056</v>
      </c>
      <c r="AN55">
        <f ca="1">IF(AN$3='Sale Analysis'!$E$3,('Cont. Dist.'!AN15-'Sale Analysis'!$E$18+'Sale Analysis'!$F$18),'Cont. Dist.'!AN$15)</f>
        <v>5542.5140244768891</v>
      </c>
      <c r="AO55">
        <f ca="1">IF(AO$3='Sale Analysis'!$E$3,('Cont. Dist.'!AO15-'Sale Analysis'!$E$18+'Sale Analysis'!$F$18),'Cont. Dist.'!AO$15)</f>
        <v>5542.5140244768891</v>
      </c>
      <c r="AP55">
        <f ca="1">IF(AP$3='Sale Analysis'!$E$3,('Cont. Dist.'!AP15-'Sale Analysis'!$E$18+'Sale Analysis'!$F$18),'Cont. Dist.'!AP$15)</f>
        <v>5542.5140244768891</v>
      </c>
      <c r="AQ55">
        <f ca="1">IF(AQ$3='Sale Analysis'!$E$3,('Cont. Dist.'!AQ15-'Sale Analysis'!$E$18+'Sale Analysis'!$F$18),'Cont. Dist.'!AQ$15)</f>
        <v>5542.5140244768891</v>
      </c>
      <c r="AR55">
        <f ca="1">IF(AR$3='Sale Analysis'!$E$3,('Cont. Dist.'!AR15-'Sale Analysis'!$E$18+'Sale Analysis'!$F$18),'Cont. Dist.'!AR$15)</f>
        <v>5542.5140244768891</v>
      </c>
      <c r="AS55">
        <f ca="1">IF(AS$3='Sale Analysis'!$E$3,('Cont. Dist.'!AS15-'Sale Analysis'!$E$18+'Sale Analysis'!$F$18),'Cont. Dist.'!AS$15)</f>
        <v>5542.5140244768891</v>
      </c>
      <c r="AT55">
        <f ca="1">IF(AT$3='Sale Analysis'!$E$3,('Cont. Dist.'!AT15-'Sale Analysis'!$E$18+'Sale Analysis'!$F$18),'Cont. Dist.'!AT$15)</f>
        <v>5542.5140244768891</v>
      </c>
      <c r="AU55">
        <f ca="1">IF(AU$3='Sale Analysis'!$E$3,('Cont. Dist.'!AU15-'Sale Analysis'!$E$18+'Sale Analysis'!$F$18),'Cont. Dist.'!AU$15)</f>
        <v>5542.5140244768891</v>
      </c>
      <c r="AV55">
        <f ca="1">IF(AV$3='Sale Analysis'!$E$3,('Cont. Dist.'!AV15-'Sale Analysis'!$E$18+'Sale Analysis'!$F$18),'Cont. Dist.'!AV$15)</f>
        <v>5542.5140244768891</v>
      </c>
      <c r="AW55">
        <f ca="1">IF(AW$3='Sale Analysis'!$E$3,('Cont. Dist.'!AW15-'Sale Analysis'!$E$18+'Sale Analysis'!$F$18),'Cont. Dist.'!AW$15)</f>
        <v>5542.5140244768891</v>
      </c>
      <c r="AX55">
        <f ca="1">IF(AX$3='Sale Analysis'!$E$3,('Cont. Dist.'!AX15-'Sale Analysis'!$E$18+'Sale Analysis'!$F$18),'Cont. Dist.'!AX$15)</f>
        <v>5542.5140244768891</v>
      </c>
      <c r="AY55">
        <f ca="1">IF(AY$3='Sale Analysis'!$E$3,('Cont. Dist.'!AY15-'Sale Analysis'!$E$18+'Sale Analysis'!$F$18),'Cont. Dist.'!AY$15)</f>
        <v>5542.5140244768891</v>
      </c>
      <c r="AZ55">
        <f ca="1">IF(AZ$3='Sale Analysis'!$E$3,('Cont. Dist.'!AZ15-'Sale Analysis'!$E$18+'Sale Analysis'!$F$18),'Cont. Dist.'!AZ$15)</f>
        <v>6004.3901931832979</v>
      </c>
      <c r="BA55">
        <f ca="1">IF(BA$3='Sale Analysis'!$E$3,('Cont. Dist.'!BA15-'Sale Analysis'!$E$18+'Sale Analysis'!$F$18),'Cont. Dist.'!BA$15)</f>
        <v>6004.3901931832979</v>
      </c>
      <c r="BB55">
        <f ca="1">IF(BB$3='Sale Analysis'!$E$3,('Cont. Dist.'!BB15-'Sale Analysis'!$E$18+'Sale Analysis'!$F$18),'Cont. Dist.'!BB$15)</f>
        <v>6004.3901931832979</v>
      </c>
      <c r="BC55">
        <f ca="1">IF(BC$3='Sale Analysis'!$E$3,('Cont. Dist.'!BC15-'Sale Analysis'!$E$18+'Sale Analysis'!$F$18),'Cont. Dist.'!BC$15)</f>
        <v>6004.3901931832979</v>
      </c>
      <c r="BD55">
        <f ca="1">IF(BD$3='Sale Analysis'!$E$3,('Cont. Dist.'!BD15-'Sale Analysis'!$E$18+'Sale Analysis'!$F$18),'Cont. Dist.'!BD$15)</f>
        <v>6004.3901931832979</v>
      </c>
      <c r="BE55">
        <f ca="1">IF(BE$3='Sale Analysis'!$E$3,('Cont. Dist.'!BE15-'Sale Analysis'!$E$18+'Sale Analysis'!$F$18),'Cont. Dist.'!BE$15)</f>
        <v>6004.3901931832979</v>
      </c>
      <c r="BF55">
        <f ca="1">IF(BF$3='Sale Analysis'!$E$3,('Cont. Dist.'!BF15-'Sale Analysis'!$E$18+'Sale Analysis'!$F$18),'Cont. Dist.'!BF$15)</f>
        <v>6004.3901931832979</v>
      </c>
      <c r="BG55">
        <f ca="1">IF(BG$3='Sale Analysis'!$E$3,('Cont. Dist.'!BG15-'Sale Analysis'!$E$18+'Sale Analysis'!$F$18),'Cont. Dist.'!BG$15)</f>
        <v>6004.3901931832979</v>
      </c>
      <c r="BH55">
        <f ca="1">IF(BH$3='Sale Analysis'!$E$3,('Cont. Dist.'!BH15-'Sale Analysis'!$E$18+'Sale Analysis'!$F$18),'Cont. Dist.'!BH$15)</f>
        <v>6004.3901931832979</v>
      </c>
      <c r="BI55">
        <f ca="1">IF(BI$3='Sale Analysis'!$E$3,('Cont. Dist.'!BI15-'Sale Analysis'!$E$18+'Sale Analysis'!$F$18),'Cont. Dist.'!BI$15)</f>
        <v>6004.3901931832979</v>
      </c>
      <c r="BJ55">
        <f ca="1">IF(BJ$3='Sale Analysis'!$E$3,('Cont. Dist.'!BJ15-'Sale Analysis'!$E$18+'Sale Analysis'!$F$18),'Cont. Dist.'!BJ$15)</f>
        <v>6004.3901931832979</v>
      </c>
      <c r="BK55">
        <f ca="1">IF(BK$3='Sale Analysis'!$E$3,('Cont. Dist.'!BK15-'Sale Analysis'!$E$18+'Sale Analysis'!$F$18),'Cont. Dist.'!BK$15)</f>
        <v>6004.3901931832979</v>
      </c>
      <c r="BL55">
        <f ca="1">IF(BL$3='Sale Analysis'!$E$3,('Cont. Dist.'!BL15-'Sale Analysis'!$E$18+'Sale Analysis'!$F$18),'Cont. Dist.'!BL$15)</f>
        <v>6466.2663618897059</v>
      </c>
      <c r="BM55">
        <f ca="1">IF(BM$3='Sale Analysis'!$E$3,('Cont. Dist.'!BM15-'Sale Analysis'!$E$18+'Sale Analysis'!$F$18),'Cont. Dist.'!BM$15)</f>
        <v>6466.2663618897059</v>
      </c>
      <c r="BN55">
        <f ca="1">IF(BN$3='Sale Analysis'!$E$3,('Cont. Dist.'!BN15-'Sale Analysis'!$E$18+'Sale Analysis'!$F$18),'Cont. Dist.'!BN$15)</f>
        <v>6466.2663618897059</v>
      </c>
      <c r="BO55">
        <f ca="1">IF(BO$3='Sale Analysis'!$E$3,('Cont. Dist.'!BO15-'Sale Analysis'!$E$18+'Sale Analysis'!$F$18),'Cont. Dist.'!BO$15)</f>
        <v>6466.2663618897059</v>
      </c>
      <c r="BP55">
        <f ca="1">IF(BP$3='Sale Analysis'!$E$3,('Cont. Dist.'!BP15-'Sale Analysis'!$E$18+'Sale Analysis'!$F$18),'Cont. Dist.'!BP$15)</f>
        <v>6466.2663618897059</v>
      </c>
      <c r="BQ55">
        <f ca="1">IF(BQ$3='Sale Analysis'!$E$3,('Cont. Dist.'!BQ15-'Sale Analysis'!$E$18+'Sale Analysis'!$F$18),'Cont. Dist.'!BQ$15)</f>
        <v>6466.2663618897059</v>
      </c>
      <c r="BR55">
        <f ca="1">IF(BR$3='Sale Analysis'!$E$3,('Cont. Dist.'!BR15-'Sale Analysis'!$E$18+'Sale Analysis'!$F$18),'Cont. Dist.'!BR$15)</f>
        <v>6466.2663618897059</v>
      </c>
      <c r="BS55">
        <f ca="1">IF(BS$3='Sale Analysis'!$E$3,('Cont. Dist.'!BS15-'Sale Analysis'!$E$18+'Sale Analysis'!$F$18),'Cont. Dist.'!BS$15)</f>
        <v>6466.2663618897059</v>
      </c>
      <c r="BT55">
        <f ca="1">IF(BT$3='Sale Analysis'!$E$3,('Cont. Dist.'!BT15-'Sale Analysis'!$E$18+'Sale Analysis'!$F$18),'Cont. Dist.'!BT$15)</f>
        <v>6466.2663618897059</v>
      </c>
      <c r="BU55">
        <f ca="1">IF(BU$3='Sale Analysis'!$E$3,('Cont. Dist.'!BU15-'Sale Analysis'!$E$18+'Sale Analysis'!$F$18),'Cont. Dist.'!BU$15)</f>
        <v>6466.2663618897059</v>
      </c>
      <c r="BV55">
        <f ca="1">IF(BV$3='Sale Analysis'!$E$3,('Cont. Dist.'!BV15-'Sale Analysis'!$E$18+'Sale Analysis'!$F$18),'Cont. Dist.'!BV$15)</f>
        <v>6466.2663618897059</v>
      </c>
      <c r="BW55">
        <f ca="1">IF(BW$3='Sale Analysis'!$E$3,('Cont. Dist.'!BW15-'Sale Analysis'!$E$18+'Sale Analysis'!$F$18),'Cont. Dist.'!BW$15)</f>
        <v>6466.2663618897059</v>
      </c>
      <c r="BX55">
        <f ca="1">IF(BX$3='Sale Analysis'!$E$3,('Cont. Dist.'!BX15-'Sale Analysis'!$E$18+'Sale Analysis'!$F$18),'Cont. Dist.'!BX$15)</f>
        <v>6928.142530596112</v>
      </c>
      <c r="BY55">
        <f ca="1">IF(BY$3='Sale Analysis'!$E$3,('Cont. Dist.'!BY15-'Sale Analysis'!$E$18+'Sale Analysis'!$F$18),'Cont. Dist.'!BY$15)</f>
        <v>6928.142530596112</v>
      </c>
      <c r="BZ55">
        <f ca="1">IF(BZ$3='Sale Analysis'!$E$3,('Cont. Dist.'!BZ15-'Sale Analysis'!$E$18+'Sale Analysis'!$F$18),'Cont. Dist.'!BZ$15)</f>
        <v>6928.142530596112</v>
      </c>
      <c r="CA55">
        <f ca="1">IF(CA$3='Sale Analysis'!$E$3,('Cont. Dist.'!CA15-'Sale Analysis'!$E$18+'Sale Analysis'!$F$18),'Cont. Dist.'!CA$15)</f>
        <v>6928.142530596112</v>
      </c>
      <c r="CB55">
        <f ca="1">IF(CB$3='Sale Analysis'!$E$3,('Cont. Dist.'!CB15-'Sale Analysis'!$E$18+'Sale Analysis'!$F$18),'Cont. Dist.'!CB$15)</f>
        <v>6928.142530596112</v>
      </c>
      <c r="CC55">
        <f ca="1">IF(CC$3='Sale Analysis'!$E$3,('Cont. Dist.'!CC15-'Sale Analysis'!$E$18+'Sale Analysis'!$F$18),'Cont. Dist.'!CC$15)</f>
        <v>6928.142530596112</v>
      </c>
      <c r="CD55">
        <f ca="1">IF(CD$3='Sale Analysis'!$E$3,('Cont. Dist.'!CD15-'Sale Analysis'!$E$18+'Sale Analysis'!$F$18),'Cont. Dist.'!CD$15)</f>
        <v>6928.142530596112</v>
      </c>
      <c r="CE55">
        <f ca="1">IF(CE$3='Sale Analysis'!$E$3,('Cont. Dist.'!CE15-'Sale Analysis'!$E$18+'Sale Analysis'!$F$18),'Cont. Dist.'!CE$15)</f>
        <v>6928.142530596112</v>
      </c>
      <c r="CF55">
        <f ca="1">IF(CF$3='Sale Analysis'!$E$3,('Cont. Dist.'!CF15-'Sale Analysis'!$E$18+'Sale Analysis'!$F$18),'Cont. Dist.'!CF$15)</f>
        <v>6928.142530596112</v>
      </c>
      <c r="CG55">
        <f ca="1">IF(CG$3='Sale Analysis'!$E$3,('Cont. Dist.'!CG15-'Sale Analysis'!$E$18+'Sale Analysis'!$F$18),'Cont. Dist.'!CG$15)</f>
        <v>6928.142530596112</v>
      </c>
      <c r="CH55">
        <f ca="1">IF(CH$3='Sale Analysis'!$E$3,('Cont. Dist.'!CH15-'Sale Analysis'!$E$18+'Sale Analysis'!$F$18),'Cont. Dist.'!CH$15)</f>
        <v>1378996.2182133601</v>
      </c>
      <c r="CI55">
        <f>IF(CI$3='Sale Analysis'!$E$3,('Cont. Dist.'!CI15-'Sale Analysis'!$E$18+'Sale Analysis'!$F$18),'Cont. Dist.'!CI$15)</f>
        <v>0</v>
      </c>
    </row>
    <row r="56" spans="1:87">
      <c r="A56" s="923"/>
      <c r="B56" t="s">
        <v>281</v>
      </c>
      <c r="C56" s="433">
        <f ca="1">C$18+C55</f>
        <v>-1497641.7520517199</v>
      </c>
      <c r="D56" s="433">
        <f t="shared" ref="D56:BO56" ca="1" si="580">D$18+D55</f>
        <v>0</v>
      </c>
      <c r="E56" s="433">
        <f t="shared" ca="1" si="580"/>
        <v>0</v>
      </c>
      <c r="F56" s="433">
        <f t="shared" ca="1" si="580"/>
        <v>0</v>
      </c>
      <c r="G56" s="433">
        <f t="shared" ca="1" si="580"/>
        <v>0</v>
      </c>
      <c r="H56" s="433">
        <f t="shared" ca="1" si="580"/>
        <v>0</v>
      </c>
      <c r="I56" s="433">
        <f t="shared" ca="1" si="580"/>
        <v>0</v>
      </c>
      <c r="J56" s="433">
        <f t="shared" ca="1" si="580"/>
        <v>0</v>
      </c>
      <c r="K56" s="433">
        <f t="shared" ca="1" si="580"/>
        <v>0</v>
      </c>
      <c r="L56" s="433">
        <f t="shared" ca="1" si="580"/>
        <v>0</v>
      </c>
      <c r="M56" s="433">
        <f t="shared" ca="1" si="580"/>
        <v>0</v>
      </c>
      <c r="N56" s="433">
        <f t="shared" ca="1" si="580"/>
        <v>0</v>
      </c>
      <c r="O56" s="433">
        <f t="shared" ca="1" si="580"/>
        <v>0</v>
      </c>
      <c r="P56" s="433">
        <f t="shared" ca="1" si="580"/>
        <v>6240.1739668821674</v>
      </c>
      <c r="Q56" s="433">
        <f t="shared" ca="1" si="580"/>
        <v>6240.1739668821674</v>
      </c>
      <c r="R56" s="433">
        <f t="shared" ca="1" si="580"/>
        <v>6240.1739668821674</v>
      </c>
      <c r="S56" s="433">
        <f t="shared" ca="1" si="580"/>
        <v>6240.1739668821674</v>
      </c>
      <c r="T56" s="433">
        <f t="shared" ca="1" si="580"/>
        <v>6240.1739668821674</v>
      </c>
      <c r="U56" s="433">
        <f t="shared" ca="1" si="580"/>
        <v>6240.1739668821674</v>
      </c>
      <c r="V56" s="433">
        <f t="shared" ca="1" si="580"/>
        <v>6240.1739668821674</v>
      </c>
      <c r="W56" s="433">
        <f t="shared" ca="1" si="580"/>
        <v>6240.1739668821674</v>
      </c>
      <c r="X56" s="433">
        <f t="shared" ca="1" si="580"/>
        <v>6240.1739668821674</v>
      </c>
      <c r="Y56" s="433">
        <f t="shared" ca="1" si="580"/>
        <v>6240.1739668821674</v>
      </c>
      <c r="Z56" s="433">
        <f t="shared" ca="1" si="580"/>
        <v>6240.1739668821674</v>
      </c>
      <c r="AA56" s="433">
        <f t="shared" ca="1" si="580"/>
        <v>6240.1739668821674</v>
      </c>
      <c r="AB56" s="433">
        <f t="shared" ca="1" si="580"/>
        <v>9360.2609503232488</v>
      </c>
      <c r="AC56" s="433">
        <f t="shared" ca="1" si="580"/>
        <v>9360.2609503232488</v>
      </c>
      <c r="AD56" s="433">
        <f t="shared" ca="1" si="580"/>
        <v>9360.2609503232488</v>
      </c>
      <c r="AE56" s="433">
        <f t="shared" ca="1" si="580"/>
        <v>9360.2609503232488</v>
      </c>
      <c r="AF56" s="433">
        <f t="shared" ca="1" si="580"/>
        <v>9360.2609503232488</v>
      </c>
      <c r="AG56" s="433">
        <f t="shared" ca="1" si="580"/>
        <v>9360.2609503232488</v>
      </c>
      <c r="AH56" s="433">
        <f t="shared" ca="1" si="580"/>
        <v>9360.2609503232488</v>
      </c>
      <c r="AI56" s="433">
        <f t="shared" ca="1" si="580"/>
        <v>9360.2609503232488</v>
      </c>
      <c r="AJ56" s="433">
        <f t="shared" ca="1" si="580"/>
        <v>9360.2609503232488</v>
      </c>
      <c r="AK56" s="433">
        <f t="shared" ca="1" si="580"/>
        <v>9360.2609503232488</v>
      </c>
      <c r="AL56" s="433">
        <f t="shared" ca="1" si="580"/>
        <v>946854.42086932901</v>
      </c>
      <c r="AM56" s="433">
        <f t="shared" ca="1" si="580"/>
        <v>3464.071265298056</v>
      </c>
      <c r="AN56" s="433">
        <f t="shared" ca="1" si="580"/>
        <v>5542.5140244768891</v>
      </c>
      <c r="AO56" s="433">
        <f t="shared" ca="1" si="580"/>
        <v>5542.5140244768891</v>
      </c>
      <c r="AP56" s="433">
        <f t="shared" ca="1" si="580"/>
        <v>5542.5140244768891</v>
      </c>
      <c r="AQ56" s="433">
        <f t="shared" ca="1" si="580"/>
        <v>5542.5140244768891</v>
      </c>
      <c r="AR56" s="433">
        <f t="shared" ca="1" si="580"/>
        <v>5542.5140244768891</v>
      </c>
      <c r="AS56" s="433">
        <f t="shared" ca="1" si="580"/>
        <v>5542.5140244768891</v>
      </c>
      <c r="AT56" s="433">
        <f t="shared" ca="1" si="580"/>
        <v>5542.5140244768891</v>
      </c>
      <c r="AU56" s="433">
        <f t="shared" ca="1" si="580"/>
        <v>5542.5140244768891</v>
      </c>
      <c r="AV56" s="433">
        <f t="shared" ca="1" si="580"/>
        <v>5542.5140244768891</v>
      </c>
      <c r="AW56" s="433">
        <f t="shared" ca="1" si="580"/>
        <v>5542.5140244768891</v>
      </c>
      <c r="AX56" s="433">
        <f t="shared" ca="1" si="580"/>
        <v>5542.5140244768891</v>
      </c>
      <c r="AY56" s="433">
        <f t="shared" ca="1" si="580"/>
        <v>5542.5140244768891</v>
      </c>
      <c r="AZ56" s="433">
        <f t="shared" ca="1" si="580"/>
        <v>6004.3901931832979</v>
      </c>
      <c r="BA56" s="433">
        <f t="shared" ca="1" si="580"/>
        <v>6004.3901931832979</v>
      </c>
      <c r="BB56" s="433">
        <f t="shared" ca="1" si="580"/>
        <v>6004.3901931832979</v>
      </c>
      <c r="BC56" s="433">
        <f t="shared" ca="1" si="580"/>
        <v>6004.3901931832979</v>
      </c>
      <c r="BD56" s="433">
        <f t="shared" ca="1" si="580"/>
        <v>6004.3901931832979</v>
      </c>
      <c r="BE56" s="433">
        <f t="shared" ca="1" si="580"/>
        <v>6004.3901931832979</v>
      </c>
      <c r="BF56" s="433">
        <f t="shared" ca="1" si="580"/>
        <v>6004.3901931832979</v>
      </c>
      <c r="BG56" s="433">
        <f t="shared" ca="1" si="580"/>
        <v>6004.3901931832979</v>
      </c>
      <c r="BH56" s="433">
        <f t="shared" ca="1" si="580"/>
        <v>6004.3901931832979</v>
      </c>
      <c r="BI56" s="433">
        <f t="shared" ca="1" si="580"/>
        <v>6004.3901931832979</v>
      </c>
      <c r="BJ56" s="433">
        <f t="shared" ca="1" si="580"/>
        <v>6004.3901931832979</v>
      </c>
      <c r="BK56" s="433">
        <f t="shared" ca="1" si="580"/>
        <v>6004.3901931832979</v>
      </c>
      <c r="BL56" s="433">
        <f t="shared" ca="1" si="580"/>
        <v>6466.2663618897059</v>
      </c>
      <c r="BM56" s="433">
        <f t="shared" ca="1" si="580"/>
        <v>6466.2663618897059</v>
      </c>
      <c r="BN56" s="433">
        <f t="shared" ca="1" si="580"/>
        <v>6466.2663618897059</v>
      </c>
      <c r="BO56" s="433">
        <f t="shared" ca="1" si="580"/>
        <v>6466.2663618897059</v>
      </c>
      <c r="BP56" s="433">
        <f t="shared" ref="BP56:CI56" ca="1" si="581">BP$18+BP55</f>
        <v>6466.2663618897059</v>
      </c>
      <c r="BQ56" s="433">
        <f t="shared" ca="1" si="581"/>
        <v>6466.2663618897059</v>
      </c>
      <c r="BR56" s="433">
        <f t="shared" ca="1" si="581"/>
        <v>6466.2663618897059</v>
      </c>
      <c r="BS56" s="433">
        <f t="shared" ca="1" si="581"/>
        <v>6466.2663618897059</v>
      </c>
      <c r="BT56" s="433">
        <f t="shared" ca="1" si="581"/>
        <v>6466.2663618897059</v>
      </c>
      <c r="BU56" s="433">
        <f t="shared" ca="1" si="581"/>
        <v>6466.2663618897059</v>
      </c>
      <c r="BV56" s="433">
        <f t="shared" ca="1" si="581"/>
        <v>6466.2663618897059</v>
      </c>
      <c r="BW56" s="433">
        <f t="shared" ca="1" si="581"/>
        <v>6466.2663618897059</v>
      </c>
      <c r="BX56" s="433">
        <f t="shared" ca="1" si="581"/>
        <v>6928.142530596112</v>
      </c>
      <c r="BY56" s="433">
        <f t="shared" ca="1" si="581"/>
        <v>6928.142530596112</v>
      </c>
      <c r="BZ56" s="433">
        <f t="shared" ca="1" si="581"/>
        <v>6928.142530596112</v>
      </c>
      <c r="CA56" s="433">
        <f t="shared" ca="1" si="581"/>
        <v>6928.142530596112</v>
      </c>
      <c r="CB56" s="433">
        <f t="shared" ca="1" si="581"/>
        <v>6928.142530596112</v>
      </c>
      <c r="CC56" s="433">
        <f t="shared" ca="1" si="581"/>
        <v>6928.142530596112</v>
      </c>
      <c r="CD56" s="433">
        <f t="shared" ca="1" si="581"/>
        <v>6928.142530596112</v>
      </c>
      <c r="CE56" s="433">
        <f t="shared" ca="1" si="581"/>
        <v>6928.142530596112</v>
      </c>
      <c r="CF56" s="433">
        <f t="shared" ca="1" si="581"/>
        <v>6928.142530596112</v>
      </c>
      <c r="CG56" s="433">
        <f ca="1">CG$18+CG55</f>
        <v>6928.142530596112</v>
      </c>
      <c r="CH56" s="433">
        <f t="shared" ca="1" si="581"/>
        <v>1378996.2182133601</v>
      </c>
      <c r="CI56" s="433">
        <f t="shared" si="581"/>
        <v>0</v>
      </c>
    </row>
    <row r="58" spans="1:87">
      <c r="A58" s="922">
        <f>'Sale Analysis'!D4</f>
        <v>5.5E-2</v>
      </c>
      <c r="B58" t="s">
        <v>280</v>
      </c>
      <c r="D58">
        <f ca="1">IF(D$3='Sale Analysis'!$E$3,('Cont. Dist.'!D15-'Sale Analysis'!$E$18+'Sale Analysis'!$D$18),'Cont. Dist.'!D$15)</f>
        <v>0</v>
      </c>
      <c r="E58">
        <f ca="1">IF(E$3='Sale Analysis'!$E$3,('Cont. Dist.'!E15-'Sale Analysis'!$E$18+'Sale Analysis'!$D$18),'Cont. Dist.'!E$15)</f>
        <v>0</v>
      </c>
      <c r="F58">
        <f ca="1">IF(F$3='Sale Analysis'!$E$3,('Cont. Dist.'!F15-'Sale Analysis'!$E$18+'Sale Analysis'!$D$18),'Cont. Dist.'!F$15)</f>
        <v>0</v>
      </c>
      <c r="G58">
        <f ca="1">IF(G$3='Sale Analysis'!$E$3,('Cont. Dist.'!G15-'Sale Analysis'!$E$18+'Sale Analysis'!$D$18),'Cont. Dist.'!G$15)</f>
        <v>0</v>
      </c>
      <c r="H58">
        <f ca="1">IF(H$3='Sale Analysis'!$E$3,('Cont. Dist.'!H15-'Sale Analysis'!$E$18+'Sale Analysis'!$D$18),'Cont. Dist.'!H$15)</f>
        <v>0</v>
      </c>
      <c r="I58">
        <f ca="1">IF(I$3='Sale Analysis'!$E$3,('Cont. Dist.'!I15-'Sale Analysis'!$E$18+'Sale Analysis'!$D$18),'Cont. Dist.'!I$15)</f>
        <v>0</v>
      </c>
      <c r="J58">
        <f ca="1">IF(J$3='Sale Analysis'!$E$3,('Cont. Dist.'!J15-'Sale Analysis'!$E$18+'Sale Analysis'!$D$18),'Cont. Dist.'!J$15)</f>
        <v>0</v>
      </c>
      <c r="K58">
        <f ca="1">IF(K$3='Sale Analysis'!$E$3,('Cont. Dist.'!K15-'Sale Analysis'!$E$18+'Sale Analysis'!$D$18),'Cont. Dist.'!K$15)</f>
        <v>0</v>
      </c>
      <c r="L58">
        <f ca="1">IF(L$3='Sale Analysis'!$E$3,('Cont. Dist.'!L15-'Sale Analysis'!$E$18+'Sale Analysis'!$D$18),'Cont. Dist.'!L$15)</f>
        <v>0</v>
      </c>
      <c r="M58">
        <f ca="1">IF(M$3='Sale Analysis'!$E$3,('Cont. Dist.'!M15-'Sale Analysis'!$E$18+'Sale Analysis'!$D$18),'Cont. Dist.'!M$15)</f>
        <v>0</v>
      </c>
      <c r="N58">
        <f ca="1">IF(N$3='Sale Analysis'!$E$3,('Cont. Dist.'!N15-'Sale Analysis'!$E$18+'Sale Analysis'!$D$18),'Cont. Dist.'!N$15)</f>
        <v>0</v>
      </c>
      <c r="O58">
        <f ca="1">IF(O$3='Sale Analysis'!$E$3,('Cont. Dist.'!O15-'Sale Analysis'!$E$18+'Sale Analysis'!$D$18),'Cont. Dist.'!O$15)</f>
        <v>0</v>
      </c>
      <c r="P58">
        <f ca="1">IF(P$3='Sale Analysis'!$E$3,('Cont. Dist.'!P15-'Sale Analysis'!$E$18+'Sale Analysis'!$D$18),'Cont. Dist.'!P$15)</f>
        <v>6240.1739668821674</v>
      </c>
      <c r="Q58">
        <f ca="1">IF(Q$3='Sale Analysis'!$E$3,('Cont. Dist.'!Q15-'Sale Analysis'!$E$18+'Sale Analysis'!$D$18),'Cont. Dist.'!Q$15)</f>
        <v>6240.1739668821674</v>
      </c>
      <c r="R58">
        <f ca="1">IF(R$3='Sale Analysis'!$E$3,('Cont. Dist.'!R15-'Sale Analysis'!$E$18+'Sale Analysis'!$D$18),'Cont. Dist.'!R$15)</f>
        <v>6240.1739668821674</v>
      </c>
      <c r="S58">
        <f ca="1">IF(S$3='Sale Analysis'!$E$3,('Cont. Dist.'!S15-'Sale Analysis'!$E$18+'Sale Analysis'!$D$18),'Cont. Dist.'!S$15)</f>
        <v>6240.1739668821674</v>
      </c>
      <c r="T58">
        <f ca="1">IF(T$3='Sale Analysis'!$E$3,('Cont. Dist.'!T15-'Sale Analysis'!$E$18+'Sale Analysis'!$D$18),'Cont. Dist.'!T$15)</f>
        <v>6240.1739668821674</v>
      </c>
      <c r="U58">
        <f ca="1">IF(U$3='Sale Analysis'!$E$3,('Cont. Dist.'!U15-'Sale Analysis'!$E$18+'Sale Analysis'!$D$18),'Cont. Dist.'!U$15)</f>
        <v>6240.1739668821674</v>
      </c>
      <c r="V58">
        <f ca="1">IF(V$3='Sale Analysis'!$E$3,('Cont. Dist.'!V15-'Sale Analysis'!$E$18+'Sale Analysis'!$D$18),'Cont. Dist.'!V$15)</f>
        <v>6240.1739668821674</v>
      </c>
      <c r="W58">
        <f ca="1">IF(W$3='Sale Analysis'!$E$3,('Cont. Dist.'!W15-'Sale Analysis'!$E$18+'Sale Analysis'!$D$18),'Cont. Dist.'!W$15)</f>
        <v>6240.1739668821674</v>
      </c>
      <c r="X58">
        <f ca="1">IF(X$3='Sale Analysis'!$E$3,('Cont. Dist.'!X15-'Sale Analysis'!$E$18+'Sale Analysis'!$D$18),'Cont. Dist.'!X$15)</f>
        <v>6240.1739668821674</v>
      </c>
      <c r="Y58">
        <f ca="1">IF(Y$3='Sale Analysis'!$E$3,('Cont. Dist.'!Y15-'Sale Analysis'!$E$18+'Sale Analysis'!$D$18),'Cont. Dist.'!Y$15)</f>
        <v>6240.1739668821674</v>
      </c>
      <c r="Z58">
        <f ca="1">IF(Z$3='Sale Analysis'!$E$3,('Cont. Dist.'!Z15-'Sale Analysis'!$E$18+'Sale Analysis'!$D$18),'Cont. Dist.'!Z$15)</f>
        <v>6240.1739668821674</v>
      </c>
      <c r="AA58">
        <f ca="1">IF(AA$3='Sale Analysis'!$E$3,('Cont. Dist.'!AA15-'Sale Analysis'!$E$18+'Sale Analysis'!$D$18),'Cont. Dist.'!AA$15)</f>
        <v>6240.1739668821674</v>
      </c>
      <c r="AB58">
        <f ca="1">IF(AB$3='Sale Analysis'!$E$3,('Cont. Dist.'!AB15-'Sale Analysis'!$E$18+'Sale Analysis'!$D$18),'Cont. Dist.'!AB$15)</f>
        <v>9360.2609503232488</v>
      </c>
      <c r="AC58">
        <f ca="1">IF(AC$3='Sale Analysis'!$E$3,('Cont. Dist.'!AC15-'Sale Analysis'!$E$18+'Sale Analysis'!$D$18),'Cont. Dist.'!AC$15)</f>
        <v>9360.2609503232488</v>
      </c>
      <c r="AD58">
        <f ca="1">IF(AD$3='Sale Analysis'!$E$3,('Cont. Dist.'!AD15-'Sale Analysis'!$E$18+'Sale Analysis'!$D$18),'Cont. Dist.'!AD$15)</f>
        <v>9360.2609503232488</v>
      </c>
      <c r="AE58">
        <f ca="1">IF(AE$3='Sale Analysis'!$E$3,('Cont. Dist.'!AE15-'Sale Analysis'!$E$18+'Sale Analysis'!$D$18),'Cont. Dist.'!AE$15)</f>
        <v>9360.2609503232488</v>
      </c>
      <c r="AF58">
        <f ca="1">IF(AF$3='Sale Analysis'!$E$3,('Cont. Dist.'!AF15-'Sale Analysis'!$E$18+'Sale Analysis'!$D$18),'Cont. Dist.'!AF$15)</f>
        <v>9360.2609503232488</v>
      </c>
      <c r="AG58">
        <f ca="1">IF(AG$3='Sale Analysis'!$E$3,('Cont. Dist.'!AG15-'Sale Analysis'!$E$18+'Sale Analysis'!$D$18),'Cont. Dist.'!AG$15)</f>
        <v>9360.2609503232488</v>
      </c>
      <c r="AH58">
        <f ca="1">IF(AH$3='Sale Analysis'!$E$3,('Cont. Dist.'!AH15-'Sale Analysis'!$E$18+'Sale Analysis'!$D$18),'Cont. Dist.'!AH$15)</f>
        <v>9360.2609503232488</v>
      </c>
      <c r="AI58">
        <f ca="1">IF(AI$3='Sale Analysis'!$E$3,('Cont. Dist.'!AI15-'Sale Analysis'!$E$18+'Sale Analysis'!$D$18),'Cont. Dist.'!AI$15)</f>
        <v>9360.2609503232488</v>
      </c>
      <c r="AJ58">
        <f ca="1">IF(AJ$3='Sale Analysis'!$E$3,('Cont. Dist.'!AJ15-'Sale Analysis'!$E$18+'Sale Analysis'!$D$18),'Cont. Dist.'!AJ$15)</f>
        <v>9360.2609503232488</v>
      </c>
      <c r="AK58">
        <f ca="1">IF(AK$3='Sale Analysis'!$E$3,('Cont. Dist.'!AK15-'Sale Analysis'!$E$18+'Sale Analysis'!$D$18),'Cont. Dist.'!AK$15)</f>
        <v>9360.2609503232488</v>
      </c>
      <c r="AL58">
        <f ca="1">IF(AL$3='Sale Analysis'!$E$3,('Cont. Dist.'!AL15-'Sale Analysis'!$E$18+'Sale Analysis'!$D$18),'Cont. Dist.'!AL$15)</f>
        <v>946854.42086932901</v>
      </c>
      <c r="AM58">
        <f ca="1">IF(AM$3='Sale Analysis'!$E$3,('Cont. Dist.'!AM15-'Sale Analysis'!$E$18+'Sale Analysis'!$D$18),'Cont. Dist.'!AM$15)</f>
        <v>3464.071265298056</v>
      </c>
      <c r="AN58">
        <f ca="1">IF(AN$3='Sale Analysis'!$E$3,('Cont. Dist.'!AN15-'Sale Analysis'!$E$18+'Sale Analysis'!$D$18),'Cont. Dist.'!AN$15)</f>
        <v>5542.5140244768891</v>
      </c>
      <c r="AO58">
        <f ca="1">IF(AO$3='Sale Analysis'!$E$3,('Cont. Dist.'!AO15-'Sale Analysis'!$E$18+'Sale Analysis'!$D$18),'Cont. Dist.'!AO$15)</f>
        <v>5542.5140244768891</v>
      </c>
      <c r="AP58">
        <f ca="1">IF(AP$3='Sale Analysis'!$E$3,('Cont. Dist.'!AP15-'Sale Analysis'!$E$18+'Sale Analysis'!$D$18),'Cont. Dist.'!AP$15)</f>
        <v>5542.5140244768891</v>
      </c>
      <c r="AQ58">
        <f ca="1">IF(AQ$3='Sale Analysis'!$E$3,('Cont. Dist.'!AQ15-'Sale Analysis'!$E$18+'Sale Analysis'!$D$18),'Cont. Dist.'!AQ$15)</f>
        <v>5542.5140244768891</v>
      </c>
      <c r="AR58">
        <f ca="1">IF(AR$3='Sale Analysis'!$E$3,('Cont. Dist.'!AR15-'Sale Analysis'!$E$18+'Sale Analysis'!$D$18),'Cont. Dist.'!AR$15)</f>
        <v>5542.5140244768891</v>
      </c>
      <c r="AS58">
        <f ca="1">IF(AS$3='Sale Analysis'!$E$3,('Cont. Dist.'!AS15-'Sale Analysis'!$E$18+'Sale Analysis'!$D$18),'Cont. Dist.'!AS$15)</f>
        <v>5542.5140244768891</v>
      </c>
      <c r="AT58">
        <f ca="1">IF(AT$3='Sale Analysis'!$E$3,('Cont. Dist.'!AT15-'Sale Analysis'!$E$18+'Sale Analysis'!$D$18),'Cont. Dist.'!AT$15)</f>
        <v>5542.5140244768891</v>
      </c>
      <c r="AU58">
        <f ca="1">IF(AU$3='Sale Analysis'!$E$3,('Cont. Dist.'!AU15-'Sale Analysis'!$E$18+'Sale Analysis'!$D$18),'Cont. Dist.'!AU$15)</f>
        <v>5542.5140244768891</v>
      </c>
      <c r="AV58">
        <f ca="1">IF(AV$3='Sale Analysis'!$E$3,('Cont. Dist.'!AV15-'Sale Analysis'!$E$18+'Sale Analysis'!$D$18),'Cont. Dist.'!AV$15)</f>
        <v>5542.5140244768891</v>
      </c>
      <c r="AW58">
        <f ca="1">IF(AW$3='Sale Analysis'!$E$3,('Cont. Dist.'!AW15-'Sale Analysis'!$E$18+'Sale Analysis'!$D$18),'Cont. Dist.'!AW$15)</f>
        <v>5542.5140244768891</v>
      </c>
      <c r="AX58">
        <f ca="1">IF(AX$3='Sale Analysis'!$E$3,('Cont. Dist.'!AX15-'Sale Analysis'!$E$18+'Sale Analysis'!$D$18),'Cont. Dist.'!AX$15)</f>
        <v>5542.5140244768891</v>
      </c>
      <c r="AY58">
        <f ca="1">IF(AY$3='Sale Analysis'!$E$3,('Cont. Dist.'!AY15-'Sale Analysis'!$E$18+'Sale Analysis'!$D$18),'Cont. Dist.'!AY$15)</f>
        <v>5542.5140244768891</v>
      </c>
      <c r="AZ58">
        <f ca="1">IF(AZ$3='Sale Analysis'!$E$3,('Cont. Dist.'!AZ15-'Sale Analysis'!$E$18+'Sale Analysis'!$D$18),'Cont. Dist.'!AZ$15)</f>
        <v>6004.3901931832979</v>
      </c>
      <c r="BA58">
        <f ca="1">IF(BA$3='Sale Analysis'!$E$3,('Cont. Dist.'!BA15-'Sale Analysis'!$E$18+'Sale Analysis'!$D$18),'Cont. Dist.'!BA$15)</f>
        <v>6004.3901931832979</v>
      </c>
      <c r="BB58">
        <f ca="1">IF(BB$3='Sale Analysis'!$E$3,('Cont. Dist.'!BB15-'Sale Analysis'!$E$18+'Sale Analysis'!$D$18),'Cont. Dist.'!BB$15)</f>
        <v>6004.3901931832979</v>
      </c>
      <c r="BC58">
        <f ca="1">IF(BC$3='Sale Analysis'!$E$3,('Cont. Dist.'!BC15-'Sale Analysis'!$E$18+'Sale Analysis'!$D$18),'Cont. Dist.'!BC$15)</f>
        <v>6004.3901931832979</v>
      </c>
      <c r="BD58">
        <f ca="1">IF(BD$3='Sale Analysis'!$E$3,('Cont. Dist.'!BD15-'Sale Analysis'!$E$18+'Sale Analysis'!$D$18),'Cont. Dist.'!BD$15)</f>
        <v>6004.3901931832979</v>
      </c>
      <c r="BE58">
        <f ca="1">IF(BE$3='Sale Analysis'!$E$3,('Cont. Dist.'!BE15-'Sale Analysis'!$E$18+'Sale Analysis'!$D$18),'Cont. Dist.'!BE$15)</f>
        <v>6004.3901931832979</v>
      </c>
      <c r="BF58">
        <f ca="1">IF(BF$3='Sale Analysis'!$E$3,('Cont. Dist.'!BF15-'Sale Analysis'!$E$18+'Sale Analysis'!$D$18),'Cont. Dist.'!BF$15)</f>
        <v>6004.3901931832979</v>
      </c>
      <c r="BG58">
        <f ca="1">IF(BG$3='Sale Analysis'!$E$3,('Cont. Dist.'!BG15-'Sale Analysis'!$E$18+'Sale Analysis'!$D$18),'Cont. Dist.'!BG$15)</f>
        <v>6004.3901931832979</v>
      </c>
      <c r="BH58">
        <f ca="1">IF(BH$3='Sale Analysis'!$E$3,('Cont. Dist.'!BH15-'Sale Analysis'!$E$18+'Sale Analysis'!$D$18),'Cont. Dist.'!BH$15)</f>
        <v>6004.3901931832979</v>
      </c>
      <c r="BI58">
        <f ca="1">IF(BI$3='Sale Analysis'!$E$3,('Cont. Dist.'!BI15-'Sale Analysis'!$E$18+'Sale Analysis'!$D$18),'Cont. Dist.'!BI$15)</f>
        <v>6004.3901931832979</v>
      </c>
      <c r="BJ58">
        <f ca="1">IF(BJ$3='Sale Analysis'!$E$3,('Cont. Dist.'!BJ15-'Sale Analysis'!$E$18+'Sale Analysis'!$D$18),'Cont. Dist.'!BJ$15)</f>
        <v>6004.3901931832979</v>
      </c>
      <c r="BK58">
        <f ca="1">IF(BK$3='Sale Analysis'!$E$3,('Cont. Dist.'!BK15-'Sale Analysis'!$E$18+'Sale Analysis'!$D$18),'Cont. Dist.'!BK$15)</f>
        <v>6004.3901931832979</v>
      </c>
      <c r="BL58">
        <f ca="1">IF(BL$3='Sale Analysis'!$E$3,('Cont. Dist.'!BL15-'Sale Analysis'!$E$18+'Sale Analysis'!$D$18),'Cont. Dist.'!BL$15)</f>
        <v>6466.2663618897059</v>
      </c>
      <c r="BM58">
        <f ca="1">IF(BM$3='Sale Analysis'!$E$3,('Cont. Dist.'!BM15-'Sale Analysis'!$E$18+'Sale Analysis'!$D$18),'Cont. Dist.'!BM$15)</f>
        <v>6466.2663618897059</v>
      </c>
      <c r="BN58">
        <f ca="1">IF(BN$3='Sale Analysis'!$E$3,('Cont. Dist.'!BN15-'Sale Analysis'!$E$18+'Sale Analysis'!$D$18),'Cont. Dist.'!BN$15)</f>
        <v>6466.2663618897059</v>
      </c>
      <c r="BO58">
        <f ca="1">IF(BO$3='Sale Analysis'!$E$3,('Cont. Dist.'!BO15-'Sale Analysis'!$E$18+'Sale Analysis'!$D$18),'Cont. Dist.'!BO$15)</f>
        <v>6466.2663618897059</v>
      </c>
      <c r="BP58">
        <f ca="1">IF(BP$3='Sale Analysis'!$E$3,('Cont. Dist.'!BP15-'Sale Analysis'!$E$18+'Sale Analysis'!$D$18),'Cont. Dist.'!BP$15)</f>
        <v>6466.2663618897059</v>
      </c>
      <c r="BQ58">
        <f ca="1">IF(BQ$3='Sale Analysis'!$E$3,('Cont. Dist.'!BQ15-'Sale Analysis'!$E$18+'Sale Analysis'!$D$18),'Cont. Dist.'!BQ$15)</f>
        <v>6466.2663618897059</v>
      </c>
      <c r="BR58">
        <f ca="1">IF(BR$3='Sale Analysis'!$E$3,('Cont. Dist.'!BR15-'Sale Analysis'!$E$18+'Sale Analysis'!$D$18),'Cont. Dist.'!BR$15)</f>
        <v>6466.2663618897059</v>
      </c>
      <c r="BS58">
        <f ca="1">IF(BS$3='Sale Analysis'!$E$3,('Cont. Dist.'!BS15-'Sale Analysis'!$E$18+'Sale Analysis'!$D$18),'Cont. Dist.'!BS$15)</f>
        <v>6466.2663618897059</v>
      </c>
      <c r="BT58">
        <f ca="1">IF(BT$3='Sale Analysis'!$E$3,('Cont. Dist.'!BT15-'Sale Analysis'!$E$18+'Sale Analysis'!$D$18),'Cont. Dist.'!BT$15)</f>
        <v>6466.2663618897059</v>
      </c>
      <c r="BU58">
        <f ca="1">IF(BU$3='Sale Analysis'!$E$3,('Cont. Dist.'!BU15-'Sale Analysis'!$E$18+'Sale Analysis'!$D$18),'Cont. Dist.'!BU$15)</f>
        <v>6466.2663618897059</v>
      </c>
      <c r="BV58">
        <f ca="1">IF(BV$3='Sale Analysis'!$E$3,('Cont. Dist.'!BV15-'Sale Analysis'!$E$18+'Sale Analysis'!$D$18),'Cont. Dist.'!BV$15)</f>
        <v>6466.2663618897059</v>
      </c>
      <c r="BW58">
        <f ca="1">IF(BW$3='Sale Analysis'!$E$3,('Cont. Dist.'!BW15-'Sale Analysis'!$E$18+'Sale Analysis'!$D$18),'Cont. Dist.'!BW$15)</f>
        <v>6466.2663618897059</v>
      </c>
      <c r="BX58">
        <f ca="1">IF(BX$3='Sale Analysis'!$E$3,('Cont. Dist.'!BX15-'Sale Analysis'!$E$18+'Sale Analysis'!$D$18),'Cont. Dist.'!BX$15)</f>
        <v>6928.142530596112</v>
      </c>
      <c r="BY58">
        <f ca="1">IF(BY$3='Sale Analysis'!$E$3,('Cont. Dist.'!BY15-'Sale Analysis'!$E$18+'Sale Analysis'!$D$18),'Cont. Dist.'!BY$15)</f>
        <v>6928.142530596112</v>
      </c>
      <c r="BZ58">
        <f ca="1">IF(BZ$3='Sale Analysis'!$E$3,('Cont. Dist.'!BZ15-'Sale Analysis'!$E$18+'Sale Analysis'!$D$18),'Cont. Dist.'!BZ$15)</f>
        <v>6928.142530596112</v>
      </c>
      <c r="CA58">
        <f ca="1">IF(CA$3='Sale Analysis'!$E$3,('Cont. Dist.'!CA15-'Sale Analysis'!$E$18+'Sale Analysis'!$D$18),'Cont. Dist.'!CA$15)</f>
        <v>6928.142530596112</v>
      </c>
      <c r="CB58">
        <f ca="1">IF(CB$3='Sale Analysis'!$E$3,('Cont. Dist.'!CB15-'Sale Analysis'!$E$18+'Sale Analysis'!$D$18),'Cont. Dist.'!CB$15)</f>
        <v>6928.142530596112</v>
      </c>
      <c r="CC58">
        <f ca="1">IF(CC$3='Sale Analysis'!$E$3,('Cont. Dist.'!CC15-'Sale Analysis'!$E$18+'Sale Analysis'!$D$18),'Cont. Dist.'!CC$15)</f>
        <v>6928.142530596112</v>
      </c>
      <c r="CD58">
        <f ca="1">IF(CD$3='Sale Analysis'!$E$3,('Cont. Dist.'!CD15-'Sale Analysis'!$E$18+'Sale Analysis'!$D$18),'Cont. Dist.'!CD$15)</f>
        <v>6928.142530596112</v>
      </c>
      <c r="CE58">
        <f ca="1">IF(CE$3='Sale Analysis'!$E$3,('Cont. Dist.'!CE15-'Sale Analysis'!$E$18+'Sale Analysis'!$D$18),'Cont. Dist.'!CE$15)</f>
        <v>6928.142530596112</v>
      </c>
      <c r="CF58">
        <f ca="1">IF(CF$3='Sale Analysis'!$E$3,('Cont. Dist.'!CF15-'Sale Analysis'!$E$18+'Sale Analysis'!$D$18),'Cont. Dist.'!CF$15)</f>
        <v>6928.142530596112</v>
      </c>
      <c r="CG58">
        <f ca="1">IF(CG$3='Sale Analysis'!$E$3,('Cont. Dist.'!CG15-'Sale Analysis'!$E$18+'Sale Analysis'!$D$18),'Cont. Dist.'!CG$15)</f>
        <v>6928.142530596112</v>
      </c>
      <c r="CH58">
        <f ca="1">IF(CH$3='Sale Analysis'!$E$3,('Cont. Dist.'!CH15-'Sale Analysis'!$E$18+'Sale Analysis'!$D$18),'Cont. Dist.'!CH$15)</f>
        <v>1755356.2182133601</v>
      </c>
      <c r="CI58">
        <f>IF(CI$3='Sale Analysis'!$E$3,('Cont. Dist.'!CI15-'Sale Analysis'!$E$18+'Sale Analysis'!$D$18),'Cont. Dist.'!CI$15)</f>
        <v>0</v>
      </c>
    </row>
    <row r="59" spans="1:87">
      <c r="A59" s="923"/>
      <c r="B59" t="s">
        <v>281</v>
      </c>
      <c r="C59" s="433">
        <f ca="1">C$18+C58</f>
        <v>-1497641.7520517199</v>
      </c>
      <c r="D59" s="433">
        <f ca="1">D$18+D58</f>
        <v>0</v>
      </c>
      <c r="E59" s="433">
        <f t="shared" ref="E59:BP59" ca="1" si="582">E$18+E58</f>
        <v>0</v>
      </c>
      <c r="F59" s="433">
        <f t="shared" ca="1" si="582"/>
        <v>0</v>
      </c>
      <c r="G59" s="433">
        <f t="shared" ca="1" si="582"/>
        <v>0</v>
      </c>
      <c r="H59" s="433">
        <f t="shared" ca="1" si="582"/>
        <v>0</v>
      </c>
      <c r="I59" s="433">
        <f t="shared" ca="1" si="582"/>
        <v>0</v>
      </c>
      <c r="J59" s="433">
        <f t="shared" ca="1" si="582"/>
        <v>0</v>
      </c>
      <c r="K59" s="433">
        <f t="shared" ca="1" si="582"/>
        <v>0</v>
      </c>
      <c r="L59" s="433">
        <f t="shared" ca="1" si="582"/>
        <v>0</v>
      </c>
      <c r="M59" s="433">
        <f t="shared" ca="1" si="582"/>
        <v>0</v>
      </c>
      <c r="N59" s="433">
        <f t="shared" ca="1" si="582"/>
        <v>0</v>
      </c>
      <c r="O59" s="433">
        <f t="shared" ca="1" si="582"/>
        <v>0</v>
      </c>
      <c r="P59" s="433">
        <f t="shared" ca="1" si="582"/>
        <v>6240.1739668821674</v>
      </c>
      <c r="Q59" s="433">
        <f t="shared" ca="1" si="582"/>
        <v>6240.1739668821674</v>
      </c>
      <c r="R59" s="433">
        <f t="shared" ca="1" si="582"/>
        <v>6240.1739668821674</v>
      </c>
      <c r="S59" s="433">
        <f t="shared" ca="1" si="582"/>
        <v>6240.1739668821674</v>
      </c>
      <c r="T59" s="433">
        <f t="shared" ca="1" si="582"/>
        <v>6240.1739668821674</v>
      </c>
      <c r="U59" s="433">
        <f t="shared" ca="1" si="582"/>
        <v>6240.1739668821674</v>
      </c>
      <c r="V59" s="433">
        <f t="shared" ca="1" si="582"/>
        <v>6240.1739668821674</v>
      </c>
      <c r="W59" s="433">
        <f t="shared" ca="1" si="582"/>
        <v>6240.1739668821674</v>
      </c>
      <c r="X59" s="433">
        <f t="shared" ca="1" si="582"/>
        <v>6240.1739668821674</v>
      </c>
      <c r="Y59" s="433">
        <f t="shared" ca="1" si="582"/>
        <v>6240.1739668821674</v>
      </c>
      <c r="Z59" s="433">
        <f t="shared" ca="1" si="582"/>
        <v>6240.1739668821674</v>
      </c>
      <c r="AA59" s="433">
        <f t="shared" ca="1" si="582"/>
        <v>6240.1739668821674</v>
      </c>
      <c r="AB59" s="433">
        <f t="shared" ca="1" si="582"/>
        <v>9360.2609503232488</v>
      </c>
      <c r="AC59" s="433">
        <f t="shared" ca="1" si="582"/>
        <v>9360.2609503232488</v>
      </c>
      <c r="AD59" s="433">
        <f t="shared" ca="1" si="582"/>
        <v>9360.2609503232488</v>
      </c>
      <c r="AE59" s="433">
        <f t="shared" ca="1" si="582"/>
        <v>9360.2609503232488</v>
      </c>
      <c r="AF59" s="433">
        <f t="shared" ca="1" si="582"/>
        <v>9360.2609503232488</v>
      </c>
      <c r="AG59" s="433">
        <f t="shared" ca="1" si="582"/>
        <v>9360.2609503232488</v>
      </c>
      <c r="AH59" s="433">
        <f t="shared" ca="1" si="582"/>
        <v>9360.2609503232488</v>
      </c>
      <c r="AI59" s="433">
        <f t="shared" ca="1" si="582"/>
        <v>9360.2609503232488</v>
      </c>
      <c r="AJ59" s="433">
        <f t="shared" ca="1" si="582"/>
        <v>9360.2609503232488</v>
      </c>
      <c r="AK59" s="433">
        <f t="shared" ca="1" si="582"/>
        <v>9360.2609503232488</v>
      </c>
      <c r="AL59" s="433">
        <f t="shared" ca="1" si="582"/>
        <v>946854.42086932901</v>
      </c>
      <c r="AM59" s="433">
        <f t="shared" ca="1" si="582"/>
        <v>3464.071265298056</v>
      </c>
      <c r="AN59" s="433">
        <f t="shared" ca="1" si="582"/>
        <v>5542.5140244768891</v>
      </c>
      <c r="AO59" s="433">
        <f t="shared" ca="1" si="582"/>
        <v>5542.5140244768891</v>
      </c>
      <c r="AP59" s="433">
        <f t="shared" ca="1" si="582"/>
        <v>5542.5140244768891</v>
      </c>
      <c r="AQ59" s="433">
        <f t="shared" ca="1" si="582"/>
        <v>5542.5140244768891</v>
      </c>
      <c r="AR59" s="433">
        <f t="shared" ca="1" si="582"/>
        <v>5542.5140244768891</v>
      </c>
      <c r="AS59" s="433">
        <f t="shared" ca="1" si="582"/>
        <v>5542.5140244768891</v>
      </c>
      <c r="AT59" s="433">
        <f t="shared" ca="1" si="582"/>
        <v>5542.5140244768891</v>
      </c>
      <c r="AU59" s="433">
        <f t="shared" ca="1" si="582"/>
        <v>5542.5140244768891</v>
      </c>
      <c r="AV59" s="433">
        <f t="shared" ca="1" si="582"/>
        <v>5542.5140244768891</v>
      </c>
      <c r="AW59" s="433">
        <f t="shared" ca="1" si="582"/>
        <v>5542.5140244768891</v>
      </c>
      <c r="AX59" s="433">
        <f t="shared" ca="1" si="582"/>
        <v>5542.5140244768891</v>
      </c>
      <c r="AY59" s="433">
        <f t="shared" ca="1" si="582"/>
        <v>5542.5140244768891</v>
      </c>
      <c r="AZ59" s="433">
        <f t="shared" ca="1" si="582"/>
        <v>6004.3901931832979</v>
      </c>
      <c r="BA59" s="433">
        <f t="shared" ca="1" si="582"/>
        <v>6004.3901931832979</v>
      </c>
      <c r="BB59" s="433">
        <f t="shared" ca="1" si="582"/>
        <v>6004.3901931832979</v>
      </c>
      <c r="BC59" s="433">
        <f t="shared" ca="1" si="582"/>
        <v>6004.3901931832979</v>
      </c>
      <c r="BD59" s="433">
        <f t="shared" ca="1" si="582"/>
        <v>6004.3901931832979</v>
      </c>
      <c r="BE59" s="433">
        <f t="shared" ca="1" si="582"/>
        <v>6004.3901931832979</v>
      </c>
      <c r="BF59" s="433">
        <f t="shared" ca="1" si="582"/>
        <v>6004.3901931832979</v>
      </c>
      <c r="BG59" s="433">
        <f t="shared" ca="1" si="582"/>
        <v>6004.3901931832979</v>
      </c>
      <c r="BH59" s="433">
        <f t="shared" ca="1" si="582"/>
        <v>6004.3901931832979</v>
      </c>
      <c r="BI59" s="433">
        <f t="shared" ca="1" si="582"/>
        <v>6004.3901931832979</v>
      </c>
      <c r="BJ59" s="433">
        <f t="shared" ca="1" si="582"/>
        <v>6004.3901931832979</v>
      </c>
      <c r="BK59" s="433">
        <f t="shared" ca="1" si="582"/>
        <v>6004.3901931832979</v>
      </c>
      <c r="BL59" s="433">
        <f t="shared" ca="1" si="582"/>
        <v>6466.2663618897059</v>
      </c>
      <c r="BM59" s="433">
        <f t="shared" ca="1" si="582"/>
        <v>6466.2663618897059</v>
      </c>
      <c r="BN59" s="433">
        <f t="shared" ca="1" si="582"/>
        <v>6466.2663618897059</v>
      </c>
      <c r="BO59" s="433">
        <f t="shared" ca="1" si="582"/>
        <v>6466.2663618897059</v>
      </c>
      <c r="BP59" s="433">
        <f t="shared" ca="1" si="582"/>
        <v>6466.2663618897059</v>
      </c>
      <c r="BQ59" s="433">
        <f t="shared" ref="BQ59:CI59" ca="1" si="583">BQ$18+BQ58</f>
        <v>6466.2663618897059</v>
      </c>
      <c r="BR59" s="433">
        <f t="shared" ca="1" si="583"/>
        <v>6466.2663618897059</v>
      </c>
      <c r="BS59" s="433">
        <f t="shared" ca="1" si="583"/>
        <v>6466.2663618897059</v>
      </c>
      <c r="BT59" s="433">
        <f t="shared" ca="1" si="583"/>
        <v>6466.2663618897059</v>
      </c>
      <c r="BU59" s="433">
        <f t="shared" ca="1" si="583"/>
        <v>6466.2663618897059</v>
      </c>
      <c r="BV59" s="433">
        <f t="shared" ca="1" si="583"/>
        <v>6466.2663618897059</v>
      </c>
      <c r="BW59" s="433">
        <f t="shared" ca="1" si="583"/>
        <v>6466.2663618897059</v>
      </c>
      <c r="BX59" s="433">
        <f t="shared" ca="1" si="583"/>
        <v>6928.142530596112</v>
      </c>
      <c r="BY59" s="433">
        <f t="shared" ca="1" si="583"/>
        <v>6928.142530596112</v>
      </c>
      <c r="BZ59" s="433">
        <f t="shared" ca="1" si="583"/>
        <v>6928.142530596112</v>
      </c>
      <c r="CA59" s="433">
        <f t="shared" ca="1" si="583"/>
        <v>6928.142530596112</v>
      </c>
      <c r="CB59" s="433">
        <f t="shared" ca="1" si="583"/>
        <v>6928.142530596112</v>
      </c>
      <c r="CC59" s="433">
        <f t="shared" ca="1" si="583"/>
        <v>6928.142530596112</v>
      </c>
      <c r="CD59" s="433">
        <f t="shared" ca="1" si="583"/>
        <v>6928.142530596112</v>
      </c>
      <c r="CE59" s="433">
        <f t="shared" ca="1" si="583"/>
        <v>6928.142530596112</v>
      </c>
      <c r="CF59" s="433">
        <f t="shared" ca="1" si="583"/>
        <v>6928.142530596112</v>
      </c>
      <c r="CG59" s="433">
        <f t="shared" ca="1" si="583"/>
        <v>6928.142530596112</v>
      </c>
      <c r="CH59" s="433">
        <f t="shared" ca="1" si="583"/>
        <v>1755356.2182133601</v>
      </c>
      <c r="CI59" s="433">
        <f t="shared" si="583"/>
        <v>0</v>
      </c>
    </row>
    <row r="61" spans="1:87">
      <c r="A61" s="922">
        <f>'Sale Analysis'!C4</f>
        <v>5.2499999999999998E-2</v>
      </c>
      <c r="B61" t="s">
        <v>280</v>
      </c>
      <c r="D61">
        <f ca="1">IF(D$3='Sale Analysis'!$E$3,('Cont. Dist.'!D15-'Sale Analysis'!$E$18+'Sale Analysis'!$C$18),'Cont. Dist.'!D$15)</f>
        <v>0</v>
      </c>
      <c r="E61">
        <f ca="1">IF(E$3='Sale Analysis'!$E$3,('Cont. Dist.'!E15-'Sale Analysis'!$E$18+'Sale Analysis'!$C$18),'Cont. Dist.'!E$15)</f>
        <v>0</v>
      </c>
      <c r="F61">
        <f ca="1">IF(F$3='Sale Analysis'!$E$3,('Cont. Dist.'!F15-'Sale Analysis'!$E$18+'Sale Analysis'!$C$18),'Cont. Dist.'!F$15)</f>
        <v>0</v>
      </c>
      <c r="G61">
        <f ca="1">IF(G$3='Sale Analysis'!$E$3,('Cont. Dist.'!G15-'Sale Analysis'!$E$18+'Sale Analysis'!$C$18),'Cont. Dist.'!G$15)</f>
        <v>0</v>
      </c>
      <c r="H61">
        <f ca="1">IF(H$3='Sale Analysis'!$E$3,('Cont. Dist.'!H15-'Sale Analysis'!$E$18+'Sale Analysis'!$C$18),'Cont. Dist.'!H$15)</f>
        <v>0</v>
      </c>
      <c r="I61">
        <f ca="1">IF(I$3='Sale Analysis'!$E$3,('Cont. Dist.'!I15-'Sale Analysis'!$E$18+'Sale Analysis'!$C$18),'Cont. Dist.'!I$15)</f>
        <v>0</v>
      </c>
      <c r="J61">
        <f ca="1">IF(J$3='Sale Analysis'!$E$3,('Cont. Dist.'!J15-'Sale Analysis'!$E$18+'Sale Analysis'!$C$18),'Cont. Dist.'!J$15)</f>
        <v>0</v>
      </c>
      <c r="K61">
        <f ca="1">IF(K$3='Sale Analysis'!$E$3,('Cont. Dist.'!K15-'Sale Analysis'!$E$18+'Sale Analysis'!$C$18),'Cont. Dist.'!K$15)</f>
        <v>0</v>
      </c>
      <c r="L61">
        <f ca="1">IF(L$3='Sale Analysis'!$E$3,('Cont. Dist.'!L15-'Sale Analysis'!$E$18+'Sale Analysis'!$C$18),'Cont. Dist.'!L$15)</f>
        <v>0</v>
      </c>
      <c r="M61">
        <f ca="1">IF(M$3='Sale Analysis'!$E$3,('Cont. Dist.'!M15-'Sale Analysis'!$E$18+'Sale Analysis'!$C$18),'Cont. Dist.'!M$15)</f>
        <v>0</v>
      </c>
      <c r="N61">
        <f ca="1">IF(N$3='Sale Analysis'!$E$3,('Cont. Dist.'!N15-'Sale Analysis'!$E$18+'Sale Analysis'!$C$18),'Cont. Dist.'!N$15)</f>
        <v>0</v>
      </c>
      <c r="O61">
        <f ca="1">IF(O$3='Sale Analysis'!$E$3,('Cont. Dist.'!O15-'Sale Analysis'!$E$18+'Sale Analysis'!$C$18),'Cont. Dist.'!O$15)</f>
        <v>0</v>
      </c>
      <c r="P61">
        <f ca="1">IF(P$3='Sale Analysis'!$E$3,('Cont. Dist.'!P15-'Sale Analysis'!$E$18+'Sale Analysis'!$C$18),'Cont. Dist.'!P$15)</f>
        <v>6240.1739668821674</v>
      </c>
      <c r="Q61">
        <f ca="1">IF(Q$3='Sale Analysis'!$E$3,('Cont. Dist.'!Q15-'Sale Analysis'!$E$18+'Sale Analysis'!$C$18),'Cont. Dist.'!Q$15)</f>
        <v>6240.1739668821674</v>
      </c>
      <c r="R61">
        <f ca="1">IF(R$3='Sale Analysis'!$E$3,('Cont. Dist.'!R15-'Sale Analysis'!$E$18+'Sale Analysis'!$C$18),'Cont. Dist.'!R$15)</f>
        <v>6240.1739668821674</v>
      </c>
      <c r="S61">
        <f ca="1">IF(S$3='Sale Analysis'!$E$3,('Cont. Dist.'!S15-'Sale Analysis'!$E$18+'Sale Analysis'!$C$18),'Cont. Dist.'!S$15)</f>
        <v>6240.1739668821674</v>
      </c>
      <c r="T61">
        <f ca="1">IF(T$3='Sale Analysis'!$E$3,('Cont. Dist.'!T15-'Sale Analysis'!$E$18+'Sale Analysis'!$C$18),'Cont. Dist.'!T$15)</f>
        <v>6240.1739668821674</v>
      </c>
      <c r="U61">
        <f ca="1">IF(U$3='Sale Analysis'!$E$3,('Cont. Dist.'!U15-'Sale Analysis'!$E$18+'Sale Analysis'!$C$18),'Cont. Dist.'!U$15)</f>
        <v>6240.1739668821674</v>
      </c>
      <c r="V61">
        <f ca="1">IF(V$3='Sale Analysis'!$E$3,('Cont. Dist.'!V15-'Sale Analysis'!$E$18+'Sale Analysis'!$C$18),'Cont. Dist.'!V$15)</f>
        <v>6240.1739668821674</v>
      </c>
      <c r="W61">
        <f ca="1">IF(W$3='Sale Analysis'!$E$3,('Cont. Dist.'!W15-'Sale Analysis'!$E$18+'Sale Analysis'!$C$18),'Cont. Dist.'!W$15)</f>
        <v>6240.1739668821674</v>
      </c>
      <c r="X61">
        <f ca="1">IF(X$3='Sale Analysis'!$E$3,('Cont. Dist.'!X15-'Sale Analysis'!$E$18+'Sale Analysis'!$C$18),'Cont. Dist.'!X$15)</f>
        <v>6240.1739668821674</v>
      </c>
      <c r="Y61">
        <f ca="1">IF(Y$3='Sale Analysis'!$E$3,('Cont. Dist.'!Y15-'Sale Analysis'!$E$18+'Sale Analysis'!$C$18),'Cont. Dist.'!Y$15)</f>
        <v>6240.1739668821674</v>
      </c>
      <c r="Z61">
        <f ca="1">IF(Z$3='Sale Analysis'!$E$3,('Cont. Dist.'!Z15-'Sale Analysis'!$E$18+'Sale Analysis'!$C$18),'Cont. Dist.'!Z$15)</f>
        <v>6240.1739668821674</v>
      </c>
      <c r="AA61">
        <f ca="1">IF(AA$3='Sale Analysis'!$E$3,('Cont. Dist.'!AA15-'Sale Analysis'!$E$18+'Sale Analysis'!$C$18),'Cont. Dist.'!AA$15)</f>
        <v>6240.1739668821674</v>
      </c>
      <c r="AB61">
        <f ca="1">IF(AB$3='Sale Analysis'!$E$3,('Cont. Dist.'!AB15-'Sale Analysis'!$E$18+'Sale Analysis'!$C$18),'Cont. Dist.'!AB$15)</f>
        <v>9360.2609503232488</v>
      </c>
      <c r="AC61">
        <f ca="1">IF(AC$3='Sale Analysis'!$E$3,('Cont. Dist.'!AC15-'Sale Analysis'!$E$18+'Sale Analysis'!$C$18),'Cont. Dist.'!AC$15)</f>
        <v>9360.2609503232488</v>
      </c>
      <c r="AD61">
        <f ca="1">IF(AD$3='Sale Analysis'!$E$3,('Cont. Dist.'!AD15-'Sale Analysis'!$E$18+'Sale Analysis'!$C$18),'Cont. Dist.'!AD$15)</f>
        <v>9360.2609503232488</v>
      </c>
      <c r="AE61">
        <f ca="1">IF(AE$3='Sale Analysis'!$E$3,('Cont. Dist.'!AE15-'Sale Analysis'!$E$18+'Sale Analysis'!$C$18),'Cont. Dist.'!AE$15)</f>
        <v>9360.2609503232488</v>
      </c>
      <c r="AF61">
        <f ca="1">IF(AF$3='Sale Analysis'!$E$3,('Cont. Dist.'!AF15-'Sale Analysis'!$E$18+'Sale Analysis'!$C$18),'Cont. Dist.'!AF$15)</f>
        <v>9360.2609503232488</v>
      </c>
      <c r="AG61">
        <f ca="1">IF(AG$3='Sale Analysis'!$E$3,('Cont. Dist.'!AG15-'Sale Analysis'!$E$18+'Sale Analysis'!$C$18),'Cont. Dist.'!AG$15)</f>
        <v>9360.2609503232488</v>
      </c>
      <c r="AH61">
        <f ca="1">IF(AH$3='Sale Analysis'!$E$3,('Cont. Dist.'!AH15-'Sale Analysis'!$E$18+'Sale Analysis'!$C$18),'Cont. Dist.'!AH$15)</f>
        <v>9360.2609503232488</v>
      </c>
      <c r="AI61">
        <f ca="1">IF(AI$3='Sale Analysis'!$E$3,('Cont. Dist.'!AI15-'Sale Analysis'!$E$18+'Sale Analysis'!$C$18),'Cont. Dist.'!AI$15)</f>
        <v>9360.2609503232488</v>
      </c>
      <c r="AJ61">
        <f ca="1">IF(AJ$3='Sale Analysis'!$E$3,('Cont. Dist.'!AJ15-'Sale Analysis'!$E$18+'Sale Analysis'!$C$18),'Cont. Dist.'!AJ$15)</f>
        <v>9360.2609503232488</v>
      </c>
      <c r="AK61">
        <f ca="1">IF(AK$3='Sale Analysis'!$E$3,('Cont. Dist.'!AK15-'Sale Analysis'!$E$18+'Sale Analysis'!$C$18),'Cont. Dist.'!AK$15)</f>
        <v>9360.2609503232488</v>
      </c>
      <c r="AL61">
        <f ca="1">IF(AL$3='Sale Analysis'!$E$3,('Cont. Dist.'!AL15-'Sale Analysis'!$E$18+'Sale Analysis'!$C$18),'Cont. Dist.'!AL$15)</f>
        <v>946854.42086932901</v>
      </c>
      <c r="AM61">
        <f ca="1">IF(AM$3='Sale Analysis'!$E$3,('Cont. Dist.'!AM15-'Sale Analysis'!$E$18+'Sale Analysis'!$C$18),'Cont. Dist.'!AM$15)</f>
        <v>3464.071265298056</v>
      </c>
      <c r="AN61">
        <f ca="1">IF(AN$3='Sale Analysis'!$E$3,('Cont. Dist.'!AN15-'Sale Analysis'!$E$18+'Sale Analysis'!$C$18),'Cont. Dist.'!AN$15)</f>
        <v>5542.5140244768891</v>
      </c>
      <c r="AO61">
        <f ca="1">IF(AO$3='Sale Analysis'!$E$3,('Cont. Dist.'!AO15-'Sale Analysis'!$E$18+'Sale Analysis'!$C$18),'Cont. Dist.'!AO$15)</f>
        <v>5542.5140244768891</v>
      </c>
      <c r="AP61">
        <f ca="1">IF(AP$3='Sale Analysis'!$E$3,('Cont. Dist.'!AP15-'Sale Analysis'!$E$18+'Sale Analysis'!$C$18),'Cont. Dist.'!AP$15)</f>
        <v>5542.5140244768891</v>
      </c>
      <c r="AQ61">
        <f ca="1">IF(AQ$3='Sale Analysis'!$E$3,('Cont. Dist.'!AQ15-'Sale Analysis'!$E$18+'Sale Analysis'!$C$18),'Cont. Dist.'!AQ$15)</f>
        <v>5542.5140244768891</v>
      </c>
      <c r="AR61">
        <f ca="1">IF(AR$3='Sale Analysis'!$E$3,('Cont. Dist.'!AR15-'Sale Analysis'!$E$18+'Sale Analysis'!$C$18),'Cont. Dist.'!AR$15)</f>
        <v>5542.5140244768891</v>
      </c>
      <c r="AS61">
        <f ca="1">IF(AS$3='Sale Analysis'!$E$3,('Cont. Dist.'!AS15-'Sale Analysis'!$E$18+'Sale Analysis'!$C$18),'Cont. Dist.'!AS$15)</f>
        <v>5542.5140244768891</v>
      </c>
      <c r="AT61">
        <f ca="1">IF(AT$3='Sale Analysis'!$E$3,('Cont. Dist.'!AT15-'Sale Analysis'!$E$18+'Sale Analysis'!$C$18),'Cont. Dist.'!AT$15)</f>
        <v>5542.5140244768891</v>
      </c>
      <c r="AU61">
        <f ca="1">IF(AU$3='Sale Analysis'!$E$3,('Cont. Dist.'!AU15-'Sale Analysis'!$E$18+'Sale Analysis'!$C$18),'Cont. Dist.'!AU$15)</f>
        <v>5542.5140244768891</v>
      </c>
      <c r="AV61">
        <f ca="1">IF(AV$3='Sale Analysis'!$E$3,('Cont. Dist.'!AV15-'Sale Analysis'!$E$18+'Sale Analysis'!$C$18),'Cont. Dist.'!AV$15)</f>
        <v>5542.5140244768891</v>
      </c>
      <c r="AW61">
        <f ca="1">IF(AW$3='Sale Analysis'!$E$3,('Cont. Dist.'!AW15-'Sale Analysis'!$E$18+'Sale Analysis'!$C$18),'Cont. Dist.'!AW$15)</f>
        <v>5542.5140244768891</v>
      </c>
      <c r="AX61">
        <f ca="1">IF(AX$3='Sale Analysis'!$E$3,('Cont. Dist.'!AX15-'Sale Analysis'!$E$18+'Sale Analysis'!$C$18),'Cont. Dist.'!AX$15)</f>
        <v>5542.5140244768891</v>
      </c>
      <c r="AY61">
        <f ca="1">IF(AY$3='Sale Analysis'!$E$3,('Cont. Dist.'!AY15-'Sale Analysis'!$E$18+'Sale Analysis'!$C$18),'Cont. Dist.'!AY$15)</f>
        <v>5542.5140244768891</v>
      </c>
      <c r="AZ61">
        <f ca="1">IF(AZ$3='Sale Analysis'!$E$3,('Cont. Dist.'!AZ15-'Sale Analysis'!$E$18+'Sale Analysis'!$C$18),'Cont. Dist.'!AZ$15)</f>
        <v>6004.3901931832979</v>
      </c>
      <c r="BA61">
        <f ca="1">IF(BA$3='Sale Analysis'!$E$3,('Cont. Dist.'!BA15-'Sale Analysis'!$E$18+'Sale Analysis'!$C$18),'Cont. Dist.'!BA$15)</f>
        <v>6004.3901931832979</v>
      </c>
      <c r="BB61">
        <f ca="1">IF(BB$3='Sale Analysis'!$E$3,('Cont. Dist.'!BB15-'Sale Analysis'!$E$18+'Sale Analysis'!$C$18),'Cont. Dist.'!BB$15)</f>
        <v>6004.3901931832979</v>
      </c>
      <c r="BC61">
        <f ca="1">IF(BC$3='Sale Analysis'!$E$3,('Cont. Dist.'!BC15-'Sale Analysis'!$E$18+'Sale Analysis'!$C$18),'Cont. Dist.'!BC$15)</f>
        <v>6004.3901931832979</v>
      </c>
      <c r="BD61">
        <f ca="1">IF(BD$3='Sale Analysis'!$E$3,('Cont. Dist.'!BD15-'Sale Analysis'!$E$18+'Sale Analysis'!$C$18),'Cont. Dist.'!BD$15)</f>
        <v>6004.3901931832979</v>
      </c>
      <c r="BE61">
        <f ca="1">IF(BE$3='Sale Analysis'!$E$3,('Cont. Dist.'!BE15-'Sale Analysis'!$E$18+'Sale Analysis'!$C$18),'Cont. Dist.'!BE$15)</f>
        <v>6004.3901931832979</v>
      </c>
      <c r="BF61">
        <f ca="1">IF(BF$3='Sale Analysis'!$E$3,('Cont. Dist.'!BF15-'Sale Analysis'!$E$18+'Sale Analysis'!$C$18),'Cont. Dist.'!BF$15)</f>
        <v>6004.3901931832979</v>
      </c>
      <c r="BG61">
        <f ca="1">IF(BG$3='Sale Analysis'!$E$3,('Cont. Dist.'!BG15-'Sale Analysis'!$E$18+'Sale Analysis'!$C$18),'Cont. Dist.'!BG$15)</f>
        <v>6004.3901931832979</v>
      </c>
      <c r="BH61">
        <f ca="1">IF(BH$3='Sale Analysis'!$E$3,('Cont. Dist.'!BH15-'Sale Analysis'!$E$18+'Sale Analysis'!$C$18),'Cont. Dist.'!BH$15)</f>
        <v>6004.3901931832979</v>
      </c>
      <c r="BI61">
        <f ca="1">IF(BI$3='Sale Analysis'!$E$3,('Cont. Dist.'!BI15-'Sale Analysis'!$E$18+'Sale Analysis'!$C$18),'Cont. Dist.'!BI$15)</f>
        <v>6004.3901931832979</v>
      </c>
      <c r="BJ61">
        <f ca="1">IF(BJ$3='Sale Analysis'!$E$3,('Cont. Dist.'!BJ15-'Sale Analysis'!$E$18+'Sale Analysis'!$C$18),'Cont. Dist.'!BJ$15)</f>
        <v>6004.3901931832979</v>
      </c>
      <c r="BK61">
        <f ca="1">IF(BK$3='Sale Analysis'!$E$3,('Cont. Dist.'!BK15-'Sale Analysis'!$E$18+'Sale Analysis'!$C$18),'Cont. Dist.'!BK$15)</f>
        <v>6004.3901931832979</v>
      </c>
      <c r="BL61">
        <f ca="1">IF(BL$3='Sale Analysis'!$E$3,('Cont. Dist.'!BL15-'Sale Analysis'!$E$18+'Sale Analysis'!$C$18),'Cont. Dist.'!BL$15)</f>
        <v>6466.2663618897059</v>
      </c>
      <c r="BM61">
        <f ca="1">IF(BM$3='Sale Analysis'!$E$3,('Cont. Dist.'!BM15-'Sale Analysis'!$E$18+'Sale Analysis'!$C$18),'Cont. Dist.'!BM$15)</f>
        <v>6466.2663618897059</v>
      </c>
      <c r="BN61">
        <f ca="1">IF(BN$3='Sale Analysis'!$E$3,('Cont. Dist.'!BN15-'Sale Analysis'!$E$18+'Sale Analysis'!$C$18),'Cont. Dist.'!BN$15)</f>
        <v>6466.2663618897059</v>
      </c>
      <c r="BO61">
        <f ca="1">IF(BO$3='Sale Analysis'!$E$3,('Cont. Dist.'!BO15-'Sale Analysis'!$E$18+'Sale Analysis'!$C$18),'Cont. Dist.'!BO$15)</f>
        <v>6466.2663618897059</v>
      </c>
      <c r="BP61">
        <f ca="1">IF(BP$3='Sale Analysis'!$E$3,('Cont. Dist.'!BP15-'Sale Analysis'!$E$18+'Sale Analysis'!$C$18),'Cont. Dist.'!BP$15)</f>
        <v>6466.2663618897059</v>
      </c>
      <c r="BQ61">
        <f ca="1">IF(BQ$3='Sale Analysis'!$E$3,('Cont. Dist.'!BQ15-'Sale Analysis'!$E$18+'Sale Analysis'!$C$18),'Cont. Dist.'!BQ$15)</f>
        <v>6466.2663618897059</v>
      </c>
      <c r="BR61">
        <f ca="1">IF(BR$3='Sale Analysis'!$E$3,('Cont. Dist.'!BR15-'Sale Analysis'!$E$18+'Sale Analysis'!$C$18),'Cont. Dist.'!BR$15)</f>
        <v>6466.2663618897059</v>
      </c>
      <c r="BS61">
        <f ca="1">IF(BS$3='Sale Analysis'!$E$3,('Cont. Dist.'!BS15-'Sale Analysis'!$E$18+'Sale Analysis'!$C$18),'Cont. Dist.'!BS$15)</f>
        <v>6466.2663618897059</v>
      </c>
      <c r="BT61">
        <f ca="1">IF(BT$3='Sale Analysis'!$E$3,('Cont. Dist.'!BT15-'Sale Analysis'!$E$18+'Sale Analysis'!$C$18),'Cont. Dist.'!BT$15)</f>
        <v>6466.2663618897059</v>
      </c>
      <c r="BU61">
        <f ca="1">IF(BU$3='Sale Analysis'!$E$3,('Cont. Dist.'!BU15-'Sale Analysis'!$E$18+'Sale Analysis'!$C$18),'Cont. Dist.'!BU$15)</f>
        <v>6466.2663618897059</v>
      </c>
      <c r="BV61">
        <f ca="1">IF(BV$3='Sale Analysis'!$E$3,('Cont. Dist.'!BV15-'Sale Analysis'!$E$18+'Sale Analysis'!$C$18),'Cont. Dist.'!BV$15)</f>
        <v>6466.2663618897059</v>
      </c>
      <c r="BW61">
        <f ca="1">IF(BW$3='Sale Analysis'!$E$3,('Cont. Dist.'!BW15-'Sale Analysis'!$E$18+'Sale Analysis'!$C$18),'Cont. Dist.'!BW$15)</f>
        <v>6466.2663618897059</v>
      </c>
      <c r="BX61">
        <f ca="1">IF(BX$3='Sale Analysis'!$E$3,('Cont. Dist.'!BX15-'Sale Analysis'!$E$18+'Sale Analysis'!$C$18),'Cont. Dist.'!BX$15)</f>
        <v>6928.142530596112</v>
      </c>
      <c r="BY61">
        <f ca="1">IF(BY$3='Sale Analysis'!$E$3,('Cont. Dist.'!BY15-'Sale Analysis'!$E$18+'Sale Analysis'!$C$18),'Cont. Dist.'!BY$15)</f>
        <v>6928.142530596112</v>
      </c>
      <c r="BZ61">
        <f ca="1">IF(BZ$3='Sale Analysis'!$E$3,('Cont. Dist.'!BZ15-'Sale Analysis'!$E$18+'Sale Analysis'!$C$18),'Cont. Dist.'!BZ$15)</f>
        <v>6928.142530596112</v>
      </c>
      <c r="CA61">
        <f ca="1">IF(CA$3='Sale Analysis'!$E$3,('Cont. Dist.'!CA15-'Sale Analysis'!$E$18+'Sale Analysis'!$C$18),'Cont. Dist.'!CA$15)</f>
        <v>6928.142530596112</v>
      </c>
      <c r="CB61">
        <f ca="1">IF(CB$3='Sale Analysis'!$E$3,('Cont. Dist.'!CB15-'Sale Analysis'!$E$18+'Sale Analysis'!$C$18),'Cont. Dist.'!CB$15)</f>
        <v>6928.142530596112</v>
      </c>
      <c r="CC61">
        <f ca="1">IF(CC$3='Sale Analysis'!$E$3,('Cont. Dist.'!CC15-'Sale Analysis'!$E$18+'Sale Analysis'!$C$18),'Cont. Dist.'!CC$15)</f>
        <v>6928.142530596112</v>
      </c>
      <c r="CD61">
        <f ca="1">IF(CD$3='Sale Analysis'!$E$3,('Cont. Dist.'!CD15-'Sale Analysis'!$E$18+'Sale Analysis'!$C$18),'Cont. Dist.'!CD$15)</f>
        <v>6928.142530596112</v>
      </c>
      <c r="CE61">
        <f ca="1">IF(CE$3='Sale Analysis'!$E$3,('Cont. Dist.'!CE15-'Sale Analysis'!$E$18+'Sale Analysis'!$C$18),'Cont. Dist.'!CE$15)</f>
        <v>6928.142530596112</v>
      </c>
      <c r="CF61">
        <f ca="1">IF(CF$3='Sale Analysis'!$E$3,('Cont. Dist.'!CF15-'Sale Analysis'!$E$18+'Sale Analysis'!$C$18),'Cont. Dist.'!CF$15)</f>
        <v>6928.142530596112</v>
      </c>
      <c r="CG61">
        <f ca="1">IF(CG$3='Sale Analysis'!$E$3,('Cont. Dist.'!CG15-'Sale Analysis'!$E$18+'Sale Analysis'!$C$18),'Cont. Dist.'!CG$15)</f>
        <v>6928.142530596112</v>
      </c>
      <c r="CH61">
        <f ca="1">IF(CH$3='Sale Analysis'!$E$3,('Cont. Dist.'!CH15-'Sale Analysis'!$E$18+'Sale Analysis'!$C$18),'Cont. Dist.'!CH$15)</f>
        <v>1964876.2182133601</v>
      </c>
      <c r="CI61">
        <f>IF(CI$3='Sale Analysis'!$E$3,('Cont. Dist.'!CI15-'Sale Analysis'!$E$18+'Sale Analysis'!$C$18),'Cont. Dist.'!CI$15)</f>
        <v>0</v>
      </c>
    </row>
    <row r="62" spans="1:87">
      <c r="A62" s="923"/>
      <c r="B62" t="s">
        <v>281</v>
      </c>
      <c r="C62" s="433">
        <f ca="1">C$18+C61</f>
        <v>-1497641.7520517199</v>
      </c>
      <c r="D62" s="433">
        <f ca="1">D$18+D61</f>
        <v>0</v>
      </c>
      <c r="E62" s="433">
        <f t="shared" ref="E62:BP62" ca="1" si="584">E$18+E61</f>
        <v>0</v>
      </c>
      <c r="F62" s="433">
        <f t="shared" ca="1" si="584"/>
        <v>0</v>
      </c>
      <c r="G62" s="433">
        <f t="shared" ca="1" si="584"/>
        <v>0</v>
      </c>
      <c r="H62" s="433">
        <f t="shared" ca="1" si="584"/>
        <v>0</v>
      </c>
      <c r="I62" s="433">
        <f t="shared" ca="1" si="584"/>
        <v>0</v>
      </c>
      <c r="J62" s="433">
        <f t="shared" ca="1" si="584"/>
        <v>0</v>
      </c>
      <c r="K62" s="433">
        <f t="shared" ca="1" si="584"/>
        <v>0</v>
      </c>
      <c r="L62" s="433">
        <f t="shared" ca="1" si="584"/>
        <v>0</v>
      </c>
      <c r="M62" s="433">
        <f t="shared" ca="1" si="584"/>
        <v>0</v>
      </c>
      <c r="N62" s="433">
        <f t="shared" ca="1" si="584"/>
        <v>0</v>
      </c>
      <c r="O62" s="433">
        <f t="shared" ca="1" si="584"/>
        <v>0</v>
      </c>
      <c r="P62" s="433">
        <f t="shared" ca="1" si="584"/>
        <v>6240.1739668821674</v>
      </c>
      <c r="Q62" s="433">
        <f t="shared" ca="1" si="584"/>
        <v>6240.1739668821674</v>
      </c>
      <c r="R62" s="433">
        <f t="shared" ca="1" si="584"/>
        <v>6240.1739668821674</v>
      </c>
      <c r="S62" s="433">
        <f t="shared" ca="1" si="584"/>
        <v>6240.1739668821674</v>
      </c>
      <c r="T62" s="433">
        <f t="shared" ca="1" si="584"/>
        <v>6240.1739668821674</v>
      </c>
      <c r="U62" s="433">
        <f t="shared" ca="1" si="584"/>
        <v>6240.1739668821674</v>
      </c>
      <c r="V62" s="433">
        <f t="shared" ca="1" si="584"/>
        <v>6240.1739668821674</v>
      </c>
      <c r="W62" s="433">
        <f t="shared" ca="1" si="584"/>
        <v>6240.1739668821674</v>
      </c>
      <c r="X62" s="433">
        <f t="shared" ca="1" si="584"/>
        <v>6240.1739668821674</v>
      </c>
      <c r="Y62" s="433">
        <f t="shared" ca="1" si="584"/>
        <v>6240.1739668821674</v>
      </c>
      <c r="Z62" s="433">
        <f t="shared" ca="1" si="584"/>
        <v>6240.1739668821674</v>
      </c>
      <c r="AA62" s="433">
        <f t="shared" ca="1" si="584"/>
        <v>6240.1739668821674</v>
      </c>
      <c r="AB62" s="433">
        <f t="shared" ca="1" si="584"/>
        <v>9360.2609503232488</v>
      </c>
      <c r="AC62" s="433">
        <f t="shared" ca="1" si="584"/>
        <v>9360.2609503232488</v>
      </c>
      <c r="AD62" s="433">
        <f t="shared" ca="1" si="584"/>
        <v>9360.2609503232488</v>
      </c>
      <c r="AE62" s="433">
        <f t="shared" ca="1" si="584"/>
        <v>9360.2609503232488</v>
      </c>
      <c r="AF62" s="433">
        <f t="shared" ca="1" si="584"/>
        <v>9360.2609503232488</v>
      </c>
      <c r="AG62" s="433">
        <f t="shared" ca="1" si="584"/>
        <v>9360.2609503232488</v>
      </c>
      <c r="AH62" s="433">
        <f t="shared" ca="1" si="584"/>
        <v>9360.2609503232488</v>
      </c>
      <c r="AI62" s="433">
        <f t="shared" ca="1" si="584"/>
        <v>9360.2609503232488</v>
      </c>
      <c r="AJ62" s="433">
        <f t="shared" ca="1" si="584"/>
        <v>9360.2609503232488</v>
      </c>
      <c r="AK62" s="433">
        <f t="shared" ca="1" si="584"/>
        <v>9360.2609503232488</v>
      </c>
      <c r="AL62" s="433">
        <f t="shared" ca="1" si="584"/>
        <v>946854.42086932901</v>
      </c>
      <c r="AM62" s="433">
        <f t="shared" ca="1" si="584"/>
        <v>3464.071265298056</v>
      </c>
      <c r="AN62" s="433">
        <f t="shared" ca="1" si="584"/>
        <v>5542.5140244768891</v>
      </c>
      <c r="AO62" s="433">
        <f t="shared" ca="1" si="584"/>
        <v>5542.5140244768891</v>
      </c>
      <c r="AP62" s="433">
        <f t="shared" ca="1" si="584"/>
        <v>5542.5140244768891</v>
      </c>
      <c r="AQ62" s="433">
        <f t="shared" ca="1" si="584"/>
        <v>5542.5140244768891</v>
      </c>
      <c r="AR62" s="433">
        <f t="shared" ca="1" si="584"/>
        <v>5542.5140244768891</v>
      </c>
      <c r="AS62" s="433">
        <f t="shared" ca="1" si="584"/>
        <v>5542.5140244768891</v>
      </c>
      <c r="AT62" s="433">
        <f t="shared" ca="1" si="584"/>
        <v>5542.5140244768891</v>
      </c>
      <c r="AU62" s="433">
        <f t="shared" ca="1" si="584"/>
        <v>5542.5140244768891</v>
      </c>
      <c r="AV62" s="433">
        <f t="shared" ca="1" si="584"/>
        <v>5542.5140244768891</v>
      </c>
      <c r="AW62" s="433">
        <f t="shared" ca="1" si="584"/>
        <v>5542.5140244768891</v>
      </c>
      <c r="AX62" s="433">
        <f t="shared" ca="1" si="584"/>
        <v>5542.5140244768891</v>
      </c>
      <c r="AY62" s="433">
        <f t="shared" ca="1" si="584"/>
        <v>5542.5140244768891</v>
      </c>
      <c r="AZ62" s="433">
        <f t="shared" ca="1" si="584"/>
        <v>6004.3901931832979</v>
      </c>
      <c r="BA62" s="433">
        <f t="shared" ca="1" si="584"/>
        <v>6004.3901931832979</v>
      </c>
      <c r="BB62" s="433">
        <f t="shared" ca="1" si="584"/>
        <v>6004.3901931832979</v>
      </c>
      <c r="BC62" s="433">
        <f t="shared" ca="1" si="584"/>
        <v>6004.3901931832979</v>
      </c>
      <c r="BD62" s="433">
        <f t="shared" ca="1" si="584"/>
        <v>6004.3901931832979</v>
      </c>
      <c r="BE62" s="433">
        <f t="shared" ca="1" si="584"/>
        <v>6004.3901931832979</v>
      </c>
      <c r="BF62" s="433">
        <f t="shared" ca="1" si="584"/>
        <v>6004.3901931832979</v>
      </c>
      <c r="BG62" s="433">
        <f t="shared" ca="1" si="584"/>
        <v>6004.3901931832979</v>
      </c>
      <c r="BH62" s="433">
        <f t="shared" ca="1" si="584"/>
        <v>6004.3901931832979</v>
      </c>
      <c r="BI62" s="433">
        <f t="shared" ca="1" si="584"/>
        <v>6004.3901931832979</v>
      </c>
      <c r="BJ62" s="433">
        <f t="shared" ca="1" si="584"/>
        <v>6004.3901931832979</v>
      </c>
      <c r="BK62" s="433">
        <f t="shared" ca="1" si="584"/>
        <v>6004.3901931832979</v>
      </c>
      <c r="BL62" s="433">
        <f t="shared" ca="1" si="584"/>
        <v>6466.2663618897059</v>
      </c>
      <c r="BM62" s="433">
        <f t="shared" ca="1" si="584"/>
        <v>6466.2663618897059</v>
      </c>
      <c r="BN62" s="433">
        <f t="shared" ca="1" si="584"/>
        <v>6466.2663618897059</v>
      </c>
      <c r="BO62" s="433">
        <f t="shared" ca="1" si="584"/>
        <v>6466.2663618897059</v>
      </c>
      <c r="BP62" s="433">
        <f t="shared" ca="1" si="584"/>
        <v>6466.2663618897059</v>
      </c>
      <c r="BQ62" s="433">
        <f t="shared" ref="BQ62:CI62" ca="1" si="585">BQ$18+BQ61</f>
        <v>6466.2663618897059</v>
      </c>
      <c r="BR62" s="433">
        <f t="shared" ca="1" si="585"/>
        <v>6466.2663618897059</v>
      </c>
      <c r="BS62" s="433">
        <f t="shared" ca="1" si="585"/>
        <v>6466.2663618897059</v>
      </c>
      <c r="BT62" s="433">
        <f t="shared" ca="1" si="585"/>
        <v>6466.2663618897059</v>
      </c>
      <c r="BU62" s="433">
        <f t="shared" ca="1" si="585"/>
        <v>6466.2663618897059</v>
      </c>
      <c r="BV62" s="433">
        <f t="shared" ca="1" si="585"/>
        <v>6466.2663618897059</v>
      </c>
      <c r="BW62" s="433">
        <f t="shared" ca="1" si="585"/>
        <v>6466.2663618897059</v>
      </c>
      <c r="BX62" s="433">
        <f t="shared" ca="1" si="585"/>
        <v>6928.142530596112</v>
      </c>
      <c r="BY62" s="433">
        <f t="shared" ca="1" si="585"/>
        <v>6928.142530596112</v>
      </c>
      <c r="BZ62" s="433">
        <f t="shared" ca="1" si="585"/>
        <v>6928.142530596112</v>
      </c>
      <c r="CA62" s="433">
        <f t="shared" ca="1" si="585"/>
        <v>6928.142530596112</v>
      </c>
      <c r="CB62" s="433">
        <f t="shared" ca="1" si="585"/>
        <v>6928.142530596112</v>
      </c>
      <c r="CC62" s="433">
        <f t="shared" ca="1" si="585"/>
        <v>6928.142530596112</v>
      </c>
      <c r="CD62" s="433">
        <f t="shared" ca="1" si="585"/>
        <v>6928.142530596112</v>
      </c>
      <c r="CE62" s="433">
        <f t="shared" ca="1" si="585"/>
        <v>6928.142530596112</v>
      </c>
      <c r="CF62" s="433">
        <f t="shared" ca="1" si="585"/>
        <v>6928.142530596112</v>
      </c>
      <c r="CG62" s="433">
        <f t="shared" ca="1" si="585"/>
        <v>6928.142530596112</v>
      </c>
      <c r="CH62" s="433">
        <f t="shared" ca="1" si="585"/>
        <v>1964876.2182133601</v>
      </c>
      <c r="CI62" s="433">
        <f t="shared" si="585"/>
        <v>0</v>
      </c>
    </row>
  </sheetData>
  <mergeCells count="6">
    <mergeCell ref="A58:A59"/>
    <mergeCell ref="A61:A62"/>
    <mergeCell ref="B1:N2"/>
    <mergeCell ref="B26:N27"/>
    <mergeCell ref="A52:A53"/>
    <mergeCell ref="A55:A5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499984740745262"/>
  </sheetPr>
  <dimension ref="C1:R37"/>
  <sheetViews>
    <sheetView showGridLines="0" zoomScale="110" zoomScaleNormal="110" workbookViewId="0">
      <selection activeCell="F41" sqref="F41"/>
    </sheetView>
  </sheetViews>
  <sheetFormatPr defaultColWidth="8.6328125" defaultRowHeight="14.5"/>
  <cols>
    <col min="2" max="2" width="16.36328125" bestFit="1" customWidth="1"/>
    <col min="3" max="3" width="31.6328125" customWidth="1"/>
    <col min="4" max="10" width="12.08984375" customWidth="1"/>
  </cols>
  <sheetData>
    <row r="1" spans="3:10" ht="15" thickBot="1"/>
    <row r="2" spans="3:10">
      <c r="C2" s="144"/>
      <c r="D2" s="133" t="s">
        <v>8</v>
      </c>
      <c r="E2" s="133" t="s">
        <v>9</v>
      </c>
      <c r="F2" s="133" t="s">
        <v>16</v>
      </c>
      <c r="G2" s="133" t="s">
        <v>17</v>
      </c>
      <c r="H2" s="133" t="s">
        <v>18</v>
      </c>
      <c r="I2" s="133" t="s">
        <v>97</v>
      </c>
      <c r="J2" s="135" t="s">
        <v>98</v>
      </c>
    </row>
    <row r="3" spans="3:10">
      <c r="C3" s="113" t="s">
        <v>96</v>
      </c>
      <c r="D3" s="397">
        <f>'Monthly Cash Flow'!P18</f>
        <v>295213.38210304064</v>
      </c>
      <c r="E3" s="397">
        <f>'Monthly Cash Flow'!AC18</f>
        <v>371505.56703290378</v>
      </c>
      <c r="F3" s="397">
        <f>'Monthly Cash Flow'!AP18</f>
        <v>418844.08813922829</v>
      </c>
      <c r="G3" s="397">
        <f>'Monthly Cash Flow'!BC18</f>
        <v>426726.68631740561</v>
      </c>
      <c r="H3" s="397">
        <f>'Monthly Cash Flow'!BP18</f>
        <v>433976.8732005044</v>
      </c>
      <c r="I3" s="397">
        <f>'Monthly Cash Flow'!CC18</f>
        <v>440589.55789736618</v>
      </c>
      <c r="J3" s="398">
        <f>'Monthly Cash Flow'!CP18</f>
        <v>447334.49628816522</v>
      </c>
    </row>
    <row r="4" spans="3:10">
      <c r="C4" s="114" t="s">
        <v>76</v>
      </c>
      <c r="D4" s="399">
        <f>'Monthly Cash Flow'!P30</f>
        <v>11586.707843137256</v>
      </c>
      <c r="E4" s="399">
        <f>'Monthly Cash Flow'!AC30</f>
        <v>21715.335294117649</v>
      </c>
      <c r="F4" s="399">
        <f>'Monthly Cash Flow'!AP30</f>
        <v>23184.099999999991</v>
      </c>
      <c r="G4" s="399">
        <f>'Monthly Cash Flow'!BC30</f>
        <v>23478.274999999994</v>
      </c>
      <c r="H4" s="399">
        <f>'Monthly Cash Flow'!BP30</f>
        <v>23779.804375</v>
      </c>
      <c r="I4" s="399">
        <f>'Monthly Cash Flow'!CC30</f>
        <v>24088.871984374993</v>
      </c>
      <c r="J4" s="400">
        <f>'Monthly Cash Flow'!CP30</f>
        <v>24405.66628398437</v>
      </c>
    </row>
    <row r="5" spans="3:10" s="1" customFormat="1">
      <c r="C5" s="145" t="s">
        <v>10</v>
      </c>
      <c r="D5" s="401">
        <f>'Monthly Cash Flow'!P32</f>
        <v>306800.0899461779</v>
      </c>
      <c r="E5" s="401">
        <f>'Monthly Cash Flow'!AC32</f>
        <v>393220.90232702141</v>
      </c>
      <c r="F5" s="401">
        <f>'Monthly Cash Flow'!AP32</f>
        <v>442028.18813922827</v>
      </c>
      <c r="G5" s="401">
        <f>'Monthly Cash Flow'!BC32</f>
        <v>450204.96131740557</v>
      </c>
      <c r="H5" s="401">
        <f>'Monthly Cash Flow'!BP32</f>
        <v>457756.67757550441</v>
      </c>
      <c r="I5" s="401">
        <f>'Monthly Cash Flow'!CC32</f>
        <v>464678.42988174118</v>
      </c>
      <c r="J5" s="402">
        <f>'Monthly Cash Flow'!CP32</f>
        <v>471740.16257214959</v>
      </c>
    </row>
    <row r="6" spans="3:10" ht="6.75" customHeight="1">
      <c r="C6" s="449"/>
      <c r="D6" s="397"/>
      <c r="E6" s="397"/>
      <c r="F6" s="397"/>
      <c r="G6" s="397"/>
      <c r="H6" s="397"/>
      <c r="I6" s="397"/>
      <c r="J6" s="398"/>
    </row>
    <row r="7" spans="3:10" s="1" customFormat="1">
      <c r="C7" s="146" t="s">
        <v>11</v>
      </c>
      <c r="D7" s="403"/>
      <c r="E7" s="403"/>
      <c r="F7" s="403"/>
      <c r="G7" s="403"/>
      <c r="H7" s="403"/>
      <c r="I7" s="403"/>
      <c r="J7" s="404"/>
    </row>
    <row r="8" spans="3:10">
      <c r="C8" s="113" t="s">
        <v>99</v>
      </c>
      <c r="D8" s="397">
        <f>'Monthly Cash Flow'!P40</f>
        <v>69021.502698385331</v>
      </c>
      <c r="E8" s="397">
        <f>'Monthly Cash Flow'!AC40</f>
        <v>72880.477069810644</v>
      </c>
      <c r="F8" s="397">
        <f>'Monthly Cash Flow'!AP40</f>
        <v>75638.122644176838</v>
      </c>
      <c r="G8" s="397">
        <f>'Monthly Cash Flow'!BC40</f>
        <v>77204.515129522173</v>
      </c>
      <c r="H8" s="397">
        <f>'Monthly Cash Flow'!BP40</f>
        <v>78780.416286815132</v>
      </c>
      <c r="I8" s="397">
        <f>'Monthly Cash Flow'!CC40</f>
        <v>80366.290077537007</v>
      </c>
      <c r="J8" s="398">
        <f>'Monthly Cash Flow'!CP40</f>
        <v>81985.859376773282</v>
      </c>
    </row>
    <row r="9" spans="3:10">
      <c r="C9" s="113" t="s">
        <v>12</v>
      </c>
      <c r="D9" s="397">
        <f>'Monthly Cash Flow'!P47</f>
        <v>13999.999999999998</v>
      </c>
      <c r="E9" s="397">
        <f>'Monthly Cash Flow'!AC47</f>
        <v>14350.000000000002</v>
      </c>
      <c r="F9" s="397">
        <f>'Monthly Cash Flow'!AP47</f>
        <v>14708.749999999995</v>
      </c>
      <c r="G9" s="397">
        <f>'Monthly Cash Flow'!BC47</f>
        <v>15076.468749999991</v>
      </c>
      <c r="H9" s="397">
        <f>'Monthly Cash Flow'!BP47</f>
        <v>15453.380468749996</v>
      </c>
      <c r="I9" s="397">
        <f>'Monthly Cash Flow'!CC47</f>
        <v>15839.714980468741</v>
      </c>
      <c r="J9" s="398">
        <f>'Monthly Cash Flow'!CP47</f>
        <v>16235.707854980463</v>
      </c>
    </row>
    <row r="10" spans="3:10">
      <c r="C10" s="113" t="s">
        <v>100</v>
      </c>
      <c r="D10" s="397">
        <f>'Monthly Cash Flow'!P56</f>
        <v>26750</v>
      </c>
      <c r="E10" s="397">
        <f>'Monthly Cash Flow'!AC56</f>
        <v>27418.75</v>
      </c>
      <c r="F10" s="397">
        <f>'Monthly Cash Flow'!AP56</f>
        <v>28104.218749999996</v>
      </c>
      <c r="G10" s="397">
        <f>'Monthly Cash Flow'!BC56</f>
        <v>37306.824218749993</v>
      </c>
      <c r="H10" s="397">
        <f>'Monthly Cash Flow'!BP56</f>
        <v>38239.494824218738</v>
      </c>
      <c r="I10" s="397">
        <f>'Monthly Cash Flow'!CC56</f>
        <v>39195.48219482421</v>
      </c>
      <c r="J10" s="398">
        <f>'Monthly Cash Flow'!CP56</f>
        <v>40175.369249694799</v>
      </c>
    </row>
    <row r="11" spans="3:10" s="1" customFormat="1">
      <c r="C11" s="147" t="s">
        <v>101</v>
      </c>
      <c r="D11" s="405">
        <f>'Monthly Cash Flow'!P58</f>
        <v>109771.50269838533</v>
      </c>
      <c r="E11" s="405">
        <f>'Monthly Cash Flow'!AC58</f>
        <v>114649.22706981064</v>
      </c>
      <c r="F11" s="405">
        <f>'Monthly Cash Flow'!AP58</f>
        <v>118451.09139417684</v>
      </c>
      <c r="G11" s="405">
        <f>'Monthly Cash Flow'!BC58</f>
        <v>129587.80809827216</v>
      </c>
      <c r="H11" s="405">
        <f>'Monthly Cash Flow'!BP58</f>
        <v>132473.29157978387</v>
      </c>
      <c r="I11" s="405">
        <f>'Monthly Cash Flow'!CC58</f>
        <v>135401.48725282995</v>
      </c>
      <c r="J11" s="406">
        <f>'Monthly Cash Flow'!CP58</f>
        <v>138396.93648144853</v>
      </c>
    </row>
    <row r="12" spans="3:10" ht="13.25" customHeight="1">
      <c r="C12" s="449"/>
      <c r="D12" s="529">
        <f>D11/D5</f>
        <v>0.35779488434192636</v>
      </c>
      <c r="E12" s="529">
        <f t="shared" ref="E12:J12" si="0">E11/E5</f>
        <v>0.29156442699595564</v>
      </c>
      <c r="F12" s="529">
        <f t="shared" si="0"/>
        <v>0.26797180490414241</v>
      </c>
      <c r="G12" s="529">
        <f t="shared" si="0"/>
        <v>0.28784180369551626</v>
      </c>
      <c r="H12" s="529">
        <f t="shared" si="0"/>
        <v>0.28939674300640461</v>
      </c>
      <c r="I12" s="529">
        <f t="shared" si="0"/>
        <v>0.29138750272374186</v>
      </c>
      <c r="J12" s="530">
        <f t="shared" si="0"/>
        <v>0.29337535249668639</v>
      </c>
    </row>
    <row r="13" spans="3:10" s="1" customFormat="1" ht="13.25" customHeight="1" thickBot="1">
      <c r="C13" s="148" t="s">
        <v>92</v>
      </c>
      <c r="D13" s="407">
        <f>'Monthly Cash Flow'!P60</f>
        <v>197028.58724779257</v>
      </c>
      <c r="E13" s="407">
        <f>'Monthly Cash Flow'!AC60</f>
        <v>278571.67525721074</v>
      </c>
      <c r="F13" s="407">
        <f>'Monthly Cash Flow'!AP60</f>
        <v>323577.09674505144</v>
      </c>
      <c r="G13" s="407">
        <f>'Monthly Cash Flow'!BC60</f>
        <v>320617.15321913338</v>
      </c>
      <c r="H13" s="407">
        <f>'Monthly Cash Flow'!BP60</f>
        <v>325283.38599572051</v>
      </c>
      <c r="I13" s="407">
        <f>'Monthly Cash Flow'!CC60</f>
        <v>329276.94262891123</v>
      </c>
      <c r="J13" s="408">
        <f>'Monthly Cash Flow'!CP60</f>
        <v>333343.22609070106</v>
      </c>
    </row>
    <row r="14" spans="3:10" ht="6" customHeight="1">
      <c r="C14" s="113"/>
      <c r="D14" s="397"/>
      <c r="E14" s="397"/>
      <c r="F14" s="397"/>
      <c r="G14" s="397"/>
      <c r="H14" s="397"/>
      <c r="I14" s="397"/>
      <c r="J14" s="398"/>
    </row>
    <row r="15" spans="3:10" ht="14.4" customHeight="1">
      <c r="C15" s="113" t="s">
        <v>332</v>
      </c>
      <c r="D15" s="562">
        <f ca="1">D13/Assumptions!$C$29</f>
        <v>4.6095925659514272E-2</v>
      </c>
      <c r="E15" s="562">
        <f ca="1">E13/Assumptions!$C$29</f>
        <v>6.5173381248241194E-2</v>
      </c>
      <c r="F15" s="562">
        <f ca="1">F13/Assumptions!$C$29</f>
        <v>7.5702648052400623E-2</v>
      </c>
      <c r="G15" s="562">
        <f ca="1">G13/Assumptions!$C$29</f>
        <v>7.5010152924495727E-2</v>
      </c>
      <c r="H15" s="562">
        <f ca="1">H13/Assumptions!$C$29</f>
        <v>7.6101843841961614E-2</v>
      </c>
      <c r="I15" s="562">
        <f ca="1">I13/Assumptions!$C$29</f>
        <v>7.7036158462251217E-2</v>
      </c>
      <c r="J15" s="563">
        <f ca="1">J13/Assumptions!$C$29</f>
        <v>7.7987487925571405E-2</v>
      </c>
    </row>
    <row r="16" spans="3:10" ht="6" customHeight="1">
      <c r="C16" s="113"/>
      <c r="D16" s="397"/>
      <c r="E16" s="397"/>
      <c r="F16" s="397"/>
      <c r="G16" s="397"/>
      <c r="H16" s="397"/>
      <c r="I16" s="397"/>
      <c r="J16" s="398"/>
    </row>
    <row r="17" spans="3:18" ht="14.4" customHeight="1">
      <c r="C17" s="113" t="s">
        <v>93</v>
      </c>
      <c r="D17" s="397">
        <f>'Monthly Cash Flow'!P62</f>
        <v>20000</v>
      </c>
      <c r="E17" s="397">
        <f>'Monthly Cash Flow'!AC62</f>
        <v>20500</v>
      </c>
      <c r="F17" s="397">
        <f>'Monthly Cash Flow'!AP62</f>
        <v>21012.5</v>
      </c>
      <c r="G17" s="397">
        <f>'Monthly Cash Flow'!BC62</f>
        <v>21537.812499999989</v>
      </c>
      <c r="H17" s="397">
        <f>'Monthly Cash Flow'!BP62</f>
        <v>22076.257812499985</v>
      </c>
      <c r="I17" s="397">
        <f>'Monthly Cash Flow'!CC62</f>
        <v>22628.164257812492</v>
      </c>
      <c r="J17" s="398">
        <f>'Monthly Cash Flow'!CP62</f>
        <v>23193.868364257796</v>
      </c>
    </row>
    <row r="18" spans="3:18">
      <c r="C18" s="113" t="s">
        <v>6</v>
      </c>
      <c r="D18" s="397">
        <f ca="1">'Monthly Cash Flow'!P63</f>
        <v>146549.75514705884</v>
      </c>
      <c r="E18" s="397">
        <f ca="1">'Monthly Cash Flow'!AC63</f>
        <v>159910.29485294133</v>
      </c>
      <c r="F18" s="397">
        <f ca="1">'Monthly Cash Flow'!AP63</f>
        <v>169717.46197290163</v>
      </c>
      <c r="G18" s="397">
        <f>'Monthly Cash Flow'!BC63</f>
        <v>205710.52183740889</v>
      </c>
      <c r="H18" s="397">
        <f>'Monthly Cash Flow'!BP63</f>
        <v>205710.52183740889</v>
      </c>
      <c r="I18" s="397">
        <f>'Monthly Cash Flow'!CC63</f>
        <v>205710.52183740889</v>
      </c>
      <c r="J18" s="398">
        <f>'Monthly Cash Flow'!CP63</f>
        <v>205710.52183740889</v>
      </c>
      <c r="P18" s="433"/>
      <c r="Q18" s="433"/>
      <c r="R18" s="433"/>
    </row>
    <row r="19" spans="3:18">
      <c r="C19" s="113" t="s">
        <v>15</v>
      </c>
      <c r="D19" s="397">
        <f>'Monthly Cash Flow'!P64</f>
        <v>0</v>
      </c>
      <c r="E19" s="397">
        <f>'Monthly Cash Flow'!AC64</f>
        <v>0</v>
      </c>
      <c r="F19" s="397">
        <f>'Monthly Cash Flow'!AP64</f>
        <v>0</v>
      </c>
      <c r="G19" s="397">
        <f>'Monthly Cash Flow'!BC64</f>
        <v>0</v>
      </c>
      <c r="H19" s="397">
        <f>'Monthly Cash Flow'!BP64</f>
        <v>0</v>
      </c>
      <c r="I19" s="397">
        <f>'Monthly Cash Flow'!CC64</f>
        <v>0</v>
      </c>
      <c r="J19" s="398">
        <f>'Monthly Cash Flow'!CP64</f>
        <v>0</v>
      </c>
    </row>
    <row r="20" spans="3:18">
      <c r="C20" s="113" t="s">
        <v>286</v>
      </c>
      <c r="D20" s="397">
        <f ca="1">'Monthly Cash Flow'!P66</f>
        <v>22464.626280775792</v>
      </c>
      <c r="E20" s="397">
        <f ca="1">'Monthly Cash Flow'!AC66</f>
        <v>22464.626280775792</v>
      </c>
      <c r="F20" s="397">
        <f ca="1">'Monthly Cash Flow'!AP66</f>
        <v>22464.626280775792</v>
      </c>
      <c r="G20" s="397">
        <f ca="1">'Monthly Cash Flow'!BC66</f>
        <v>22464.626280775792</v>
      </c>
      <c r="H20" s="397">
        <f ca="1">'Monthly Cash Flow'!BP66</f>
        <v>22464.626280775792</v>
      </c>
      <c r="I20" s="397">
        <f ca="1">'Monthly Cash Flow'!CC66</f>
        <v>22464.626280775792</v>
      </c>
      <c r="J20" s="398">
        <f ca="1">'Monthly Cash Flow'!CP66</f>
        <v>22464.626280775792</v>
      </c>
    </row>
    <row r="21" spans="3:18" ht="7.5" customHeight="1">
      <c r="C21" s="113"/>
      <c r="D21" s="397"/>
      <c r="E21" s="397"/>
      <c r="F21" s="397"/>
      <c r="G21" s="397"/>
      <c r="H21" s="397"/>
      <c r="I21" s="397"/>
      <c r="J21" s="398"/>
    </row>
    <row r="22" spans="3:18" s="1" customFormat="1" ht="15" thickBot="1">
      <c r="C22" s="148" t="s">
        <v>316</v>
      </c>
      <c r="D22" s="407">
        <f ca="1">'Monthly Cash Flow'!P68</f>
        <v>8014.2058199579442</v>
      </c>
      <c r="E22" s="407">
        <f ca="1">'Monthly Cash Flow'!AC68</f>
        <v>75696.754123493622</v>
      </c>
      <c r="F22" s="407">
        <f ca="1">'Monthly Cash Flow'!AP68</f>
        <v>110382.50849137403</v>
      </c>
      <c r="G22" s="407">
        <f ca="1">'Monthly Cash Flow'!BC68</f>
        <v>70904.192600948707</v>
      </c>
      <c r="H22" s="407">
        <f ca="1">'Monthly Cash Flow'!BP68</f>
        <v>75031.980065035837</v>
      </c>
      <c r="I22" s="407">
        <f ca="1">'Monthly Cash Flow'!CC68</f>
        <v>78473.630252914067</v>
      </c>
      <c r="J22" s="408">
        <f ca="1">'Monthly Cash Flow'!CP68</f>
        <v>81974.209608258592</v>
      </c>
    </row>
    <row r="23" spans="3:18" ht="5.4" customHeight="1">
      <c r="C23" s="113"/>
      <c r="D23" s="397"/>
      <c r="E23" s="397"/>
      <c r="F23" s="397"/>
      <c r="G23" s="397"/>
      <c r="H23" s="397"/>
      <c r="I23" s="397"/>
      <c r="J23" s="398"/>
    </row>
    <row r="24" spans="3:18">
      <c r="C24" s="113"/>
      <c r="D24" s="522"/>
      <c r="E24" s="522"/>
      <c r="F24" s="522"/>
      <c r="G24" s="522"/>
      <c r="H24" s="522"/>
      <c r="I24" s="522"/>
      <c r="J24" s="523"/>
    </row>
    <row r="25" spans="3:18">
      <c r="C25" s="113" t="s">
        <v>315</v>
      </c>
      <c r="D25" s="397">
        <f ca="1">'Monthly Cash Flow'!P70</f>
        <v>0</v>
      </c>
      <c r="E25" s="397">
        <f ca="1">'Monthly Cash Flow'!AC70</f>
        <v>0</v>
      </c>
      <c r="F25" s="397">
        <f ca="1">'Monthly Cash Flow'!AP70</f>
        <v>0</v>
      </c>
      <c r="G25" s="397">
        <f ca="1">'Monthly Cash Flow'!BC70</f>
        <v>0</v>
      </c>
      <c r="H25" s="397">
        <f ca="1">'Monthly Cash Flow'!BP70</f>
        <v>0</v>
      </c>
      <c r="I25" s="397">
        <f ca="1">'Monthly Cash Flow'!CC70</f>
        <v>0</v>
      </c>
      <c r="J25" s="398">
        <f ca="1">'Monthly Cash Flow'!CP70</f>
        <v>0</v>
      </c>
    </row>
    <row r="26" spans="3:18" ht="5.4" customHeight="1">
      <c r="C26" s="113"/>
      <c r="D26" s="397"/>
      <c r="E26" s="397"/>
      <c r="F26" s="397"/>
      <c r="G26" s="397"/>
      <c r="H26" s="397"/>
      <c r="I26" s="397"/>
      <c r="J26" s="398"/>
    </row>
    <row r="27" spans="3:18" s="1" customFormat="1" ht="15" thickBot="1">
      <c r="C27" s="148" t="s">
        <v>317</v>
      </c>
      <c r="D27" s="407">
        <f ca="1">'Monthly Cash Flow'!P72</f>
        <v>8014.2058199579442</v>
      </c>
      <c r="E27" s="407">
        <f ca="1">'Monthly Cash Flow'!AC72</f>
        <v>75696.754123493622</v>
      </c>
      <c r="F27" s="407">
        <f ca="1">'Monthly Cash Flow'!AP72</f>
        <v>110382.50849137403</v>
      </c>
      <c r="G27" s="407">
        <f ca="1">'Monthly Cash Flow'!BC72</f>
        <v>70904.192600948707</v>
      </c>
      <c r="H27" s="407">
        <f ca="1">'Monthly Cash Flow'!BP72</f>
        <v>75031.980065035837</v>
      </c>
      <c r="I27" s="407">
        <f ca="1">'Monthly Cash Flow'!CC72</f>
        <v>78473.630252914067</v>
      </c>
      <c r="J27" s="408">
        <f ca="1">'Monthly Cash Flow'!CP72</f>
        <v>81974.209608258592</v>
      </c>
    </row>
    <row r="28" spans="3:18" ht="5.4" customHeight="1">
      <c r="C28" s="113"/>
      <c r="D28" s="397"/>
      <c r="E28" s="397"/>
      <c r="F28" s="397"/>
      <c r="G28" s="397"/>
      <c r="H28" s="397"/>
      <c r="I28" s="397"/>
      <c r="J28" s="398"/>
    </row>
    <row r="29" spans="3:18">
      <c r="C29" s="113"/>
      <c r="D29" s="571">
        <v>0</v>
      </c>
      <c r="E29" s="571">
        <v>0.05</v>
      </c>
      <c r="F29" s="571">
        <v>7.4999999999999997E-2</v>
      </c>
      <c r="G29" s="571">
        <v>0.12</v>
      </c>
      <c r="H29" s="571">
        <v>0.13</v>
      </c>
      <c r="I29" s="571">
        <v>0.14000000000000001</v>
      </c>
      <c r="J29" s="572">
        <v>0.15</v>
      </c>
    </row>
    <row r="30" spans="3:18">
      <c r="C30" s="113" t="s">
        <v>19</v>
      </c>
      <c r="D30" s="397">
        <f ca="1">'Monthly Cash Flow'!P74</f>
        <v>0</v>
      </c>
      <c r="E30" s="397">
        <f ca="1">'Monthly Cash Flow'!AC74</f>
        <v>74882.087602586005</v>
      </c>
      <c r="F30" s="397">
        <f ca="1">'Monthly Cash Flow'!AP74</f>
        <v>100530.75203382863</v>
      </c>
      <c r="G30" s="397">
        <f ca="1">'Monthly Cash Flow'!BC74</f>
        <v>66510.168293722687</v>
      </c>
      <c r="H30" s="397">
        <f ca="1">'Monthly Cash Flow'!BP74</f>
        <v>72052.682318199557</v>
      </c>
      <c r="I30" s="397">
        <f ca="1">'Monthly Cash Flow'!CC74</f>
        <v>77595.196342676471</v>
      </c>
      <c r="J30" s="398">
        <f ca="1">'Monthly Cash Flow'!CP74</f>
        <v>83137.71036715334</v>
      </c>
    </row>
    <row r="31" spans="3:18" ht="5.4" customHeight="1">
      <c r="C31" s="113"/>
      <c r="D31" s="397"/>
      <c r="E31" s="397"/>
      <c r="F31" s="397"/>
      <c r="G31" s="397"/>
      <c r="H31" s="397"/>
      <c r="I31" s="397"/>
      <c r="J31" s="398"/>
    </row>
    <row r="32" spans="3:18" s="1" customFormat="1" ht="15" thickBot="1">
      <c r="C32" s="148" t="s">
        <v>130</v>
      </c>
      <c r="D32" s="407">
        <f ca="1">'Monthly Cash Flow'!P76</f>
        <v>8014.2058199579442</v>
      </c>
      <c r="E32" s="407">
        <f ca="1">'Monthly Cash Flow'!AC76</f>
        <v>814.66652090761636</v>
      </c>
      <c r="F32" s="407">
        <f ca="1">'Monthly Cash Flow'!AP76</f>
        <v>9851.7564575454016</v>
      </c>
      <c r="G32" s="407">
        <f ca="1">'Monthly Cash Flow'!BC76</f>
        <v>4394.02430722602</v>
      </c>
      <c r="H32" s="407">
        <f ca="1">'Monthly Cash Flow'!BP76</f>
        <v>2979.2977468362806</v>
      </c>
      <c r="I32" s="407">
        <f ca="1">'Monthly Cash Flow'!CC76</f>
        <v>878.43391023759614</v>
      </c>
      <c r="J32" s="408">
        <f ca="1">'Monthly Cash Flow'!CP76</f>
        <v>-1163.5007588947483</v>
      </c>
    </row>
    <row r="33" spans="3:10">
      <c r="C33" s="450"/>
      <c r="J33" s="6"/>
    </row>
    <row r="34" spans="3:10" ht="15" thickBot="1">
      <c r="C34" s="451" t="s">
        <v>285</v>
      </c>
      <c r="D34" s="432">
        <f ca="1">'Monthly Cash Flow'!O87</f>
        <v>10009.219636162201</v>
      </c>
      <c r="E34" s="432">
        <f ca="1">'Monthly Cash Flow'!AB87</f>
        <v>27103.601770260568</v>
      </c>
      <c r="F34" s="432">
        <f ca="1">'Monthly Cash Flow'!AO87</f>
        <v>37710.794199036849</v>
      </c>
      <c r="G34" s="432">
        <f ca="1">'Monthly Cash Flow'!BB87</f>
        <v>44466.682237653171</v>
      </c>
      <c r="H34" s="432">
        <f ca="1">'Monthly Cash Flow'!BO87</f>
        <v>47655.468152648406</v>
      </c>
      <c r="I34" s="432">
        <f ca="1">'Monthly Cash Flow'!CB87</f>
        <v>49297.848171988466</v>
      </c>
      <c r="J34" s="431">
        <f ca="1">'Monthly Cash Flow'!CO87</f>
        <v>49991.409859129235</v>
      </c>
    </row>
    <row r="36" spans="3:10">
      <c r="D36" s="517"/>
    </row>
    <row r="37" spans="3:10">
      <c r="D37" s="693"/>
      <c r="I37" s="460"/>
      <c r="J37" s="460"/>
    </row>
  </sheetData>
  <conditionalFormatting sqref="D24:J24">
    <cfRule type="expression" dxfId="1" priority="1">
      <formula>D24=""</formula>
    </cfRule>
  </conditionalFormatting>
  <conditionalFormatting sqref="D29:J29">
    <cfRule type="expression" dxfId="0" priority="2">
      <formula>D29=""</formula>
    </cfRule>
  </conditionalFormatting>
  <dataValidations count="1">
    <dataValidation type="list" allowBlank="1" showInputMessage="1" showErrorMessage="1" sqref="D24:J24" xr:uid="{D54E1113-60EE-478A-999A-E40B5EF08AF3}">
      <formula1>"Current Pay,Yes,No"</formula1>
    </dataValidation>
  </dataValidations>
  <pageMargins left="0.7" right="0.7" top="0.75" bottom="0.75" header="0.3" footer="0.3"/>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97B0B-DEEC-4AB8-8E01-0043D6D98EEC}">
  <sheetPr>
    <tabColor theme="4" tint="-0.499984740745262"/>
  </sheetPr>
  <dimension ref="B1:C1"/>
  <sheetViews>
    <sheetView workbookViewId="0">
      <selection activeCell="C20" sqref="C20"/>
    </sheetView>
  </sheetViews>
  <sheetFormatPr defaultRowHeight="14.5"/>
  <cols>
    <col min="1" max="1" width="1.36328125" customWidth="1"/>
    <col min="2" max="2" width="33.6328125" customWidth="1"/>
    <col min="3" max="3" width="96.54296875" customWidth="1"/>
  </cols>
  <sheetData>
    <row r="1" spans="2:3">
      <c r="B1" s="381" t="s">
        <v>233</v>
      </c>
      <c r="C1" s="381"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Executive Summary</vt:lpstr>
      <vt:lpstr>Sale Matrix</vt:lpstr>
      <vt:lpstr>P&amp;L OM</vt:lpstr>
      <vt:lpstr>Cash Flow OM</vt:lpstr>
      <vt:lpstr>3 Pager Graphs</vt:lpstr>
      <vt:lpstr>Rent Comps</vt:lpstr>
      <vt:lpstr>Assumptions</vt:lpstr>
      <vt:lpstr>Unit Mix</vt:lpstr>
      <vt:lpstr>Renovation Budget</vt:lpstr>
      <vt:lpstr>Loan Summary</vt:lpstr>
      <vt:lpstr>Sale Analysis</vt:lpstr>
      <vt:lpstr>Waterfall Split</vt:lpstr>
      <vt:lpstr>Monthly Cash Flow</vt:lpstr>
      <vt:lpstr>Cont. Dist.</vt:lpstr>
      <vt:lpstr>Cash Flow Summary</vt:lpstr>
      <vt:lpstr>Notes</vt:lpstr>
      <vt:lpstr>'Cash Flow OM'!Print_Area</vt:lpstr>
      <vt:lpstr>'Executive Summary'!Print_Area</vt:lpstr>
      <vt:lpstr>'P&amp;L OM'!Print_Area</vt:lpstr>
    </vt:vector>
  </TitlesOfParts>
  <Company>Trinity Property Consultants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Nickolas Gates</dc:creator>
  <cp:lastModifiedBy>Nickolas  Gates</cp:lastModifiedBy>
  <cp:lastPrinted>2024-07-12T19:47:52Z</cp:lastPrinted>
  <dcterms:created xsi:type="dcterms:W3CDTF">2020-05-26T12:05:21Z</dcterms:created>
  <dcterms:modified xsi:type="dcterms:W3CDTF">2026-04-07T20:18:28Z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0x01010096F98BA92F9E3E4796CE795FD23D5E34</vt:lpwstr>
  </property>
</Properties>
</file>